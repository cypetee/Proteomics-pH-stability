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<sst xmlns="http://schemas.openxmlformats.org/spreadsheetml/2006/main" count="13291" uniqueCount="8316">
  <si>
    <t>Protein_ID</t>
  </si>
  <si>
    <t>norm_FC_TMT126</t>
  </si>
  <si>
    <t>norm_FC_TMT127L</t>
  </si>
  <si>
    <t>norm_FC_TMT127H</t>
  </si>
  <si>
    <t>norm_FC_TMT128L</t>
  </si>
  <si>
    <t>norm_FC_TMT128H</t>
  </si>
  <si>
    <t>norm_FC_TMT129L</t>
  </si>
  <si>
    <t>norm_FC_TMT129H</t>
  </si>
  <si>
    <t>norm_FC_TMT130L</t>
  </si>
  <si>
    <t>norm_FC_TMT130H</t>
  </si>
  <si>
    <t>norm_FC_TMT131L</t>
  </si>
  <si>
    <t>a</t>
  </si>
  <si>
    <t>b</t>
  </si>
  <si>
    <t>meltPoint</t>
  </si>
  <si>
    <t>inflPoint</t>
  </si>
  <si>
    <t>slope</t>
  </si>
  <si>
    <t>plateau</t>
  </si>
  <si>
    <t>R_sq</t>
  </si>
  <si>
    <t>plot</t>
  </si>
  <si>
    <t>protein_identified_in</t>
  </si>
  <si>
    <t>model_converged</t>
  </si>
  <si>
    <t>sufficient_data_for_fit</t>
  </si>
  <si>
    <t>Proteinname</t>
  </si>
  <si>
    <t>numSpec</t>
  </si>
  <si>
    <t>uniprot_ac</t>
  </si>
  <si>
    <t>gene_name</t>
  </si>
  <si>
    <t>auc</t>
  </si>
  <si>
    <t>plot_link</t>
  </si>
  <si>
    <t>G0ZKW2_lacZ</t>
  </si>
  <si>
    <t>P00350_gnd</t>
  </si>
  <si>
    <t>P00363_frdA</t>
  </si>
  <si>
    <t>P00370_gdhA</t>
  </si>
  <si>
    <t>P00393_ndh</t>
  </si>
  <si>
    <t>P00448_sodA</t>
  </si>
  <si>
    <t>P00452_nrdA</t>
  </si>
  <si>
    <t>P00490_malP</t>
  </si>
  <si>
    <t>P00509_aspC</t>
  </si>
  <si>
    <t>P00547_thrB</t>
  </si>
  <si>
    <t>P00550_mtlA</t>
  </si>
  <si>
    <t>P00561_thrA</t>
  </si>
  <si>
    <t>P00579_rpoD</t>
  </si>
  <si>
    <t>P00582_polA</t>
  </si>
  <si>
    <t>P00634_phoA</t>
  </si>
  <si>
    <t>P00803_lepB</t>
  </si>
  <si>
    <t>P00805_ansB</t>
  </si>
  <si>
    <t>P00811_ampC</t>
  </si>
  <si>
    <t>P00864_ppc</t>
  </si>
  <si>
    <t>P00895_trpE</t>
  </si>
  <si>
    <t>P00904_trpGD</t>
  </si>
  <si>
    <t>P00909_trpC</t>
  </si>
  <si>
    <t>P00926_dsdA</t>
  </si>
  <si>
    <t>P00934_thrC</t>
  </si>
  <si>
    <t>P00935_metB</t>
  </si>
  <si>
    <t>P00946_manA</t>
  </si>
  <si>
    <t>P00954_trpS</t>
  </si>
  <si>
    <t>P00956_ileS</t>
  </si>
  <si>
    <t>P00957_alaS</t>
  </si>
  <si>
    <t>P00959_metG</t>
  </si>
  <si>
    <t>P00960_glyQ</t>
  </si>
  <si>
    <t>P00961_glyS</t>
  </si>
  <si>
    <t>P00962_glnS</t>
  </si>
  <si>
    <t>P00968_carB</t>
  </si>
  <si>
    <t>P02358_rpsF</t>
  </si>
  <si>
    <t>P02359_rpsG</t>
  </si>
  <si>
    <t>P02413_rplO</t>
  </si>
  <si>
    <t>P02916_malF</t>
  </si>
  <si>
    <t>P02919_mrcB</t>
  </si>
  <si>
    <t>P02924_araF</t>
  </si>
  <si>
    <t>P02925_rbsB</t>
  </si>
  <si>
    <t>P02930_tolC</t>
  </si>
  <si>
    <t>P02931_ompF</t>
  </si>
  <si>
    <t>P02942_tsr</t>
  </si>
  <si>
    <t>P02943_lamB</t>
  </si>
  <si>
    <t>P03004_dnaA</t>
  </si>
  <si>
    <t>P03018_uvrD</t>
  </si>
  <si>
    <t>P03817_mioC</t>
  </si>
  <si>
    <t>P03841_malM</t>
  </si>
  <si>
    <t>P04036_dapB</t>
  </si>
  <si>
    <t>P04079_guaA</t>
  </si>
  <si>
    <t>P04335_frsA</t>
  </si>
  <si>
    <t>P04425_gshB</t>
  </si>
  <si>
    <t>P04693_tyrB</t>
  </si>
  <si>
    <t>P04805_gltX</t>
  </si>
  <si>
    <t>P04816_livK</t>
  </si>
  <si>
    <t>P04825_pepN</t>
  </si>
  <si>
    <t>P04846_nlpA</t>
  </si>
  <si>
    <t>P04949_fliC</t>
  </si>
  <si>
    <t>P04951_kdsB</t>
  </si>
  <si>
    <t>P04982_rbsD</t>
  </si>
  <si>
    <t>P04983_rbsA</t>
  </si>
  <si>
    <t>P04995_sbcB</t>
  </si>
  <si>
    <t>P05020_pyrC</t>
  </si>
  <si>
    <t>P05041_pabB</t>
  </si>
  <si>
    <t>P05042_fumC</t>
  </si>
  <si>
    <t>P05055_pnp</t>
  </si>
  <si>
    <t>P05194_aroD</t>
  </si>
  <si>
    <t>P05458_ptrA</t>
  </si>
  <si>
    <t>P05459_pdxB</t>
  </si>
  <si>
    <t>P05637_apaH</t>
  </si>
  <si>
    <t>P05704_trg</t>
  </si>
  <si>
    <t>P05707_srlD</t>
  </si>
  <si>
    <t>P05791_ilvD</t>
  </si>
  <si>
    <t>P05793_ilvC</t>
  </si>
  <si>
    <t>P05804_uidA</t>
  </si>
  <si>
    <t>P06149_dld</t>
  </si>
  <si>
    <t>P06282_cdh</t>
  </si>
  <si>
    <t>P06610_btuE</t>
  </si>
  <si>
    <t>P06612_topA</t>
  </si>
  <si>
    <t>P06616_era</t>
  </si>
  <si>
    <t>P06710_dnaX</t>
  </si>
  <si>
    <t>P06715_gor</t>
  </si>
  <si>
    <t>P06720_melA</t>
  </si>
  <si>
    <t>P06846_ebgR</t>
  </si>
  <si>
    <t>P06959_aceF</t>
  </si>
  <si>
    <t>P06961_cca</t>
  </si>
  <si>
    <t>P06966_dicA</t>
  </si>
  <si>
    <t>P06968_dut</t>
  </si>
  <si>
    <t>P06971_fhuA</t>
  </si>
  <si>
    <t>P06974_fliM</t>
  </si>
  <si>
    <t>P06983_hemC</t>
  </si>
  <si>
    <t>P06986_hisC</t>
  </si>
  <si>
    <t>P06987_hisB</t>
  </si>
  <si>
    <t>P06988_hisD</t>
  </si>
  <si>
    <t>P06989_hisI</t>
  </si>
  <si>
    <t>P06992_rsmA</t>
  </si>
  <si>
    <t>P06996_ompC</t>
  </si>
  <si>
    <t>P06999_pfkB</t>
  </si>
  <si>
    <t>P07001_pntA</t>
  </si>
  <si>
    <t>P07003_poxB</t>
  </si>
  <si>
    <t>P07004_proA</t>
  </si>
  <si>
    <t>P07012_prfB</t>
  </si>
  <si>
    <t>P07014_sdhB</t>
  </si>
  <si>
    <t>P07017_tar</t>
  </si>
  <si>
    <t>P07023_tyrA</t>
  </si>
  <si>
    <t>P07024_ushA</t>
  </si>
  <si>
    <t>P07102_appA</t>
  </si>
  <si>
    <t>P07117_putP</t>
  </si>
  <si>
    <t>P07118_valS</t>
  </si>
  <si>
    <t>P07330_cheB</t>
  </si>
  <si>
    <t>P07363_cheA</t>
  </si>
  <si>
    <t>P07395_pheT</t>
  </si>
  <si>
    <t>P07639_aroB</t>
  </si>
  <si>
    <t>P07650_deoA</t>
  </si>
  <si>
    <t>P07762_glgB</t>
  </si>
  <si>
    <t>P07813_leuS</t>
  </si>
  <si>
    <t>P07822_fhuD</t>
  </si>
  <si>
    <t>P07862_ddlB</t>
  </si>
  <si>
    <t>P07913_tdh</t>
  </si>
  <si>
    <t>P08178_purM</t>
  </si>
  <si>
    <t>P08192_folC</t>
  </si>
  <si>
    <t>P08200_icd</t>
  </si>
  <si>
    <t>P08202_araA</t>
  </si>
  <si>
    <t>P08244_pyrF</t>
  </si>
  <si>
    <t>P08245_yciH</t>
  </si>
  <si>
    <t>P08312_pheS</t>
  </si>
  <si>
    <t>P08331_cpdB</t>
  </si>
  <si>
    <t>P08337_mutT</t>
  </si>
  <si>
    <t>P08368_creB</t>
  </si>
  <si>
    <t>P08373_murB</t>
  </si>
  <si>
    <t>P08390_usg</t>
  </si>
  <si>
    <t>P08395_sppA</t>
  </si>
  <si>
    <t>P08506_dacC</t>
  </si>
  <si>
    <t>P08550_cvpA</t>
  </si>
  <si>
    <t>P08622_dnaJ</t>
  </si>
  <si>
    <t>P08660_lysC</t>
  </si>
  <si>
    <t>P08839_ptsI</t>
  </si>
  <si>
    <t>P08956_hsdR</t>
  </si>
  <si>
    <t>P08957_hsdM</t>
  </si>
  <si>
    <t>P08997_aceB</t>
  </si>
  <si>
    <t>P09029_purK</t>
  </si>
  <si>
    <t>P09030_xthA</t>
  </si>
  <si>
    <t>P09126_hemD</t>
  </si>
  <si>
    <t>P09127_hemX</t>
  </si>
  <si>
    <t>P09147_galE</t>
  </si>
  <si>
    <t>P09148_galT</t>
  </si>
  <si>
    <t>P09152_narG</t>
  </si>
  <si>
    <t>P09155_rnd</t>
  </si>
  <si>
    <t>P09158_speE</t>
  </si>
  <si>
    <t>P09169_ompT</t>
  </si>
  <si>
    <t>P09323_nagE</t>
  </si>
  <si>
    <t>P09372_grpE</t>
  </si>
  <si>
    <t>P09373_pflB</t>
  </si>
  <si>
    <t>P09391_glpG</t>
  </si>
  <si>
    <t>P09394_glpQ</t>
  </si>
  <si>
    <t>P09424_mtlD</t>
  </si>
  <si>
    <t>P09546_putA</t>
  </si>
  <si>
    <t>P09549_dedD</t>
  </si>
  <si>
    <t>P09551_argT</t>
  </si>
  <si>
    <t>P09831_gltB</t>
  </si>
  <si>
    <t>P09832_gltD</t>
  </si>
  <si>
    <t>P09833_modC</t>
  </si>
  <si>
    <t>P0A698_uvrA</t>
  </si>
  <si>
    <t>P0A6A3_ackA</t>
  </si>
  <si>
    <t>P0A6A8_acpP</t>
  </si>
  <si>
    <t>P0A6B7_iscS</t>
  </si>
  <si>
    <t>P0A6C1_nfo</t>
  </si>
  <si>
    <t>P0A6D0_argR</t>
  </si>
  <si>
    <t>P0A6D3_aroA</t>
  </si>
  <si>
    <t>P0A6D7_aroK</t>
  </si>
  <si>
    <t>P0A6E1_aroL</t>
  </si>
  <si>
    <t>P0A6E4_argG</t>
  </si>
  <si>
    <t>P0A6E9_bioD2</t>
  </si>
  <si>
    <t>P0A6F1_carA</t>
  </si>
  <si>
    <t>P0A6F3_glpK</t>
  </si>
  <si>
    <t>P0A6F5_groL</t>
  </si>
  <si>
    <t>P0A6F9_groS</t>
  </si>
  <si>
    <t>P0A6G3_pncC</t>
  </si>
  <si>
    <t>P0A6G7_clpP</t>
  </si>
  <si>
    <t>P0A6H1_clpX</t>
  </si>
  <si>
    <t>P0A6H5_hslU</t>
  </si>
  <si>
    <t>P0A6I0_cmk</t>
  </si>
  <si>
    <t>P0A6I3_coaA</t>
  </si>
  <si>
    <t>P0A6I6_coaD</t>
  </si>
  <si>
    <t>P0A6I9_coaE</t>
  </si>
  <si>
    <t>P0A6J3_cysZ</t>
  </si>
  <si>
    <t>P0A6J5_dadA</t>
  </si>
  <si>
    <t>P0A6J8_ddlA</t>
  </si>
  <si>
    <t>P0A6K1_dapF</t>
  </si>
  <si>
    <t>P0A6K3_def</t>
  </si>
  <si>
    <t>P0A6K6_deoB</t>
  </si>
  <si>
    <t>P0A6L0_deoC</t>
  </si>
  <si>
    <t>P0A6L2_dapA</t>
  </si>
  <si>
    <t>P0A6L7_uxaB</t>
  </si>
  <si>
    <t>P0A6L9_hscB</t>
  </si>
  <si>
    <t>P0A6M4_dtd</t>
  </si>
  <si>
    <t>P0A6M8_fusA</t>
  </si>
  <si>
    <t>P0A6N4_efp</t>
  </si>
  <si>
    <t>P0A6N8_yeiP</t>
  </si>
  <si>
    <t>P0A6P1_tsf</t>
  </si>
  <si>
    <t>P0A6P5_der</t>
  </si>
  <si>
    <t>P0A6P7_engB</t>
  </si>
  <si>
    <t>P0A6P9_eno</t>
  </si>
  <si>
    <t>P0A6Q3_fabA</t>
  </si>
  <si>
    <t>P0A6Q6_fabZ</t>
  </si>
  <si>
    <t>P0A6R0_fabH</t>
  </si>
  <si>
    <t>P0A6S0_flgH</t>
  </si>
  <si>
    <t>P0A6S7_gpsA</t>
  </si>
  <si>
    <t>P0A6T1_pgi</t>
  </si>
  <si>
    <t>P0A6T3_galK</t>
  </si>
  <si>
    <t>P0A6T5_folE</t>
  </si>
  <si>
    <t>P0A6T9_gcvH</t>
  </si>
  <si>
    <t>P0A6U5_rsmG</t>
  </si>
  <si>
    <t>P0A6U8_glgA</t>
  </si>
  <si>
    <t>P0A6V1_glgC</t>
  </si>
  <si>
    <t>P0A6V8_glk</t>
  </si>
  <si>
    <t>P0A6W3_mraY</t>
  </si>
  <si>
    <t>P0A6W5_greA</t>
  </si>
  <si>
    <t>P0A6W9_gshA</t>
  </si>
  <si>
    <t>P0A6X3_hfq</t>
  </si>
  <si>
    <t>P0A6X7_ihfA</t>
  </si>
  <si>
    <t>P0A6Y1_ihfB</t>
  </si>
  <si>
    <t>P0A6Y5_hslO</t>
  </si>
  <si>
    <t>P0A6Y8_dnaK</t>
  </si>
  <si>
    <t>P0A6Z1_hscA</t>
  </si>
  <si>
    <t>P0A6Z3_htpG</t>
  </si>
  <si>
    <t>P0A705_infB</t>
  </si>
  <si>
    <t>P0A707_infC</t>
  </si>
  <si>
    <t>P0A715_kdsA</t>
  </si>
  <si>
    <t>P0A717_prs</t>
  </si>
  <si>
    <t>P0A720_tmk</t>
  </si>
  <si>
    <t>P0A722_lpxA</t>
  </si>
  <si>
    <t>P0A725_lpxC</t>
  </si>
  <si>
    <t>P0A729_yceF</t>
  </si>
  <si>
    <t>P0A731_mgsA</t>
  </si>
  <si>
    <t>P0A734_minE</t>
  </si>
  <si>
    <t>P0A738_moaC</t>
  </si>
  <si>
    <t>P0A742_mscL</t>
  </si>
  <si>
    <t>P0A744_msrA</t>
  </si>
  <si>
    <t>P0A746_msrB</t>
  </si>
  <si>
    <t>P0A749_murA</t>
  </si>
  <si>
    <t>P0A759_nagB</t>
  </si>
  <si>
    <t>P0A761_nanE</t>
  </si>
  <si>
    <t>P0A763_ndk</t>
  </si>
  <si>
    <t>P0A780_nusB</t>
  </si>
  <si>
    <t>P0A784_orn</t>
  </si>
  <si>
    <t>P0A790_panD</t>
  </si>
  <si>
    <t>P0A794_pdxJ</t>
  </si>
  <si>
    <t>P0A796_pfkA</t>
  </si>
  <si>
    <t>P0A799_pgk</t>
  </si>
  <si>
    <t>P0A7A2_gpmB</t>
  </si>
  <si>
    <t>P0A7A5_pcm</t>
  </si>
  <si>
    <t>P0A7A9_ppa</t>
  </si>
  <si>
    <t>P0A7B5_proB</t>
  </si>
  <si>
    <t>P0A7B8_hslV</t>
  </si>
  <si>
    <t>P0A7C2_lexA</t>
  </si>
  <si>
    <t>P0A7C6_pepE</t>
  </si>
  <si>
    <t>P0A7D1_pth</t>
  </si>
  <si>
    <t>P0A7D4_purA</t>
  </si>
  <si>
    <t>P0A7D7_purC</t>
  </si>
  <si>
    <t>P0A7E1_pyrD</t>
  </si>
  <si>
    <t>P0A7E3_pyrE</t>
  </si>
  <si>
    <t>P0A7E5_pyrG</t>
  </si>
  <si>
    <t>P0A7E9_pyrH</t>
  </si>
  <si>
    <t>P0A7F3_pyrI</t>
  </si>
  <si>
    <t>P0A7F6_speD</t>
  </si>
  <si>
    <t>P0A7F9_queA</t>
  </si>
  <si>
    <t>P0A7G2_rbfA</t>
  </si>
  <si>
    <t>P0A7G6_recA</t>
  </si>
  <si>
    <t>P0A7I0_prfA</t>
  </si>
  <si>
    <t>P0A7I4_prfC</t>
  </si>
  <si>
    <t>P0A7I7_ribA</t>
  </si>
  <si>
    <t>P0A7J3_rplJ</t>
  </si>
  <si>
    <t>P0A7J7_rplK</t>
  </si>
  <si>
    <t>P0A7K2_rplL</t>
  </si>
  <si>
    <t>P0A7K6_rplS</t>
  </si>
  <si>
    <t>P0A7L0_rplA</t>
  </si>
  <si>
    <t>P0A7L3_rplT</t>
  </si>
  <si>
    <t>P0A7L8_rpmA</t>
  </si>
  <si>
    <t>P0A7M2_rpmB</t>
  </si>
  <si>
    <t>P0A7M6_rpmC</t>
  </si>
  <si>
    <t>P0A7M9_rpmE</t>
  </si>
  <si>
    <t>P0A7Q6_rpmJ</t>
  </si>
  <si>
    <t>P0A7R1_rplI</t>
  </si>
  <si>
    <t>P0A7R5_rpsJ</t>
  </si>
  <si>
    <t>P0A7R9_rpsK</t>
  </si>
  <si>
    <t>P0A7S3_rpsL</t>
  </si>
  <si>
    <t>P0A7S9_rpsM</t>
  </si>
  <si>
    <t>P0A7T3_rpsP</t>
  </si>
  <si>
    <t>P0A7T7_rpsR</t>
  </si>
  <si>
    <t>P0A7U3_rpsS</t>
  </si>
  <si>
    <t>P0A7U7_rpsT</t>
  </si>
  <si>
    <t>P0A7V0_rpsB</t>
  </si>
  <si>
    <t>P0A7V3_rpsC</t>
  </si>
  <si>
    <t>P0A7V8_rpsD</t>
  </si>
  <si>
    <t>P0A7W1_rpsE</t>
  </si>
  <si>
    <t>P0A7W7_rpsH</t>
  </si>
  <si>
    <t>P0A7X3_rpsI</t>
  </si>
  <si>
    <t>P0A7X6_rimM</t>
  </si>
  <si>
    <t>P0A7Y0_rnc</t>
  </si>
  <si>
    <t>P0A7Z0_rpiA</t>
  </si>
  <si>
    <t>P0A7Z4_rpoA</t>
  </si>
  <si>
    <t>P0A800_rpoZ</t>
  </si>
  <si>
    <t>P0A805_frr</t>
  </si>
  <si>
    <t>P0A809_ruvA</t>
  </si>
  <si>
    <t>P0A817_metK</t>
  </si>
  <si>
    <t>P0A821_selA</t>
  </si>
  <si>
    <t>P0A823_sfsA</t>
  </si>
  <si>
    <t>P0A825_glyA</t>
  </si>
  <si>
    <t>P0A830_dctA</t>
  </si>
  <si>
    <t>P0A832_smpB</t>
  </si>
  <si>
    <t>P0A836_sucC</t>
  </si>
  <si>
    <t>P0A840_surE</t>
  </si>
  <si>
    <t>P0A850_tig</t>
  </si>
  <si>
    <t>P0A853_tnaA</t>
  </si>
  <si>
    <t>P0A855_tolB</t>
  </si>
  <si>
    <t>P0A858_tpiA</t>
  </si>
  <si>
    <t>P0A862_tpx</t>
  </si>
  <si>
    <t>P0A867_talA</t>
  </si>
  <si>
    <t>P0A870_talB</t>
  </si>
  <si>
    <t>P0A873_trmD</t>
  </si>
  <si>
    <t>P0A877_trpA</t>
  </si>
  <si>
    <t>P0A879_trpB</t>
  </si>
  <si>
    <t>P0A881_trpR</t>
  </si>
  <si>
    <t>P0A884_thyA</t>
  </si>
  <si>
    <t>P0A887_ubiE</t>
  </si>
  <si>
    <t>P0A894_rapZ</t>
  </si>
  <si>
    <t>P0A898_ybeY</t>
  </si>
  <si>
    <t>P0A8A0_yebC</t>
  </si>
  <si>
    <t>P0A8A2_yeeN</t>
  </si>
  <si>
    <t>P0A8A4_ppsR</t>
  </si>
  <si>
    <t>P0A8B5_ybaB</t>
  </si>
  <si>
    <t>P0A8C1_ybjQ</t>
  </si>
  <si>
    <t>P0A8D0_nrdR</t>
  </si>
  <si>
    <t>P0A8D3_yaiI</t>
  </si>
  <si>
    <t>P0A8D6_ymdB</t>
  </si>
  <si>
    <t>P0A8E1_ycfP</t>
  </si>
  <si>
    <t>P0A8E5_yacL</t>
  </si>
  <si>
    <t>P0A8E7_yajQ</t>
  </si>
  <si>
    <t>P0A8F0_upp</t>
  </si>
  <si>
    <t>P0A8F8_uvrB</t>
  </si>
  <si>
    <t>P0A8G3_uxaC</t>
  </si>
  <si>
    <t>P0A8G6_wrbA</t>
  </si>
  <si>
    <t>P0A8G9_xseB</t>
  </si>
  <si>
    <t>P0A8H6_yihI</t>
  </si>
  <si>
    <t>P0A8I1_yqgF</t>
  </si>
  <si>
    <t>P0A8I3_yaaA</t>
  </si>
  <si>
    <t>P0A8I5_trmB</t>
  </si>
  <si>
    <t>P0A8J8_rhlB</t>
  </si>
  <si>
    <t>P0A8K1_psd</t>
  </si>
  <si>
    <t>P0A8L1_serS</t>
  </si>
  <si>
    <t>P0A8M0_asnS</t>
  </si>
  <si>
    <t>P0A8M3_thrS</t>
  </si>
  <si>
    <t>P0A8M6_yeeX</t>
  </si>
  <si>
    <t>P0A8N0_matP</t>
  </si>
  <si>
    <t>P0A8N3_lysS</t>
  </si>
  <si>
    <t>P0A8N5_lysU</t>
  </si>
  <si>
    <t>P0A8P3_yggX</t>
  </si>
  <si>
    <t>P0A8Q0_frdC</t>
  </si>
  <si>
    <t>P0A8Q3_frdD</t>
  </si>
  <si>
    <t>P0A8R0_rraA</t>
  </si>
  <si>
    <t>P0A8R4_slyX</t>
  </si>
  <si>
    <t>P0A8S1_argP</t>
  </si>
  <si>
    <t>P0A8T1_prmA</t>
  </si>
  <si>
    <t>P0A8T7_rpoC</t>
  </si>
  <si>
    <t>P0A8U2_yafD</t>
  </si>
  <si>
    <t>P0A8U6_metJ</t>
  </si>
  <si>
    <t>P0A8V0_rbn</t>
  </si>
  <si>
    <t>P0A8V2_rpoB</t>
  </si>
  <si>
    <t>P0A8V6_fadR</t>
  </si>
  <si>
    <t>P0A8W0_nanR</t>
  </si>
  <si>
    <t>P0A8W2_slyA</t>
  </si>
  <si>
    <t>P0A8W5_yqgE</t>
  </si>
  <si>
    <t>P0A8W8_yfbU</t>
  </si>
  <si>
    <t>P0A8X0_yjgA</t>
  </si>
  <si>
    <t>P0A8X2_yceI</t>
  </si>
  <si>
    <t>P0A8Y3_yihX</t>
  </si>
  <si>
    <t>P0A8Y5_yidA</t>
  </si>
  <si>
    <t>P0A8Z0_yciA</t>
  </si>
  <si>
    <t>P0A901_blc</t>
  </si>
  <si>
    <t>P0A903_bamC</t>
  </si>
  <si>
    <t>P0A905_slyB</t>
  </si>
  <si>
    <t>P0A910_ompA</t>
  </si>
  <si>
    <t>P0A912_pal</t>
  </si>
  <si>
    <t>P0A915_ompW</t>
  </si>
  <si>
    <t>P0A917_ompX</t>
  </si>
  <si>
    <t>P0A921_pldA</t>
  </si>
  <si>
    <t>P0A937_bamE</t>
  </si>
  <si>
    <t>P0A940_bamA</t>
  </si>
  <si>
    <t>P0A948_rimJ</t>
  </si>
  <si>
    <t>P0A953_fabB</t>
  </si>
  <si>
    <t>P0A955_eda</t>
  </si>
  <si>
    <t>P0A962_ansA</t>
  </si>
  <si>
    <t>P0A964_cheW</t>
  </si>
  <si>
    <t>P0A972_cspE</t>
  </si>
  <si>
    <t>P0A988_dnaN</t>
  </si>
  <si>
    <t>P0A991_fbaB</t>
  </si>
  <si>
    <t>P0A993_fbp</t>
  </si>
  <si>
    <t>P0A998_ftnA</t>
  </si>
  <si>
    <t>P0A9A6_ftsZ</t>
  </si>
  <si>
    <t>P0A9A9_fur</t>
  </si>
  <si>
    <t>P0A9B2_gapA</t>
  </si>
  <si>
    <t>P0A9C3_galM</t>
  </si>
  <si>
    <t>P0A9C5_glnA</t>
  </si>
  <si>
    <t>P0A9C9_glpX</t>
  </si>
  <si>
    <t>P0A9D2_gstA</t>
  </si>
  <si>
    <t>P0A9D4_cysE</t>
  </si>
  <si>
    <t>P0A9D8_dapD</t>
  </si>
  <si>
    <t>P0A9E5_fnr</t>
  </si>
  <si>
    <t>P0A9F1_mntR</t>
  </si>
  <si>
    <t>P0A9F3_cysB</t>
  </si>
  <si>
    <t>P0A9G6_aceA</t>
  </si>
  <si>
    <t>P0A9G8_modE</t>
  </si>
  <si>
    <t>P0A9H1_mug</t>
  </si>
  <si>
    <t>P0A9H5_btuR</t>
  </si>
  <si>
    <t>P0A9H7_cfa</t>
  </si>
  <si>
    <t>P0A9H9_cheZ</t>
  </si>
  <si>
    <t>P0A9J0_rng</t>
  </si>
  <si>
    <t>P0A9J6_rbsK</t>
  </si>
  <si>
    <t>P0A9J8_pheA</t>
  </si>
  <si>
    <t>P0A9K3_ybeZ</t>
  </si>
  <si>
    <t>P0A9K7_phoU</t>
  </si>
  <si>
    <t>P0A9K9_slyD</t>
  </si>
  <si>
    <t>P0A9L3_fklB</t>
  </si>
  <si>
    <t>P0A9L5_ppiC</t>
  </si>
  <si>
    <t>P0A9L8_proC</t>
  </si>
  <si>
    <t>P0A9M0_lon</t>
  </si>
  <si>
    <t>P0A9M2_hpt</t>
  </si>
  <si>
    <t>P0A9M5_gpt</t>
  </si>
  <si>
    <t>P0A9M8_pta</t>
  </si>
  <si>
    <t>P0A9N0_ptsO</t>
  </si>
  <si>
    <t>P0A9N4_pflA</t>
  </si>
  <si>
    <t>P0A9P0_lpdA</t>
  </si>
  <si>
    <t>P0A9P4_trxB</t>
  </si>
  <si>
    <t>P0A9Q1_arcA</t>
  </si>
  <si>
    <t>P0A9Q5_accD</t>
  </si>
  <si>
    <t>P0A9Q7_adhE</t>
  </si>
  <si>
    <t>P0A9Q9_asd</t>
  </si>
  <si>
    <t>P0A9R4_fdx</t>
  </si>
  <si>
    <t>P0A9R7_ftsE</t>
  </si>
  <si>
    <t>P0A9S1_fucO</t>
  </si>
  <si>
    <t>P0A9S3_gatD</t>
  </si>
  <si>
    <t>P0A9S5_gldA</t>
  </si>
  <si>
    <t>P0A9T0_serA</t>
  </si>
  <si>
    <t>P0A9T4_tas</t>
  </si>
  <si>
    <t>P0A9T8_ybbA</t>
  </si>
  <si>
    <t>P0A9U3_ybiT</t>
  </si>
  <si>
    <t>P0A9U6_puuR</t>
  </si>
  <si>
    <t>P0A9V1_lptB</t>
  </si>
  <si>
    <t>P0A9V5_yiaG</t>
  </si>
  <si>
    <t>P0A9W0_ulaR</t>
  </si>
  <si>
    <t>P0A9W3_ettA</t>
  </si>
  <si>
    <t>P0A9W6_ibaG</t>
  </si>
  <si>
    <t>P0A9X4_mreB</t>
  </si>
  <si>
    <t>P0A9X9_cspA</t>
  </si>
  <si>
    <t>P0A9Y6_cspC</t>
  </si>
  <si>
    <t>P0A9Z1_glnB</t>
  </si>
  <si>
    <t>P0AA04_ptsH</t>
  </si>
  <si>
    <t>P0AA10_rplM</t>
  </si>
  <si>
    <t>P0AA16_ompR</t>
  </si>
  <si>
    <t>P0AA25_trxA</t>
  </si>
  <si>
    <t>P0AA37_rluA</t>
  </si>
  <si>
    <t>P0AA39_rluC</t>
  </si>
  <si>
    <t>P0AA43_rsuA</t>
  </si>
  <si>
    <t>P0AA53_qmcA</t>
  </si>
  <si>
    <t>P0AA57_yobA</t>
  </si>
  <si>
    <t>P0AA63_yqjA</t>
  </si>
  <si>
    <t>P0AA91_yeaY</t>
  </si>
  <si>
    <t>P0AAA1_yagU</t>
  </si>
  <si>
    <t>P0AAB4_ubiD</t>
  </si>
  <si>
    <t>P0AAB6_galF</t>
  </si>
  <si>
    <t>P0AAB8_uspD</t>
  </si>
  <si>
    <t>P0AAC0_uspE</t>
  </si>
  <si>
    <t>P0AAC4_ybhL</t>
  </si>
  <si>
    <t>P0AAC8_iscA</t>
  </si>
  <si>
    <t>P0AAF6_artP</t>
  </si>
  <si>
    <t>P0AAG0_dppD</t>
  </si>
  <si>
    <t>P0AAG8_mglA</t>
  </si>
  <si>
    <t>P0AAH0_pstB</t>
  </si>
  <si>
    <t>P0AAH8_sapF</t>
  </si>
  <si>
    <t>P0AAI3_ftsH</t>
  </si>
  <si>
    <t>P0AAI5_fabF</t>
  </si>
  <si>
    <t>P0AAI9_fabD</t>
  </si>
  <si>
    <t>P0AAJ5_fdoH</t>
  </si>
  <si>
    <t>P0AAJ8_hybA</t>
  </si>
  <si>
    <t>P0AAN3_hypB</t>
  </si>
  <si>
    <t>P0AAN5_yaiA</t>
  </si>
  <si>
    <t>P0AAN9_iraP</t>
  </si>
  <si>
    <t>P0AAP3_frmR</t>
  </si>
  <si>
    <t>P0AAQ2_yajD</t>
  </si>
  <si>
    <t>P0AAQ6_ybaA</t>
  </si>
  <si>
    <t>P0AAR3_ybaK</t>
  </si>
  <si>
    <t>P0AAS0_ylaC</t>
  </si>
  <si>
    <t>P0AAS3_ybbJ</t>
  </si>
  <si>
    <t>P0AAS7_ybcJ</t>
  </si>
  <si>
    <t>P0AAT2_ybdF</t>
  </si>
  <si>
    <t>P0AAT9_ybeL</t>
  </si>
  <si>
    <t>P0AAU7_ybfE</t>
  </si>
  <si>
    <t>P0AAV0_ybgE</t>
  </si>
  <si>
    <t>P0AAV4_ybgJ</t>
  </si>
  <si>
    <t>P0AAV6_ybgS</t>
  </si>
  <si>
    <t>P0AAW1_ybhP</t>
  </si>
  <si>
    <t>P0AAX8_ybiS</t>
  </si>
  <si>
    <t>P0AAY6_ybjN</t>
  </si>
  <si>
    <t>P0AAZ7_ycaR</t>
  </si>
  <si>
    <t>P0AB03_ycbJ</t>
  </si>
  <si>
    <t>P0AB12_yccF</t>
  </si>
  <si>
    <t>P0AB18_tusE</t>
  </si>
  <si>
    <t>P0AB20_hspQ</t>
  </si>
  <si>
    <t>P0AB24_efeO</t>
  </si>
  <si>
    <t>P0AB26_yceB</t>
  </si>
  <si>
    <t>P0AB28_yceD</t>
  </si>
  <si>
    <t>P0AB38_lpoB</t>
  </si>
  <si>
    <t>P0AB43_ycgL</t>
  </si>
  <si>
    <t>P0AB52_ychN</t>
  </si>
  <si>
    <t>P0AB55_yciI</t>
  </si>
  <si>
    <t>P0AB61_yciN</t>
  </si>
  <si>
    <t>P0AB65_yccX</t>
  </si>
  <si>
    <t>P0AB67_pntB</t>
  </si>
  <si>
    <t>P0AB71_fbaA</t>
  </si>
  <si>
    <t>P0AB77_kbl</t>
  </si>
  <si>
    <t>P0AB80_ilvE</t>
  </si>
  <si>
    <t>P0AB89_purB</t>
  </si>
  <si>
    <t>P0AB91_aroG</t>
  </si>
  <si>
    <t>P0AB98_atpB</t>
  </si>
  <si>
    <t>P0ABA0_atpF</t>
  </si>
  <si>
    <t>P0ABA4_atpH</t>
  </si>
  <si>
    <t>P0ABA6_atpG</t>
  </si>
  <si>
    <t>P0ABB0_atpA</t>
  </si>
  <si>
    <t>P0ABB4_atpD</t>
  </si>
  <si>
    <t>P0ABB8_mgtA</t>
  </si>
  <si>
    <t>P0ABC3_hflC</t>
  </si>
  <si>
    <t>P0ABC7_hflK</t>
  </si>
  <si>
    <t>P0ABD3_bfr</t>
  </si>
  <si>
    <t>P0ABD5_accA</t>
  </si>
  <si>
    <t>P0ABD8_accB</t>
  </si>
  <si>
    <t>P0ABE2_bolA</t>
  </si>
  <si>
    <t>P0ABE5_cybB</t>
  </si>
  <si>
    <t>P0ABF6_cdd</t>
  </si>
  <si>
    <t>P0ABF8_pgsA</t>
  </si>
  <si>
    <t>P0ABG7_mrdB</t>
  </si>
  <si>
    <t>P0ABH0_ftsA</t>
  </si>
  <si>
    <t>P0ABH7_gltA</t>
  </si>
  <si>
    <t>P0ABH9_clpA</t>
  </si>
  <si>
    <t>P0ABI8_cyoB</t>
  </si>
  <si>
    <t>P0ABJ1_cyoA</t>
  </si>
  <si>
    <t>P0ABJ9_cydA</t>
  </si>
  <si>
    <t>P0ABK2_cydB</t>
  </si>
  <si>
    <t>P0ABK5_cysK</t>
  </si>
  <si>
    <t>P0ABN1_dgkA</t>
  </si>
  <si>
    <t>P0ABN5_dcuA</t>
  </si>
  <si>
    <t>P0ABP8_deoD</t>
  </si>
  <si>
    <t>P0ABQ0_coaBC</t>
  </si>
  <si>
    <t>P0ABQ2_garR</t>
  </si>
  <si>
    <t>P0ABQ4_folA</t>
  </si>
  <si>
    <t>P0ABS1_dksA</t>
  </si>
  <si>
    <t>P0ABS5_dnaG</t>
  </si>
  <si>
    <t>P0ABT2_dps</t>
  </si>
  <si>
    <t>P0ABU0_menB</t>
  </si>
  <si>
    <t>P0ABU2_ychF</t>
  </si>
  <si>
    <t>P0ABU5_elbB</t>
  </si>
  <si>
    <t>P0ABU7_exbB</t>
  </si>
  <si>
    <t>P0ABU9_tolQ</t>
  </si>
  <si>
    <t>P0ABV2_exbD</t>
  </si>
  <si>
    <t>P0ABV6_tolR</t>
  </si>
  <si>
    <t>P0ABX8_fliL</t>
  </si>
  <si>
    <t>P0ABY4_fldB</t>
  </si>
  <si>
    <t>P0ABZ1_fliG</t>
  </si>
  <si>
    <t>P0ABZ4_kdsC</t>
  </si>
  <si>
    <t>P0ABZ6_surA</t>
  </si>
  <si>
    <t>P0AC02_bamD</t>
  </si>
  <si>
    <t>P0AC13_folP</t>
  </si>
  <si>
    <t>P0AC19_folX</t>
  </si>
  <si>
    <t>P0AC23_focA</t>
  </si>
  <si>
    <t>P0AC30_ftsX</t>
  </si>
  <si>
    <t>P0AC33_fumA</t>
  </si>
  <si>
    <t>P0AC38_aspA</t>
  </si>
  <si>
    <t>P0AC41_sdhA</t>
  </si>
  <si>
    <t>P0AC44_sdhD</t>
  </si>
  <si>
    <t>P0AC47_frdB</t>
  </si>
  <si>
    <t>P0AC51_zur</t>
  </si>
  <si>
    <t>P0AC53_zwf</t>
  </si>
  <si>
    <t>P0AC59_grxB</t>
  </si>
  <si>
    <t>P0AC62_grxC</t>
  </si>
  <si>
    <t>P0AC69_grxD</t>
  </si>
  <si>
    <t>P0AC81_gloA</t>
  </si>
  <si>
    <t>P0AC84_gloB</t>
  </si>
  <si>
    <t>P0AC92_gnsA</t>
  </si>
  <si>
    <t>P0ACA1_yibF</t>
  </si>
  <si>
    <t>P0ACA3_sspA</t>
  </si>
  <si>
    <t>P0ACA7_gstB</t>
  </si>
  <si>
    <t>P0ACB0_dnaB</t>
  </si>
  <si>
    <t>P0ACB2_hemB</t>
  </si>
  <si>
    <t>P0ACB7_hemY</t>
  </si>
  <si>
    <t>P0ACC3_erpA</t>
  </si>
  <si>
    <t>P0ACC7_glmU</t>
  </si>
  <si>
    <t>P0ACD4_iscU</t>
  </si>
  <si>
    <t>P0ACD8_hyaB</t>
  </si>
  <si>
    <t>P0ACE0_hybC</t>
  </si>
  <si>
    <t>P0ACE7_hinT</t>
  </si>
  <si>
    <t>P0ACF0_hupA</t>
  </si>
  <si>
    <t>P0ACF4_hupB</t>
  </si>
  <si>
    <t>P0ACF8_hns</t>
  </si>
  <si>
    <t>P0ACG1_stpA</t>
  </si>
  <si>
    <t>P0ACI0_rob</t>
  </si>
  <si>
    <t>P0ACJ0_lrp</t>
  </si>
  <si>
    <t>P0ACJ8_crp</t>
  </si>
  <si>
    <t>P0ACK2_agaR</t>
  </si>
  <si>
    <t>P0ACL2_exuR</t>
  </si>
  <si>
    <t>P0ACM5_yegW</t>
  </si>
  <si>
    <t>P0ACN4_allR</t>
  </si>
  <si>
    <t>P0ACN7_cytR</t>
  </si>
  <si>
    <t>P0ACP5_gntR</t>
  </si>
  <si>
    <t>P0ACP7_purR</t>
  </si>
  <si>
    <t>P0ACQ4_oxyR</t>
  </si>
  <si>
    <t>P0ACR4_yeiE</t>
  </si>
  <si>
    <t>P0ACR9_mprA</t>
  </si>
  <si>
    <t>P0ACS7_rpiR</t>
  </si>
  <si>
    <t>P0ACU2_rutR</t>
  </si>
  <si>
    <t>P0ACU7_yjdC</t>
  </si>
  <si>
    <t>P0ACV4_lapA</t>
  </si>
  <si>
    <t>P0ACV6_mpaA</t>
  </si>
  <si>
    <t>P0ACW6_ydcH</t>
  </si>
  <si>
    <t>P0ACX3_ydhR</t>
  </si>
  <si>
    <t>P0ACX5_ydhZ</t>
  </si>
  <si>
    <t>P0ACY1_ydjA</t>
  </si>
  <si>
    <t>P0ACY3_yeaG</t>
  </si>
  <si>
    <t>P0ACY9_yebG</t>
  </si>
  <si>
    <t>P0ACZ4_evgA</t>
  </si>
  <si>
    <t>P0AD05_yecA</t>
  </si>
  <si>
    <t>P0AD10_yecJ</t>
  </si>
  <si>
    <t>P0AD12_yeeZ</t>
  </si>
  <si>
    <t>P0AD33_yfcZ</t>
  </si>
  <si>
    <t>P0AD44_yfhG</t>
  </si>
  <si>
    <t>P0AD47_yphA</t>
  </si>
  <si>
    <t>P0AD49_raiA</t>
  </si>
  <si>
    <t>P0AD57_ispB</t>
  </si>
  <si>
    <t>P0AD59_ivy</t>
  </si>
  <si>
    <t>P0AD61_pykF</t>
  </si>
  <si>
    <t>P0AD96_livJ</t>
  </si>
  <si>
    <t>P0ADA1_tesA</t>
  </si>
  <si>
    <t>P0ADA3_nlpD</t>
  </si>
  <si>
    <t>P0ADA5_yajG</t>
  </si>
  <si>
    <t>P0ADB1_osmE</t>
  </si>
  <si>
    <t>P0ADC1_lptE</t>
  </si>
  <si>
    <t>P0ADC6_lptG</t>
  </si>
  <si>
    <t>P0ADE6_ygaU</t>
  </si>
  <si>
    <t>P0ADE8_ygfZ</t>
  </si>
  <si>
    <t>P0ADF8_ilvN</t>
  </si>
  <si>
    <t>P0ADG4_suhB</t>
  </si>
  <si>
    <t>P0ADG7_guaB</t>
  </si>
  <si>
    <t>P0ADI4_entB</t>
  </si>
  <si>
    <t>P0ADI7_yecD</t>
  </si>
  <si>
    <t>P0ADK0_yiaF</t>
  </si>
  <si>
    <t>P0ADK8_yibL</t>
  </si>
  <si>
    <t>P0ADN2_yifE</t>
  </si>
  <si>
    <t>P0ADN6_yifL</t>
  </si>
  <si>
    <t>P0ADP7_ubiJ</t>
  </si>
  <si>
    <t>P0ADP9_yihD</t>
  </si>
  <si>
    <t>P0ADQ7_ygaM</t>
  </si>
  <si>
    <t>P0ADR6_rlmM</t>
  </si>
  <si>
    <t>P0ADR8_ygdH</t>
  </si>
  <si>
    <t>P0ADS2_zapA</t>
  </si>
  <si>
    <t>P0ADS6_yggE</t>
  </si>
  <si>
    <t>P0ADS9_yggN</t>
  </si>
  <si>
    <t>P0ADT2_ygiB</t>
  </si>
  <si>
    <t>P0ADT5_ygiC</t>
  </si>
  <si>
    <t>P0ADT8_ygiM</t>
  </si>
  <si>
    <t>P0ADU2_ygiN</t>
  </si>
  <si>
    <t>P0ADU5_ygiW</t>
  </si>
  <si>
    <t>P0ADV1_lptA</t>
  </si>
  <si>
    <t>P0ADV5_yhbW</t>
  </si>
  <si>
    <t>P0ADV7_mlaC</t>
  </si>
  <si>
    <t>P0ADV9_lptC</t>
  </si>
  <si>
    <t>P0ADW3_yhcB</t>
  </si>
  <si>
    <t>P0ADX1_yhfA</t>
  </si>
  <si>
    <t>P0ADX5_yhfG</t>
  </si>
  <si>
    <t>P0ADX7_yhhA</t>
  </si>
  <si>
    <t>P0ADY1_ppiD</t>
  </si>
  <si>
    <t>P0ADY3_rplN</t>
  </si>
  <si>
    <t>P0ADY7_rplP</t>
  </si>
  <si>
    <t>P0ADZ0_rplW</t>
  </si>
  <si>
    <t>P0ADZ4_rpsO</t>
  </si>
  <si>
    <t>P0ADZ7_yajC</t>
  </si>
  <si>
    <t>P0AE01_trmJ</t>
  </si>
  <si>
    <t>P0AE06_acrA</t>
  </si>
  <si>
    <t>P0AE08_ahpC</t>
  </si>
  <si>
    <t>P0AE12_amn</t>
  </si>
  <si>
    <t>P0AE18_map</t>
  </si>
  <si>
    <t>P0AE22_aphA</t>
  </si>
  <si>
    <t>P0AE37_astA</t>
  </si>
  <si>
    <t>P0AE48_ytfP</t>
  </si>
  <si>
    <t>P0AE52_bcp</t>
  </si>
  <si>
    <t>P0AE60_cedA</t>
  </si>
  <si>
    <t>P0AE63_chaB</t>
  </si>
  <si>
    <t>P0AE67_cheY</t>
  </si>
  <si>
    <t>P0AE70_mazF</t>
  </si>
  <si>
    <t>P0AE78_corC</t>
  </si>
  <si>
    <t>P0AE82_cpxA</t>
  </si>
  <si>
    <t>P0AE85_cpxP</t>
  </si>
  <si>
    <t>P0AE88_cpxR</t>
  </si>
  <si>
    <t>P0AE91_creA</t>
  </si>
  <si>
    <t>P0AEA8_cysG</t>
  </si>
  <si>
    <t>P0AEB2_dacA</t>
  </si>
  <si>
    <t>P0AEB7_yoaB</t>
  </si>
  <si>
    <t>P0AEC5_barA</t>
  </si>
  <si>
    <t>P0AED0_uspA</t>
  </si>
  <si>
    <t>P0AED7_dapE</t>
  </si>
  <si>
    <t>P0AEE1_dcrB</t>
  </si>
  <si>
    <t>P0AEE3_degS</t>
  </si>
  <si>
    <t>P0AEE5_mglB</t>
  </si>
  <si>
    <t>P0AEG1_dppC</t>
  </si>
  <si>
    <t>P0AEG4_dsbA</t>
  </si>
  <si>
    <t>P0AEG6_dsbC</t>
  </si>
  <si>
    <t>P0AEH1_rseP</t>
  </si>
  <si>
    <t>P0AEH3_elaA</t>
  </si>
  <si>
    <t>P0AEH5_elaB</t>
  </si>
  <si>
    <t>P0AEI1_miaB</t>
  </si>
  <si>
    <t>P0AEI4_rimO</t>
  </si>
  <si>
    <t>P0AEJ4_envZ</t>
  </si>
  <si>
    <t>P0AEJ6_eutB</t>
  </si>
  <si>
    <t>P0AEK2_fabG</t>
  </si>
  <si>
    <t>P0AEK4_fabI</t>
  </si>
  <si>
    <t>P0AEL6_fepB</t>
  </si>
  <si>
    <t>P0AEM4_flgM</t>
  </si>
  <si>
    <t>P0AEM6_fliA</t>
  </si>
  <si>
    <t>P0AEM9_fliY</t>
  </si>
  <si>
    <t>P0AEN1_fre</t>
  </si>
  <si>
    <t>P0AEN8_fucU</t>
  </si>
  <si>
    <t>P0AEP3_galU</t>
  </si>
  <si>
    <t>P0AEP7_gcl</t>
  </si>
  <si>
    <t>P0AEQ1_glcG</t>
  </si>
  <si>
    <t>P0AEQ3_glnH</t>
  </si>
  <si>
    <t>P0AEQ6_glnP</t>
  </si>
  <si>
    <t>P0AER3_gltJ</t>
  </si>
  <si>
    <t>P0AES0_gss</t>
  </si>
  <si>
    <t>P0AES2_gudD</t>
  </si>
  <si>
    <t>P0AES4_gyrA</t>
  </si>
  <si>
    <t>P0AES6_gyrB</t>
  </si>
  <si>
    <t>P0AES9_hdeA</t>
  </si>
  <si>
    <t>P0AET2_hdeB</t>
  </si>
  <si>
    <t>P0AET5_hdeD</t>
  </si>
  <si>
    <t>P0AET8_hdhA</t>
  </si>
  <si>
    <t>P0AEU0_hisJ</t>
  </si>
  <si>
    <t>P0AEU7_skp</t>
  </si>
  <si>
    <t>P0AEV1_rssB</t>
  </si>
  <si>
    <t>P0AEV9_hycI</t>
  </si>
  <si>
    <t>P0AEW4_cpdA</t>
  </si>
  <si>
    <t>P0AEX5_prkB</t>
  </si>
  <si>
    <t>P0AEX9_malE</t>
  </si>
  <si>
    <t>P0AEY1_marC</t>
  </si>
  <si>
    <t>P0AEY3_mazG</t>
  </si>
  <si>
    <t>P0AEY5_mdaB</t>
  </si>
  <si>
    <t>P0AEZ3_minD</t>
  </si>
  <si>
    <t>P0AEZ9_moaB</t>
  </si>
  <si>
    <t>P0AF03_mog</t>
  </si>
  <si>
    <t>P0AF08_mrp</t>
  </si>
  <si>
    <t>P0AF12_mtnN</t>
  </si>
  <si>
    <t>P0AF18_nagA</t>
  </si>
  <si>
    <t>P0AF20_nagC</t>
  </si>
  <si>
    <t>P0AF24_nagD</t>
  </si>
  <si>
    <t>P0AF28_narL</t>
  </si>
  <si>
    <t>P0AF36_zapB</t>
  </si>
  <si>
    <t>P0AF48_yjbQ</t>
  </si>
  <si>
    <t>P0AF50_yjbR</t>
  </si>
  <si>
    <t>P0AF54_yjcH</t>
  </si>
  <si>
    <t>P0AF59_yjdI</t>
  </si>
  <si>
    <t>P0AF63_nsrR</t>
  </si>
  <si>
    <t>P0AF67_tsaE</t>
  </si>
  <si>
    <t>P0AF70_yjeI</t>
  </si>
  <si>
    <t>P0AF90_rraB</t>
  </si>
  <si>
    <t>P0AF93_ridA</t>
  </si>
  <si>
    <t>P0AF96_tabA</t>
  </si>
  <si>
    <t>P0AF98_lptF</t>
  </si>
  <si>
    <t>P0AFA7_nhaB</t>
  </si>
  <si>
    <t>P0AFB5_glnL</t>
  </si>
  <si>
    <t>P0AFC3_nuoA</t>
  </si>
  <si>
    <t>P0AFC7_nuoB</t>
  </si>
  <si>
    <t>P0AFD1_nuoE</t>
  </si>
  <si>
    <t>P0AFD4_nuoH</t>
  </si>
  <si>
    <t>P0AFD6_nuoI</t>
  </si>
  <si>
    <t>P0AFE0_nuoJ</t>
  </si>
  <si>
    <t>P0AFE4_nuoK</t>
  </si>
  <si>
    <t>P0AFE8_nuoM</t>
  </si>
  <si>
    <t>P0AFF0_nuoN</t>
  </si>
  <si>
    <t>P0AFF2_nupC</t>
  </si>
  <si>
    <t>P0AFF6_nusA</t>
  </si>
  <si>
    <t>P0AFG0_nusG</t>
  </si>
  <si>
    <t>P0AFG3_sucA</t>
  </si>
  <si>
    <t>P0AFG6_sucB</t>
  </si>
  <si>
    <t>P0AFG8_aceE</t>
  </si>
  <si>
    <t>P0AFH2_oppB</t>
  </si>
  <si>
    <t>P0AFH6_oppC</t>
  </si>
  <si>
    <t>P0AFH8_osmY</t>
  </si>
  <si>
    <t>P0AFI2_parC</t>
  </si>
  <si>
    <t>P0AFI7_pdxH</t>
  </si>
  <si>
    <t>P0AFI9_perM</t>
  </si>
  <si>
    <t>P0AFJ1_phnA</t>
  </si>
  <si>
    <t>P0AFJ5_phoB</t>
  </si>
  <si>
    <t>P0AFK0_pmbA</t>
  </si>
  <si>
    <t>P0AFK2_pnuC</t>
  </si>
  <si>
    <t>P0AFK9_potD</t>
  </si>
  <si>
    <t>P0AFL3_ppiA</t>
  </si>
  <si>
    <t>P0AFM2_proX</t>
  </si>
  <si>
    <t>P0AFM4_psiF</t>
  </si>
  <si>
    <t>P0AFM6_pspA</t>
  </si>
  <si>
    <t>P0AFM9_pspB</t>
  </si>
  <si>
    <t>P0AFN2_pspC</t>
  </si>
  <si>
    <t>P0AFP4_ybbO</t>
  </si>
  <si>
    <t>P0AFP6_ybgI</t>
  </si>
  <si>
    <t>P0AFQ7_ycfH</t>
  </si>
  <si>
    <t>P0AFR0_rssA</t>
  </si>
  <si>
    <t>P0AFR2_dauA</t>
  </si>
  <si>
    <t>P0AFR4_yciO</t>
  </si>
  <si>
    <t>P0AFS3_folM</t>
  </si>
  <si>
    <t>P0AFS7_ydiK</t>
  </si>
  <si>
    <t>P0AFT2_yecS</t>
  </si>
  <si>
    <t>P0AFU8_ribC</t>
  </si>
  <si>
    <t>P0AFW2_rmf</t>
  </si>
  <si>
    <t>P0AFW4_rnk</t>
  </si>
  <si>
    <t>P0AFW8_rof</t>
  </si>
  <si>
    <t>P0AFX0_hpf</t>
  </si>
  <si>
    <t>P0AFX4_rsd</t>
  </si>
  <si>
    <t>P0AFX9_rseB</t>
  </si>
  <si>
    <t>P0AFY8_seqA</t>
  </si>
  <si>
    <t>P0AFZ1_sseB</t>
  </si>
  <si>
    <t>P0AFZ3_sspB</t>
  </si>
  <si>
    <t>P0AG00_wzzE</t>
  </si>
  <si>
    <t>P0AG07_rpe</t>
  </si>
  <si>
    <t>P0AG14_sohB</t>
  </si>
  <si>
    <t>P0AG20_relA</t>
  </si>
  <si>
    <t>P0AG27_yibN</t>
  </si>
  <si>
    <t>P0AG30_rho</t>
  </si>
  <si>
    <t>P0AG40_ribF</t>
  </si>
  <si>
    <t>P0AG44_rplQ</t>
  </si>
  <si>
    <t>P0AG48_rplU</t>
  </si>
  <si>
    <t>P0AG51_rpmD</t>
  </si>
  <si>
    <t>P0AG55_rplF</t>
  </si>
  <si>
    <t>P0AG59_rpsN</t>
  </si>
  <si>
    <t>P0AG63_rpsQ</t>
  </si>
  <si>
    <t>P0AG67_rpsA</t>
  </si>
  <si>
    <t>P0AG78_sbp</t>
  </si>
  <si>
    <t>P0AG80_ugpB</t>
  </si>
  <si>
    <t>P0AG82_pstS</t>
  </si>
  <si>
    <t>P0AG84_yghA</t>
  </si>
  <si>
    <t>P0AG86_secB</t>
  </si>
  <si>
    <t>P0AG90_secD</t>
  </si>
  <si>
    <t>P0AG96_secE</t>
  </si>
  <si>
    <t>P0AG99_secG</t>
  </si>
  <si>
    <t>P0AGA2_secY</t>
  </si>
  <si>
    <t>P0AGA6_uhpA</t>
  </si>
  <si>
    <t>P0AGB0_serB</t>
  </si>
  <si>
    <t>P0AGB6_rpoE</t>
  </si>
  <si>
    <t>P0AGC3_slt</t>
  </si>
  <si>
    <t>P0AGD1_sodC</t>
  </si>
  <si>
    <t>P0AGD3_sodB</t>
  </si>
  <si>
    <t>P0AGD7_ffh</t>
  </si>
  <si>
    <t>P0AGE0_ssb</t>
  </si>
  <si>
    <t>P0AGE6_chrR</t>
  </si>
  <si>
    <t>P0AGE9_sucD</t>
  </si>
  <si>
    <t>P0AGF2_csdE</t>
  </si>
  <si>
    <t>P0AGG2_tesB</t>
  </si>
  <si>
    <t>P0AGG4_trxC</t>
  </si>
  <si>
    <t>P0AGG8_tldD</t>
  </si>
  <si>
    <t>P0AGI1_rbsC</t>
  </si>
  <si>
    <t>P0AGJ2_trmH</t>
  </si>
  <si>
    <t>P0AGJ5_yfiF</t>
  </si>
  <si>
    <t>P0AGJ7_trmL</t>
  </si>
  <si>
    <t>P0AGJ9_tyrS</t>
  </si>
  <si>
    <t>P0AGK4_yhbY</t>
  </si>
  <si>
    <t>P0AGK8_iscR</t>
  </si>
  <si>
    <t>P0AGL2_tdcF</t>
  </si>
  <si>
    <t>P0AGL5_ratA</t>
  </si>
  <si>
    <t>P0AGL7_rsmE</t>
  </si>
  <si>
    <t>P0C018_rplR</t>
  </si>
  <si>
    <t>P0C037_yaiE</t>
  </si>
  <si>
    <t>P0C054_ibpA</t>
  </si>
  <si>
    <t>P0C077_relE</t>
  </si>
  <si>
    <t>P0C079_relB</t>
  </si>
  <si>
    <t>P0C0L2_osmC</t>
  </si>
  <si>
    <t>P0C0L7_proP</t>
  </si>
  <si>
    <t>P0C0S1_mscS</t>
  </si>
  <si>
    <t>P0C0U4_rimK</t>
  </si>
  <si>
    <t>P0C0V0_degP</t>
  </si>
  <si>
    <t>P0C8J6_gatY</t>
  </si>
  <si>
    <t>P0C8J8_gatZ</t>
  </si>
  <si>
    <t>P0CB39_eptC</t>
  </si>
  <si>
    <t>P0CE47_tufA</t>
  </si>
  <si>
    <t>P0CK95_yghJ</t>
  </si>
  <si>
    <t>P0DMC7_rcsB</t>
  </si>
  <si>
    <t>P10100_rlpA</t>
  </si>
  <si>
    <t>P10121_ftsY</t>
  </si>
  <si>
    <t>P10346_glnQ</t>
  </si>
  <si>
    <t>P10371_hisA</t>
  </si>
  <si>
    <t>P10378_entE</t>
  </si>
  <si>
    <t>P10384_fadL</t>
  </si>
  <si>
    <t>P10408_secA</t>
  </si>
  <si>
    <t>P10441_lpxB</t>
  </si>
  <si>
    <t>P10908_ugpQ</t>
  </si>
  <si>
    <t>P11349_narH</t>
  </si>
  <si>
    <t>P11447_argH</t>
  </si>
  <si>
    <t>P11454_entF</t>
  </si>
  <si>
    <t>P11557_damX</t>
  </si>
  <si>
    <t>P11875_argS</t>
  </si>
  <si>
    <t>P11880_murF</t>
  </si>
  <si>
    <t>P12008_aroC</t>
  </si>
  <si>
    <t>P12281_moeA</t>
  </si>
  <si>
    <t>P12282_moeB</t>
  </si>
  <si>
    <t>P12295_ung</t>
  </si>
  <si>
    <t>P12758_udp</t>
  </si>
  <si>
    <t>P12994_ybhB</t>
  </si>
  <si>
    <t>P13001_bioH</t>
  </si>
  <si>
    <t>P13009_metH</t>
  </si>
  <si>
    <t>P13016_ampD</t>
  </si>
  <si>
    <t>P13024_fdhE</t>
  </si>
  <si>
    <t>P13029_katG</t>
  </si>
  <si>
    <t>P13035_glpD</t>
  </si>
  <si>
    <t>P13445_rpoS</t>
  </si>
  <si>
    <t>P13482_treA</t>
  </si>
  <si>
    <t>P13656_chiA</t>
  </si>
  <si>
    <t>P13857_rimL</t>
  </si>
  <si>
    <t>P14375_zraR</t>
  </si>
  <si>
    <t>P14900_murD</t>
  </si>
  <si>
    <t>P15028_fecB</t>
  </si>
  <si>
    <t>P15034_pepP</t>
  </si>
  <si>
    <t>P15038_helD</t>
  </si>
  <si>
    <t>P15042_ligA</t>
  </si>
  <si>
    <t>P15067_glgX</t>
  </si>
  <si>
    <t>P15070_fliN</t>
  </si>
  <si>
    <t>P15078_cstA</t>
  </si>
  <si>
    <t>P15082_srlR</t>
  </si>
  <si>
    <t>P15254_purL</t>
  </si>
  <si>
    <t>P15286_flk</t>
  </si>
  <si>
    <t>P15288_pepD</t>
  </si>
  <si>
    <t>P15373_prlF</t>
  </si>
  <si>
    <t>P15639_purH</t>
  </si>
  <si>
    <t>P15640_purD</t>
  </si>
  <si>
    <t>P15770_aroE</t>
  </si>
  <si>
    <t>P15877_gcd</t>
  </si>
  <si>
    <t>P15977_malQ</t>
  </si>
  <si>
    <t>P16095_sdaA</t>
  </si>
  <si>
    <t>P16384_miaA</t>
  </si>
  <si>
    <t>P16456_selD</t>
  </si>
  <si>
    <t>P16525_tus</t>
  </si>
  <si>
    <t>P16528_iclR</t>
  </si>
  <si>
    <t>P16659_proS</t>
  </si>
  <si>
    <t>P16681_phnB</t>
  </si>
  <si>
    <t>P16700_cysP</t>
  </si>
  <si>
    <t>P16703_cysM</t>
  </si>
  <si>
    <t>P16926_mreC</t>
  </si>
  <si>
    <t>P17115_gutQ</t>
  </si>
  <si>
    <t>P17117_nfsA</t>
  </si>
  <si>
    <t>P17169_glmS</t>
  </si>
  <si>
    <t>P17443_murG</t>
  </si>
  <si>
    <t>P17854_cysH</t>
  </si>
  <si>
    <t>P17952_murC</t>
  </si>
  <si>
    <t>P17993_ubiG</t>
  </si>
  <si>
    <t>P18196_minC</t>
  </si>
  <si>
    <t>P18392_rstB</t>
  </si>
  <si>
    <t>P18775_dmsA</t>
  </si>
  <si>
    <t>P18776_dmsB</t>
  </si>
  <si>
    <t>P18843_nadE</t>
  </si>
  <si>
    <t>P18956_ggt</t>
  </si>
  <si>
    <t>P19318_narY</t>
  </si>
  <si>
    <t>P19319_narZ</t>
  </si>
  <si>
    <t>P19624_pdxA</t>
  </si>
  <si>
    <t>P19636_eutC</t>
  </si>
  <si>
    <t>P19926_agp</t>
  </si>
  <si>
    <t>P19934_tolA</t>
  </si>
  <si>
    <t>P20083_parE</t>
  </si>
  <si>
    <t>P20099_bisC</t>
  </si>
  <si>
    <t>P20605_fic</t>
  </si>
  <si>
    <t>P20966_fruA</t>
  </si>
  <si>
    <t>P21151_fadA</t>
  </si>
  <si>
    <t>P21165_pepQ</t>
  </si>
  <si>
    <t>P21169_speC</t>
  </si>
  <si>
    <t>P21170_speA</t>
  </si>
  <si>
    <t>P21177_fadB</t>
  </si>
  <si>
    <t>P21179_katE</t>
  </si>
  <si>
    <t>P21338_rna</t>
  </si>
  <si>
    <t>P21362_yciF</t>
  </si>
  <si>
    <t>P21363_yciE</t>
  </si>
  <si>
    <t>P21365_yciC</t>
  </si>
  <si>
    <t>P21367_ycaC</t>
  </si>
  <si>
    <t>P21369_pncA</t>
  </si>
  <si>
    <t>P21499_rnr</t>
  </si>
  <si>
    <t>P21507_srmB</t>
  </si>
  <si>
    <t>P21513_rne</t>
  </si>
  <si>
    <t>P21599_pykA</t>
  </si>
  <si>
    <t>P21645_lpxD</t>
  </si>
  <si>
    <t>P21866_kdpE</t>
  </si>
  <si>
    <t>P21888_cysS</t>
  </si>
  <si>
    <t>P21889_aspS</t>
  </si>
  <si>
    <t>P22106_asnB</t>
  </si>
  <si>
    <t>P22186_mraZ</t>
  </si>
  <si>
    <t>P22188_murE</t>
  </si>
  <si>
    <t>P22255_cysQ</t>
  </si>
  <si>
    <t>P22256_gabT</t>
  </si>
  <si>
    <t>P22259_pckA</t>
  </si>
  <si>
    <t>P22333_add</t>
  </si>
  <si>
    <t>P22523_mukB</t>
  </si>
  <si>
    <t>P22524_mukE</t>
  </si>
  <si>
    <t>P22525_ycbB</t>
  </si>
  <si>
    <t>P22564_rihC</t>
  </si>
  <si>
    <t>P23003_trmA</t>
  </si>
  <si>
    <t>P23173_tnaB</t>
  </si>
  <si>
    <t>P23200_mglC</t>
  </si>
  <si>
    <t>P23331_tdk</t>
  </si>
  <si>
    <t>P23367_mutL</t>
  </si>
  <si>
    <t>P23522_garL</t>
  </si>
  <si>
    <t>P23538_ppsA</t>
  </si>
  <si>
    <t>P23721_serC</t>
  </si>
  <si>
    <t>P23827_eco</t>
  </si>
  <si>
    <t>P23830_pssA</t>
  </si>
  <si>
    <t>P23836_phoP</t>
  </si>
  <si>
    <t>P23837_phoQ</t>
  </si>
  <si>
    <t>P23839_yicC</t>
  </si>
  <si>
    <t>P23843_oppA</t>
  </si>
  <si>
    <t>P23847_dppA</t>
  </si>
  <si>
    <t>P23857_pspE</t>
  </si>
  <si>
    <t>P23865_prc</t>
  </si>
  <si>
    <t>P23869_ppiB</t>
  </si>
  <si>
    <t>P23871_hemH</t>
  </si>
  <si>
    <t>P23882_fmt</t>
  </si>
  <si>
    <t>P23893_hemL</t>
  </si>
  <si>
    <t>P23894_htpX</t>
  </si>
  <si>
    <t>P23908_argE</t>
  </si>
  <si>
    <t>P23917_mak</t>
  </si>
  <si>
    <t>P23930_lnt</t>
  </si>
  <si>
    <t>P24171_dcp</t>
  </si>
  <si>
    <t>P24173_rfaC</t>
  </si>
  <si>
    <t>P24178_yffB</t>
  </si>
  <si>
    <t>P24182_accC</t>
  </si>
  <si>
    <t>P24183_fdnG</t>
  </si>
  <si>
    <t>P24186_folD</t>
  </si>
  <si>
    <t>P24202_mrr</t>
  </si>
  <si>
    <t>P24203_yjiA</t>
  </si>
  <si>
    <t>P24205_lpxM</t>
  </si>
  <si>
    <t>P24215_uxuA</t>
  </si>
  <si>
    <t>P24232_hmp</t>
  </si>
  <si>
    <t>P24242_ascG</t>
  </si>
  <si>
    <t>P24251_crl</t>
  </si>
  <si>
    <t>P24555_ptrB</t>
  </si>
  <si>
    <t>P25397_tehB</t>
  </si>
  <si>
    <t>P25437_frmA</t>
  </si>
  <si>
    <t>P25516_acnA</t>
  </si>
  <si>
    <t>P25519_hflX</t>
  </si>
  <si>
    <t>P25522_mnmE</t>
  </si>
  <si>
    <t>P25524_codA</t>
  </si>
  <si>
    <t>P25526_gabD</t>
  </si>
  <si>
    <t>P25535_ubiI</t>
  </si>
  <si>
    <t>P25536_yhdE</t>
  </si>
  <si>
    <t>P25539_ribD</t>
  </si>
  <si>
    <t>P25552_gppA</t>
  </si>
  <si>
    <t>P25553_aldA</t>
  </si>
  <si>
    <t>P25714_yidC</t>
  </si>
  <si>
    <t>P25745_mnmA</t>
  </si>
  <si>
    <t>P25889_preA</t>
  </si>
  <si>
    <t>P25894_loiP</t>
  </si>
  <si>
    <t>P25906_ydbC</t>
  </si>
  <si>
    <t>P26612_amyA</t>
  </si>
  <si>
    <t>P26616_maeA</t>
  </si>
  <si>
    <t>P26646_acuI</t>
  </si>
  <si>
    <t>P26647_plsC</t>
  </si>
  <si>
    <t>P26648_ftsP</t>
  </si>
  <si>
    <t>P26649_glgS</t>
  </si>
  <si>
    <t>P27238_yfeD</t>
  </si>
  <si>
    <t>P27247_plsX</t>
  </si>
  <si>
    <t>P27248_gcvT</t>
  </si>
  <si>
    <t>P27250_ahr</t>
  </si>
  <si>
    <t>P27278_nadR</t>
  </si>
  <si>
    <t>P27298_prlC</t>
  </si>
  <si>
    <t>P27302_tktA</t>
  </si>
  <si>
    <t>P27303_emrA</t>
  </si>
  <si>
    <t>P27306_sthA</t>
  </si>
  <si>
    <t>P27431_roxA</t>
  </si>
  <si>
    <t>P27434_rodZ</t>
  </si>
  <si>
    <t>P27550_acs</t>
  </si>
  <si>
    <t>P27828_wecB</t>
  </si>
  <si>
    <t>P27829_wecC</t>
  </si>
  <si>
    <t>P27833_wecE</t>
  </si>
  <si>
    <t>P27838_cyaY</t>
  </si>
  <si>
    <t>P27848_yigL</t>
  </si>
  <si>
    <t>P27862_yigZ</t>
  </si>
  <si>
    <t>P28224_mliC</t>
  </si>
  <si>
    <t>P28248_dcd</t>
  </si>
  <si>
    <t>P28249_asmA</t>
  </si>
  <si>
    <t>P28304_qorA</t>
  </si>
  <si>
    <t>P28306_mltG</t>
  </si>
  <si>
    <t>P28634_trmO</t>
  </si>
  <si>
    <t>P28635_metQ</t>
  </si>
  <si>
    <t>P28861_fpr</t>
  </si>
  <si>
    <t>P28904_treC</t>
  </si>
  <si>
    <t>P28905_holC</t>
  </si>
  <si>
    <t>P29012_dadX</t>
  </si>
  <si>
    <t>P29013_ycgB</t>
  </si>
  <si>
    <t>P29131_ftsN</t>
  </si>
  <si>
    <t>P29217_yceH</t>
  </si>
  <si>
    <t>P29680_hemE</t>
  </si>
  <si>
    <t>P29745_pepT</t>
  </si>
  <si>
    <t>P30011_nadC</t>
  </si>
  <si>
    <t>P30014_rnt</t>
  </si>
  <si>
    <t>P30125_leuB</t>
  </si>
  <si>
    <t>P30126_leuD</t>
  </si>
  <si>
    <t>P30177_ybiB</t>
  </si>
  <si>
    <t>P30178_ybiC</t>
  </si>
  <si>
    <t>P30750_metN</t>
  </si>
  <si>
    <t>P30850_rnb</t>
  </si>
  <si>
    <t>P30859_artI</t>
  </si>
  <si>
    <t>P30860_artJ</t>
  </si>
  <si>
    <t>P30863_dkgB</t>
  </si>
  <si>
    <t>P30864_yafC</t>
  </si>
  <si>
    <t>P30870_glnE</t>
  </si>
  <si>
    <t>P30871_ygiF</t>
  </si>
  <si>
    <t>P30958_mfd</t>
  </si>
  <si>
    <t>P31057_panB</t>
  </si>
  <si>
    <t>P31063_yedD</t>
  </si>
  <si>
    <t>P31068_fliH</t>
  </si>
  <si>
    <t>P31069_kch</t>
  </si>
  <si>
    <t>P31119_aas</t>
  </si>
  <si>
    <t>P31120_glmM</t>
  </si>
  <si>
    <t>P31130_ydeI</t>
  </si>
  <si>
    <t>P31131_ydeJ</t>
  </si>
  <si>
    <t>P31133_potF</t>
  </si>
  <si>
    <t>P31142_sseA</t>
  </si>
  <si>
    <t>P31224_acrB</t>
  </si>
  <si>
    <t>P31433_yicH</t>
  </si>
  <si>
    <t>P31441_ade</t>
  </si>
  <si>
    <t>P31455_yidR</t>
  </si>
  <si>
    <t>P31460_dgoR</t>
  </si>
  <si>
    <t>P31475_yieP</t>
  </si>
  <si>
    <t>P31550_thiB</t>
  </si>
  <si>
    <t>P31554_lptD</t>
  </si>
  <si>
    <t>P31658_hchA</t>
  </si>
  <si>
    <t>P31660_prpC</t>
  </si>
  <si>
    <t>P31663_panC</t>
  </si>
  <si>
    <t>P31677_otsA</t>
  </si>
  <si>
    <t>P31802_narP</t>
  </si>
  <si>
    <t>P31806_nnr</t>
  </si>
  <si>
    <t>P31808_yciK</t>
  </si>
  <si>
    <t>P31979_nuoF</t>
  </si>
  <si>
    <t>P32099_lplA</t>
  </si>
  <si>
    <t>P32131_hemN</t>
  </si>
  <si>
    <t>P32132_typA</t>
  </si>
  <si>
    <t>P32157_yiiM</t>
  </si>
  <si>
    <t>P32160_yiiQ</t>
  </si>
  <si>
    <t>P32162_yiiS</t>
  </si>
  <si>
    <t>P32176_fdoG</t>
  </si>
  <si>
    <t>P32177_fdhD</t>
  </si>
  <si>
    <t>P32662_gph</t>
  </si>
  <si>
    <t>P32664_nudC</t>
  </si>
  <si>
    <t>P32669_fsaB</t>
  </si>
  <si>
    <t>P32680_yjaG</t>
  </si>
  <si>
    <t>P32684_rluF</t>
  </si>
  <si>
    <t>P32695_dusA</t>
  </si>
  <si>
    <t>P32705_actP</t>
  </si>
  <si>
    <t>P32715_mdtO</t>
  </si>
  <si>
    <t>P33012_sbmC</t>
  </si>
  <si>
    <t>P33030_yeiR</t>
  </si>
  <si>
    <t>P33136_mdoG</t>
  </si>
  <si>
    <t>P33195_gcvP</t>
  </si>
  <si>
    <t>P33218_yebE</t>
  </si>
  <si>
    <t>P33219_yebF</t>
  </si>
  <si>
    <t>P33221_purT</t>
  </si>
  <si>
    <t>P33224_aidB</t>
  </si>
  <si>
    <t>P33225_torA</t>
  </si>
  <si>
    <t>P33355_yehS</t>
  </si>
  <si>
    <t>P33360_yehX</t>
  </si>
  <si>
    <t>P33362_yehZ</t>
  </si>
  <si>
    <t>P33363_bglX</t>
  </si>
  <si>
    <t>P33368_yohF</t>
  </si>
  <si>
    <t>P33570_tktB</t>
  </si>
  <si>
    <t>P33590_nikA</t>
  </si>
  <si>
    <t>P33599_nuoC</t>
  </si>
  <si>
    <t>P33602_nuoG</t>
  </si>
  <si>
    <t>P33643_rluD</t>
  </si>
  <si>
    <t>P33644_yfiH</t>
  </si>
  <si>
    <t>P33913_yejA</t>
  </si>
  <si>
    <t>P33916_yejF</t>
  </si>
  <si>
    <t>P33937_napA</t>
  </si>
  <si>
    <t>P34209_ydcF</t>
  </si>
  <si>
    <t>P35340_ahpF</t>
  </si>
  <si>
    <t>P36649_cueO</t>
  </si>
  <si>
    <t>P36659_cbpA</t>
  </si>
  <si>
    <t>P36672_treB</t>
  </si>
  <si>
    <t>P36680_zapD</t>
  </si>
  <si>
    <t>P36683_acnB</t>
  </si>
  <si>
    <t>P36767_rdgC</t>
  </si>
  <si>
    <t>P36771_lrhA</t>
  </si>
  <si>
    <t>P36879_yadG</t>
  </si>
  <si>
    <t>P36929_rsmB</t>
  </si>
  <si>
    <t>P36938_pgm</t>
  </si>
  <si>
    <t>P36979_rlmN</t>
  </si>
  <si>
    <t>P37051_purU</t>
  </si>
  <si>
    <t>P37095_pepB</t>
  </si>
  <si>
    <t>P37128_nudK</t>
  </si>
  <si>
    <t>P37147_fxsA</t>
  </si>
  <si>
    <t>P37182_hybD</t>
  </si>
  <si>
    <t>P37188_gatB</t>
  </si>
  <si>
    <t>P37194_slp</t>
  </si>
  <si>
    <t>P37313_dppF</t>
  </si>
  <si>
    <t>P37325_ybcH</t>
  </si>
  <si>
    <t>P37329_modA</t>
  </si>
  <si>
    <t>P37330_glcB</t>
  </si>
  <si>
    <t>P37339_lhgO</t>
  </si>
  <si>
    <t>P37340_mdtK</t>
  </si>
  <si>
    <t>P37342_yjjI</t>
  </si>
  <si>
    <t>P37349_dhaM</t>
  </si>
  <si>
    <t>P37351_rpiB</t>
  </si>
  <si>
    <t>P37387_xylF</t>
  </si>
  <si>
    <t>P37440_ucpA</t>
  </si>
  <si>
    <t>P37595_iaaA</t>
  </si>
  <si>
    <t>P37613_panM</t>
  </si>
  <si>
    <t>P37617_zntA</t>
  </si>
  <si>
    <t>P37626_yhiI</t>
  </si>
  <si>
    <t>P37631_yhiN</t>
  </si>
  <si>
    <t>P37636_mdtE</t>
  </si>
  <si>
    <t>P37637_mdtF</t>
  </si>
  <si>
    <t>P37642_yhjD</t>
  </si>
  <si>
    <t>P37645_yhjG</t>
  </si>
  <si>
    <t>P37647_kdgK</t>
  </si>
  <si>
    <t>P37648_yhjJ</t>
  </si>
  <si>
    <t>P37659_bcsG</t>
  </si>
  <si>
    <t>P37665_yiaD</t>
  </si>
  <si>
    <t>P37666_ghrB</t>
  </si>
  <si>
    <t>P37685_aldB</t>
  </si>
  <si>
    <t>P37689_gpmI</t>
  </si>
  <si>
    <t>P37690_envC</t>
  </si>
  <si>
    <t>P37744_rfbA</t>
  </si>
  <si>
    <t>P37747_glf</t>
  </si>
  <si>
    <t>P37750_wbbJ</t>
  </si>
  <si>
    <t>P37759_rfbB</t>
  </si>
  <si>
    <t>P37760_rfbD</t>
  </si>
  <si>
    <t>P37765_rluB</t>
  </si>
  <si>
    <t>P37767_yfhH</t>
  </si>
  <si>
    <t>P37773_mpl</t>
  </si>
  <si>
    <t>P37794_chbG</t>
  </si>
  <si>
    <t>P37902_gltI</t>
  </si>
  <si>
    <t>P37903_uspF</t>
  </si>
  <si>
    <t>P38038_cysJ</t>
  </si>
  <si>
    <t>P38051_menF</t>
  </si>
  <si>
    <t>P38489_nfsB</t>
  </si>
  <si>
    <t>P39099_degQ</t>
  </si>
  <si>
    <t>P39160_uxuB</t>
  </si>
  <si>
    <t>P39172_znuA</t>
  </si>
  <si>
    <t>P39173_yeaD</t>
  </si>
  <si>
    <t>P39176_erfK</t>
  </si>
  <si>
    <t>P39177_uspG</t>
  </si>
  <si>
    <t>P39187_ytfJ</t>
  </si>
  <si>
    <t>P39199_prmB</t>
  </si>
  <si>
    <t>P39265_alsB</t>
  </si>
  <si>
    <t>P39274_yjdJ</t>
  </si>
  <si>
    <t>P39285_mscM</t>
  </si>
  <si>
    <t>P39286_rsgA</t>
  </si>
  <si>
    <t>P39297_bsmA</t>
  </si>
  <si>
    <t>P39298_yjfP</t>
  </si>
  <si>
    <t>P39310_ytfB</t>
  </si>
  <si>
    <t>P39315_qorB</t>
  </si>
  <si>
    <t>P39321_tamB</t>
  </si>
  <si>
    <t>P39325_ytfQ</t>
  </si>
  <si>
    <t>P39332_yjgH</t>
  </si>
  <si>
    <t>P39337_yjgM</t>
  </si>
  <si>
    <t>P39342_yjgR</t>
  </si>
  <si>
    <t>P39356_yjhU</t>
  </si>
  <si>
    <t>P39358_yjhG</t>
  </si>
  <si>
    <t>P39363_sgcA</t>
  </si>
  <si>
    <t>P39366_sgcX</t>
  </si>
  <si>
    <t>P39371_nanM</t>
  </si>
  <si>
    <t>P39377_iadA</t>
  </si>
  <si>
    <t>P39385_yjiN</t>
  </si>
  <si>
    <t>P39406_rsmC</t>
  </si>
  <si>
    <t>P39407_yjjU</t>
  </si>
  <si>
    <t>P39408_yjjV</t>
  </si>
  <si>
    <t>P39411_yjjX</t>
  </si>
  <si>
    <t>P39451_adhP</t>
  </si>
  <si>
    <t>P39830_ybaL</t>
  </si>
  <si>
    <t>P39831_ydfG</t>
  </si>
  <si>
    <t>P39838_rcsD</t>
  </si>
  <si>
    <t>P40120_mdoD</t>
  </si>
  <si>
    <t>P40191_pdxK</t>
  </si>
  <si>
    <t>P40710_nlpE</t>
  </si>
  <si>
    <t>P40874_solA</t>
  </si>
  <si>
    <t>P41039_ybiI</t>
  </si>
  <si>
    <t>P41407_azoR</t>
  </si>
  <si>
    <t>P41409_rihA</t>
  </si>
  <si>
    <t>P42589_ygjH</t>
  </si>
  <si>
    <t>P42592_ygjK</t>
  </si>
  <si>
    <t>P42593_fadH</t>
  </si>
  <si>
    <t>P42599_ygjR</t>
  </si>
  <si>
    <t>P42604_uxaA</t>
  </si>
  <si>
    <t>P42616_yqjC</t>
  </si>
  <si>
    <t>P42620_yqjG</t>
  </si>
  <si>
    <t>P42641_obgE</t>
  </si>
  <si>
    <t>P42904_agaV</t>
  </si>
  <si>
    <t>P43341_lpxH</t>
  </si>
  <si>
    <t>P43671_pqiB</t>
  </si>
  <si>
    <t>P43672_uup</t>
  </si>
  <si>
    <t>P45395_kdsD</t>
  </si>
  <si>
    <t>P45424_yhcH</t>
  </si>
  <si>
    <t>P45425_nanK</t>
  </si>
  <si>
    <t>P45464_lpoA</t>
  </si>
  <si>
    <t>P45470_yhbO</t>
  </si>
  <si>
    <t>P45523_fkpA</t>
  </si>
  <si>
    <t>P45530_tusB</t>
  </si>
  <si>
    <t>P45568_dxr</t>
  </si>
  <si>
    <t>P45577_proQ</t>
  </si>
  <si>
    <t>P45578_luxS</t>
  </si>
  <si>
    <t>P45748_tsaC</t>
  </si>
  <si>
    <t>P45771_yrdD</t>
  </si>
  <si>
    <t>P45799_nudE</t>
  </si>
  <si>
    <t>P45955_cpoB</t>
  </si>
  <si>
    <t>P46122_yajI</t>
  </si>
  <si>
    <t>P46125_yedI</t>
  </si>
  <si>
    <t>P46130_ybhC</t>
  </si>
  <si>
    <t>P46474_yhdP</t>
  </si>
  <si>
    <t>P46837_yhgF</t>
  </si>
  <si>
    <t>P46849_rtcA</t>
  </si>
  <si>
    <t>P46852_yhhW</t>
  </si>
  <si>
    <t>P46853_yhhX</t>
  </si>
  <si>
    <t>P50466_aer</t>
  </si>
  <si>
    <t>P51024_yaiL</t>
  </si>
  <si>
    <t>P51981_ycjG</t>
  </si>
  <si>
    <t>P52007_yecM</t>
  </si>
  <si>
    <t>P52060_yggU</t>
  </si>
  <si>
    <t>P52061_rdgB</t>
  </si>
  <si>
    <t>P52073_glcE</t>
  </si>
  <si>
    <t>P52096_yaeR</t>
  </si>
  <si>
    <t>P52097_tilS</t>
  </si>
  <si>
    <t>P52108_rstA</t>
  </si>
  <si>
    <t>P52119_ratB</t>
  </si>
  <si>
    <t>P52612_fliI</t>
  </si>
  <si>
    <t>P52643_ldhA</t>
  </si>
  <si>
    <t>P52647_ydbK</t>
  </si>
  <si>
    <t>P52697_pgl</t>
  </si>
  <si>
    <t>P55734_ygaP</t>
  </si>
  <si>
    <t>P56262_ysgA</t>
  </si>
  <si>
    <t>P56580_srlE</t>
  </si>
  <si>
    <t>P60240_rapA</t>
  </si>
  <si>
    <t>P60293_mukF</t>
  </si>
  <si>
    <t>P60340_truB</t>
  </si>
  <si>
    <t>P60390_rsmH</t>
  </si>
  <si>
    <t>P60422_rplB</t>
  </si>
  <si>
    <t>P60438_rplC</t>
  </si>
  <si>
    <t>P60546_gmk</t>
  </si>
  <si>
    <t>P60560_guaC</t>
  </si>
  <si>
    <t>P60566_fixA</t>
  </si>
  <si>
    <t>P60595_hisH</t>
  </si>
  <si>
    <t>P60624_rplX</t>
  </si>
  <si>
    <t>P60651_speB</t>
  </si>
  <si>
    <t>P60664_hisF</t>
  </si>
  <si>
    <t>P60716_lipA</t>
  </si>
  <si>
    <t>P60723_rplD</t>
  </si>
  <si>
    <t>P60752_msbA</t>
  </si>
  <si>
    <t>P60757_hisG</t>
  </si>
  <si>
    <t>P60785_lepA</t>
  </si>
  <si>
    <t>P60872_yidE</t>
  </si>
  <si>
    <t>P60906_hisS</t>
  </si>
  <si>
    <t>P61175_rplV</t>
  </si>
  <si>
    <t>P61316_lolA</t>
  </si>
  <si>
    <t>P61320_lolB</t>
  </si>
  <si>
    <t>P61517_can</t>
  </si>
  <si>
    <t>P61714_ribE</t>
  </si>
  <si>
    <t>P61889_mdh</t>
  </si>
  <si>
    <t>P61949_fldA</t>
  </si>
  <si>
    <t>P62399_rplE</t>
  </si>
  <si>
    <t>P62517_mdoH</t>
  </si>
  <si>
    <t>P62615_ispE</t>
  </si>
  <si>
    <t>P62617_ispF</t>
  </si>
  <si>
    <t>P62620_ispG</t>
  </si>
  <si>
    <t>P62623_ispH</t>
  </si>
  <si>
    <t>P62672_apaG</t>
  </si>
  <si>
    <t>P62707_gpmA</t>
  </si>
  <si>
    <t>P62768_yaeH</t>
  </si>
  <si>
    <t>P63020_nfuA</t>
  </si>
  <si>
    <t>P63177_rlmB</t>
  </si>
  <si>
    <t>P63224_gmhA</t>
  </si>
  <si>
    <t>P63229_gmhB</t>
  </si>
  <si>
    <t>P63235_gadC</t>
  </si>
  <si>
    <t>P63284_clpB</t>
  </si>
  <si>
    <t>P63386_mlaF</t>
  </si>
  <si>
    <t>P63389_yheS</t>
  </si>
  <si>
    <t>P63417_yhbS</t>
  </si>
  <si>
    <t>P63883_amiC</t>
  </si>
  <si>
    <t>P64423_zntB</t>
  </si>
  <si>
    <t>P64429_ypfJ</t>
  </si>
  <si>
    <t>P64451_ydcL</t>
  </si>
  <si>
    <t>P64455_ydcY</t>
  </si>
  <si>
    <t>P64461_lsrG</t>
  </si>
  <si>
    <t>P64463_ydfZ</t>
  </si>
  <si>
    <t>P64467_cnu</t>
  </si>
  <si>
    <t>P64479_ydiZ</t>
  </si>
  <si>
    <t>P64483_yeaK</t>
  </si>
  <si>
    <t>P64503_yebV</t>
  </si>
  <si>
    <t>P64506_yebY</t>
  </si>
  <si>
    <t>P64515_yecN</t>
  </si>
  <si>
    <t>P64519_yodD</t>
  </si>
  <si>
    <t>P64530_rcnR</t>
  </si>
  <si>
    <t>P64534_rcnB</t>
  </si>
  <si>
    <t>P64554_queE</t>
  </si>
  <si>
    <t>P64564_yggT</t>
  </si>
  <si>
    <t>P64581_yqjD</t>
  </si>
  <si>
    <t>P64585_yqjE</t>
  </si>
  <si>
    <t>P64588_yqjI</t>
  </si>
  <si>
    <t>P64596_yraP</t>
  </si>
  <si>
    <t>P64602_mlaB</t>
  </si>
  <si>
    <t>P64604_mlaD</t>
  </si>
  <si>
    <t>P64606_mlaE</t>
  </si>
  <si>
    <t>P64616_yhcO</t>
  </si>
  <si>
    <t>P64624_yheO</t>
  </si>
  <si>
    <t>P65292_ygdI</t>
  </si>
  <si>
    <t>P65367_yqcA</t>
  </si>
  <si>
    <t>P65556_yfcD</t>
  </si>
  <si>
    <t>P65807_ygeY</t>
  </si>
  <si>
    <t>P65870_queD</t>
  </si>
  <si>
    <t>P66899_ygeX</t>
  </si>
  <si>
    <t>P66948_bepA</t>
  </si>
  <si>
    <t>P67080_yggS</t>
  </si>
  <si>
    <t>P67087_rsmI</t>
  </si>
  <si>
    <t>P67095_yfcE</t>
  </si>
  <si>
    <t>P67244_yqhA</t>
  </si>
  <si>
    <t>P67603_yqfB</t>
  </si>
  <si>
    <t>P67660_yhaJ</t>
  </si>
  <si>
    <t>P67826_cutC</t>
  </si>
  <si>
    <t>P67910_hldD</t>
  </si>
  <si>
    <t>P68066_grcA</t>
  </si>
  <si>
    <t>P68187_malK</t>
  </si>
  <si>
    <t>P68191_sra</t>
  </si>
  <si>
    <t>P68206_yjbJ</t>
  </si>
  <si>
    <t>P68679_rpsU</t>
  </si>
  <si>
    <t>P68688_grxA</t>
  </si>
  <si>
    <t>P68699_atpE</t>
  </si>
  <si>
    <t>P68767_pepA</t>
  </si>
  <si>
    <t>P68919_rplY</t>
  </si>
  <si>
    <t>P69054_sdhC</t>
  </si>
  <si>
    <t>P69222_infA</t>
  </si>
  <si>
    <t>P69228_baeR</t>
  </si>
  <si>
    <t>P69346_yefM</t>
  </si>
  <si>
    <t>P69411_rcsF</t>
  </si>
  <si>
    <t>P69425_tatB</t>
  </si>
  <si>
    <t>P69428_tatA</t>
  </si>
  <si>
    <t>P69441_adk</t>
  </si>
  <si>
    <t>P69451_fadD</t>
  </si>
  <si>
    <t>P69488_cutA</t>
  </si>
  <si>
    <t>P69503_apt</t>
  </si>
  <si>
    <t>P69506_ytfE</t>
  </si>
  <si>
    <t>P69741_hybO</t>
  </si>
  <si>
    <t>P69776_lpp</t>
  </si>
  <si>
    <t>P69783_crr</t>
  </si>
  <si>
    <t>P69786_ptsG</t>
  </si>
  <si>
    <t>P69795_chbB</t>
  </si>
  <si>
    <t>P69797_manX</t>
  </si>
  <si>
    <t>P69805_manZ</t>
  </si>
  <si>
    <t>P69811_fruB</t>
  </si>
  <si>
    <t>P69822_ulaB</t>
  </si>
  <si>
    <t>P69828_gatA</t>
  </si>
  <si>
    <t>P69829_ptsN</t>
  </si>
  <si>
    <t>P69853_dmsD</t>
  </si>
  <si>
    <t>P69874_potA</t>
  </si>
  <si>
    <t>P69908_gadA</t>
  </si>
  <si>
    <t>P69910_gadB</t>
  </si>
  <si>
    <t>P69913_csrA</t>
  </si>
  <si>
    <t>P69922_fucI</t>
  </si>
  <si>
    <t>P69924_nrdB</t>
  </si>
  <si>
    <t>P75682_yagE</t>
  </si>
  <si>
    <t>P75691_yahK</t>
  </si>
  <si>
    <t>P75694_yahO</t>
  </si>
  <si>
    <t>P75713_allE</t>
  </si>
  <si>
    <t>P75728_ubiF</t>
  </si>
  <si>
    <t>P75736_ybfF</t>
  </si>
  <si>
    <t>P75745_ybgK</t>
  </si>
  <si>
    <t>P75767_ybhK</t>
  </si>
  <si>
    <t>P75777_ybhG</t>
  </si>
  <si>
    <t>P75792_ybiV</t>
  </si>
  <si>
    <t>P75797_gsiB</t>
  </si>
  <si>
    <t>P75818_ybjP</t>
  </si>
  <si>
    <t>P75863_ycbX</t>
  </si>
  <si>
    <t>P75864_rlmL</t>
  </si>
  <si>
    <t>P75874_yccU</t>
  </si>
  <si>
    <t>P75876_rlmI</t>
  </si>
  <si>
    <t>P75913_ghrA</t>
  </si>
  <si>
    <t>P75914_ycdX</t>
  </si>
  <si>
    <t>P75915_ycdY</t>
  </si>
  <si>
    <t>P75931_yceM</t>
  </si>
  <si>
    <t>P75937_flgE</t>
  </si>
  <si>
    <t>P75952_comR</t>
  </si>
  <si>
    <t>P75959_nagK</t>
  </si>
  <si>
    <t>P75960_cobB</t>
  </si>
  <si>
    <t>P75974_cohE</t>
  </si>
  <si>
    <t>P75975_croE</t>
  </si>
  <si>
    <t>P75981_jayE</t>
  </si>
  <si>
    <t>P76001_ycgJ</t>
  </si>
  <si>
    <t>P76002_pliG</t>
  </si>
  <si>
    <t>P76004_ycgM</t>
  </si>
  <si>
    <t>P76008_ldcA</t>
  </si>
  <si>
    <t>P76014_dhaL</t>
  </si>
  <si>
    <t>P76015_dhaK</t>
  </si>
  <si>
    <t>P76027_oppD</t>
  </si>
  <si>
    <t>P76046_ycjX</t>
  </si>
  <si>
    <t>P76049_ycjY</t>
  </si>
  <si>
    <t>P76055_ttcA</t>
  </si>
  <si>
    <t>P76062_racR</t>
  </si>
  <si>
    <t>P76097_ydcJ</t>
  </si>
  <si>
    <t>P76108_ydcS</t>
  </si>
  <si>
    <t>P76113_curA</t>
  </si>
  <si>
    <t>P76116_yncE</t>
  </si>
  <si>
    <t>P76121_yddH</t>
  </si>
  <si>
    <t>P76128_ddpA</t>
  </si>
  <si>
    <t>P76142_lsrB</t>
  </si>
  <si>
    <t>P76143_lsrF</t>
  </si>
  <si>
    <t>P76145_tam</t>
  </si>
  <si>
    <t>P76149_sad</t>
  </si>
  <si>
    <t>P76172_ynfD</t>
  </si>
  <si>
    <t>P76173_ynfH</t>
  </si>
  <si>
    <t>P76176_ydgD</t>
  </si>
  <si>
    <t>P76177_ydgH</t>
  </si>
  <si>
    <t>P76187_ydhF</t>
  </si>
  <si>
    <t>P76192_ydhV</t>
  </si>
  <si>
    <t>P76193_ynhG</t>
  </si>
  <si>
    <t>P76194_sufE</t>
  </si>
  <si>
    <t>P76216_astB</t>
  </si>
  <si>
    <t>P76217_astD</t>
  </si>
  <si>
    <t>P76220_ydjY</t>
  </si>
  <si>
    <t>P76223_ynjB</t>
  </si>
  <si>
    <t>P76227_ynjH</t>
  </si>
  <si>
    <t>P76235_yeaH</t>
  </si>
  <si>
    <t>P76243_yeaO</t>
  </si>
  <si>
    <t>P76251_dmlA</t>
  </si>
  <si>
    <t>P76256_tsaB</t>
  </si>
  <si>
    <t>P76268_kdgR</t>
  </si>
  <si>
    <t>P76270_msrC</t>
  </si>
  <si>
    <t>P76272_yebT</t>
  </si>
  <si>
    <t>P76290_cmoA</t>
  </si>
  <si>
    <t>P76291_cmoB</t>
  </si>
  <si>
    <t>P76297_flhE</t>
  </si>
  <si>
    <t>P76298_flhA</t>
  </si>
  <si>
    <t>P76308_yecR</t>
  </si>
  <si>
    <t>P76316_dcyD</t>
  </si>
  <si>
    <t>P76318_yedK</t>
  </si>
  <si>
    <t>P76329_yedP</t>
  </si>
  <si>
    <t>P76330_yedQ</t>
  </si>
  <si>
    <t>P76342_msrP</t>
  </si>
  <si>
    <t>P76346_mtfA</t>
  </si>
  <si>
    <t>P76372_wzzB</t>
  </si>
  <si>
    <t>P76389_yegH</t>
  </si>
  <si>
    <t>P76397_mdtA</t>
  </si>
  <si>
    <t>P76402_yegP</t>
  </si>
  <si>
    <t>P76403_yegQ</t>
  </si>
  <si>
    <t>P76407_yegS</t>
  </si>
  <si>
    <t>P76440_preT</t>
  </si>
  <si>
    <t>P76445_lpxT</t>
  </si>
  <si>
    <t>P76502_sixA</t>
  </si>
  <si>
    <t>P76506_mlaA</t>
  </si>
  <si>
    <t>P76521_yfdY</t>
  </si>
  <si>
    <t>P76535_murQ</t>
  </si>
  <si>
    <t>P76536_yfeX</t>
  </si>
  <si>
    <t>P76537_yfeY</t>
  </si>
  <si>
    <t>P76541_eutL</t>
  </si>
  <si>
    <t>P76550_yffS</t>
  </si>
  <si>
    <t>P76558_maeB</t>
  </si>
  <si>
    <t>P76561_ypfH</t>
  </si>
  <si>
    <t>P76569_yfgD</t>
  </si>
  <si>
    <t>P76575_yfgJ</t>
  </si>
  <si>
    <t>P76576_yfgM</t>
  </si>
  <si>
    <t>P76578_yfhM</t>
  </si>
  <si>
    <t>P76621_csiD</t>
  </si>
  <si>
    <t>P76658_hldE</t>
  </si>
  <si>
    <t>P77148_ydhS</t>
  </si>
  <si>
    <t>P77162_ykfB</t>
  </si>
  <si>
    <t>P77173_zipA</t>
  </si>
  <si>
    <t>P77181_paaY</t>
  </si>
  <si>
    <t>P77202_dsbG</t>
  </si>
  <si>
    <t>P77212_rclA</t>
  </si>
  <si>
    <t>P77213_ybdK</t>
  </si>
  <si>
    <t>P77243_prpD</t>
  </si>
  <si>
    <t>P77247_yniC</t>
  </si>
  <si>
    <t>P77252_ykgE</t>
  </si>
  <si>
    <t>P77258_nemA</t>
  </si>
  <si>
    <t>P77269_yphF</t>
  </si>
  <si>
    <t>P77279_fetA</t>
  </si>
  <si>
    <t>P77285_rsxG</t>
  </si>
  <si>
    <t>P77318_ydeN</t>
  </si>
  <si>
    <t>P77330_borD</t>
  </si>
  <si>
    <t>P77338_mscK</t>
  </si>
  <si>
    <t>P77348_mppA</t>
  </si>
  <si>
    <t>P77364_glxK</t>
  </si>
  <si>
    <t>P77368_ybcL</t>
  </si>
  <si>
    <t>P77395_ybbN</t>
  </si>
  <si>
    <t>P77433_ykgG</t>
  </si>
  <si>
    <t>P77444_sufS</t>
  </si>
  <si>
    <t>P77454_glsA1</t>
  </si>
  <si>
    <t>P77488_dxs</t>
  </si>
  <si>
    <t>P77499_sufC</t>
  </si>
  <si>
    <t>P77522_sufB</t>
  </si>
  <si>
    <t>P77526_yfcG</t>
  </si>
  <si>
    <t>P77529_ydjN</t>
  </si>
  <si>
    <t>P77541_prpB</t>
  </si>
  <si>
    <t>P77544_yfcF</t>
  </si>
  <si>
    <t>P77552_ydhQ</t>
  </si>
  <si>
    <t>P77554_yahJ</t>
  </si>
  <si>
    <t>P77581_astC</t>
  </si>
  <si>
    <t>P77611_rsxC</t>
  </si>
  <si>
    <t>P77625_yfbT</t>
  </si>
  <si>
    <t>P77671_allB</t>
  </si>
  <si>
    <t>P77674_prr</t>
  </si>
  <si>
    <t>P77689_sufD</t>
  </si>
  <si>
    <t>P77695_gnsB</t>
  </si>
  <si>
    <t>P77712_fadM</t>
  </si>
  <si>
    <t>P77713_yagH</t>
  </si>
  <si>
    <t>P77717_ybaY</t>
  </si>
  <si>
    <t>P77718_thiI</t>
  </si>
  <si>
    <t>P77721_ydjF</t>
  </si>
  <si>
    <t>P77735_yajO</t>
  </si>
  <si>
    <t>P77737_oppF</t>
  </si>
  <si>
    <t>P77739_yniA</t>
  </si>
  <si>
    <t>P77748_ydiJ</t>
  </si>
  <si>
    <t>P77754_spy</t>
  </si>
  <si>
    <t>P77774_bamB</t>
  </si>
  <si>
    <t>P77775_yfcH</t>
  </si>
  <si>
    <t>P77791_maa</t>
  </si>
  <si>
    <t>P77804_ydgA</t>
  </si>
  <si>
    <t>P77808_yfaY</t>
  </si>
  <si>
    <t>P78055_fsaA</t>
  </si>
  <si>
    <t>P78067_ynjE</t>
  </si>
  <si>
    <t>P80668_feaB</t>
  </si>
  <si>
    <t>Q2M7R5_yibT</t>
  </si>
  <si>
    <t>Q2MB16_yobH</t>
  </si>
  <si>
    <t>Q46799_xdhA</t>
  </si>
  <si>
    <t>Q46803_ygeW</t>
  </si>
  <si>
    <t>Q46807_yqeA</t>
  </si>
  <si>
    <t>Q46811_ygfK</t>
  </si>
  <si>
    <t>Q46822_idi</t>
  </si>
  <si>
    <t>Q46829_bglA</t>
  </si>
  <si>
    <t>Q46845_yghU</t>
  </si>
  <si>
    <t>Q46851_gpr</t>
  </si>
  <si>
    <t>Q46856_yqhD</t>
  </si>
  <si>
    <t>Q46857_dkgA</t>
  </si>
  <si>
    <t>Q46863_ygiS</t>
  </si>
  <si>
    <t>Q46864_mqsA</t>
  </si>
  <si>
    <t>Q46868_yqiC</t>
  </si>
  <si>
    <t>Q46871_yqjH</t>
  </si>
  <si>
    <t>Q46893_ispD</t>
  </si>
  <si>
    <t>Q46920_queF</t>
  </si>
  <si>
    <t>Q46938_kduI</t>
  </si>
  <si>
    <t>Q46948_yajL</t>
  </si>
  <si>
    <t>Q47146_fadE</t>
  </si>
  <si>
    <t>Q47147_yafJ</t>
  </si>
  <si>
    <t>Q47150_dinJ</t>
  </si>
  <si>
    <t>Q47157_yafO</t>
  </si>
  <si>
    <t>Q47622_sapA</t>
  </si>
  <si>
    <t>Q47679_yafV</t>
  </si>
  <si>
    <t>Q57261_truD</t>
  </si>
  <si>
    <t>Q59385_copA</t>
  </si>
  <si>
    <t>Q93K97_nudF</t>
  </si>
  <si>
    <t>Q9LBU0_kgtP</t>
  </si>
  <si>
    <t>Q9LBU5_yrdA</t>
  </si>
  <si>
    <t>Q9LBV1_mobB</t>
  </si>
  <si>
    <t>Q9RFA1_</t>
  </si>
  <si>
    <t>Melting_Curves/meltCurve_G0ZKW2_lacZ.pdf</t>
  </si>
  <si>
    <t>Melting_Curves/meltCurve_P00350_gnd.pdf</t>
  </si>
  <si>
    <t>Melting_Curves/meltCurve_P00363_frdA.pdf</t>
  </si>
  <si>
    <t>Melting_Curves/meltCurve_P00370_gdhA.pdf</t>
  </si>
  <si>
    <t>Melting_Curves/meltCurve_P00393_ndh.pdf</t>
  </si>
  <si>
    <t>Melting_Curves/meltCurve_P00448_sodA.pdf</t>
  </si>
  <si>
    <t>Melting_Curves/meltCurve_P00452_nrdA.pdf</t>
  </si>
  <si>
    <t>Melting_Curves/meltCurve_P00490_malP.pdf</t>
  </si>
  <si>
    <t>Melting_Curves/meltCurve_P00509_aspC.pdf</t>
  </si>
  <si>
    <t>Melting_Curves/meltCurve_P00547_thrB.pdf</t>
  </si>
  <si>
    <t>Melting_Curves/meltCurve_P00550_mtlA.pdf</t>
  </si>
  <si>
    <t>Melting_Curves/meltCurve_P00561_thrA.pdf</t>
  </si>
  <si>
    <t>Melting_Curves/meltCurve_P00579_rpoD.pdf</t>
  </si>
  <si>
    <t>Melting_Curves/meltCurve_P00582_polA.pdf</t>
  </si>
  <si>
    <t>Melting_Curves/meltCurve_P00634_phoA.pdf</t>
  </si>
  <si>
    <t>Melting_Curves/meltCurve_P00803_lepB.pdf</t>
  </si>
  <si>
    <t>Melting_Curves/meltCurve_P00805_ansB.pdf</t>
  </si>
  <si>
    <t>Melting_Curves/meltCurve_P00811_ampC.pdf</t>
  </si>
  <si>
    <t>Melting_Curves/meltCurve_P00864_ppc.pdf</t>
  </si>
  <si>
    <t>Melting_Curves/meltCurve_P00895_trpE.pdf</t>
  </si>
  <si>
    <t>Melting_Curves/meltCurve_P00904_trpGD.pdf</t>
  </si>
  <si>
    <t>Melting_Curves/meltCurve_P00909_trpC.pdf</t>
  </si>
  <si>
    <t>Melting_Curves/meltCurve_P00926_dsdA.pdf</t>
  </si>
  <si>
    <t>Melting_Curves/meltCurve_P00934_thrC.pdf</t>
  </si>
  <si>
    <t>Melting_Curves/meltCurve_P00935_metB.pdf</t>
  </si>
  <si>
    <t>Melting_Curves/meltCurve_P00946_manA.pdf</t>
  </si>
  <si>
    <t>Melting_Curves/meltCurve_P00954_trpS.pdf</t>
  </si>
  <si>
    <t>Melting_Curves/meltCurve_P00956_ileS.pdf</t>
  </si>
  <si>
    <t>Melting_Curves/meltCurve_P00957_alaS.pdf</t>
  </si>
  <si>
    <t>Melting_Curves/meltCurve_P00959_metG.pdf</t>
  </si>
  <si>
    <t>Melting_Curves/meltCurve_P00960_glyQ.pdf</t>
  </si>
  <si>
    <t>Melting_Curves/meltCurve_P00961_glyS.pdf</t>
  </si>
  <si>
    <t>Melting_Curves/meltCurve_P00962_glnS.pdf</t>
  </si>
  <si>
    <t>Melting_Curves/meltCurve_P00968_carB.pdf</t>
  </si>
  <si>
    <t>Melting_Curves/meltCurve_P02358_rpsF.pdf</t>
  </si>
  <si>
    <t>Melting_Curves/meltCurve_P02359_rpsG.pdf</t>
  </si>
  <si>
    <t>Melting_Curves/meltCurve_P02413_rplO.pdf</t>
  </si>
  <si>
    <t>Melting_Curves/meltCurve_P02916_malF.pdf</t>
  </si>
  <si>
    <t>Melting_Curves/meltCurve_P02919_mrcB.pdf</t>
  </si>
  <si>
    <t>Melting_Curves/meltCurve_P02924_araF.pdf</t>
  </si>
  <si>
    <t>Melting_Curves/meltCurve_P02925_rbsB.pdf</t>
  </si>
  <si>
    <t>Melting_Curves/meltCurve_P02930_tolC.pdf</t>
  </si>
  <si>
    <t>Melting_Curves/meltCurve_P02931_ompF.pdf</t>
  </si>
  <si>
    <t>Melting_Curves/meltCurve_P02942_tsr.pdf</t>
  </si>
  <si>
    <t>Melting_Curves/meltCurve_P02943_lamB.pdf</t>
  </si>
  <si>
    <t>Melting_Curves/meltCurve_P03004_dnaA.pdf</t>
  </si>
  <si>
    <t>Melting_Curves/meltCurve_P03018_uvrD.pdf</t>
  </si>
  <si>
    <t>Melting_Curves/meltCurve_P03817_mioC.pdf</t>
  </si>
  <si>
    <t>Melting_Curves/meltCurve_P03841_malM.pdf</t>
  </si>
  <si>
    <t>Melting_Curves/meltCurve_P04036_dapB.pdf</t>
  </si>
  <si>
    <t>Melting_Curves/meltCurve_P04079_guaA.pdf</t>
  </si>
  <si>
    <t>Melting_Curves/meltCurve_P04335_frsA.pdf</t>
  </si>
  <si>
    <t>Melting_Curves/meltCurve_P04425_gshB.pdf</t>
  </si>
  <si>
    <t>Melting_Curves/meltCurve_P04693_tyrB.pdf</t>
  </si>
  <si>
    <t>Melting_Curves/meltCurve_P04805_gltX.pdf</t>
  </si>
  <si>
    <t>Melting_Curves/meltCurve_P04816_livK.pdf</t>
  </si>
  <si>
    <t>Melting_Curves/meltCurve_P04825_pepN.pdf</t>
  </si>
  <si>
    <t>Melting_Curves/meltCurve_P04846_nlpA.pdf</t>
  </si>
  <si>
    <t>Melting_Curves/meltCurve_P04949_fliC.pdf</t>
  </si>
  <si>
    <t>Melting_Curves/meltCurve_P04951_kdsB.pdf</t>
  </si>
  <si>
    <t>Melting_Curves/meltCurve_P04982_rbsD.pdf</t>
  </si>
  <si>
    <t>Melting_Curves/meltCurve_P04983_rbsA.pdf</t>
  </si>
  <si>
    <t>Melting_Curves/meltCurve_P04995_sbcB.pdf</t>
  </si>
  <si>
    <t>Melting_Curves/meltCurve_P05020_pyrC.pdf</t>
  </si>
  <si>
    <t>Melting_Curves/meltCurve_P05041_pabB.pdf</t>
  </si>
  <si>
    <t>Melting_Curves/meltCurve_P05042_fumC.pdf</t>
  </si>
  <si>
    <t>Melting_Curves/meltCurve_P05055_pnp.pdf</t>
  </si>
  <si>
    <t>Melting_Curves/meltCurve_P05194_aroD.pdf</t>
  </si>
  <si>
    <t>Melting_Curves/meltCurve_P05458_ptrA.pdf</t>
  </si>
  <si>
    <t>Melting_Curves/meltCurve_P05459_pdxB.pdf</t>
  </si>
  <si>
    <t>Melting_Curves/meltCurve_P05637_apaH.pdf</t>
  </si>
  <si>
    <t>Melting_Curves/meltCurve_P05704_trg.pdf</t>
  </si>
  <si>
    <t>Melting_Curves/meltCurve_P05707_srlD.pdf</t>
  </si>
  <si>
    <t>Melting_Curves/meltCurve_P05791_ilvD.pdf</t>
  </si>
  <si>
    <t>Melting_Curves/meltCurve_P05793_ilvC.pdf</t>
  </si>
  <si>
    <t>Melting_Curves/meltCurve_P05804_uidA.pdf</t>
  </si>
  <si>
    <t>Melting_Curves/meltCurve_P06149_dld.pdf</t>
  </si>
  <si>
    <t>Melting_Curves/meltCurve_P06282_cdh.pdf</t>
  </si>
  <si>
    <t>Melting_Curves/meltCurve_P06610_btuE.pdf</t>
  </si>
  <si>
    <t>Melting_Curves/meltCurve_P06612_topA.pdf</t>
  </si>
  <si>
    <t>Melting_Curves/meltCurve_P06616_era.pdf</t>
  </si>
  <si>
    <t>Melting_Curves/meltCurve_P06710_dnaX.pdf</t>
  </si>
  <si>
    <t>Melting_Curves/meltCurve_P06715_gor.pdf</t>
  </si>
  <si>
    <t>Melting_Curves/meltCurve_P06720_melA.pdf</t>
  </si>
  <si>
    <t>Melting_Curves/meltCurve_P06846_ebgR.pdf</t>
  </si>
  <si>
    <t>Melting_Curves/meltCurve_P06959_aceF.pdf</t>
  </si>
  <si>
    <t>Melting_Curves/meltCurve_P06961_cca.pdf</t>
  </si>
  <si>
    <t>Melting_Curves/meltCurve_P06966_dicA.pdf</t>
  </si>
  <si>
    <t>Melting_Curves/meltCurve_P06968_dut.pdf</t>
  </si>
  <si>
    <t>Melting_Curves/meltCurve_P06971_fhuA.pdf</t>
  </si>
  <si>
    <t>Melting_Curves/meltCurve_P06974_fliM.pdf</t>
  </si>
  <si>
    <t>Melting_Curves/meltCurve_P06983_hemC.pdf</t>
  </si>
  <si>
    <t>Melting_Curves/meltCurve_P06986_hisC.pdf</t>
  </si>
  <si>
    <t>Melting_Curves/meltCurve_P06987_hisB.pdf</t>
  </si>
  <si>
    <t>Melting_Curves/meltCurve_P06988_hisD.pdf</t>
  </si>
  <si>
    <t>Melting_Curves/meltCurve_P06989_hisI.pdf</t>
  </si>
  <si>
    <t>Melting_Curves/meltCurve_P06992_rsmA.pdf</t>
  </si>
  <si>
    <t>Melting_Curves/meltCurve_P06996_ompC.pdf</t>
  </si>
  <si>
    <t>Melting_Curves/meltCurve_P06999_pfkB.pdf</t>
  </si>
  <si>
    <t>Melting_Curves/meltCurve_P07001_pntA.pdf</t>
  </si>
  <si>
    <t>Melting_Curves/meltCurve_P07003_poxB.pdf</t>
  </si>
  <si>
    <t>Melting_Curves/meltCurve_P07004_proA.pdf</t>
  </si>
  <si>
    <t>Melting_Curves/meltCurve_P07012_prfB.pdf</t>
  </si>
  <si>
    <t>Melting_Curves/meltCurve_P07014_sdhB.pdf</t>
  </si>
  <si>
    <t>Melting_Curves/meltCurve_P07017_tar.pdf</t>
  </si>
  <si>
    <t>Melting_Curves/meltCurve_P07023_tyrA.pdf</t>
  </si>
  <si>
    <t>Melting_Curves/meltCurve_P07024_ushA.pdf</t>
  </si>
  <si>
    <t>Melting_Curves/meltCurve_P07102_appA.pdf</t>
  </si>
  <si>
    <t>Melting_Curves/meltCurve_P07117_putP.pdf</t>
  </si>
  <si>
    <t>Melting_Curves/meltCurve_P07118_valS.pdf</t>
  </si>
  <si>
    <t>Melting_Curves/meltCurve_P07330_cheB.pdf</t>
  </si>
  <si>
    <t>Melting_Curves/meltCurve_P07363_cheA.pdf</t>
  </si>
  <si>
    <t>Melting_Curves/meltCurve_P07395_pheT.pdf</t>
  </si>
  <si>
    <t>Melting_Curves/meltCurve_P07639_aroB.pdf</t>
  </si>
  <si>
    <t>Melting_Curves/meltCurve_P07650_deoA.pdf</t>
  </si>
  <si>
    <t>Melting_Curves/meltCurve_P07762_glgB.pdf</t>
  </si>
  <si>
    <t>Melting_Curves/meltCurve_P07813_leuS.pdf</t>
  </si>
  <si>
    <t>Melting_Curves/meltCurve_P07822_fhuD.pdf</t>
  </si>
  <si>
    <t>Melting_Curves/meltCurve_P07862_ddlB.pdf</t>
  </si>
  <si>
    <t>Melting_Curves/meltCurve_P07913_tdh.pdf</t>
  </si>
  <si>
    <t>Melting_Curves/meltCurve_P08178_purM.pdf</t>
  </si>
  <si>
    <t>Melting_Curves/meltCurve_P08192_folC.pdf</t>
  </si>
  <si>
    <t>Melting_Curves/meltCurve_P08200_icd.pdf</t>
  </si>
  <si>
    <t>Melting_Curves/meltCurve_P08202_araA.pdf</t>
  </si>
  <si>
    <t>Melting_Curves/meltCurve_P08244_pyrF.pdf</t>
  </si>
  <si>
    <t>Melting_Curves/meltCurve_P08245_yciH.pdf</t>
  </si>
  <si>
    <t>Melting_Curves/meltCurve_P08312_pheS.pdf</t>
  </si>
  <si>
    <t>Melting_Curves/meltCurve_P08331_cpdB.pdf</t>
  </si>
  <si>
    <t>Melting_Curves/meltCurve_P08337_mutT.pdf</t>
  </si>
  <si>
    <t>Melting_Curves/meltCurve_P08368_creB.pdf</t>
  </si>
  <si>
    <t>Melting_Curves/meltCurve_P08373_murB.pdf</t>
  </si>
  <si>
    <t>Melting_Curves/meltCurve_P08390_usg.pdf</t>
  </si>
  <si>
    <t>Melting_Curves/meltCurve_P08395_sppA.pdf</t>
  </si>
  <si>
    <t>Melting_Curves/meltCurve_P08506_dacC.pdf</t>
  </si>
  <si>
    <t>Melting_Curves/meltCurve_P08550_cvpA.pdf</t>
  </si>
  <si>
    <t>Melting_Curves/meltCurve_P08622_dnaJ.pdf</t>
  </si>
  <si>
    <t>Melting_Curves/meltCurve_P08660_lysC.pdf</t>
  </si>
  <si>
    <t>Melting_Curves/meltCurve_P08839_ptsI.pdf</t>
  </si>
  <si>
    <t>Melting_Curves/meltCurve_P08956_hsdR.pdf</t>
  </si>
  <si>
    <t>Melting_Curves/meltCurve_P08957_hsdM.pdf</t>
  </si>
  <si>
    <t>Melting_Curves/meltCurve_P08997_aceB.pdf</t>
  </si>
  <si>
    <t>Melting_Curves/meltCurve_P09029_purK.pdf</t>
  </si>
  <si>
    <t>Melting_Curves/meltCurve_P09030_xthA.pdf</t>
  </si>
  <si>
    <t>Melting_Curves/meltCurve_P09126_hemD.pdf</t>
  </si>
  <si>
    <t>Melting_Curves/meltCurve_P09127_hemX.pdf</t>
  </si>
  <si>
    <t>Melting_Curves/meltCurve_P09147_galE.pdf</t>
  </si>
  <si>
    <t>Melting_Curves/meltCurve_P09148_galT.pdf</t>
  </si>
  <si>
    <t>Melting_Curves/meltCurve_P09152_narG.pdf</t>
  </si>
  <si>
    <t>Melting_Curves/meltCurve_P09155_rnd.pdf</t>
  </si>
  <si>
    <t>Melting_Curves/meltCurve_P09158_speE.pdf</t>
  </si>
  <si>
    <t>Melting_Curves/meltCurve_P09169_ompT.pdf</t>
  </si>
  <si>
    <t>Melting_Curves/meltCurve_P09323_nagE.pdf</t>
  </si>
  <si>
    <t>Melting_Curves/meltCurve_P09372_grpE.pdf</t>
  </si>
  <si>
    <t>Melting_Curves/meltCurve_P09373_pflB.pdf</t>
  </si>
  <si>
    <t>Melting_Curves/meltCurve_P09391_glpG.pdf</t>
  </si>
  <si>
    <t>Melting_Curves/meltCurve_P09394_glpQ.pdf</t>
  </si>
  <si>
    <t>Melting_Curves/meltCurve_P09424_mtlD.pdf</t>
  </si>
  <si>
    <t>Melting_Curves/meltCurve_P09546_putA.pdf</t>
  </si>
  <si>
    <t>Melting_Curves/meltCurve_P09549_dedD.pdf</t>
  </si>
  <si>
    <t>Melting_Curves/meltCurve_P09551_argT.pdf</t>
  </si>
  <si>
    <t>Melting_Curves/meltCurve_P09831_gltB.pdf</t>
  </si>
  <si>
    <t>Melting_Curves/meltCurve_P09832_gltD.pdf</t>
  </si>
  <si>
    <t>Melting_Curves/meltCurve_P09833_modC.pdf</t>
  </si>
  <si>
    <t>Melting_Curves/meltCurve_P0A698_uvrA.pdf</t>
  </si>
  <si>
    <t>Melting_Curves/meltCurve_P0A6A3_ackA.pdf</t>
  </si>
  <si>
    <t>Melting_Curves/meltCurve_P0A6A8_acpP.pdf</t>
  </si>
  <si>
    <t>Melting_Curves/meltCurve_P0A6B7_iscS.pdf</t>
  </si>
  <si>
    <t>Melting_Curves/meltCurve_P0A6C1_nfo.pdf</t>
  </si>
  <si>
    <t>Melting_Curves/meltCurve_P0A6D0_argR.pdf</t>
  </si>
  <si>
    <t>Melting_Curves/meltCurve_P0A6D3_aroA.pdf</t>
  </si>
  <si>
    <t>Melting_Curves/meltCurve_P0A6D7_aroK.pdf</t>
  </si>
  <si>
    <t>Melting_Curves/meltCurve_P0A6E1_aroL.pdf</t>
  </si>
  <si>
    <t>Melting_Curves/meltCurve_P0A6E4_argG.pdf</t>
  </si>
  <si>
    <t>Melting_Curves/meltCurve_P0A6E9_bioD2.pdf</t>
  </si>
  <si>
    <t>Melting_Curves/meltCurve_P0A6F1_carA.pdf</t>
  </si>
  <si>
    <t>Melting_Curves/meltCurve_P0A6F3_glpK.pdf</t>
  </si>
  <si>
    <t>Melting_Curves/meltCurve_P0A6F5_groL.pdf</t>
  </si>
  <si>
    <t>Melting_Curves/meltCurve_P0A6F9_groS.pdf</t>
  </si>
  <si>
    <t>Melting_Curves/meltCurve_P0A6G3_pncC.pdf</t>
  </si>
  <si>
    <t>Melting_Curves/meltCurve_P0A6G7_clpP.pdf</t>
  </si>
  <si>
    <t>Melting_Curves/meltCurve_P0A6H1_clpX.pdf</t>
  </si>
  <si>
    <t>Melting_Curves/meltCurve_P0A6H5_hslU.pdf</t>
  </si>
  <si>
    <t>Melting_Curves/meltCurve_P0A6I0_cmk.pdf</t>
  </si>
  <si>
    <t>Melting_Curves/meltCurve_P0A6I3_coaA.pdf</t>
  </si>
  <si>
    <t>Melting_Curves/meltCurve_P0A6I6_coaD.pdf</t>
  </si>
  <si>
    <t>Melting_Curves/meltCurve_P0A6I9_coaE.pdf</t>
  </si>
  <si>
    <t>Melting_Curves/meltCurve_P0A6J3_cysZ.pdf</t>
  </si>
  <si>
    <t>Melting_Curves/meltCurve_P0A6J5_dadA.pdf</t>
  </si>
  <si>
    <t>Melting_Curves/meltCurve_P0A6J8_ddlA.pdf</t>
  </si>
  <si>
    <t>Melting_Curves/meltCurve_P0A6K1_dapF.pdf</t>
  </si>
  <si>
    <t>Melting_Curves/meltCurve_P0A6K3_def.pdf</t>
  </si>
  <si>
    <t>Melting_Curves/meltCurve_P0A6K6_deoB.pdf</t>
  </si>
  <si>
    <t>Melting_Curves/meltCurve_P0A6L0_deoC.pdf</t>
  </si>
  <si>
    <t>Melting_Curves/meltCurve_P0A6L2_dapA.pdf</t>
  </si>
  <si>
    <t>Melting_Curves/meltCurve_P0A6L7_uxaB.pdf</t>
  </si>
  <si>
    <t>Melting_Curves/meltCurve_P0A6L9_hscB.pdf</t>
  </si>
  <si>
    <t>Melting_Curves/meltCurve_P0A6M4_dtd.pdf</t>
  </si>
  <si>
    <t>Melting_Curves/meltCurve_P0A6M8_fusA.pdf</t>
  </si>
  <si>
    <t>Melting_Curves/meltCurve_P0A6N4_efp.pdf</t>
  </si>
  <si>
    <t>Melting_Curves/meltCurve_P0A6N8_yeiP.pdf</t>
  </si>
  <si>
    <t>Melting_Curves/meltCurve_P0A6P1_tsf.pdf</t>
  </si>
  <si>
    <t>Melting_Curves/meltCurve_P0A6P5_der.pdf</t>
  </si>
  <si>
    <t>Melting_Curves/meltCurve_P0A6P7_engB.pdf</t>
  </si>
  <si>
    <t>Melting_Curves/meltCurve_P0A6P9_eno.pdf</t>
  </si>
  <si>
    <t>Melting_Curves/meltCurve_P0A6Q3_fabA.pdf</t>
  </si>
  <si>
    <t>Melting_Curves/meltCurve_P0A6Q6_fabZ.pdf</t>
  </si>
  <si>
    <t>Melting_Curves/meltCurve_P0A6R0_fabH.pdf</t>
  </si>
  <si>
    <t>Melting_Curves/meltCurve_P0A6S0_flgH.pdf</t>
  </si>
  <si>
    <t>Melting_Curves/meltCurve_P0A6S7_gpsA.pdf</t>
  </si>
  <si>
    <t>Melting_Curves/meltCurve_P0A6T1_pgi.pdf</t>
  </si>
  <si>
    <t>Melting_Curves/meltCurve_P0A6T3_galK.pdf</t>
  </si>
  <si>
    <t>Melting_Curves/meltCurve_P0A6T5_folE.pdf</t>
  </si>
  <si>
    <t>Melting_Curves/meltCurve_P0A6T9_gcvH.pdf</t>
  </si>
  <si>
    <t>Melting_Curves/meltCurve_P0A6U5_rsmG.pdf</t>
  </si>
  <si>
    <t>Melting_Curves/meltCurve_P0A6U8_glgA.pdf</t>
  </si>
  <si>
    <t>Melting_Curves/meltCurve_P0A6V1_glgC.pdf</t>
  </si>
  <si>
    <t>Melting_Curves/meltCurve_P0A6V8_glk.pdf</t>
  </si>
  <si>
    <t>Melting_Curves/meltCurve_P0A6W3_mraY.pdf</t>
  </si>
  <si>
    <t>Melting_Curves/meltCurve_P0A6W5_greA.pdf</t>
  </si>
  <si>
    <t>Melting_Curves/meltCurve_P0A6W9_gshA.pdf</t>
  </si>
  <si>
    <t>Melting_Curves/meltCurve_P0A6X3_hfq.pdf</t>
  </si>
  <si>
    <t>Melting_Curves/meltCurve_P0A6X7_ihfA.pdf</t>
  </si>
  <si>
    <t>Melting_Curves/meltCurve_P0A6Y1_ihfB.pdf</t>
  </si>
  <si>
    <t>Melting_Curves/meltCurve_P0A6Y5_hslO.pdf</t>
  </si>
  <si>
    <t>Melting_Curves/meltCurve_P0A6Y8_dnaK.pdf</t>
  </si>
  <si>
    <t>Melting_Curves/meltCurve_P0A6Z1_hscA.pdf</t>
  </si>
  <si>
    <t>Melting_Curves/meltCurve_P0A6Z3_htpG.pdf</t>
  </si>
  <si>
    <t>Melting_Curves/meltCurve_P0A705_infB.pdf</t>
  </si>
  <si>
    <t>Melting_Curves/meltCurve_P0A707_infC.pdf</t>
  </si>
  <si>
    <t>Melting_Curves/meltCurve_P0A715_kdsA.pdf</t>
  </si>
  <si>
    <t>Melting_Curves/meltCurve_P0A717_prs.pdf</t>
  </si>
  <si>
    <t>Melting_Curves/meltCurve_P0A720_tmk.pdf</t>
  </si>
  <si>
    <t>Melting_Curves/meltCurve_P0A722_lpxA.pdf</t>
  </si>
  <si>
    <t>Melting_Curves/meltCurve_P0A725_lpxC.pdf</t>
  </si>
  <si>
    <t>Melting_Curves/meltCurve_P0A729_yceF.pdf</t>
  </si>
  <si>
    <t>Melting_Curves/meltCurve_P0A731_mgsA.pdf</t>
  </si>
  <si>
    <t>Melting_Curves/meltCurve_P0A734_minE.pdf</t>
  </si>
  <si>
    <t>Melting_Curves/meltCurve_P0A738_moaC.pdf</t>
  </si>
  <si>
    <t>Melting_Curves/meltCurve_P0A742_mscL.pdf</t>
  </si>
  <si>
    <t>Melting_Curves/meltCurve_P0A744_msrA.pdf</t>
  </si>
  <si>
    <t>Melting_Curves/meltCurve_P0A746_msrB.pdf</t>
  </si>
  <si>
    <t>Melting_Curves/meltCurve_P0A749_murA.pdf</t>
  </si>
  <si>
    <t>Melting_Curves/meltCurve_P0A759_nagB.pdf</t>
  </si>
  <si>
    <t>Melting_Curves/meltCurve_P0A761_nanE.pdf</t>
  </si>
  <si>
    <t>Melting_Curves/meltCurve_P0A763_ndk.pdf</t>
  </si>
  <si>
    <t>Melting_Curves/meltCurve_P0A780_nusB.pdf</t>
  </si>
  <si>
    <t>Melting_Curves/meltCurve_P0A784_orn.pdf</t>
  </si>
  <si>
    <t>Melting_Curves/meltCurve_P0A790_panD.pdf</t>
  </si>
  <si>
    <t>Melting_Curves/meltCurve_P0A794_pdxJ.pdf</t>
  </si>
  <si>
    <t>Melting_Curves/meltCurve_P0A796_pfkA.pdf</t>
  </si>
  <si>
    <t>Melting_Curves/meltCurve_P0A799_pgk.pdf</t>
  </si>
  <si>
    <t>Melting_Curves/meltCurve_P0A7A2_gpmB.pdf</t>
  </si>
  <si>
    <t>Melting_Curves/meltCurve_P0A7A5_pcm.pdf</t>
  </si>
  <si>
    <t>Melting_Curves/meltCurve_P0A7A9_ppa.pdf</t>
  </si>
  <si>
    <t>Melting_Curves/meltCurve_P0A7B5_proB.pdf</t>
  </si>
  <si>
    <t>Melting_Curves/meltCurve_P0A7B8_hslV.pdf</t>
  </si>
  <si>
    <t>Melting_Curves/meltCurve_P0A7C2_lexA.pdf</t>
  </si>
  <si>
    <t>Melting_Curves/meltCurve_P0A7C6_pepE.pdf</t>
  </si>
  <si>
    <t>Melting_Curves/meltCurve_P0A7D1_pth.pdf</t>
  </si>
  <si>
    <t>Melting_Curves/meltCurve_P0A7D4_purA.pdf</t>
  </si>
  <si>
    <t>Melting_Curves/meltCurve_P0A7D7_purC.pdf</t>
  </si>
  <si>
    <t>Melting_Curves/meltCurve_P0A7E1_pyrD.pdf</t>
  </si>
  <si>
    <t>Melting_Curves/meltCurve_P0A7E3_pyrE.pdf</t>
  </si>
  <si>
    <t>Melting_Curves/meltCurve_P0A7E5_pyrG.pdf</t>
  </si>
  <si>
    <t>Melting_Curves/meltCurve_P0A7E9_pyrH.pdf</t>
  </si>
  <si>
    <t>Melting_Curves/meltCurve_P0A7F3_pyrI.pdf</t>
  </si>
  <si>
    <t>Melting_Curves/meltCurve_P0A7F6_speD.pdf</t>
  </si>
  <si>
    <t>Melting_Curves/meltCurve_P0A7F9_queA.pdf</t>
  </si>
  <si>
    <t>Melting_Curves/meltCurve_P0A7G2_rbfA.pdf</t>
  </si>
  <si>
    <t>Melting_Curves/meltCurve_P0A7G6_recA.pdf</t>
  </si>
  <si>
    <t>Melting_Curves/meltCurve_P0A7I0_prfA.pdf</t>
  </si>
  <si>
    <t>Melting_Curves/meltCurve_P0A7I4_prfC.pdf</t>
  </si>
  <si>
    <t>Melting_Curves/meltCurve_P0A7I7_ribA.pdf</t>
  </si>
  <si>
    <t>Melting_Curves/meltCurve_P0A7J3_rplJ.pdf</t>
  </si>
  <si>
    <t>Melting_Curves/meltCurve_P0A7J7_rplK.pdf</t>
  </si>
  <si>
    <t>Melting_Curves/meltCurve_P0A7K2_rplL.pdf</t>
  </si>
  <si>
    <t>Melting_Curves/meltCurve_P0A7K6_rplS.pdf</t>
  </si>
  <si>
    <t>Melting_Curves/meltCurve_P0A7L0_rplA.pdf</t>
  </si>
  <si>
    <t>Melting_Curves/meltCurve_P0A7L3_rplT.pdf</t>
  </si>
  <si>
    <t>Melting_Curves/meltCurve_P0A7L8_rpmA.pdf</t>
  </si>
  <si>
    <t>Melting_Curves/meltCurve_P0A7M2_rpmB.pdf</t>
  </si>
  <si>
    <t>Melting_Curves/meltCurve_P0A7M6_rpmC.pdf</t>
  </si>
  <si>
    <t>Melting_Curves/meltCurve_P0A7M9_rpmE.pdf</t>
  </si>
  <si>
    <t>Melting_Curves/meltCurve_P0A7Q6_rpmJ.pdf</t>
  </si>
  <si>
    <t>Melting_Curves/meltCurve_P0A7R1_rplI.pdf</t>
  </si>
  <si>
    <t>Melting_Curves/meltCurve_P0A7R5_rpsJ.pdf</t>
  </si>
  <si>
    <t>Melting_Curves/meltCurve_P0A7R9_rpsK.pdf</t>
  </si>
  <si>
    <t>Melting_Curves/meltCurve_P0A7S3_rpsL.pdf</t>
  </si>
  <si>
    <t>Melting_Curves/meltCurve_P0A7S9_rpsM.pdf</t>
  </si>
  <si>
    <t>Melting_Curves/meltCurve_P0A7T3_rpsP.pdf</t>
  </si>
  <si>
    <t>Melting_Curves/meltCurve_P0A7T7_rpsR.pdf</t>
  </si>
  <si>
    <t>Melting_Curves/meltCurve_P0A7U3_rpsS.pdf</t>
  </si>
  <si>
    <t>Melting_Curves/meltCurve_P0A7U7_rpsT.pdf</t>
  </si>
  <si>
    <t>Melting_Curves/meltCurve_P0A7V0_rpsB.pdf</t>
  </si>
  <si>
    <t>Melting_Curves/meltCurve_P0A7V3_rpsC.pdf</t>
  </si>
  <si>
    <t>Melting_Curves/meltCurve_P0A7V8_rpsD.pdf</t>
  </si>
  <si>
    <t>Melting_Curves/meltCurve_P0A7W1_rpsE.pdf</t>
  </si>
  <si>
    <t>Melting_Curves/meltCurve_P0A7W7_rpsH.pdf</t>
  </si>
  <si>
    <t>Melting_Curves/meltCurve_P0A7X3_rpsI.pdf</t>
  </si>
  <si>
    <t>Melting_Curves/meltCurve_P0A7X6_rimM.pdf</t>
  </si>
  <si>
    <t>Melting_Curves/meltCurve_P0A7Y0_rnc.pdf</t>
  </si>
  <si>
    <t>Melting_Curves/meltCurve_P0A7Z0_rpiA.pdf</t>
  </si>
  <si>
    <t>Melting_Curves/meltCurve_P0A7Z4_rpoA.pdf</t>
  </si>
  <si>
    <t>Melting_Curves/meltCurve_P0A800_rpoZ.pdf</t>
  </si>
  <si>
    <t>Melting_Curves/meltCurve_P0A805_frr.pdf</t>
  </si>
  <si>
    <t>Melting_Curves/meltCurve_P0A809_ruvA.pdf</t>
  </si>
  <si>
    <t>Melting_Curves/meltCurve_P0A817_metK.pdf</t>
  </si>
  <si>
    <t>Melting_Curves/meltCurve_P0A821_selA.pdf</t>
  </si>
  <si>
    <t>Melting_Curves/meltCurve_P0A823_sfsA.pdf</t>
  </si>
  <si>
    <t>Melting_Curves/meltCurve_P0A825_glyA.pdf</t>
  </si>
  <si>
    <t>Melting_Curves/meltCurve_P0A830_dctA.pdf</t>
  </si>
  <si>
    <t>Melting_Curves/meltCurve_P0A832_smpB.pdf</t>
  </si>
  <si>
    <t>Melting_Curves/meltCurve_P0A836_sucC.pdf</t>
  </si>
  <si>
    <t>Melting_Curves/meltCurve_P0A840_surE.pdf</t>
  </si>
  <si>
    <t>Melting_Curves/meltCurve_P0A850_tig.pdf</t>
  </si>
  <si>
    <t>Melting_Curves/meltCurve_P0A853_tnaA.pdf</t>
  </si>
  <si>
    <t>Melting_Curves/meltCurve_P0A855_tolB.pdf</t>
  </si>
  <si>
    <t>Melting_Curves/meltCurve_P0A858_tpiA.pdf</t>
  </si>
  <si>
    <t>Melting_Curves/meltCurve_P0A862_tpx.pdf</t>
  </si>
  <si>
    <t>Melting_Curves/meltCurve_P0A867_talA.pdf</t>
  </si>
  <si>
    <t>Melting_Curves/meltCurve_P0A870_talB.pdf</t>
  </si>
  <si>
    <t>Melting_Curves/meltCurve_P0A873_trmD.pdf</t>
  </si>
  <si>
    <t>Melting_Curves/meltCurve_P0A877_trpA.pdf</t>
  </si>
  <si>
    <t>Melting_Curves/meltCurve_P0A879_trpB.pdf</t>
  </si>
  <si>
    <t>Melting_Curves/meltCurve_P0A881_trpR.pdf</t>
  </si>
  <si>
    <t>Melting_Curves/meltCurve_P0A884_thyA.pdf</t>
  </si>
  <si>
    <t>Melting_Curves/meltCurve_P0A887_ubiE.pdf</t>
  </si>
  <si>
    <t>Melting_Curves/meltCurve_P0A894_rapZ.pdf</t>
  </si>
  <si>
    <t>Melting_Curves/meltCurve_P0A898_ybeY.pdf</t>
  </si>
  <si>
    <t>Melting_Curves/meltCurve_P0A8A0_yebC.pdf</t>
  </si>
  <si>
    <t>Melting_Curves/meltCurve_P0A8A2_yeeN.pdf</t>
  </si>
  <si>
    <t>Melting_Curves/meltCurve_P0A8A4_ppsR.pdf</t>
  </si>
  <si>
    <t>Melting_Curves/meltCurve_P0A8B5_ybaB.pdf</t>
  </si>
  <si>
    <t>Melting_Curves/meltCurve_P0A8C1_ybjQ.pdf</t>
  </si>
  <si>
    <t>Melting_Curves/meltCurve_P0A8D0_nrdR.pdf</t>
  </si>
  <si>
    <t>Melting_Curves/meltCurve_P0A8D3_yaiI.pdf</t>
  </si>
  <si>
    <t>Melting_Curves/meltCurve_P0A8D6_ymdB.pdf</t>
  </si>
  <si>
    <t>Melting_Curves/meltCurve_P0A8E1_ycfP.pdf</t>
  </si>
  <si>
    <t>Melting_Curves/meltCurve_P0A8E5_yacL.pdf</t>
  </si>
  <si>
    <t>Melting_Curves/meltCurve_P0A8E7_yajQ.pdf</t>
  </si>
  <si>
    <t>Melting_Curves/meltCurve_P0A8F0_upp.pdf</t>
  </si>
  <si>
    <t>Melting_Curves/meltCurve_P0A8F8_uvrB.pdf</t>
  </si>
  <si>
    <t>Melting_Curves/meltCurve_P0A8G3_uxaC.pdf</t>
  </si>
  <si>
    <t>Melting_Curves/meltCurve_P0A8G6_wrbA.pdf</t>
  </si>
  <si>
    <t>Melting_Curves/meltCurve_P0A8G9_xseB.pdf</t>
  </si>
  <si>
    <t>Melting_Curves/meltCurve_P0A8H6_yihI.pdf</t>
  </si>
  <si>
    <t>Melting_Curves/meltCurve_P0A8I1_yqgF.pdf</t>
  </si>
  <si>
    <t>Melting_Curves/meltCurve_P0A8I3_yaaA.pdf</t>
  </si>
  <si>
    <t>Melting_Curves/meltCurve_P0A8I5_trmB.pdf</t>
  </si>
  <si>
    <t>Melting_Curves/meltCurve_P0A8J8_rhlB.pdf</t>
  </si>
  <si>
    <t>Melting_Curves/meltCurve_P0A8K1_psd.pdf</t>
  </si>
  <si>
    <t>Melting_Curves/meltCurve_P0A8L1_serS.pdf</t>
  </si>
  <si>
    <t>Melting_Curves/meltCurve_P0A8M0_asnS.pdf</t>
  </si>
  <si>
    <t>Melting_Curves/meltCurve_P0A8M3_thrS.pdf</t>
  </si>
  <si>
    <t>Melting_Curves/meltCurve_P0A8M6_yeeX.pdf</t>
  </si>
  <si>
    <t>Melting_Curves/meltCurve_P0A8N0_matP.pdf</t>
  </si>
  <si>
    <t>Melting_Curves/meltCurve_P0A8N3_lysS.pdf</t>
  </si>
  <si>
    <t>Melting_Curves/meltCurve_P0A8N5_lysU.pdf</t>
  </si>
  <si>
    <t>Melting_Curves/meltCurve_P0A8P3_yggX.pdf</t>
  </si>
  <si>
    <t>Melting_Curves/meltCurve_P0A8Q0_frdC.pdf</t>
  </si>
  <si>
    <t>Melting_Curves/meltCurve_P0A8Q3_frdD.pdf</t>
  </si>
  <si>
    <t>Melting_Curves/meltCurve_P0A8R0_rraA.pdf</t>
  </si>
  <si>
    <t>Melting_Curves/meltCurve_P0A8R4_slyX.pdf</t>
  </si>
  <si>
    <t>Melting_Curves/meltCurve_P0A8S1_argP.pdf</t>
  </si>
  <si>
    <t>Melting_Curves/meltCurve_P0A8T1_prmA.pdf</t>
  </si>
  <si>
    <t>Melting_Curves/meltCurve_P0A8T7_rpoC.pdf</t>
  </si>
  <si>
    <t>Melting_Curves/meltCurve_P0A8U2_yafD.pdf</t>
  </si>
  <si>
    <t>Melting_Curves/meltCurve_P0A8U6_metJ.pdf</t>
  </si>
  <si>
    <t>Melting_Curves/meltCurve_P0A8V0_rbn.pdf</t>
  </si>
  <si>
    <t>Melting_Curves/meltCurve_P0A8V2_rpoB.pdf</t>
  </si>
  <si>
    <t>Melting_Curves/meltCurve_P0A8V6_fadR.pdf</t>
  </si>
  <si>
    <t>Melting_Curves/meltCurve_P0A8W0_nanR.pdf</t>
  </si>
  <si>
    <t>Melting_Curves/meltCurve_P0A8W2_slyA.pdf</t>
  </si>
  <si>
    <t>Melting_Curves/meltCurve_P0A8W5_yqgE.pdf</t>
  </si>
  <si>
    <t>Melting_Curves/meltCurve_P0A8W8_yfbU.pdf</t>
  </si>
  <si>
    <t>Melting_Curves/meltCurve_P0A8X0_yjgA.pdf</t>
  </si>
  <si>
    <t>Melting_Curves/meltCurve_P0A8X2_yceI.pdf</t>
  </si>
  <si>
    <t>Melting_Curves/meltCurve_P0A8Y3_yihX.pdf</t>
  </si>
  <si>
    <t>Melting_Curves/meltCurve_P0A8Y5_yidA.pdf</t>
  </si>
  <si>
    <t>Melting_Curves/meltCurve_P0A8Z0_yciA.pdf</t>
  </si>
  <si>
    <t>Melting_Curves/meltCurve_P0A901_blc.pdf</t>
  </si>
  <si>
    <t>Melting_Curves/meltCurve_P0A903_bamC.pdf</t>
  </si>
  <si>
    <t>Melting_Curves/meltCurve_P0A905_slyB.pdf</t>
  </si>
  <si>
    <t>Melting_Curves/meltCurve_P0A910_ompA.pdf</t>
  </si>
  <si>
    <t>Melting_Curves/meltCurve_P0A912_pal.pdf</t>
  </si>
  <si>
    <t>Melting_Curves/meltCurve_P0A915_ompW.pdf</t>
  </si>
  <si>
    <t>Melting_Curves/meltCurve_P0A917_ompX.pdf</t>
  </si>
  <si>
    <t>Melting_Curves/meltCurve_P0A921_pldA.pdf</t>
  </si>
  <si>
    <t>Melting_Curves/meltCurve_P0A937_bamE.pdf</t>
  </si>
  <si>
    <t>Melting_Curves/meltCurve_P0A940_bamA.pdf</t>
  </si>
  <si>
    <t>Melting_Curves/meltCurve_P0A948_rimJ.pdf</t>
  </si>
  <si>
    <t>Melting_Curves/meltCurve_P0A953_fabB.pdf</t>
  </si>
  <si>
    <t>Melting_Curves/meltCurve_P0A955_eda.pdf</t>
  </si>
  <si>
    <t>Melting_Curves/meltCurve_P0A962_ansA.pdf</t>
  </si>
  <si>
    <t>Melting_Curves/meltCurve_P0A964_cheW.pdf</t>
  </si>
  <si>
    <t>Melting_Curves/meltCurve_P0A972_cspE.pdf</t>
  </si>
  <si>
    <t>Melting_Curves/meltCurve_P0A988_dnaN.pdf</t>
  </si>
  <si>
    <t>Melting_Curves/meltCurve_P0A991_fbaB.pdf</t>
  </si>
  <si>
    <t>Melting_Curves/meltCurve_P0A993_fbp.pdf</t>
  </si>
  <si>
    <t>Melting_Curves/meltCurve_P0A998_ftnA.pdf</t>
  </si>
  <si>
    <t>Melting_Curves/meltCurve_P0A9A6_ftsZ.pdf</t>
  </si>
  <si>
    <t>Melting_Curves/meltCurve_P0A9A9_fur.pdf</t>
  </si>
  <si>
    <t>Melting_Curves/meltCurve_P0A9B2_gapA.pdf</t>
  </si>
  <si>
    <t>Melting_Curves/meltCurve_P0A9C3_galM.pdf</t>
  </si>
  <si>
    <t>Melting_Curves/meltCurve_P0A9C5_glnA.pdf</t>
  </si>
  <si>
    <t>Melting_Curves/meltCurve_P0A9C9_glpX.pdf</t>
  </si>
  <si>
    <t>Melting_Curves/meltCurve_P0A9D2_gstA.pdf</t>
  </si>
  <si>
    <t>Melting_Curves/meltCurve_P0A9D4_cysE.pdf</t>
  </si>
  <si>
    <t>Melting_Curves/meltCurve_P0A9D8_dapD.pdf</t>
  </si>
  <si>
    <t>Melting_Curves/meltCurve_P0A9E5_fnr.pdf</t>
  </si>
  <si>
    <t>Melting_Curves/meltCurve_P0A9F1_mntR.pdf</t>
  </si>
  <si>
    <t>Melting_Curves/meltCurve_P0A9F3_cysB.pdf</t>
  </si>
  <si>
    <t>Melting_Curves/meltCurve_P0A9G6_aceA.pdf</t>
  </si>
  <si>
    <t>Melting_Curves/meltCurve_P0A9G8_modE.pdf</t>
  </si>
  <si>
    <t>Melting_Curves/meltCurve_P0A9H1_mug.pdf</t>
  </si>
  <si>
    <t>Melting_Curves/meltCurve_P0A9H5_btuR.pdf</t>
  </si>
  <si>
    <t>Melting_Curves/meltCurve_P0A9H7_cfa.pdf</t>
  </si>
  <si>
    <t>Melting_Curves/meltCurve_P0A9H9_cheZ.pdf</t>
  </si>
  <si>
    <t>Melting_Curves/meltCurve_P0A9J0_rng.pdf</t>
  </si>
  <si>
    <t>Melting_Curves/meltCurve_P0A9J6_rbsK.pdf</t>
  </si>
  <si>
    <t>Melting_Curves/meltCurve_P0A9J8_pheA.pdf</t>
  </si>
  <si>
    <t>Melting_Curves/meltCurve_P0A9K3_ybeZ.pdf</t>
  </si>
  <si>
    <t>Melting_Curves/meltCurve_P0A9K7_phoU.pdf</t>
  </si>
  <si>
    <t>Melting_Curves/meltCurve_P0A9K9_slyD.pdf</t>
  </si>
  <si>
    <t>Melting_Curves/meltCurve_P0A9L3_fklB.pdf</t>
  </si>
  <si>
    <t>Melting_Curves/meltCurve_P0A9L5_ppiC.pdf</t>
  </si>
  <si>
    <t>Melting_Curves/meltCurve_P0A9L8_proC.pdf</t>
  </si>
  <si>
    <t>Melting_Curves/meltCurve_P0A9M0_lon.pdf</t>
  </si>
  <si>
    <t>Melting_Curves/meltCurve_P0A9M2_hpt.pdf</t>
  </si>
  <si>
    <t>Melting_Curves/meltCurve_P0A9M5_gpt.pdf</t>
  </si>
  <si>
    <t>Melting_Curves/meltCurve_P0A9M8_pta.pdf</t>
  </si>
  <si>
    <t>Melting_Curves/meltCurve_P0A9N0_ptsO.pdf</t>
  </si>
  <si>
    <t>Melting_Curves/meltCurve_P0A9N4_pflA.pdf</t>
  </si>
  <si>
    <t>Melting_Curves/meltCurve_P0A9P0_lpdA.pdf</t>
  </si>
  <si>
    <t>Melting_Curves/meltCurve_P0A9P4_trxB.pdf</t>
  </si>
  <si>
    <t>Melting_Curves/meltCurve_P0A9Q1_arcA.pdf</t>
  </si>
  <si>
    <t>Melting_Curves/meltCurve_P0A9Q5_accD.pdf</t>
  </si>
  <si>
    <t>Melting_Curves/meltCurve_P0A9Q7_adhE.pdf</t>
  </si>
  <si>
    <t>Melting_Curves/meltCurve_P0A9Q9_asd.pdf</t>
  </si>
  <si>
    <t>Melting_Curves/meltCurve_P0A9R4_fdx.pdf</t>
  </si>
  <si>
    <t>Melting_Curves/meltCurve_P0A9R7_ftsE.pdf</t>
  </si>
  <si>
    <t>Melting_Curves/meltCurve_P0A9S1_fucO.pdf</t>
  </si>
  <si>
    <t>Melting_Curves/meltCurve_P0A9S3_gatD.pdf</t>
  </si>
  <si>
    <t>Melting_Curves/meltCurve_P0A9S5_gldA.pdf</t>
  </si>
  <si>
    <t>Melting_Curves/meltCurve_P0A9T0_serA.pdf</t>
  </si>
  <si>
    <t>Melting_Curves/meltCurve_P0A9T4_tas.pdf</t>
  </si>
  <si>
    <t>Melting_Curves/meltCurve_P0A9T8_ybbA.pdf</t>
  </si>
  <si>
    <t>Melting_Curves/meltCurve_P0A9U3_ybiT.pdf</t>
  </si>
  <si>
    <t>Melting_Curves/meltCurve_P0A9U6_puuR.pdf</t>
  </si>
  <si>
    <t>Melting_Curves/meltCurve_P0A9V1_lptB.pdf</t>
  </si>
  <si>
    <t>Melting_Curves/meltCurve_P0A9V5_yiaG.pdf</t>
  </si>
  <si>
    <t>Melting_Curves/meltCurve_P0A9W0_ulaR.pdf</t>
  </si>
  <si>
    <t>Melting_Curves/meltCurve_P0A9W3_ettA.pdf</t>
  </si>
  <si>
    <t>Melting_Curves/meltCurve_P0A9W6_ibaG.pdf</t>
  </si>
  <si>
    <t>Melting_Curves/meltCurve_P0A9X4_mreB.pdf</t>
  </si>
  <si>
    <t>Melting_Curves/meltCurve_P0A9X9_cspA.pdf</t>
  </si>
  <si>
    <t>Melting_Curves/meltCurve_P0A9Y6_cspC.pdf</t>
  </si>
  <si>
    <t>Melting_Curves/meltCurve_P0A9Z1_glnB.pdf</t>
  </si>
  <si>
    <t>Melting_Curves/meltCurve_P0AA04_ptsH.pdf</t>
  </si>
  <si>
    <t>Melting_Curves/meltCurve_P0AA10_rplM.pdf</t>
  </si>
  <si>
    <t>Melting_Curves/meltCurve_P0AA16_ompR.pdf</t>
  </si>
  <si>
    <t>Melting_Curves/meltCurve_P0AA25_trxA.pdf</t>
  </si>
  <si>
    <t>Melting_Curves/meltCurve_P0AA37_rluA.pdf</t>
  </si>
  <si>
    <t>Melting_Curves/meltCurve_P0AA39_rluC.pdf</t>
  </si>
  <si>
    <t>Melting_Curves/meltCurve_P0AA43_rsuA.pdf</t>
  </si>
  <si>
    <t>Melting_Curves/meltCurve_P0AA53_qmcA.pdf</t>
  </si>
  <si>
    <t>Melting_Curves/meltCurve_P0AA57_yobA.pdf</t>
  </si>
  <si>
    <t>Melting_Curves/meltCurve_P0AA63_yqjA.pdf</t>
  </si>
  <si>
    <t>Melting_Curves/meltCurve_P0AA91_yeaY.pdf</t>
  </si>
  <si>
    <t>Melting_Curves/meltCurve_P0AAA1_yagU.pdf</t>
  </si>
  <si>
    <t>Melting_Curves/meltCurve_P0AAB4_ubiD.pdf</t>
  </si>
  <si>
    <t>Melting_Curves/meltCurve_P0AAB6_galF.pdf</t>
  </si>
  <si>
    <t>Melting_Curves/meltCurve_P0AAB8_uspD.pdf</t>
  </si>
  <si>
    <t>Melting_Curves/meltCurve_P0AAC0_uspE.pdf</t>
  </si>
  <si>
    <t>Melting_Curves/meltCurve_P0AAC4_ybhL.pdf</t>
  </si>
  <si>
    <t>Melting_Curves/meltCurve_P0AAC8_iscA.pdf</t>
  </si>
  <si>
    <t>Melting_Curves/meltCurve_P0AAF6_artP.pdf</t>
  </si>
  <si>
    <t>Melting_Curves/meltCurve_P0AAG0_dppD.pdf</t>
  </si>
  <si>
    <t>Melting_Curves/meltCurve_P0AAG8_mglA.pdf</t>
  </si>
  <si>
    <t>Melting_Curves/meltCurve_P0AAH0_pstB.pdf</t>
  </si>
  <si>
    <t>Melting_Curves/meltCurve_P0AAH8_sapF.pdf</t>
  </si>
  <si>
    <t>Melting_Curves/meltCurve_P0AAI3_ftsH.pdf</t>
  </si>
  <si>
    <t>Melting_Curves/meltCurve_P0AAI5_fabF.pdf</t>
  </si>
  <si>
    <t>Melting_Curves/meltCurve_P0AAI9_fabD.pdf</t>
  </si>
  <si>
    <t>Melting_Curves/meltCurve_P0AAJ5_fdoH.pdf</t>
  </si>
  <si>
    <t>Melting_Curves/meltCurve_P0AAJ8_hybA.pdf</t>
  </si>
  <si>
    <t>Melting_Curves/meltCurve_P0AAN3_hypB.pdf</t>
  </si>
  <si>
    <t>Melting_Curves/meltCurve_P0AAN5_yaiA.pdf</t>
  </si>
  <si>
    <t>Melting_Curves/meltCurve_P0AAN9_iraP.pdf</t>
  </si>
  <si>
    <t>Melting_Curves/meltCurve_P0AAP3_frmR.pdf</t>
  </si>
  <si>
    <t>Melting_Curves/meltCurve_P0AAQ2_yajD.pdf</t>
  </si>
  <si>
    <t>Melting_Curves/meltCurve_P0AAQ6_ybaA.pdf</t>
  </si>
  <si>
    <t>Melting_Curves/meltCurve_P0AAR3_ybaK.pdf</t>
  </si>
  <si>
    <t>Melting_Curves/meltCurve_P0AAS0_ylaC.pdf</t>
  </si>
  <si>
    <t>Melting_Curves/meltCurve_P0AAS3_ybbJ.pdf</t>
  </si>
  <si>
    <t>Melting_Curves/meltCurve_P0AAS7_ybcJ.pdf</t>
  </si>
  <si>
    <t>Melting_Curves/meltCurve_P0AAT2_ybdF.pdf</t>
  </si>
  <si>
    <t>Melting_Curves/meltCurve_P0AAT9_ybeL.pdf</t>
  </si>
  <si>
    <t>Melting_Curves/meltCurve_P0AAU7_ybfE.pdf</t>
  </si>
  <si>
    <t>Melting_Curves/meltCurve_P0AAV0_ybgE.pdf</t>
  </si>
  <si>
    <t>Melting_Curves/meltCurve_P0AAV4_ybgJ.pdf</t>
  </si>
  <si>
    <t>Melting_Curves/meltCurve_P0AAV6_ybgS.pdf</t>
  </si>
  <si>
    <t>Melting_Curves/meltCurve_P0AAW1_ybhP.pdf</t>
  </si>
  <si>
    <t>Melting_Curves/meltCurve_P0AAX8_ybiS.pdf</t>
  </si>
  <si>
    <t>Melting_Curves/meltCurve_P0AAY6_ybjN.pdf</t>
  </si>
  <si>
    <t>Melting_Curves/meltCurve_P0AAZ7_ycaR.pdf</t>
  </si>
  <si>
    <t>Melting_Curves/meltCurve_P0AB03_ycbJ.pdf</t>
  </si>
  <si>
    <t>Melting_Curves/meltCurve_P0AB12_yccF.pdf</t>
  </si>
  <si>
    <t>Melting_Curves/meltCurve_P0AB18_tusE.pdf</t>
  </si>
  <si>
    <t>Melting_Curves/meltCurve_P0AB20_hspQ.pdf</t>
  </si>
  <si>
    <t>Melting_Curves/meltCurve_P0AB24_efeO.pdf</t>
  </si>
  <si>
    <t>Melting_Curves/meltCurve_P0AB26_yceB.pdf</t>
  </si>
  <si>
    <t>Melting_Curves/meltCurve_P0AB28_yceD.pdf</t>
  </si>
  <si>
    <t>Melting_Curves/meltCurve_P0AB38_lpoB.pdf</t>
  </si>
  <si>
    <t>Melting_Curves/meltCurve_P0AB43_ycgL.pdf</t>
  </si>
  <si>
    <t>Melting_Curves/meltCurve_P0AB52_ychN.pdf</t>
  </si>
  <si>
    <t>Melting_Curves/meltCurve_P0AB55_yciI.pdf</t>
  </si>
  <si>
    <t>Melting_Curves/meltCurve_P0AB61_yciN.pdf</t>
  </si>
  <si>
    <t>Melting_Curves/meltCurve_P0AB65_yccX.pdf</t>
  </si>
  <si>
    <t>Melting_Curves/meltCurve_P0AB67_pntB.pdf</t>
  </si>
  <si>
    <t>Melting_Curves/meltCurve_P0AB71_fbaA.pdf</t>
  </si>
  <si>
    <t>Melting_Curves/meltCurve_P0AB77_kbl.pdf</t>
  </si>
  <si>
    <t>Melting_Curves/meltCurve_P0AB80_ilvE.pdf</t>
  </si>
  <si>
    <t>Melting_Curves/meltCurve_P0AB89_purB.pdf</t>
  </si>
  <si>
    <t>Melting_Curves/meltCurve_P0AB91_aroG.pdf</t>
  </si>
  <si>
    <t>Melting_Curves/meltCurve_P0AB98_atpB.pdf</t>
  </si>
  <si>
    <t>Melting_Curves/meltCurve_P0ABA0_atpF.pdf</t>
  </si>
  <si>
    <t>Melting_Curves/meltCurve_P0ABA4_atpH.pdf</t>
  </si>
  <si>
    <t>Melting_Curves/meltCurve_P0ABA6_atpG.pdf</t>
  </si>
  <si>
    <t>Melting_Curves/meltCurve_P0ABB0_atpA.pdf</t>
  </si>
  <si>
    <t>Melting_Curves/meltCurve_P0ABB4_atpD.pdf</t>
  </si>
  <si>
    <t>Melting_Curves/meltCurve_P0ABB8_mgtA.pdf</t>
  </si>
  <si>
    <t>Melting_Curves/meltCurve_P0ABC3_hflC.pdf</t>
  </si>
  <si>
    <t>Melting_Curves/meltCurve_P0ABC7_hflK.pdf</t>
  </si>
  <si>
    <t>Melting_Curves/meltCurve_P0ABD3_bfr.pdf</t>
  </si>
  <si>
    <t>Melting_Curves/meltCurve_P0ABD5_accA.pdf</t>
  </si>
  <si>
    <t>Melting_Curves/meltCurve_P0ABD8_accB.pdf</t>
  </si>
  <si>
    <t>Melting_Curves/meltCurve_P0ABE2_bolA.pdf</t>
  </si>
  <si>
    <t>Melting_Curves/meltCurve_P0ABE5_cybB.pdf</t>
  </si>
  <si>
    <t>Melting_Curves/meltCurve_P0ABF6_cdd.pdf</t>
  </si>
  <si>
    <t>Melting_Curves/meltCurve_P0ABF8_pgsA.pdf</t>
  </si>
  <si>
    <t>Melting_Curves/meltCurve_P0ABG7_mrdB.pdf</t>
  </si>
  <si>
    <t>Melting_Curves/meltCurve_P0ABH0_ftsA.pdf</t>
  </si>
  <si>
    <t>Melting_Curves/meltCurve_P0ABH7_gltA.pdf</t>
  </si>
  <si>
    <t>Melting_Curves/meltCurve_P0ABH9_clpA.pdf</t>
  </si>
  <si>
    <t>Melting_Curves/meltCurve_P0ABI8_cyoB.pdf</t>
  </si>
  <si>
    <t>Melting_Curves/meltCurve_P0ABJ1_cyoA.pdf</t>
  </si>
  <si>
    <t>Melting_Curves/meltCurve_P0ABJ9_cydA.pdf</t>
  </si>
  <si>
    <t>Melting_Curves/meltCurve_P0ABK2_cydB.pdf</t>
  </si>
  <si>
    <t>Melting_Curves/meltCurve_P0ABK5_cysK.pdf</t>
  </si>
  <si>
    <t>Melting_Curves/meltCurve_P0ABN1_dgkA.pdf</t>
  </si>
  <si>
    <t>Melting_Curves/meltCurve_P0ABN5_dcuA.pdf</t>
  </si>
  <si>
    <t>Melting_Curves/meltCurve_P0ABP8_deoD.pdf</t>
  </si>
  <si>
    <t>Melting_Curves/meltCurve_P0ABQ0_coaBC.pdf</t>
  </si>
  <si>
    <t>Melting_Curves/meltCurve_P0ABQ2_garR.pdf</t>
  </si>
  <si>
    <t>Melting_Curves/meltCurve_P0ABQ4_folA.pdf</t>
  </si>
  <si>
    <t>Melting_Curves/meltCurve_P0ABS1_dksA.pdf</t>
  </si>
  <si>
    <t>Melting_Curves/meltCurve_P0ABS5_dnaG.pdf</t>
  </si>
  <si>
    <t>Melting_Curves/meltCurve_P0ABT2_dps.pdf</t>
  </si>
  <si>
    <t>Melting_Curves/meltCurve_P0ABU0_menB.pdf</t>
  </si>
  <si>
    <t>Melting_Curves/meltCurve_P0ABU2_ychF.pdf</t>
  </si>
  <si>
    <t>Melting_Curves/meltCurve_P0ABU5_elbB.pdf</t>
  </si>
  <si>
    <t>Melting_Curves/meltCurve_P0ABU7_exbB.pdf</t>
  </si>
  <si>
    <t>Melting_Curves/meltCurve_P0ABU9_tolQ.pdf</t>
  </si>
  <si>
    <t>Melting_Curves/meltCurve_P0ABV2_exbD.pdf</t>
  </si>
  <si>
    <t>Melting_Curves/meltCurve_P0ABV6_tolR.pdf</t>
  </si>
  <si>
    <t>Melting_Curves/meltCurve_P0ABX8_fliL.pdf</t>
  </si>
  <si>
    <t>Melting_Curves/meltCurve_P0ABY4_fldB.pdf</t>
  </si>
  <si>
    <t>Melting_Curves/meltCurve_P0ABZ1_fliG.pdf</t>
  </si>
  <si>
    <t>Melting_Curves/meltCurve_P0ABZ4_kdsC.pdf</t>
  </si>
  <si>
    <t>Melting_Curves/meltCurve_P0ABZ6_surA.pdf</t>
  </si>
  <si>
    <t>Melting_Curves/meltCurve_P0AC02_bamD.pdf</t>
  </si>
  <si>
    <t>Melting_Curves/meltCurve_P0AC13_folP.pdf</t>
  </si>
  <si>
    <t>Melting_Curves/meltCurve_P0AC19_folX.pdf</t>
  </si>
  <si>
    <t>Melting_Curves/meltCurve_P0AC23_focA.pdf</t>
  </si>
  <si>
    <t>Melting_Curves/meltCurve_P0AC30_ftsX.pdf</t>
  </si>
  <si>
    <t>Melting_Curves/meltCurve_P0AC33_fumA.pdf</t>
  </si>
  <si>
    <t>Melting_Curves/meltCurve_P0AC38_aspA.pdf</t>
  </si>
  <si>
    <t>Melting_Curves/meltCurve_P0AC41_sdhA.pdf</t>
  </si>
  <si>
    <t>Melting_Curves/meltCurve_P0AC44_sdhD.pdf</t>
  </si>
  <si>
    <t>Melting_Curves/meltCurve_P0AC47_frdB.pdf</t>
  </si>
  <si>
    <t>Melting_Curves/meltCurve_P0AC51_zur.pdf</t>
  </si>
  <si>
    <t>Melting_Curves/meltCurve_P0AC53_zwf.pdf</t>
  </si>
  <si>
    <t>Melting_Curves/meltCurve_P0AC59_grxB.pdf</t>
  </si>
  <si>
    <t>Melting_Curves/meltCurve_P0AC62_grxC.pdf</t>
  </si>
  <si>
    <t>Melting_Curves/meltCurve_P0AC69_grxD.pdf</t>
  </si>
  <si>
    <t>Melting_Curves/meltCurve_P0AC81_gloA.pdf</t>
  </si>
  <si>
    <t>Melting_Curves/meltCurve_P0AC84_gloB.pdf</t>
  </si>
  <si>
    <t>Melting_Curves/meltCurve_P0AC92_gnsA.pdf</t>
  </si>
  <si>
    <t>Melting_Curves/meltCurve_P0ACA1_yibF.pdf</t>
  </si>
  <si>
    <t>Melting_Curves/meltCurve_P0ACA3_sspA.pdf</t>
  </si>
  <si>
    <t>Melting_Curves/meltCurve_P0ACA7_gstB.pdf</t>
  </si>
  <si>
    <t>Melting_Curves/meltCurve_P0ACB0_dnaB.pdf</t>
  </si>
  <si>
    <t>Melting_Curves/meltCurve_P0ACB2_hemB.pdf</t>
  </si>
  <si>
    <t>Melting_Curves/meltCurve_P0ACB7_hemY.pdf</t>
  </si>
  <si>
    <t>Melting_Curves/meltCurve_P0ACC3_erpA.pdf</t>
  </si>
  <si>
    <t>Melting_Curves/meltCurve_P0ACC7_glmU.pdf</t>
  </si>
  <si>
    <t>Melting_Curves/meltCurve_P0ACD4_iscU.pdf</t>
  </si>
  <si>
    <t>Melting_Curves/meltCurve_P0ACD8_hyaB.pdf</t>
  </si>
  <si>
    <t>Melting_Curves/meltCurve_P0ACE0_hybC.pdf</t>
  </si>
  <si>
    <t>Melting_Curves/meltCurve_P0ACE7_hinT.pdf</t>
  </si>
  <si>
    <t>Melting_Curves/meltCurve_P0ACF0_hupA.pdf</t>
  </si>
  <si>
    <t>Melting_Curves/meltCurve_P0ACF4_hupB.pdf</t>
  </si>
  <si>
    <t>Melting_Curves/meltCurve_P0ACF8_hns.pdf</t>
  </si>
  <si>
    <t>Melting_Curves/meltCurve_P0ACG1_stpA.pdf</t>
  </si>
  <si>
    <t>Melting_Curves/meltCurve_P0ACI0_rob.pdf</t>
  </si>
  <si>
    <t>Melting_Curves/meltCurve_P0ACJ0_lrp.pdf</t>
  </si>
  <si>
    <t>Melting_Curves/meltCurve_P0ACJ8_crp.pdf</t>
  </si>
  <si>
    <t>Melting_Curves/meltCurve_P0ACK2_agaR.pdf</t>
  </si>
  <si>
    <t>Melting_Curves/meltCurve_P0ACL2_exuR.pdf</t>
  </si>
  <si>
    <t>Melting_Curves/meltCurve_P0ACM5_yegW.pdf</t>
  </si>
  <si>
    <t>Melting_Curves/meltCurve_P0ACN4_allR.pdf</t>
  </si>
  <si>
    <t>Melting_Curves/meltCurve_P0ACN7_cytR.pdf</t>
  </si>
  <si>
    <t>Melting_Curves/meltCurve_P0ACP5_gntR.pdf</t>
  </si>
  <si>
    <t>Melting_Curves/meltCurve_P0ACP7_purR.pdf</t>
  </si>
  <si>
    <t>Melting_Curves/meltCurve_P0ACQ4_oxyR.pdf</t>
  </si>
  <si>
    <t>Melting_Curves/meltCurve_P0ACR4_yeiE.pdf</t>
  </si>
  <si>
    <t>Melting_Curves/meltCurve_P0ACR9_mprA.pdf</t>
  </si>
  <si>
    <t>Melting_Curves/meltCurve_P0ACS7_rpiR.pdf</t>
  </si>
  <si>
    <t>Melting_Curves/meltCurve_P0ACU2_rutR.pdf</t>
  </si>
  <si>
    <t>Melting_Curves/meltCurve_P0ACU7_yjdC.pdf</t>
  </si>
  <si>
    <t>Melting_Curves/meltCurve_P0ACV4_lapA.pdf</t>
  </si>
  <si>
    <t>Melting_Curves/meltCurve_P0ACV6_mpaA.pdf</t>
  </si>
  <si>
    <t>Melting_Curves/meltCurve_P0ACW6_ydcH.pdf</t>
  </si>
  <si>
    <t>Melting_Curves/meltCurve_P0ACX3_ydhR.pdf</t>
  </si>
  <si>
    <t>Melting_Curves/meltCurve_P0ACX5_ydhZ.pdf</t>
  </si>
  <si>
    <t>Melting_Curves/meltCurve_P0ACY1_ydjA.pdf</t>
  </si>
  <si>
    <t>Melting_Curves/meltCurve_P0ACY3_yeaG.pdf</t>
  </si>
  <si>
    <t>Melting_Curves/meltCurve_P0ACY9_yebG.pdf</t>
  </si>
  <si>
    <t>Melting_Curves/meltCurve_P0ACZ4_evgA.pdf</t>
  </si>
  <si>
    <t>Melting_Curves/meltCurve_P0AD05_yecA.pdf</t>
  </si>
  <si>
    <t>Melting_Curves/meltCurve_P0AD10_yecJ.pdf</t>
  </si>
  <si>
    <t>Melting_Curves/meltCurve_P0AD12_yeeZ.pdf</t>
  </si>
  <si>
    <t>Melting_Curves/meltCurve_P0AD33_yfcZ.pdf</t>
  </si>
  <si>
    <t>Melting_Curves/meltCurve_P0AD44_yfhG.pdf</t>
  </si>
  <si>
    <t>Melting_Curves/meltCurve_P0AD47_yphA.pdf</t>
  </si>
  <si>
    <t>Melting_Curves/meltCurve_P0AD49_raiA.pdf</t>
  </si>
  <si>
    <t>Melting_Curves/meltCurve_P0AD57_ispB.pdf</t>
  </si>
  <si>
    <t>Melting_Curves/meltCurve_P0AD59_ivy.pdf</t>
  </si>
  <si>
    <t>Melting_Curves/meltCurve_P0AD61_pykF.pdf</t>
  </si>
  <si>
    <t>Melting_Curves/meltCurve_P0AD96_livJ.pdf</t>
  </si>
  <si>
    <t>Melting_Curves/meltCurve_P0ADA1_tesA.pdf</t>
  </si>
  <si>
    <t>Melting_Curves/meltCurve_P0ADA3_nlpD.pdf</t>
  </si>
  <si>
    <t>Melting_Curves/meltCurve_P0ADA5_yajG.pdf</t>
  </si>
  <si>
    <t>Melting_Curves/meltCurve_P0ADB1_osmE.pdf</t>
  </si>
  <si>
    <t>Melting_Curves/meltCurve_P0ADC1_lptE.pdf</t>
  </si>
  <si>
    <t>Melting_Curves/meltCurve_P0ADC6_lptG.pdf</t>
  </si>
  <si>
    <t>Melting_Curves/meltCurve_P0ADE6_ygaU.pdf</t>
  </si>
  <si>
    <t>Melting_Curves/meltCurve_P0ADE8_ygfZ.pdf</t>
  </si>
  <si>
    <t>Melting_Curves/meltCurve_P0ADF8_ilvN.pdf</t>
  </si>
  <si>
    <t>Melting_Curves/meltCurve_P0ADG4_suhB.pdf</t>
  </si>
  <si>
    <t>Melting_Curves/meltCurve_P0ADG7_guaB.pdf</t>
  </si>
  <si>
    <t>Melting_Curves/meltCurve_P0ADI4_entB.pdf</t>
  </si>
  <si>
    <t>Melting_Curves/meltCurve_P0ADI7_yecD.pdf</t>
  </si>
  <si>
    <t>Melting_Curves/meltCurve_P0ADK0_yiaF.pdf</t>
  </si>
  <si>
    <t>Melting_Curves/meltCurve_P0ADK8_yibL.pdf</t>
  </si>
  <si>
    <t>Melting_Curves/meltCurve_P0ADN2_yifE.pdf</t>
  </si>
  <si>
    <t>Melting_Curves/meltCurve_P0ADN6_yifL.pdf</t>
  </si>
  <si>
    <t>Melting_Curves/meltCurve_P0ADP7_ubiJ.pdf</t>
  </si>
  <si>
    <t>Melting_Curves/meltCurve_P0ADP9_yihD.pdf</t>
  </si>
  <si>
    <t>Melting_Curves/meltCurve_P0ADQ7_ygaM.pdf</t>
  </si>
  <si>
    <t>Melting_Curves/meltCurve_P0ADR6_rlmM.pdf</t>
  </si>
  <si>
    <t>Melting_Curves/meltCurve_P0ADR8_ygdH.pdf</t>
  </si>
  <si>
    <t>Melting_Curves/meltCurve_P0ADS2_zapA.pdf</t>
  </si>
  <si>
    <t>Melting_Curves/meltCurve_P0ADS6_yggE.pdf</t>
  </si>
  <si>
    <t>Melting_Curves/meltCurve_P0ADS9_yggN.pdf</t>
  </si>
  <si>
    <t>Melting_Curves/meltCurve_P0ADT2_ygiB.pdf</t>
  </si>
  <si>
    <t>Melting_Curves/meltCurve_P0ADT5_ygiC.pdf</t>
  </si>
  <si>
    <t>Melting_Curves/meltCurve_P0ADT8_ygiM.pdf</t>
  </si>
  <si>
    <t>Melting_Curves/meltCurve_P0ADU2_ygiN.pdf</t>
  </si>
  <si>
    <t>Melting_Curves/meltCurve_P0ADU5_ygiW.pdf</t>
  </si>
  <si>
    <t>Melting_Curves/meltCurve_P0ADV1_lptA.pdf</t>
  </si>
  <si>
    <t>Melting_Curves/meltCurve_P0ADV5_yhbW.pdf</t>
  </si>
  <si>
    <t>Melting_Curves/meltCurve_P0ADV7_mlaC.pdf</t>
  </si>
  <si>
    <t>Melting_Curves/meltCurve_P0ADV9_lptC.pdf</t>
  </si>
  <si>
    <t>Melting_Curves/meltCurve_P0ADW3_yhcB.pdf</t>
  </si>
  <si>
    <t>Melting_Curves/meltCurve_P0ADX1_yhfA.pdf</t>
  </si>
  <si>
    <t>Melting_Curves/meltCurve_P0ADX5_yhfG.pdf</t>
  </si>
  <si>
    <t>Melting_Curves/meltCurve_P0ADX7_yhhA.pdf</t>
  </si>
  <si>
    <t>Melting_Curves/meltCurve_P0ADY1_ppiD.pdf</t>
  </si>
  <si>
    <t>Melting_Curves/meltCurve_P0ADY3_rplN.pdf</t>
  </si>
  <si>
    <t>Melting_Curves/meltCurve_P0ADY7_rplP.pdf</t>
  </si>
  <si>
    <t>Melting_Curves/meltCurve_P0ADZ0_rplW.pdf</t>
  </si>
  <si>
    <t>Melting_Curves/meltCurve_P0ADZ4_rpsO.pdf</t>
  </si>
  <si>
    <t>Melting_Curves/meltCurve_P0ADZ7_yajC.pdf</t>
  </si>
  <si>
    <t>Melting_Curves/meltCurve_P0AE01_trmJ.pdf</t>
  </si>
  <si>
    <t>Melting_Curves/meltCurve_P0AE06_acrA.pdf</t>
  </si>
  <si>
    <t>Melting_Curves/meltCurve_P0AE08_ahpC.pdf</t>
  </si>
  <si>
    <t>Melting_Curves/meltCurve_P0AE12_amn.pdf</t>
  </si>
  <si>
    <t>Melting_Curves/meltCurve_P0AE18_map.pdf</t>
  </si>
  <si>
    <t>Melting_Curves/meltCurve_P0AE22_aphA.pdf</t>
  </si>
  <si>
    <t>Melting_Curves/meltCurve_P0AE37_astA.pdf</t>
  </si>
  <si>
    <t>Melting_Curves/meltCurve_P0AE48_ytfP.pdf</t>
  </si>
  <si>
    <t>Melting_Curves/meltCurve_P0AE52_bcp.pdf</t>
  </si>
  <si>
    <t>Melting_Curves/meltCurve_P0AE60_cedA.pdf</t>
  </si>
  <si>
    <t>Melting_Curves/meltCurve_P0AE63_chaB.pdf</t>
  </si>
  <si>
    <t>Melting_Curves/meltCurve_P0AE67_cheY.pdf</t>
  </si>
  <si>
    <t>Melting_Curves/meltCurve_P0AE70_mazF.pdf</t>
  </si>
  <si>
    <t>Melting_Curves/meltCurve_P0AE78_corC.pdf</t>
  </si>
  <si>
    <t>Melting_Curves/meltCurve_P0AE82_cpxA.pdf</t>
  </si>
  <si>
    <t>Melting_Curves/meltCurve_P0AE85_cpxP.pdf</t>
  </si>
  <si>
    <t>Melting_Curves/meltCurve_P0AE88_cpxR.pdf</t>
  </si>
  <si>
    <t>Melting_Curves/meltCurve_P0AE91_creA.pdf</t>
  </si>
  <si>
    <t>Melting_Curves/meltCurve_P0AEA8_cysG.pdf</t>
  </si>
  <si>
    <t>Melting_Curves/meltCurve_P0AEB2_dacA.pdf</t>
  </si>
  <si>
    <t>Melting_Curves/meltCurve_P0AEB7_yoaB.pdf</t>
  </si>
  <si>
    <t>Melting_Curves/meltCurve_P0AEC5_barA.pdf</t>
  </si>
  <si>
    <t>Melting_Curves/meltCurve_P0AED0_uspA.pdf</t>
  </si>
  <si>
    <t>Melting_Curves/meltCurve_P0AED7_dapE.pdf</t>
  </si>
  <si>
    <t>Melting_Curves/meltCurve_P0AEE1_dcrB.pdf</t>
  </si>
  <si>
    <t>Melting_Curves/meltCurve_P0AEE3_degS.pdf</t>
  </si>
  <si>
    <t>Melting_Curves/meltCurve_P0AEE5_mglB.pdf</t>
  </si>
  <si>
    <t>Melting_Curves/meltCurve_P0AEG1_dppC.pdf</t>
  </si>
  <si>
    <t>Melting_Curves/meltCurve_P0AEG4_dsbA.pdf</t>
  </si>
  <si>
    <t>Melting_Curves/meltCurve_P0AEG6_dsbC.pdf</t>
  </si>
  <si>
    <t>Melting_Curves/meltCurve_P0AEH1_rseP.pdf</t>
  </si>
  <si>
    <t>Melting_Curves/meltCurve_P0AEH3_elaA.pdf</t>
  </si>
  <si>
    <t>Melting_Curves/meltCurve_P0AEH5_elaB.pdf</t>
  </si>
  <si>
    <t>Melting_Curves/meltCurve_P0AEI1_miaB.pdf</t>
  </si>
  <si>
    <t>Melting_Curves/meltCurve_P0AEI4_rimO.pdf</t>
  </si>
  <si>
    <t>Melting_Curves/meltCurve_P0AEJ4_envZ.pdf</t>
  </si>
  <si>
    <t>Melting_Curves/meltCurve_P0AEJ6_eutB.pdf</t>
  </si>
  <si>
    <t>Melting_Curves/meltCurve_P0AEK2_fabG.pdf</t>
  </si>
  <si>
    <t>Melting_Curves/meltCurve_P0AEK4_fabI.pdf</t>
  </si>
  <si>
    <t>Melting_Curves/meltCurve_P0AEL6_fepB.pdf</t>
  </si>
  <si>
    <t>Melting_Curves/meltCurve_P0AEM4_flgM.pdf</t>
  </si>
  <si>
    <t>Melting_Curves/meltCurve_P0AEM6_fliA.pdf</t>
  </si>
  <si>
    <t>Melting_Curves/meltCurve_P0AEM9_fliY.pdf</t>
  </si>
  <si>
    <t>Melting_Curves/meltCurve_P0AEN1_fre.pdf</t>
  </si>
  <si>
    <t>Melting_Curves/meltCurve_P0AEN8_fucU.pdf</t>
  </si>
  <si>
    <t>Melting_Curves/meltCurve_P0AEP3_galU.pdf</t>
  </si>
  <si>
    <t>Melting_Curves/meltCurve_P0AEP7_gcl.pdf</t>
  </si>
  <si>
    <t>Melting_Curves/meltCurve_P0AEQ1_glcG.pdf</t>
  </si>
  <si>
    <t>Melting_Curves/meltCurve_P0AEQ3_glnH.pdf</t>
  </si>
  <si>
    <t>Melting_Curves/meltCurve_P0AEQ6_glnP.pdf</t>
  </si>
  <si>
    <t>Melting_Curves/meltCurve_P0AER3_gltJ.pdf</t>
  </si>
  <si>
    <t>Melting_Curves/meltCurve_P0AES0_gss.pdf</t>
  </si>
  <si>
    <t>Melting_Curves/meltCurve_P0AES2_gudD.pdf</t>
  </si>
  <si>
    <t>Melting_Curves/meltCurve_P0AES4_gyrA.pdf</t>
  </si>
  <si>
    <t>Melting_Curves/meltCurve_P0AES6_gyrB.pdf</t>
  </si>
  <si>
    <t>Melting_Curves/meltCurve_P0AES9_hdeA.pdf</t>
  </si>
  <si>
    <t>Melting_Curves/meltCurve_P0AET2_hdeB.pdf</t>
  </si>
  <si>
    <t>Melting_Curves/meltCurve_P0AET5_hdeD.pdf</t>
  </si>
  <si>
    <t>Melting_Curves/meltCurve_P0AET8_hdhA.pdf</t>
  </si>
  <si>
    <t>Melting_Curves/meltCurve_P0AEU0_hisJ.pdf</t>
  </si>
  <si>
    <t>Melting_Curves/meltCurve_P0AEU7_skp.pdf</t>
  </si>
  <si>
    <t>Melting_Curves/meltCurve_P0AEV1_rssB.pdf</t>
  </si>
  <si>
    <t>Melting_Curves/meltCurve_P0AEV9_hycI.pdf</t>
  </si>
  <si>
    <t>Melting_Curves/meltCurve_P0AEW4_cpdA.pdf</t>
  </si>
  <si>
    <t>Melting_Curves/meltCurve_P0AEX5_prkB.pdf</t>
  </si>
  <si>
    <t>Melting_Curves/meltCurve_P0AEX9_malE.pdf</t>
  </si>
  <si>
    <t>Melting_Curves/meltCurve_P0AEY1_marC.pdf</t>
  </si>
  <si>
    <t>Melting_Curves/meltCurve_P0AEY3_mazG.pdf</t>
  </si>
  <si>
    <t>Melting_Curves/meltCurve_P0AEY5_mdaB.pdf</t>
  </si>
  <si>
    <t>Melting_Curves/meltCurve_P0AEZ3_minD.pdf</t>
  </si>
  <si>
    <t>Melting_Curves/meltCurve_P0AEZ9_moaB.pdf</t>
  </si>
  <si>
    <t>Melting_Curves/meltCurve_P0AF03_mog.pdf</t>
  </si>
  <si>
    <t>Melting_Curves/meltCurve_P0AF08_mrp.pdf</t>
  </si>
  <si>
    <t>Melting_Curves/meltCurve_P0AF12_mtnN.pdf</t>
  </si>
  <si>
    <t>Melting_Curves/meltCurve_P0AF18_nagA.pdf</t>
  </si>
  <si>
    <t>Melting_Curves/meltCurve_P0AF20_nagC.pdf</t>
  </si>
  <si>
    <t>Melting_Curves/meltCurve_P0AF24_nagD.pdf</t>
  </si>
  <si>
    <t>Melting_Curves/meltCurve_P0AF28_narL.pdf</t>
  </si>
  <si>
    <t>Melting_Curves/meltCurve_P0AF36_zapB.pdf</t>
  </si>
  <si>
    <t>Melting_Curves/meltCurve_P0AF48_yjbQ.pdf</t>
  </si>
  <si>
    <t>Melting_Curves/meltCurve_P0AF50_yjbR.pdf</t>
  </si>
  <si>
    <t>Melting_Curves/meltCurve_P0AF54_yjcH.pdf</t>
  </si>
  <si>
    <t>Melting_Curves/meltCurve_P0AF59_yjdI.pdf</t>
  </si>
  <si>
    <t>Melting_Curves/meltCurve_P0AF63_nsrR.pdf</t>
  </si>
  <si>
    <t>Melting_Curves/meltCurve_P0AF67_tsaE.pdf</t>
  </si>
  <si>
    <t>Melting_Curves/meltCurve_P0AF70_yjeI.pdf</t>
  </si>
  <si>
    <t>Melting_Curves/meltCurve_P0AF90_rraB.pdf</t>
  </si>
  <si>
    <t>Melting_Curves/meltCurve_P0AF93_ridA.pdf</t>
  </si>
  <si>
    <t>Melting_Curves/meltCurve_P0AF96_tabA.pdf</t>
  </si>
  <si>
    <t>Melting_Curves/meltCurve_P0AF98_lptF.pdf</t>
  </si>
  <si>
    <t>Melting_Curves/meltCurve_P0AFA7_nhaB.pdf</t>
  </si>
  <si>
    <t>Melting_Curves/meltCurve_P0AFB5_glnL.pdf</t>
  </si>
  <si>
    <t>Melting_Curves/meltCurve_P0AFC3_nuoA.pdf</t>
  </si>
  <si>
    <t>Melting_Curves/meltCurve_P0AFC7_nuoB.pdf</t>
  </si>
  <si>
    <t>Melting_Curves/meltCurve_P0AFD1_nuoE.pdf</t>
  </si>
  <si>
    <t>Melting_Curves/meltCurve_P0AFD4_nuoH.pdf</t>
  </si>
  <si>
    <t>Melting_Curves/meltCurve_P0AFD6_nuoI.pdf</t>
  </si>
  <si>
    <t>Melting_Curves/meltCurve_P0AFE0_nuoJ.pdf</t>
  </si>
  <si>
    <t>Melting_Curves/meltCurve_P0AFE4_nuoK.pdf</t>
  </si>
  <si>
    <t>Melting_Curves/meltCurve_P0AFE8_nuoM.pdf</t>
  </si>
  <si>
    <t>Melting_Curves/meltCurve_P0AFF0_nuoN.pdf</t>
  </si>
  <si>
    <t>Melting_Curves/meltCurve_P0AFF2_nupC.pdf</t>
  </si>
  <si>
    <t>Melting_Curves/meltCurve_P0AFF6_nusA.pdf</t>
  </si>
  <si>
    <t>Melting_Curves/meltCurve_P0AFG0_nusG.pdf</t>
  </si>
  <si>
    <t>Melting_Curves/meltCurve_P0AFG3_sucA.pdf</t>
  </si>
  <si>
    <t>Melting_Curves/meltCurve_P0AFG6_sucB.pdf</t>
  </si>
  <si>
    <t>Melting_Curves/meltCurve_P0AFG8_aceE.pdf</t>
  </si>
  <si>
    <t>Melting_Curves/meltCurve_P0AFH2_oppB.pdf</t>
  </si>
  <si>
    <t>Melting_Curves/meltCurve_P0AFH6_oppC.pdf</t>
  </si>
  <si>
    <t>Melting_Curves/meltCurve_P0AFH8_osmY.pdf</t>
  </si>
  <si>
    <t>Melting_Curves/meltCurve_P0AFI2_parC.pdf</t>
  </si>
  <si>
    <t>Melting_Curves/meltCurve_P0AFI7_pdxH.pdf</t>
  </si>
  <si>
    <t>Melting_Curves/meltCurve_P0AFI9_perM.pdf</t>
  </si>
  <si>
    <t>Melting_Curves/meltCurve_P0AFJ1_phnA.pdf</t>
  </si>
  <si>
    <t>Melting_Curves/meltCurve_P0AFJ5_phoB.pdf</t>
  </si>
  <si>
    <t>Melting_Curves/meltCurve_P0AFK0_pmbA.pdf</t>
  </si>
  <si>
    <t>Melting_Curves/meltCurve_P0AFK2_pnuC.pdf</t>
  </si>
  <si>
    <t>Melting_Curves/meltCurve_P0AFK9_potD.pdf</t>
  </si>
  <si>
    <t>Melting_Curves/meltCurve_P0AFL3_ppiA.pdf</t>
  </si>
  <si>
    <t>Melting_Curves/meltCurve_P0AFM2_proX.pdf</t>
  </si>
  <si>
    <t>Melting_Curves/meltCurve_P0AFM4_psiF.pdf</t>
  </si>
  <si>
    <t>Melting_Curves/meltCurve_P0AFM6_pspA.pdf</t>
  </si>
  <si>
    <t>Melting_Curves/meltCurve_P0AFM9_pspB.pdf</t>
  </si>
  <si>
    <t>Melting_Curves/meltCurve_P0AFN2_pspC.pdf</t>
  </si>
  <si>
    <t>Melting_Curves/meltCurve_P0AFP4_ybbO.pdf</t>
  </si>
  <si>
    <t>Melting_Curves/meltCurve_P0AFP6_ybgI.pdf</t>
  </si>
  <si>
    <t>Melting_Curves/meltCurve_P0AFQ7_ycfH.pdf</t>
  </si>
  <si>
    <t>Melting_Curves/meltCurve_P0AFR0_rssA.pdf</t>
  </si>
  <si>
    <t>Melting_Curves/meltCurve_P0AFR2_dauA.pdf</t>
  </si>
  <si>
    <t>Melting_Curves/meltCurve_P0AFR4_yciO.pdf</t>
  </si>
  <si>
    <t>Melting_Curves/meltCurve_P0AFS3_folM.pdf</t>
  </si>
  <si>
    <t>Melting_Curves/meltCurve_P0AFS7_ydiK.pdf</t>
  </si>
  <si>
    <t>Melting_Curves/meltCurve_P0AFT2_yecS.pdf</t>
  </si>
  <si>
    <t>Melting_Curves/meltCurve_P0AFU8_ribC.pdf</t>
  </si>
  <si>
    <t>Melting_Curves/meltCurve_P0AFW2_rmf.pdf</t>
  </si>
  <si>
    <t>Melting_Curves/meltCurve_P0AFW4_rnk.pdf</t>
  </si>
  <si>
    <t>Melting_Curves/meltCurve_P0AFW8_rof.pdf</t>
  </si>
  <si>
    <t>Melting_Curves/meltCurve_P0AFX0_hpf.pdf</t>
  </si>
  <si>
    <t>Melting_Curves/meltCurve_P0AFX4_rsd.pdf</t>
  </si>
  <si>
    <t>Melting_Curves/meltCurve_P0AFX9_rseB.pdf</t>
  </si>
  <si>
    <t>Melting_Curves/meltCurve_P0AFY8_seqA.pdf</t>
  </si>
  <si>
    <t>Melting_Curves/meltCurve_P0AFZ1_sseB.pdf</t>
  </si>
  <si>
    <t>Melting_Curves/meltCurve_P0AFZ3_sspB.pdf</t>
  </si>
  <si>
    <t>Melting_Curves/meltCurve_P0AG00_wzzE.pdf</t>
  </si>
  <si>
    <t>Melting_Curves/meltCurve_P0AG07_rpe.pdf</t>
  </si>
  <si>
    <t>Melting_Curves/meltCurve_P0AG14_sohB.pdf</t>
  </si>
  <si>
    <t>Melting_Curves/meltCurve_P0AG20_relA.pdf</t>
  </si>
  <si>
    <t>Melting_Curves/meltCurve_P0AG27_yibN.pdf</t>
  </si>
  <si>
    <t>Melting_Curves/meltCurve_P0AG30_rho.pdf</t>
  </si>
  <si>
    <t>Melting_Curves/meltCurve_P0AG40_ribF.pdf</t>
  </si>
  <si>
    <t>Melting_Curves/meltCurve_P0AG44_rplQ.pdf</t>
  </si>
  <si>
    <t>Melting_Curves/meltCurve_P0AG48_rplU.pdf</t>
  </si>
  <si>
    <t>Melting_Curves/meltCurve_P0AG51_rpmD.pdf</t>
  </si>
  <si>
    <t>Melting_Curves/meltCurve_P0AG55_rplF.pdf</t>
  </si>
  <si>
    <t>Melting_Curves/meltCurve_P0AG59_rpsN.pdf</t>
  </si>
  <si>
    <t>Melting_Curves/meltCurve_P0AG63_rpsQ.pdf</t>
  </si>
  <si>
    <t>Melting_Curves/meltCurve_P0AG67_rpsA.pdf</t>
  </si>
  <si>
    <t>Melting_Curves/meltCurve_P0AG78_sbp.pdf</t>
  </si>
  <si>
    <t>Melting_Curves/meltCurve_P0AG80_ugpB.pdf</t>
  </si>
  <si>
    <t>Melting_Curves/meltCurve_P0AG82_pstS.pdf</t>
  </si>
  <si>
    <t>Melting_Curves/meltCurve_P0AG84_yghA.pdf</t>
  </si>
  <si>
    <t>Melting_Curves/meltCurve_P0AG86_secB.pdf</t>
  </si>
  <si>
    <t>Melting_Curves/meltCurve_P0AG90_secD.pdf</t>
  </si>
  <si>
    <t>Melting_Curves/meltCurve_P0AG96_secE.pdf</t>
  </si>
  <si>
    <t>Melting_Curves/meltCurve_P0AG99_secG.pdf</t>
  </si>
  <si>
    <t>Melting_Curves/meltCurve_P0AGA2_secY.pdf</t>
  </si>
  <si>
    <t>Melting_Curves/meltCurve_P0AGA6_uhpA.pdf</t>
  </si>
  <si>
    <t>Melting_Curves/meltCurve_P0AGB0_serB.pdf</t>
  </si>
  <si>
    <t>Melting_Curves/meltCurve_P0AGB6_rpoE.pdf</t>
  </si>
  <si>
    <t>Melting_Curves/meltCurve_P0AGC3_slt.pdf</t>
  </si>
  <si>
    <t>Melting_Curves/meltCurve_P0AGD1_sodC.pdf</t>
  </si>
  <si>
    <t>Melting_Curves/meltCurve_P0AGD3_sodB.pdf</t>
  </si>
  <si>
    <t>Melting_Curves/meltCurve_P0AGD7_ffh.pdf</t>
  </si>
  <si>
    <t>Melting_Curves/meltCurve_P0AGE0_ssb.pdf</t>
  </si>
  <si>
    <t>Melting_Curves/meltCurve_P0AGE6_chrR.pdf</t>
  </si>
  <si>
    <t>Melting_Curves/meltCurve_P0AGE9_sucD.pdf</t>
  </si>
  <si>
    <t>Melting_Curves/meltCurve_P0AGF2_csdE.pdf</t>
  </si>
  <si>
    <t>Melting_Curves/meltCurve_P0AGG2_tesB.pdf</t>
  </si>
  <si>
    <t>Melting_Curves/meltCurve_P0AGG4_trxC.pdf</t>
  </si>
  <si>
    <t>Melting_Curves/meltCurve_P0AGG8_tldD.pdf</t>
  </si>
  <si>
    <t>Melting_Curves/meltCurve_P0AGI1_rbsC.pdf</t>
  </si>
  <si>
    <t>Melting_Curves/meltCurve_P0AGJ2_trmH.pdf</t>
  </si>
  <si>
    <t>Melting_Curves/meltCurve_P0AGJ5_yfiF.pdf</t>
  </si>
  <si>
    <t>Melting_Curves/meltCurve_P0AGJ7_trmL.pdf</t>
  </si>
  <si>
    <t>Melting_Curves/meltCurve_P0AGJ9_tyrS.pdf</t>
  </si>
  <si>
    <t>Melting_Curves/meltCurve_P0AGK4_yhbY.pdf</t>
  </si>
  <si>
    <t>Melting_Curves/meltCurve_P0AGK8_iscR.pdf</t>
  </si>
  <si>
    <t>Melting_Curves/meltCurve_P0AGL2_tdcF.pdf</t>
  </si>
  <si>
    <t>Melting_Curves/meltCurve_P0AGL5_ratA.pdf</t>
  </si>
  <si>
    <t>Melting_Curves/meltCurve_P0AGL7_rsmE.pdf</t>
  </si>
  <si>
    <t>Melting_Curves/meltCurve_P0C018_rplR.pdf</t>
  </si>
  <si>
    <t>Melting_Curves/meltCurve_P0C037_yaiE.pdf</t>
  </si>
  <si>
    <t>Melting_Curves/meltCurve_P0C054_ibpA.pdf</t>
  </si>
  <si>
    <t>Melting_Curves/meltCurve_P0C077_relE.pdf</t>
  </si>
  <si>
    <t>Melting_Curves/meltCurve_P0C079_relB.pdf</t>
  </si>
  <si>
    <t>Melting_Curves/meltCurve_P0C0L2_osmC.pdf</t>
  </si>
  <si>
    <t>Melting_Curves/meltCurve_P0C0L7_proP.pdf</t>
  </si>
  <si>
    <t>Melting_Curves/meltCurve_P0C0S1_mscS.pdf</t>
  </si>
  <si>
    <t>Melting_Curves/meltCurve_P0C0U4_rimK.pdf</t>
  </si>
  <si>
    <t>Melting_Curves/meltCurve_P0C0V0_degP.pdf</t>
  </si>
  <si>
    <t>Melting_Curves/meltCurve_P0C8J6_gatY.pdf</t>
  </si>
  <si>
    <t>Melting_Curves/meltCurve_P0C8J8_gatZ.pdf</t>
  </si>
  <si>
    <t>Melting_Curves/meltCurve_P0CB39_eptC.pdf</t>
  </si>
  <si>
    <t>Melting_Curves/meltCurve_P0CE47_tufA.pdf</t>
  </si>
  <si>
    <t>Melting_Curves/meltCurve_P0CK95_yghJ.pdf</t>
  </si>
  <si>
    <t>Melting_Curves/meltCurve_P0DMC7_rcsB.pdf</t>
  </si>
  <si>
    <t>Melting_Curves/meltCurve_P10100_rlpA.pdf</t>
  </si>
  <si>
    <t>Melting_Curves/meltCurve_P10121_ftsY.pdf</t>
  </si>
  <si>
    <t>Melting_Curves/meltCurve_P10346_glnQ.pdf</t>
  </si>
  <si>
    <t>Melting_Curves/meltCurve_P10371_hisA.pdf</t>
  </si>
  <si>
    <t>Melting_Curves/meltCurve_P10378_entE.pdf</t>
  </si>
  <si>
    <t>Melting_Curves/meltCurve_P10384_fadL.pdf</t>
  </si>
  <si>
    <t>Melting_Curves/meltCurve_P10408_secA.pdf</t>
  </si>
  <si>
    <t>Melting_Curves/meltCurve_P10441_lpxB.pdf</t>
  </si>
  <si>
    <t>Melting_Curves/meltCurve_P10908_ugpQ.pdf</t>
  </si>
  <si>
    <t>Melting_Curves/meltCurve_P11349_narH.pdf</t>
  </si>
  <si>
    <t>Melting_Curves/meltCurve_P11447_argH.pdf</t>
  </si>
  <si>
    <t>Melting_Curves/meltCurve_P11454_entF.pdf</t>
  </si>
  <si>
    <t>Melting_Curves/meltCurve_P11557_damX.pdf</t>
  </si>
  <si>
    <t>Melting_Curves/meltCurve_P11875_argS.pdf</t>
  </si>
  <si>
    <t>Melting_Curves/meltCurve_P11880_murF.pdf</t>
  </si>
  <si>
    <t>Melting_Curves/meltCurve_P12008_aroC.pdf</t>
  </si>
  <si>
    <t>Melting_Curves/meltCurve_P12281_moeA.pdf</t>
  </si>
  <si>
    <t>Melting_Curves/meltCurve_P12282_moeB.pdf</t>
  </si>
  <si>
    <t>Melting_Curves/meltCurve_P12295_ung.pdf</t>
  </si>
  <si>
    <t>Melting_Curves/meltCurve_P12758_udp.pdf</t>
  </si>
  <si>
    <t>Melting_Curves/meltCurve_P12994_ybhB.pdf</t>
  </si>
  <si>
    <t>Melting_Curves/meltCurve_P13001_bioH.pdf</t>
  </si>
  <si>
    <t>Melting_Curves/meltCurve_P13009_metH.pdf</t>
  </si>
  <si>
    <t>Melting_Curves/meltCurve_P13016_ampD.pdf</t>
  </si>
  <si>
    <t>Melting_Curves/meltCurve_P13024_fdhE.pdf</t>
  </si>
  <si>
    <t>Melting_Curves/meltCurve_P13029_katG.pdf</t>
  </si>
  <si>
    <t>Melting_Curves/meltCurve_P13035_glpD.pdf</t>
  </si>
  <si>
    <t>Melting_Curves/meltCurve_P13445_rpoS.pdf</t>
  </si>
  <si>
    <t>Melting_Curves/meltCurve_P13482_treA.pdf</t>
  </si>
  <si>
    <t>Melting_Curves/meltCurve_P13656_chiA.pdf</t>
  </si>
  <si>
    <t>Melting_Curves/meltCurve_P13857_rimL.pdf</t>
  </si>
  <si>
    <t>Melting_Curves/meltCurve_P14375_zraR.pdf</t>
  </si>
  <si>
    <t>Melting_Curves/meltCurve_P14900_murD.pdf</t>
  </si>
  <si>
    <t>Melting_Curves/meltCurve_P15028_fecB.pdf</t>
  </si>
  <si>
    <t>Melting_Curves/meltCurve_P15034_pepP.pdf</t>
  </si>
  <si>
    <t>Melting_Curves/meltCurve_P15038_helD.pdf</t>
  </si>
  <si>
    <t>Melting_Curves/meltCurve_P15042_ligA.pdf</t>
  </si>
  <si>
    <t>Melting_Curves/meltCurve_P15067_glgX.pdf</t>
  </si>
  <si>
    <t>Melting_Curves/meltCurve_P15070_fliN.pdf</t>
  </si>
  <si>
    <t>Melting_Curves/meltCurve_P15078_cstA.pdf</t>
  </si>
  <si>
    <t>Melting_Curves/meltCurve_P15082_srlR.pdf</t>
  </si>
  <si>
    <t>Melting_Curves/meltCurve_P15254_purL.pdf</t>
  </si>
  <si>
    <t>Melting_Curves/meltCurve_P15286_flk.pdf</t>
  </si>
  <si>
    <t>Melting_Curves/meltCurve_P15288_pepD.pdf</t>
  </si>
  <si>
    <t>Melting_Curves/meltCurve_P15373_prlF.pdf</t>
  </si>
  <si>
    <t>Melting_Curves/meltCurve_P15639_purH.pdf</t>
  </si>
  <si>
    <t>Melting_Curves/meltCurve_P15640_purD.pdf</t>
  </si>
  <si>
    <t>Melting_Curves/meltCurve_P15770_aroE.pdf</t>
  </si>
  <si>
    <t>Melting_Curves/meltCurve_P15877_gcd.pdf</t>
  </si>
  <si>
    <t>Melting_Curves/meltCurve_P15977_malQ.pdf</t>
  </si>
  <si>
    <t>Melting_Curves/meltCurve_P16095_sdaA.pdf</t>
  </si>
  <si>
    <t>Melting_Curves/meltCurve_P16384_miaA.pdf</t>
  </si>
  <si>
    <t>Melting_Curves/meltCurve_P16456_selD.pdf</t>
  </si>
  <si>
    <t>Melting_Curves/meltCurve_P16525_tus.pdf</t>
  </si>
  <si>
    <t>Melting_Curves/meltCurve_P16528_iclR.pdf</t>
  </si>
  <si>
    <t>Melting_Curves/meltCurve_P16659_proS.pdf</t>
  </si>
  <si>
    <t>Melting_Curves/meltCurve_P16681_phnB.pdf</t>
  </si>
  <si>
    <t>Melting_Curves/meltCurve_P16700_cysP.pdf</t>
  </si>
  <si>
    <t>Melting_Curves/meltCurve_P16703_cysM.pdf</t>
  </si>
  <si>
    <t>Melting_Curves/meltCurve_P16926_mreC.pdf</t>
  </si>
  <si>
    <t>Melting_Curves/meltCurve_P17115_gutQ.pdf</t>
  </si>
  <si>
    <t>Melting_Curves/meltCurve_P17117_nfsA.pdf</t>
  </si>
  <si>
    <t>Melting_Curves/meltCurve_P17169_glmS.pdf</t>
  </si>
  <si>
    <t>Melting_Curves/meltCurve_P17443_murG.pdf</t>
  </si>
  <si>
    <t>Melting_Curves/meltCurve_P17854_cysH.pdf</t>
  </si>
  <si>
    <t>Melting_Curves/meltCurve_P17952_murC.pdf</t>
  </si>
  <si>
    <t>Melting_Curves/meltCurve_P17993_ubiG.pdf</t>
  </si>
  <si>
    <t>Melting_Curves/meltCurve_P18196_minC.pdf</t>
  </si>
  <si>
    <t>Melting_Curves/meltCurve_P18392_rstB.pdf</t>
  </si>
  <si>
    <t>Melting_Curves/meltCurve_P18775_dmsA.pdf</t>
  </si>
  <si>
    <t>Melting_Curves/meltCurve_P18776_dmsB.pdf</t>
  </si>
  <si>
    <t>Melting_Curves/meltCurve_P18843_nadE.pdf</t>
  </si>
  <si>
    <t>Melting_Curves/meltCurve_P18956_ggt.pdf</t>
  </si>
  <si>
    <t>Melting_Curves/meltCurve_P19318_narY.pdf</t>
  </si>
  <si>
    <t>Melting_Curves/meltCurve_P19319_narZ.pdf</t>
  </si>
  <si>
    <t>Melting_Curves/meltCurve_P19624_pdxA.pdf</t>
  </si>
  <si>
    <t>Melting_Curves/meltCurve_P19636_eutC.pdf</t>
  </si>
  <si>
    <t>Melting_Curves/meltCurve_P19926_agp.pdf</t>
  </si>
  <si>
    <t>Melting_Curves/meltCurve_P19934_tolA.pdf</t>
  </si>
  <si>
    <t>Melting_Curves/meltCurve_P20083_parE.pdf</t>
  </si>
  <si>
    <t>Melting_Curves/meltCurve_P20099_bisC.pdf</t>
  </si>
  <si>
    <t>Melting_Curves/meltCurve_P20605_fic.pdf</t>
  </si>
  <si>
    <t>Melting_Curves/meltCurve_P20966_fruA.pdf</t>
  </si>
  <si>
    <t>Melting_Curves/meltCurve_P21151_fadA.pdf</t>
  </si>
  <si>
    <t>Melting_Curves/meltCurve_P21165_pepQ.pdf</t>
  </si>
  <si>
    <t>Melting_Curves/meltCurve_P21169_speC.pdf</t>
  </si>
  <si>
    <t>Melting_Curves/meltCurve_P21170_speA.pdf</t>
  </si>
  <si>
    <t>Melting_Curves/meltCurve_P21177_fadB.pdf</t>
  </si>
  <si>
    <t>Melting_Curves/meltCurve_P21179_katE.pdf</t>
  </si>
  <si>
    <t>Melting_Curves/meltCurve_P21338_rna.pdf</t>
  </si>
  <si>
    <t>Melting_Curves/meltCurve_P21362_yciF.pdf</t>
  </si>
  <si>
    <t>Melting_Curves/meltCurve_P21363_yciE.pdf</t>
  </si>
  <si>
    <t>Melting_Curves/meltCurve_P21365_yciC.pdf</t>
  </si>
  <si>
    <t>Melting_Curves/meltCurve_P21367_ycaC.pdf</t>
  </si>
  <si>
    <t>Melting_Curves/meltCurve_P21369_pncA.pdf</t>
  </si>
  <si>
    <t>Melting_Curves/meltCurve_P21499_rnr.pdf</t>
  </si>
  <si>
    <t>Melting_Curves/meltCurve_P21507_srmB.pdf</t>
  </si>
  <si>
    <t>Melting_Curves/meltCurve_P21513_rne.pdf</t>
  </si>
  <si>
    <t>Melting_Curves/meltCurve_P21599_pykA.pdf</t>
  </si>
  <si>
    <t>Melting_Curves/meltCurve_P21645_lpxD.pdf</t>
  </si>
  <si>
    <t>Melting_Curves/meltCurve_P21866_kdpE.pdf</t>
  </si>
  <si>
    <t>Melting_Curves/meltCurve_P21888_cysS.pdf</t>
  </si>
  <si>
    <t>Melting_Curves/meltCurve_P21889_aspS.pdf</t>
  </si>
  <si>
    <t>Melting_Curves/meltCurve_P22106_asnB.pdf</t>
  </si>
  <si>
    <t>Melting_Curves/meltCurve_P22186_mraZ.pdf</t>
  </si>
  <si>
    <t>Melting_Curves/meltCurve_P22188_murE.pdf</t>
  </si>
  <si>
    <t>Melting_Curves/meltCurve_P22255_cysQ.pdf</t>
  </si>
  <si>
    <t>Melting_Curves/meltCurve_P22256_gabT.pdf</t>
  </si>
  <si>
    <t>Melting_Curves/meltCurve_P22259_pckA.pdf</t>
  </si>
  <si>
    <t>Melting_Curves/meltCurve_P22333_add.pdf</t>
  </si>
  <si>
    <t>Melting_Curves/meltCurve_P22523_mukB.pdf</t>
  </si>
  <si>
    <t>Melting_Curves/meltCurve_P22524_mukE.pdf</t>
  </si>
  <si>
    <t>Melting_Curves/meltCurve_P22525_ycbB.pdf</t>
  </si>
  <si>
    <t>Melting_Curves/meltCurve_P22564_rihC.pdf</t>
  </si>
  <si>
    <t>Melting_Curves/meltCurve_P23003_trmA.pdf</t>
  </si>
  <si>
    <t>Melting_Curves/meltCurve_P23173_tnaB.pdf</t>
  </si>
  <si>
    <t>Melting_Curves/meltCurve_P23200_mglC.pdf</t>
  </si>
  <si>
    <t>Melting_Curves/meltCurve_P23331_tdk.pdf</t>
  </si>
  <si>
    <t>Melting_Curves/meltCurve_P23367_mutL.pdf</t>
  </si>
  <si>
    <t>Melting_Curves/meltCurve_P23522_garL.pdf</t>
  </si>
  <si>
    <t>Melting_Curves/meltCurve_P23538_ppsA.pdf</t>
  </si>
  <si>
    <t>Melting_Curves/meltCurve_P23721_serC.pdf</t>
  </si>
  <si>
    <t>Melting_Curves/meltCurve_P23827_eco.pdf</t>
  </si>
  <si>
    <t>Melting_Curves/meltCurve_P23830_pssA.pdf</t>
  </si>
  <si>
    <t>Melting_Curves/meltCurve_P23836_phoP.pdf</t>
  </si>
  <si>
    <t>Melting_Curves/meltCurve_P23837_phoQ.pdf</t>
  </si>
  <si>
    <t>Melting_Curves/meltCurve_P23839_yicC.pdf</t>
  </si>
  <si>
    <t>Melting_Curves/meltCurve_P23843_oppA.pdf</t>
  </si>
  <si>
    <t>Melting_Curves/meltCurve_P23847_dppA.pdf</t>
  </si>
  <si>
    <t>Melting_Curves/meltCurve_P23857_pspE.pdf</t>
  </si>
  <si>
    <t>Melting_Curves/meltCurve_P23865_prc.pdf</t>
  </si>
  <si>
    <t>Melting_Curves/meltCurve_P23869_ppiB.pdf</t>
  </si>
  <si>
    <t>Melting_Curves/meltCurve_P23871_hemH.pdf</t>
  </si>
  <si>
    <t>Melting_Curves/meltCurve_P23882_fmt.pdf</t>
  </si>
  <si>
    <t>Melting_Curves/meltCurve_P23893_hemL.pdf</t>
  </si>
  <si>
    <t>Melting_Curves/meltCurve_P23894_htpX.pdf</t>
  </si>
  <si>
    <t>Melting_Curves/meltCurve_P23908_argE.pdf</t>
  </si>
  <si>
    <t>Melting_Curves/meltCurve_P23917_mak.pdf</t>
  </si>
  <si>
    <t>Melting_Curves/meltCurve_P23930_lnt.pdf</t>
  </si>
  <si>
    <t>Melting_Curves/meltCurve_P24171_dcp.pdf</t>
  </si>
  <si>
    <t>Melting_Curves/meltCurve_P24173_rfaC.pdf</t>
  </si>
  <si>
    <t>Melting_Curves/meltCurve_P24178_yffB.pdf</t>
  </si>
  <si>
    <t>Melting_Curves/meltCurve_P24182_accC.pdf</t>
  </si>
  <si>
    <t>Melting_Curves/meltCurve_P24183_fdnG.pdf</t>
  </si>
  <si>
    <t>Melting_Curves/meltCurve_P24186_folD.pdf</t>
  </si>
  <si>
    <t>Melting_Curves/meltCurve_P24202_mrr.pdf</t>
  </si>
  <si>
    <t>Melting_Curves/meltCurve_P24203_yjiA.pdf</t>
  </si>
  <si>
    <t>Melting_Curves/meltCurve_P24205_lpxM.pdf</t>
  </si>
  <si>
    <t>Melting_Curves/meltCurve_P24215_uxuA.pdf</t>
  </si>
  <si>
    <t>Melting_Curves/meltCurve_P24232_hmp.pdf</t>
  </si>
  <si>
    <t>Melting_Curves/meltCurve_P24242_ascG.pdf</t>
  </si>
  <si>
    <t>Melting_Curves/meltCurve_P24251_crl.pdf</t>
  </si>
  <si>
    <t>Melting_Curves/meltCurve_P24555_ptrB.pdf</t>
  </si>
  <si>
    <t>Melting_Curves/meltCurve_P25397_tehB.pdf</t>
  </si>
  <si>
    <t>Melting_Curves/meltCurve_P25437_frmA.pdf</t>
  </si>
  <si>
    <t>Melting_Curves/meltCurve_P25516_acnA.pdf</t>
  </si>
  <si>
    <t>Melting_Curves/meltCurve_P25519_hflX.pdf</t>
  </si>
  <si>
    <t>Melting_Curves/meltCurve_P25522_mnmE.pdf</t>
  </si>
  <si>
    <t>Melting_Curves/meltCurve_P25524_codA.pdf</t>
  </si>
  <si>
    <t>Melting_Curves/meltCurve_P25526_gabD.pdf</t>
  </si>
  <si>
    <t>Melting_Curves/meltCurve_P25535_ubiI.pdf</t>
  </si>
  <si>
    <t>Melting_Curves/meltCurve_P25536_yhdE.pdf</t>
  </si>
  <si>
    <t>Melting_Curves/meltCurve_P25539_ribD.pdf</t>
  </si>
  <si>
    <t>Melting_Curves/meltCurve_P25552_gppA.pdf</t>
  </si>
  <si>
    <t>Melting_Curves/meltCurve_P25553_aldA.pdf</t>
  </si>
  <si>
    <t>Melting_Curves/meltCurve_P25714_yidC.pdf</t>
  </si>
  <si>
    <t>Melting_Curves/meltCurve_P25745_mnmA.pdf</t>
  </si>
  <si>
    <t>Melting_Curves/meltCurve_P25889_preA.pdf</t>
  </si>
  <si>
    <t>Melting_Curves/meltCurve_P25894_loiP.pdf</t>
  </si>
  <si>
    <t>Melting_Curves/meltCurve_P25906_ydbC.pdf</t>
  </si>
  <si>
    <t>Melting_Curves/meltCurve_P26612_amyA.pdf</t>
  </si>
  <si>
    <t>Melting_Curves/meltCurve_P26616_maeA.pdf</t>
  </si>
  <si>
    <t>Melting_Curves/meltCurve_P26646_acuI.pdf</t>
  </si>
  <si>
    <t>Melting_Curves/meltCurve_P26647_plsC.pdf</t>
  </si>
  <si>
    <t>Melting_Curves/meltCurve_P26648_ftsP.pdf</t>
  </si>
  <si>
    <t>Melting_Curves/meltCurve_P26649_glgS.pdf</t>
  </si>
  <si>
    <t>Melting_Curves/meltCurve_P27238_yfeD.pdf</t>
  </si>
  <si>
    <t>Melting_Curves/meltCurve_P27247_plsX.pdf</t>
  </si>
  <si>
    <t>Melting_Curves/meltCurve_P27248_gcvT.pdf</t>
  </si>
  <si>
    <t>Melting_Curves/meltCurve_P27250_ahr.pdf</t>
  </si>
  <si>
    <t>Melting_Curves/meltCurve_P27278_nadR.pdf</t>
  </si>
  <si>
    <t>Melting_Curves/meltCurve_P27298_prlC.pdf</t>
  </si>
  <si>
    <t>Melting_Curves/meltCurve_P27302_tktA.pdf</t>
  </si>
  <si>
    <t>Melting_Curves/meltCurve_P27303_emrA.pdf</t>
  </si>
  <si>
    <t>Melting_Curves/meltCurve_P27306_sthA.pdf</t>
  </si>
  <si>
    <t>Melting_Curves/meltCurve_P27431_roxA.pdf</t>
  </si>
  <si>
    <t>Melting_Curves/meltCurve_P27434_rodZ.pdf</t>
  </si>
  <si>
    <t>Melting_Curves/meltCurve_P27550_acs.pdf</t>
  </si>
  <si>
    <t>Melting_Curves/meltCurve_P27828_wecB.pdf</t>
  </si>
  <si>
    <t>Melting_Curves/meltCurve_P27829_wecC.pdf</t>
  </si>
  <si>
    <t>Melting_Curves/meltCurve_P27833_wecE.pdf</t>
  </si>
  <si>
    <t>Melting_Curves/meltCurve_P27838_cyaY.pdf</t>
  </si>
  <si>
    <t>Melting_Curves/meltCurve_P27848_yigL.pdf</t>
  </si>
  <si>
    <t>Melting_Curves/meltCurve_P27862_yigZ.pdf</t>
  </si>
  <si>
    <t>Melting_Curves/meltCurve_P28224_mliC.pdf</t>
  </si>
  <si>
    <t>Melting_Curves/meltCurve_P28248_dcd.pdf</t>
  </si>
  <si>
    <t>Melting_Curves/meltCurve_P28249_asmA.pdf</t>
  </si>
  <si>
    <t>Melting_Curves/meltCurve_P28304_qorA.pdf</t>
  </si>
  <si>
    <t>Melting_Curves/meltCurve_P28306_mltG.pdf</t>
  </si>
  <si>
    <t>Melting_Curves/meltCurve_P28634_trmO.pdf</t>
  </si>
  <si>
    <t>Melting_Curves/meltCurve_P28635_metQ.pdf</t>
  </si>
  <si>
    <t>Melting_Curves/meltCurve_P28861_fpr.pdf</t>
  </si>
  <si>
    <t>Melting_Curves/meltCurve_P28904_treC.pdf</t>
  </si>
  <si>
    <t>Melting_Curves/meltCurve_P28905_holC.pdf</t>
  </si>
  <si>
    <t>Melting_Curves/meltCurve_P29012_dadX.pdf</t>
  </si>
  <si>
    <t>Melting_Curves/meltCurve_P29013_ycgB.pdf</t>
  </si>
  <si>
    <t>Melting_Curves/meltCurve_P29131_ftsN.pdf</t>
  </si>
  <si>
    <t>Melting_Curves/meltCurve_P29217_yceH.pdf</t>
  </si>
  <si>
    <t>Melting_Curves/meltCurve_P29680_hemE.pdf</t>
  </si>
  <si>
    <t>Melting_Curves/meltCurve_P29745_pepT.pdf</t>
  </si>
  <si>
    <t>Melting_Curves/meltCurve_P30011_nadC.pdf</t>
  </si>
  <si>
    <t>Melting_Curves/meltCurve_P30014_rnt.pdf</t>
  </si>
  <si>
    <t>Melting_Curves/meltCurve_P30125_leuB.pdf</t>
  </si>
  <si>
    <t>Melting_Curves/meltCurve_P30126_leuD.pdf</t>
  </si>
  <si>
    <t>Melting_Curves/meltCurve_P30177_ybiB.pdf</t>
  </si>
  <si>
    <t>Melting_Curves/meltCurve_P30178_ybiC.pdf</t>
  </si>
  <si>
    <t>Melting_Curves/meltCurve_P30750_metN.pdf</t>
  </si>
  <si>
    <t>Melting_Curves/meltCurve_P30850_rnb.pdf</t>
  </si>
  <si>
    <t>Melting_Curves/meltCurve_P30859_artI.pdf</t>
  </si>
  <si>
    <t>Melting_Curves/meltCurve_P30860_artJ.pdf</t>
  </si>
  <si>
    <t>Melting_Curves/meltCurve_P30863_dkgB.pdf</t>
  </si>
  <si>
    <t>Melting_Curves/meltCurve_P30864_yafC.pdf</t>
  </si>
  <si>
    <t>Melting_Curves/meltCurve_P30870_glnE.pdf</t>
  </si>
  <si>
    <t>Melting_Curves/meltCurve_P30871_ygiF.pdf</t>
  </si>
  <si>
    <t>Melting_Curves/meltCurve_P30958_mfd.pdf</t>
  </si>
  <si>
    <t>Melting_Curves/meltCurve_P31057_panB.pdf</t>
  </si>
  <si>
    <t>Melting_Curves/meltCurve_P31063_yedD.pdf</t>
  </si>
  <si>
    <t>Melting_Curves/meltCurve_P31068_fliH.pdf</t>
  </si>
  <si>
    <t>Melting_Curves/meltCurve_P31069_kch.pdf</t>
  </si>
  <si>
    <t>Melting_Curves/meltCurve_P31119_aas.pdf</t>
  </si>
  <si>
    <t>Melting_Curves/meltCurve_P31120_glmM.pdf</t>
  </si>
  <si>
    <t>Melting_Curves/meltCurve_P31130_ydeI.pdf</t>
  </si>
  <si>
    <t>Melting_Curves/meltCurve_P31131_ydeJ.pdf</t>
  </si>
  <si>
    <t>Melting_Curves/meltCurve_P31133_potF.pdf</t>
  </si>
  <si>
    <t>Melting_Curves/meltCurve_P31142_sseA.pdf</t>
  </si>
  <si>
    <t>Melting_Curves/meltCurve_P31224_acrB.pdf</t>
  </si>
  <si>
    <t>Melting_Curves/meltCurve_P31433_yicH.pdf</t>
  </si>
  <si>
    <t>Melting_Curves/meltCurve_P31441_ade.pdf</t>
  </si>
  <si>
    <t>Melting_Curves/meltCurve_P31455_yidR.pdf</t>
  </si>
  <si>
    <t>Melting_Curves/meltCurve_P31460_dgoR.pdf</t>
  </si>
  <si>
    <t>Melting_Curves/meltCurve_P31475_yieP.pdf</t>
  </si>
  <si>
    <t>Melting_Curves/meltCurve_P31550_thiB.pdf</t>
  </si>
  <si>
    <t>Melting_Curves/meltCurve_P31554_lptD.pdf</t>
  </si>
  <si>
    <t>Melting_Curves/meltCurve_P31658_hchA.pdf</t>
  </si>
  <si>
    <t>Melting_Curves/meltCurve_P31660_prpC.pdf</t>
  </si>
  <si>
    <t>Melting_Curves/meltCurve_P31663_panC.pdf</t>
  </si>
  <si>
    <t>Melting_Curves/meltCurve_P31677_otsA.pdf</t>
  </si>
  <si>
    <t>Melting_Curves/meltCurve_P31802_narP.pdf</t>
  </si>
  <si>
    <t>Melting_Curves/meltCurve_P31806_nnr.pdf</t>
  </si>
  <si>
    <t>Melting_Curves/meltCurve_P31808_yciK.pdf</t>
  </si>
  <si>
    <t>Melting_Curves/meltCurve_P31979_nuoF.pdf</t>
  </si>
  <si>
    <t>Melting_Curves/meltCurve_P32099_lplA.pdf</t>
  </si>
  <si>
    <t>Melting_Curves/meltCurve_P32131_hemN.pdf</t>
  </si>
  <si>
    <t>Melting_Curves/meltCurve_P32132_typA.pdf</t>
  </si>
  <si>
    <t>Melting_Curves/meltCurve_P32157_yiiM.pdf</t>
  </si>
  <si>
    <t>Melting_Curves/meltCurve_P32160_yiiQ.pdf</t>
  </si>
  <si>
    <t>Melting_Curves/meltCurve_P32162_yiiS.pdf</t>
  </si>
  <si>
    <t>Melting_Curves/meltCurve_P32176_fdoG.pdf</t>
  </si>
  <si>
    <t>Melting_Curves/meltCurve_P32177_fdhD.pdf</t>
  </si>
  <si>
    <t>Melting_Curves/meltCurve_P32662_gph.pdf</t>
  </si>
  <si>
    <t>Melting_Curves/meltCurve_P32664_nudC.pdf</t>
  </si>
  <si>
    <t>Melting_Curves/meltCurve_P32669_fsaB.pdf</t>
  </si>
  <si>
    <t>Melting_Curves/meltCurve_P32680_yjaG.pdf</t>
  </si>
  <si>
    <t>Melting_Curves/meltCurve_P32684_rluF.pdf</t>
  </si>
  <si>
    <t>Melting_Curves/meltCurve_P32695_dusA.pdf</t>
  </si>
  <si>
    <t>Melting_Curves/meltCurve_P32705_actP.pdf</t>
  </si>
  <si>
    <t>Melting_Curves/meltCurve_P32715_mdtO.pdf</t>
  </si>
  <si>
    <t>Melting_Curves/meltCurve_P33012_sbmC.pdf</t>
  </si>
  <si>
    <t>Melting_Curves/meltCurve_P33030_yeiR.pdf</t>
  </si>
  <si>
    <t>Melting_Curves/meltCurve_P33136_mdoG.pdf</t>
  </si>
  <si>
    <t>Melting_Curves/meltCurve_P33195_gcvP.pdf</t>
  </si>
  <si>
    <t>Melting_Curves/meltCurve_P33218_yebE.pdf</t>
  </si>
  <si>
    <t>Melting_Curves/meltCurve_P33219_yebF.pdf</t>
  </si>
  <si>
    <t>Melting_Curves/meltCurve_P33221_purT.pdf</t>
  </si>
  <si>
    <t>Melting_Curves/meltCurve_P33224_aidB.pdf</t>
  </si>
  <si>
    <t>Melting_Curves/meltCurve_P33225_torA.pdf</t>
  </si>
  <si>
    <t>Melting_Curves/meltCurve_P33355_yehS.pdf</t>
  </si>
  <si>
    <t>Melting_Curves/meltCurve_P33360_yehX.pdf</t>
  </si>
  <si>
    <t>Melting_Curves/meltCurve_P33362_yehZ.pdf</t>
  </si>
  <si>
    <t>Melting_Curves/meltCurve_P33363_bglX.pdf</t>
  </si>
  <si>
    <t>Melting_Curves/meltCurve_P33368_yohF.pdf</t>
  </si>
  <si>
    <t>Melting_Curves/meltCurve_P33570_tktB.pdf</t>
  </si>
  <si>
    <t>Melting_Curves/meltCurve_P33590_nikA.pdf</t>
  </si>
  <si>
    <t>Melting_Curves/meltCurve_P33599_nuoC.pdf</t>
  </si>
  <si>
    <t>Melting_Curves/meltCurve_P33602_nuoG.pdf</t>
  </si>
  <si>
    <t>Melting_Curves/meltCurve_P33643_rluD.pdf</t>
  </si>
  <si>
    <t>Melting_Curves/meltCurve_P33644_yfiH.pdf</t>
  </si>
  <si>
    <t>Melting_Curves/meltCurve_P33913_yejA.pdf</t>
  </si>
  <si>
    <t>Melting_Curves/meltCurve_P33916_yejF.pdf</t>
  </si>
  <si>
    <t>Melting_Curves/meltCurve_P33937_napA.pdf</t>
  </si>
  <si>
    <t>Melting_Curves/meltCurve_P34209_ydcF.pdf</t>
  </si>
  <si>
    <t>Melting_Curves/meltCurve_P35340_ahpF.pdf</t>
  </si>
  <si>
    <t>Melting_Curves/meltCurve_P36649_cueO.pdf</t>
  </si>
  <si>
    <t>Melting_Curves/meltCurve_P36659_cbpA.pdf</t>
  </si>
  <si>
    <t>Melting_Curves/meltCurve_P36672_treB.pdf</t>
  </si>
  <si>
    <t>Melting_Curves/meltCurve_P36680_zapD.pdf</t>
  </si>
  <si>
    <t>Melting_Curves/meltCurve_P36683_acnB.pdf</t>
  </si>
  <si>
    <t>Melting_Curves/meltCurve_P36767_rdgC.pdf</t>
  </si>
  <si>
    <t>Melting_Curves/meltCurve_P36771_lrhA.pdf</t>
  </si>
  <si>
    <t>Melting_Curves/meltCurve_P36879_yadG.pdf</t>
  </si>
  <si>
    <t>Melting_Curves/meltCurve_P36929_rsmB.pdf</t>
  </si>
  <si>
    <t>Melting_Curves/meltCurve_P36938_pgm.pdf</t>
  </si>
  <si>
    <t>Melting_Curves/meltCurve_P36979_rlmN.pdf</t>
  </si>
  <si>
    <t>Melting_Curves/meltCurve_P37051_purU.pdf</t>
  </si>
  <si>
    <t>Melting_Curves/meltCurve_P37095_pepB.pdf</t>
  </si>
  <si>
    <t>Melting_Curves/meltCurve_P37128_nudK.pdf</t>
  </si>
  <si>
    <t>Melting_Curves/meltCurve_P37147_fxsA.pdf</t>
  </si>
  <si>
    <t>Melting_Curves/meltCurve_P37182_hybD.pdf</t>
  </si>
  <si>
    <t>Melting_Curves/meltCurve_P37188_gatB.pdf</t>
  </si>
  <si>
    <t>Melting_Curves/meltCurve_P37194_slp.pdf</t>
  </si>
  <si>
    <t>Melting_Curves/meltCurve_P37313_dppF.pdf</t>
  </si>
  <si>
    <t>Melting_Curves/meltCurve_P37325_ybcH.pdf</t>
  </si>
  <si>
    <t>Melting_Curves/meltCurve_P37329_modA.pdf</t>
  </si>
  <si>
    <t>Melting_Curves/meltCurve_P37330_glcB.pdf</t>
  </si>
  <si>
    <t>Melting_Curves/meltCurve_P37339_lhgO.pdf</t>
  </si>
  <si>
    <t>Melting_Curves/meltCurve_P37340_mdtK.pdf</t>
  </si>
  <si>
    <t>Melting_Curves/meltCurve_P37342_yjjI.pdf</t>
  </si>
  <si>
    <t>Melting_Curves/meltCurve_P37349_dhaM.pdf</t>
  </si>
  <si>
    <t>Melting_Curves/meltCurve_P37351_rpiB.pdf</t>
  </si>
  <si>
    <t>Melting_Curves/meltCurve_P37387_xylF.pdf</t>
  </si>
  <si>
    <t>Melting_Curves/meltCurve_P37440_ucpA.pdf</t>
  </si>
  <si>
    <t>Melting_Curves/meltCurve_P37595_iaaA.pdf</t>
  </si>
  <si>
    <t>Melting_Curves/meltCurve_P37613_panM.pdf</t>
  </si>
  <si>
    <t>Melting_Curves/meltCurve_P37617_zntA.pdf</t>
  </si>
  <si>
    <t>Melting_Curves/meltCurve_P37626_yhiI.pdf</t>
  </si>
  <si>
    <t>Melting_Curves/meltCurve_P37631_yhiN.pdf</t>
  </si>
  <si>
    <t>Melting_Curves/meltCurve_P37636_mdtE.pdf</t>
  </si>
  <si>
    <t>Melting_Curves/meltCurve_P37637_mdtF.pdf</t>
  </si>
  <si>
    <t>Melting_Curves/meltCurve_P37642_yhjD.pdf</t>
  </si>
  <si>
    <t>Melting_Curves/meltCurve_P37645_yhjG.pdf</t>
  </si>
  <si>
    <t>Melting_Curves/meltCurve_P37647_kdgK.pdf</t>
  </si>
  <si>
    <t>Melting_Curves/meltCurve_P37648_yhjJ.pdf</t>
  </si>
  <si>
    <t>Melting_Curves/meltCurve_P37659_bcsG.pdf</t>
  </si>
  <si>
    <t>Melting_Curves/meltCurve_P37665_yiaD.pdf</t>
  </si>
  <si>
    <t>Melting_Curves/meltCurve_P37666_ghrB.pdf</t>
  </si>
  <si>
    <t>Melting_Curves/meltCurve_P37685_aldB.pdf</t>
  </si>
  <si>
    <t>Melting_Curves/meltCurve_P37689_gpmI.pdf</t>
  </si>
  <si>
    <t>Melting_Curves/meltCurve_P37690_envC.pdf</t>
  </si>
  <si>
    <t>Melting_Curves/meltCurve_P37744_rfbA.pdf</t>
  </si>
  <si>
    <t>Melting_Curves/meltCurve_P37747_glf.pdf</t>
  </si>
  <si>
    <t>Melting_Curves/meltCurve_P37750_wbbJ.pdf</t>
  </si>
  <si>
    <t>Melting_Curves/meltCurve_P37759_rfbB.pdf</t>
  </si>
  <si>
    <t>Melting_Curves/meltCurve_P37760_rfbD.pdf</t>
  </si>
  <si>
    <t>Melting_Curves/meltCurve_P37765_rluB.pdf</t>
  </si>
  <si>
    <t>Melting_Curves/meltCurve_P37767_yfhH.pdf</t>
  </si>
  <si>
    <t>Melting_Curves/meltCurve_P37773_mpl.pdf</t>
  </si>
  <si>
    <t>Melting_Curves/meltCurve_P37794_chbG.pdf</t>
  </si>
  <si>
    <t>Melting_Curves/meltCurve_P37902_gltI.pdf</t>
  </si>
  <si>
    <t>Melting_Curves/meltCurve_P37903_uspF.pdf</t>
  </si>
  <si>
    <t>Melting_Curves/meltCurve_P38038_cysJ.pdf</t>
  </si>
  <si>
    <t>Melting_Curves/meltCurve_P38051_menF.pdf</t>
  </si>
  <si>
    <t>Melting_Curves/meltCurve_P38489_nfsB.pdf</t>
  </si>
  <si>
    <t>Melting_Curves/meltCurve_P39099_degQ.pdf</t>
  </si>
  <si>
    <t>Melting_Curves/meltCurve_P39160_uxuB.pdf</t>
  </si>
  <si>
    <t>Melting_Curves/meltCurve_P39172_znuA.pdf</t>
  </si>
  <si>
    <t>Melting_Curves/meltCurve_P39173_yeaD.pdf</t>
  </si>
  <si>
    <t>Melting_Curves/meltCurve_P39176_erfK.pdf</t>
  </si>
  <si>
    <t>Melting_Curves/meltCurve_P39177_uspG.pdf</t>
  </si>
  <si>
    <t>Melting_Curves/meltCurve_P39187_ytfJ.pdf</t>
  </si>
  <si>
    <t>Melting_Curves/meltCurve_P39199_prmB.pdf</t>
  </si>
  <si>
    <t>Melting_Curves/meltCurve_P39265_alsB.pdf</t>
  </si>
  <si>
    <t>Melting_Curves/meltCurve_P39274_yjdJ.pdf</t>
  </si>
  <si>
    <t>Melting_Curves/meltCurve_P39285_mscM.pdf</t>
  </si>
  <si>
    <t>Melting_Curves/meltCurve_P39286_rsgA.pdf</t>
  </si>
  <si>
    <t>Melting_Curves/meltCurve_P39297_bsmA.pdf</t>
  </si>
  <si>
    <t>Melting_Curves/meltCurve_P39298_yjfP.pdf</t>
  </si>
  <si>
    <t>Melting_Curves/meltCurve_P39310_ytfB.pdf</t>
  </si>
  <si>
    <t>Melting_Curves/meltCurve_P39315_qorB.pdf</t>
  </si>
  <si>
    <t>Melting_Curves/meltCurve_P39321_tamB.pdf</t>
  </si>
  <si>
    <t>Melting_Curves/meltCurve_P39325_ytfQ.pdf</t>
  </si>
  <si>
    <t>Melting_Curves/meltCurve_P39332_yjgH.pdf</t>
  </si>
  <si>
    <t>Melting_Curves/meltCurve_P39337_yjgM.pdf</t>
  </si>
  <si>
    <t>Melting_Curves/meltCurve_P39342_yjgR.pdf</t>
  </si>
  <si>
    <t>Melting_Curves/meltCurve_P39356_yjhU.pdf</t>
  </si>
  <si>
    <t>Melting_Curves/meltCurve_P39358_yjhG.pdf</t>
  </si>
  <si>
    <t>Melting_Curves/meltCurve_P39363_sgcA.pdf</t>
  </si>
  <si>
    <t>Melting_Curves/meltCurve_P39366_sgcX.pdf</t>
  </si>
  <si>
    <t>Melting_Curves/meltCurve_P39371_nanM.pdf</t>
  </si>
  <si>
    <t>Melting_Curves/meltCurve_P39377_iadA.pdf</t>
  </si>
  <si>
    <t>Melting_Curves/meltCurve_P39385_yjiN.pdf</t>
  </si>
  <si>
    <t>Melting_Curves/meltCurve_P39406_rsmC.pdf</t>
  </si>
  <si>
    <t>Melting_Curves/meltCurve_P39407_yjjU.pdf</t>
  </si>
  <si>
    <t>Melting_Curves/meltCurve_P39408_yjjV.pdf</t>
  </si>
  <si>
    <t>Melting_Curves/meltCurve_P39411_yjjX.pdf</t>
  </si>
  <si>
    <t>Melting_Curves/meltCurve_P39451_adhP.pdf</t>
  </si>
  <si>
    <t>Melting_Curves/meltCurve_P39830_ybaL.pdf</t>
  </si>
  <si>
    <t>Melting_Curves/meltCurve_P39831_ydfG.pdf</t>
  </si>
  <si>
    <t>Melting_Curves/meltCurve_P39838_rcsD.pdf</t>
  </si>
  <si>
    <t>Melting_Curves/meltCurve_P40120_mdoD.pdf</t>
  </si>
  <si>
    <t>Melting_Curves/meltCurve_P40191_pdxK.pdf</t>
  </si>
  <si>
    <t>Melting_Curves/meltCurve_P40710_nlpE.pdf</t>
  </si>
  <si>
    <t>Melting_Curves/meltCurve_P40874_solA.pdf</t>
  </si>
  <si>
    <t>Melting_Curves/meltCurve_P41039_ybiI.pdf</t>
  </si>
  <si>
    <t>Melting_Curves/meltCurve_P41407_azoR.pdf</t>
  </si>
  <si>
    <t>Melting_Curves/meltCurve_P41409_rihA.pdf</t>
  </si>
  <si>
    <t>Melting_Curves/meltCurve_P42589_ygjH.pdf</t>
  </si>
  <si>
    <t>Melting_Curves/meltCurve_P42592_ygjK.pdf</t>
  </si>
  <si>
    <t>Melting_Curves/meltCurve_P42593_fadH.pdf</t>
  </si>
  <si>
    <t>Melting_Curves/meltCurve_P42599_ygjR.pdf</t>
  </si>
  <si>
    <t>Melting_Curves/meltCurve_P42604_uxaA.pdf</t>
  </si>
  <si>
    <t>Melting_Curves/meltCurve_P42616_yqjC.pdf</t>
  </si>
  <si>
    <t>Melting_Curves/meltCurve_P42620_yqjG.pdf</t>
  </si>
  <si>
    <t>Melting_Curves/meltCurve_P42641_obgE.pdf</t>
  </si>
  <si>
    <t>Melting_Curves/meltCurve_P42904_agaV.pdf</t>
  </si>
  <si>
    <t>Melting_Curves/meltCurve_P43341_lpxH.pdf</t>
  </si>
  <si>
    <t>Melting_Curves/meltCurve_P43671_pqiB.pdf</t>
  </si>
  <si>
    <t>Melting_Curves/meltCurve_P43672_uup.pdf</t>
  </si>
  <si>
    <t>Melting_Curves/meltCurve_P45395_kdsD.pdf</t>
  </si>
  <si>
    <t>Melting_Curves/meltCurve_P45424_yhcH.pdf</t>
  </si>
  <si>
    <t>Melting_Curves/meltCurve_P45425_nanK.pdf</t>
  </si>
  <si>
    <t>Melting_Curves/meltCurve_P45464_lpoA.pdf</t>
  </si>
  <si>
    <t>Melting_Curves/meltCurve_P45470_yhbO.pdf</t>
  </si>
  <si>
    <t>Melting_Curves/meltCurve_P45523_fkpA.pdf</t>
  </si>
  <si>
    <t>Melting_Curves/meltCurve_P45530_tusB.pdf</t>
  </si>
  <si>
    <t>Melting_Curves/meltCurve_P45568_dxr.pdf</t>
  </si>
  <si>
    <t>Melting_Curves/meltCurve_P45577_proQ.pdf</t>
  </si>
  <si>
    <t>Melting_Curves/meltCurve_P45578_luxS.pdf</t>
  </si>
  <si>
    <t>Melting_Curves/meltCurve_P45748_tsaC.pdf</t>
  </si>
  <si>
    <t>Melting_Curves/meltCurve_P45771_yrdD.pdf</t>
  </si>
  <si>
    <t>Melting_Curves/meltCurve_P45799_nudE.pdf</t>
  </si>
  <si>
    <t>Melting_Curves/meltCurve_P45955_cpoB.pdf</t>
  </si>
  <si>
    <t>Melting_Curves/meltCurve_P46122_yajI.pdf</t>
  </si>
  <si>
    <t>Melting_Curves/meltCurve_P46125_yedI.pdf</t>
  </si>
  <si>
    <t>Melting_Curves/meltCurve_P46130_ybhC.pdf</t>
  </si>
  <si>
    <t>Melting_Curves/meltCurve_P46474_yhdP.pdf</t>
  </si>
  <si>
    <t>Melting_Curves/meltCurve_P46837_yhgF.pdf</t>
  </si>
  <si>
    <t>Melting_Curves/meltCurve_P46849_rtcA.pdf</t>
  </si>
  <si>
    <t>Melting_Curves/meltCurve_P46852_yhhW.pdf</t>
  </si>
  <si>
    <t>Melting_Curves/meltCurve_P46853_yhhX.pdf</t>
  </si>
  <si>
    <t>Melting_Curves/meltCurve_P50466_aer.pdf</t>
  </si>
  <si>
    <t>Melting_Curves/meltCurve_P51024_yaiL.pdf</t>
  </si>
  <si>
    <t>Melting_Curves/meltCurve_P51981_ycjG.pdf</t>
  </si>
  <si>
    <t>Melting_Curves/meltCurve_P52007_yecM.pdf</t>
  </si>
  <si>
    <t>Melting_Curves/meltCurve_P52060_yggU.pdf</t>
  </si>
  <si>
    <t>Melting_Curves/meltCurve_P52061_rdgB.pdf</t>
  </si>
  <si>
    <t>Melting_Curves/meltCurve_P52073_glcE.pdf</t>
  </si>
  <si>
    <t>Melting_Curves/meltCurve_P52096_yaeR.pdf</t>
  </si>
  <si>
    <t>Melting_Curves/meltCurve_P52097_tilS.pdf</t>
  </si>
  <si>
    <t>Melting_Curves/meltCurve_P52108_rstA.pdf</t>
  </si>
  <si>
    <t>Melting_Curves/meltCurve_P52119_ratB.pdf</t>
  </si>
  <si>
    <t>Melting_Curves/meltCurve_P52612_fliI.pdf</t>
  </si>
  <si>
    <t>Melting_Curves/meltCurve_P52643_ldhA.pdf</t>
  </si>
  <si>
    <t>Melting_Curves/meltCurve_P52647_ydbK.pdf</t>
  </si>
  <si>
    <t>Melting_Curves/meltCurve_P52697_pgl.pdf</t>
  </si>
  <si>
    <t>Melting_Curves/meltCurve_P55734_ygaP.pdf</t>
  </si>
  <si>
    <t>Melting_Curves/meltCurve_P56262_ysgA.pdf</t>
  </si>
  <si>
    <t>Melting_Curves/meltCurve_P56580_srlE.pdf</t>
  </si>
  <si>
    <t>Melting_Curves/meltCurve_P60240_rapA.pdf</t>
  </si>
  <si>
    <t>Melting_Curves/meltCurve_P60293_mukF.pdf</t>
  </si>
  <si>
    <t>Melting_Curves/meltCurve_P60340_truB.pdf</t>
  </si>
  <si>
    <t>Melting_Curves/meltCurve_P60390_rsmH.pdf</t>
  </si>
  <si>
    <t>Melting_Curves/meltCurve_P60422_rplB.pdf</t>
  </si>
  <si>
    <t>Melting_Curves/meltCurve_P60438_rplC.pdf</t>
  </si>
  <si>
    <t>Melting_Curves/meltCurve_P60546_gmk.pdf</t>
  </si>
  <si>
    <t>Melting_Curves/meltCurve_P60560_guaC.pdf</t>
  </si>
  <si>
    <t>Melting_Curves/meltCurve_P60566_fixA.pdf</t>
  </si>
  <si>
    <t>Melting_Curves/meltCurve_P60595_hisH.pdf</t>
  </si>
  <si>
    <t>Melting_Curves/meltCurve_P60624_rplX.pdf</t>
  </si>
  <si>
    <t>Melting_Curves/meltCurve_P60651_speB.pdf</t>
  </si>
  <si>
    <t>Melting_Curves/meltCurve_P60664_hisF.pdf</t>
  </si>
  <si>
    <t>Melting_Curves/meltCurve_P60716_lipA.pdf</t>
  </si>
  <si>
    <t>Melting_Curves/meltCurve_P60723_rplD.pdf</t>
  </si>
  <si>
    <t>Melting_Curves/meltCurve_P60752_msbA.pdf</t>
  </si>
  <si>
    <t>Melting_Curves/meltCurve_P60757_hisG.pdf</t>
  </si>
  <si>
    <t>Melting_Curves/meltCurve_P60785_lepA.pdf</t>
  </si>
  <si>
    <t>Melting_Curves/meltCurve_P60872_yidE.pdf</t>
  </si>
  <si>
    <t>Melting_Curves/meltCurve_P60906_hisS.pdf</t>
  </si>
  <si>
    <t>Melting_Curves/meltCurve_P61175_rplV.pdf</t>
  </si>
  <si>
    <t>Melting_Curves/meltCurve_P61316_lolA.pdf</t>
  </si>
  <si>
    <t>Melting_Curves/meltCurve_P61320_lolB.pdf</t>
  </si>
  <si>
    <t>Melting_Curves/meltCurve_P61517_can.pdf</t>
  </si>
  <si>
    <t>Melting_Curves/meltCurve_P61714_ribE.pdf</t>
  </si>
  <si>
    <t>Melting_Curves/meltCurve_P61889_mdh.pdf</t>
  </si>
  <si>
    <t>Melting_Curves/meltCurve_P61949_fldA.pdf</t>
  </si>
  <si>
    <t>Melting_Curves/meltCurve_P62399_rplE.pdf</t>
  </si>
  <si>
    <t>Melting_Curves/meltCurve_P62517_mdoH.pdf</t>
  </si>
  <si>
    <t>Melting_Curves/meltCurve_P62615_ispE.pdf</t>
  </si>
  <si>
    <t>Melting_Curves/meltCurve_P62617_ispF.pdf</t>
  </si>
  <si>
    <t>Melting_Curves/meltCurve_P62620_ispG.pdf</t>
  </si>
  <si>
    <t>Melting_Curves/meltCurve_P62623_ispH.pdf</t>
  </si>
  <si>
    <t>Melting_Curves/meltCurve_P62672_apaG.pdf</t>
  </si>
  <si>
    <t>Melting_Curves/meltCurve_P62707_gpmA.pdf</t>
  </si>
  <si>
    <t>Melting_Curves/meltCurve_P62768_yaeH.pdf</t>
  </si>
  <si>
    <t>Melting_Curves/meltCurve_P63020_nfuA.pdf</t>
  </si>
  <si>
    <t>Melting_Curves/meltCurve_P63177_rlmB.pdf</t>
  </si>
  <si>
    <t>Melting_Curves/meltCurve_P63224_gmhA.pdf</t>
  </si>
  <si>
    <t>Melting_Curves/meltCurve_P63229_gmhB.pdf</t>
  </si>
  <si>
    <t>Melting_Curves/meltCurve_P63235_gadC.pdf</t>
  </si>
  <si>
    <t>Melting_Curves/meltCurve_P63284_clpB.pdf</t>
  </si>
  <si>
    <t>Melting_Curves/meltCurve_P63386_mlaF.pdf</t>
  </si>
  <si>
    <t>Melting_Curves/meltCurve_P63389_yheS.pdf</t>
  </si>
  <si>
    <t>Melting_Curves/meltCurve_P63417_yhbS.pdf</t>
  </si>
  <si>
    <t>Melting_Curves/meltCurve_P63883_amiC.pdf</t>
  </si>
  <si>
    <t>Melting_Curves/meltCurve_P64423_zntB.pdf</t>
  </si>
  <si>
    <t>Melting_Curves/meltCurve_P64429_ypfJ.pdf</t>
  </si>
  <si>
    <t>Melting_Curves/meltCurve_P64451_ydcL.pdf</t>
  </si>
  <si>
    <t>Melting_Curves/meltCurve_P64455_ydcY.pdf</t>
  </si>
  <si>
    <t>Melting_Curves/meltCurve_P64461_lsrG.pdf</t>
  </si>
  <si>
    <t>Melting_Curves/meltCurve_P64463_ydfZ.pdf</t>
  </si>
  <si>
    <t>Melting_Curves/meltCurve_P64467_cnu.pdf</t>
  </si>
  <si>
    <t>Melting_Curves/meltCurve_P64479_ydiZ.pdf</t>
  </si>
  <si>
    <t>Melting_Curves/meltCurve_P64483_yeaK.pdf</t>
  </si>
  <si>
    <t>Melting_Curves/meltCurve_P64503_yebV.pdf</t>
  </si>
  <si>
    <t>Melting_Curves/meltCurve_P64506_yebY.pdf</t>
  </si>
  <si>
    <t>Melting_Curves/meltCurve_P64515_yecN.pdf</t>
  </si>
  <si>
    <t>Melting_Curves/meltCurve_P64519_yodD.pdf</t>
  </si>
  <si>
    <t>Melting_Curves/meltCurve_P64530_rcnR.pdf</t>
  </si>
  <si>
    <t>Melting_Curves/meltCurve_P64534_rcnB.pdf</t>
  </si>
  <si>
    <t>Melting_Curves/meltCurve_P64554_queE.pdf</t>
  </si>
  <si>
    <t>Melting_Curves/meltCurve_P64564_yggT.pdf</t>
  </si>
  <si>
    <t>Melting_Curves/meltCurve_P64581_yqjD.pdf</t>
  </si>
  <si>
    <t>Melting_Curves/meltCurve_P64585_yqjE.pdf</t>
  </si>
  <si>
    <t>Melting_Curves/meltCurve_P64588_yqjI.pdf</t>
  </si>
  <si>
    <t>Melting_Curves/meltCurve_P64596_yraP.pdf</t>
  </si>
  <si>
    <t>Melting_Curves/meltCurve_P64602_mlaB.pdf</t>
  </si>
  <si>
    <t>Melting_Curves/meltCurve_P64604_mlaD.pdf</t>
  </si>
  <si>
    <t>Melting_Curves/meltCurve_P64606_mlaE.pdf</t>
  </si>
  <si>
    <t>Melting_Curves/meltCurve_P64616_yhcO.pdf</t>
  </si>
  <si>
    <t>Melting_Curves/meltCurve_P64624_yheO.pdf</t>
  </si>
  <si>
    <t>Melting_Curves/meltCurve_P65292_ygdI.pdf</t>
  </si>
  <si>
    <t>Melting_Curves/meltCurve_P65367_yqcA.pdf</t>
  </si>
  <si>
    <t>Melting_Curves/meltCurve_P65556_yfcD.pdf</t>
  </si>
  <si>
    <t>Melting_Curves/meltCurve_P65807_ygeY.pdf</t>
  </si>
  <si>
    <t>Melting_Curves/meltCurve_P65870_queD.pdf</t>
  </si>
  <si>
    <t>Melting_Curves/meltCurve_P66899_ygeX.pdf</t>
  </si>
  <si>
    <t>Melting_Curves/meltCurve_P66948_bepA.pdf</t>
  </si>
  <si>
    <t>Melting_Curves/meltCurve_P67080_yggS.pdf</t>
  </si>
  <si>
    <t>Melting_Curves/meltCurve_P67087_rsmI.pdf</t>
  </si>
  <si>
    <t>Melting_Curves/meltCurve_P67095_yfcE.pdf</t>
  </si>
  <si>
    <t>Melting_Curves/meltCurve_P67244_yqhA.pdf</t>
  </si>
  <si>
    <t>Melting_Curves/meltCurve_P67603_yqfB.pdf</t>
  </si>
  <si>
    <t>Melting_Curves/meltCurve_P67660_yhaJ.pdf</t>
  </si>
  <si>
    <t>Melting_Curves/meltCurve_P67826_cutC.pdf</t>
  </si>
  <si>
    <t>Melting_Curves/meltCurve_P67910_hldD.pdf</t>
  </si>
  <si>
    <t>Melting_Curves/meltCurve_P68066_grcA.pdf</t>
  </si>
  <si>
    <t>Melting_Curves/meltCurve_P68187_malK.pdf</t>
  </si>
  <si>
    <t>Melting_Curves/meltCurve_P68191_sra.pdf</t>
  </si>
  <si>
    <t>Melting_Curves/meltCurve_P68206_yjbJ.pdf</t>
  </si>
  <si>
    <t>Melting_Curves/meltCurve_P68679_rpsU.pdf</t>
  </si>
  <si>
    <t>Melting_Curves/meltCurve_P68688_grxA.pdf</t>
  </si>
  <si>
    <t>Melting_Curves/meltCurve_P68699_atpE.pdf</t>
  </si>
  <si>
    <t>Melting_Curves/meltCurve_P68767_pepA.pdf</t>
  </si>
  <si>
    <t>Melting_Curves/meltCurve_P68919_rplY.pdf</t>
  </si>
  <si>
    <t>Melting_Curves/meltCurve_P69054_sdhC.pdf</t>
  </si>
  <si>
    <t>Melting_Curves/meltCurve_P69222_infA.pdf</t>
  </si>
  <si>
    <t>Melting_Curves/meltCurve_P69228_baeR.pdf</t>
  </si>
  <si>
    <t>Melting_Curves/meltCurve_P69346_yefM.pdf</t>
  </si>
  <si>
    <t>Melting_Curves/meltCurve_P69411_rcsF.pdf</t>
  </si>
  <si>
    <t>Melting_Curves/meltCurve_P69425_tatB.pdf</t>
  </si>
  <si>
    <t>Melting_Curves/meltCurve_P69428_tatA.pdf</t>
  </si>
  <si>
    <t>Melting_Curves/meltCurve_P69441_adk.pdf</t>
  </si>
  <si>
    <t>Melting_Curves/meltCurve_P69451_fadD.pdf</t>
  </si>
  <si>
    <t>Melting_Curves/meltCurve_P69488_cutA.pdf</t>
  </si>
  <si>
    <t>Melting_Curves/meltCurve_P69503_apt.pdf</t>
  </si>
  <si>
    <t>Melting_Curves/meltCurve_P69506_ytfE.pdf</t>
  </si>
  <si>
    <t>Melting_Curves/meltCurve_P69741_hybO.pdf</t>
  </si>
  <si>
    <t>Melting_Curves/meltCurve_P69776_lpp.pdf</t>
  </si>
  <si>
    <t>Melting_Curves/meltCurve_P69783_crr.pdf</t>
  </si>
  <si>
    <t>Melting_Curves/meltCurve_P69786_ptsG.pdf</t>
  </si>
  <si>
    <t>Melting_Curves/meltCurve_P69795_chbB.pdf</t>
  </si>
  <si>
    <t>Melting_Curves/meltCurve_P69797_manX.pdf</t>
  </si>
  <si>
    <t>Melting_Curves/meltCurve_P69805_manZ.pdf</t>
  </si>
  <si>
    <t>Melting_Curves/meltCurve_P69811_fruB.pdf</t>
  </si>
  <si>
    <t>Melting_Curves/meltCurve_P69822_ulaB.pdf</t>
  </si>
  <si>
    <t>Melting_Curves/meltCurve_P69828_gatA.pdf</t>
  </si>
  <si>
    <t>Melting_Curves/meltCurve_P69829_ptsN.pdf</t>
  </si>
  <si>
    <t>Melting_Curves/meltCurve_P69853_dmsD.pdf</t>
  </si>
  <si>
    <t>Melting_Curves/meltCurve_P69874_potA.pdf</t>
  </si>
  <si>
    <t>Melting_Curves/meltCurve_P69908_gadA.pdf</t>
  </si>
  <si>
    <t>Melting_Curves/meltCurve_P69910_gadB.pdf</t>
  </si>
  <si>
    <t>Melting_Curves/meltCurve_P69913_csrA.pdf</t>
  </si>
  <si>
    <t>Melting_Curves/meltCurve_P69922_fucI.pdf</t>
  </si>
  <si>
    <t>Melting_Curves/meltCurve_P69924_nrdB.pdf</t>
  </si>
  <si>
    <t>Melting_Curves/meltCurve_P75682_yagE.pdf</t>
  </si>
  <si>
    <t>Melting_Curves/meltCurve_P75691_yahK.pdf</t>
  </si>
  <si>
    <t>Melting_Curves/meltCurve_P75694_yahO.pdf</t>
  </si>
  <si>
    <t>Melting_Curves/meltCurve_P75713_allE.pdf</t>
  </si>
  <si>
    <t>Melting_Curves/meltCurve_P75728_ubiF.pdf</t>
  </si>
  <si>
    <t>Melting_Curves/meltCurve_P75736_ybfF.pdf</t>
  </si>
  <si>
    <t>Melting_Curves/meltCurve_P75745_ybgK.pdf</t>
  </si>
  <si>
    <t>Melting_Curves/meltCurve_P75767_ybhK.pdf</t>
  </si>
  <si>
    <t>Melting_Curves/meltCurve_P75777_ybhG.pdf</t>
  </si>
  <si>
    <t>Melting_Curves/meltCurve_P75792_ybiV.pdf</t>
  </si>
  <si>
    <t>Melting_Curves/meltCurve_P75797_gsiB.pdf</t>
  </si>
  <si>
    <t>Melting_Curves/meltCurve_P75818_ybjP.pdf</t>
  </si>
  <si>
    <t>Melting_Curves/meltCurve_P75863_ycbX.pdf</t>
  </si>
  <si>
    <t>Melting_Curves/meltCurve_P75864_rlmL.pdf</t>
  </si>
  <si>
    <t>Melting_Curves/meltCurve_P75874_yccU.pdf</t>
  </si>
  <si>
    <t>Melting_Curves/meltCurve_P75876_rlmI.pdf</t>
  </si>
  <si>
    <t>Melting_Curves/meltCurve_P75913_ghrA.pdf</t>
  </si>
  <si>
    <t>Melting_Curves/meltCurve_P75914_ycdX.pdf</t>
  </si>
  <si>
    <t>Melting_Curves/meltCurve_P75915_ycdY.pdf</t>
  </si>
  <si>
    <t>Melting_Curves/meltCurve_P75931_yceM.pdf</t>
  </si>
  <si>
    <t>Melting_Curves/meltCurve_P75937_flgE.pdf</t>
  </si>
  <si>
    <t>Melting_Curves/meltCurve_P75952_comR.pdf</t>
  </si>
  <si>
    <t>Melting_Curves/meltCurve_P75959_nagK.pdf</t>
  </si>
  <si>
    <t>Melting_Curves/meltCurve_P75960_cobB.pdf</t>
  </si>
  <si>
    <t>Melting_Curves/meltCurve_P75974_cohE.pdf</t>
  </si>
  <si>
    <t>Melting_Curves/meltCurve_P75975_croE.pdf</t>
  </si>
  <si>
    <t>Melting_Curves/meltCurve_P75981_jayE.pdf</t>
  </si>
  <si>
    <t>Melting_Curves/meltCurve_P76001_ycgJ.pdf</t>
  </si>
  <si>
    <t>Melting_Curves/meltCurve_P76002_pliG.pdf</t>
  </si>
  <si>
    <t>Melting_Curves/meltCurve_P76004_ycgM.pdf</t>
  </si>
  <si>
    <t>Melting_Curves/meltCurve_P76008_ldcA.pdf</t>
  </si>
  <si>
    <t>Melting_Curves/meltCurve_P76014_dhaL.pdf</t>
  </si>
  <si>
    <t>Melting_Curves/meltCurve_P76015_dhaK.pdf</t>
  </si>
  <si>
    <t>Melting_Curves/meltCurve_P76027_oppD.pdf</t>
  </si>
  <si>
    <t>Melting_Curves/meltCurve_P76046_ycjX.pdf</t>
  </si>
  <si>
    <t>Melting_Curves/meltCurve_P76049_ycjY.pdf</t>
  </si>
  <si>
    <t>Melting_Curves/meltCurve_P76055_ttcA.pdf</t>
  </si>
  <si>
    <t>Melting_Curves/meltCurve_P76062_racR.pdf</t>
  </si>
  <si>
    <t>Melting_Curves/meltCurve_P76097_ydcJ.pdf</t>
  </si>
  <si>
    <t>Melting_Curves/meltCurve_P76108_ydcS.pdf</t>
  </si>
  <si>
    <t>Melting_Curves/meltCurve_P76113_curA.pdf</t>
  </si>
  <si>
    <t>Melting_Curves/meltCurve_P76116_yncE.pdf</t>
  </si>
  <si>
    <t>Melting_Curves/meltCurve_P76121_yddH.pdf</t>
  </si>
  <si>
    <t>Melting_Curves/meltCurve_P76128_ddpA.pdf</t>
  </si>
  <si>
    <t>Melting_Curves/meltCurve_P76142_lsrB.pdf</t>
  </si>
  <si>
    <t>Melting_Curves/meltCurve_P76143_lsrF.pdf</t>
  </si>
  <si>
    <t>Melting_Curves/meltCurve_P76145_tam.pdf</t>
  </si>
  <si>
    <t>Melting_Curves/meltCurve_P76149_sad.pdf</t>
  </si>
  <si>
    <t>Melting_Curves/meltCurve_P76172_ynfD.pdf</t>
  </si>
  <si>
    <t>Melting_Curves/meltCurve_P76173_ynfH.pdf</t>
  </si>
  <si>
    <t>Melting_Curves/meltCurve_P76176_ydgD.pdf</t>
  </si>
  <si>
    <t>Melting_Curves/meltCurve_P76177_ydgH.pdf</t>
  </si>
  <si>
    <t>Melting_Curves/meltCurve_P76187_ydhF.pdf</t>
  </si>
  <si>
    <t>Melting_Curves/meltCurve_P76192_ydhV.pdf</t>
  </si>
  <si>
    <t>Melting_Curves/meltCurve_P76193_ynhG.pdf</t>
  </si>
  <si>
    <t>Melting_Curves/meltCurve_P76194_sufE.pdf</t>
  </si>
  <si>
    <t>Melting_Curves/meltCurve_P76216_astB.pdf</t>
  </si>
  <si>
    <t>Melting_Curves/meltCurve_P76217_astD.pdf</t>
  </si>
  <si>
    <t>Melting_Curves/meltCurve_P76220_ydjY.pdf</t>
  </si>
  <si>
    <t>Melting_Curves/meltCurve_P76223_ynjB.pdf</t>
  </si>
  <si>
    <t>Melting_Curves/meltCurve_P76227_ynjH.pdf</t>
  </si>
  <si>
    <t>Melting_Curves/meltCurve_P76235_yeaH.pdf</t>
  </si>
  <si>
    <t>Melting_Curves/meltCurve_P76243_yeaO.pdf</t>
  </si>
  <si>
    <t>Melting_Curves/meltCurve_P76251_dmlA.pdf</t>
  </si>
  <si>
    <t>Melting_Curves/meltCurve_P76256_tsaB.pdf</t>
  </si>
  <si>
    <t>Melting_Curves/meltCurve_P76268_kdgR.pdf</t>
  </si>
  <si>
    <t>Melting_Curves/meltCurve_P76270_msrC.pdf</t>
  </si>
  <si>
    <t>Melting_Curves/meltCurve_P76272_yebT.pdf</t>
  </si>
  <si>
    <t>Melting_Curves/meltCurve_P76290_cmoA.pdf</t>
  </si>
  <si>
    <t>Melting_Curves/meltCurve_P76291_cmoB.pdf</t>
  </si>
  <si>
    <t>Melting_Curves/meltCurve_P76297_flhE.pdf</t>
  </si>
  <si>
    <t>Melting_Curves/meltCurve_P76298_flhA.pdf</t>
  </si>
  <si>
    <t>Melting_Curves/meltCurve_P76308_yecR.pdf</t>
  </si>
  <si>
    <t>Melting_Curves/meltCurve_P76316_dcyD.pdf</t>
  </si>
  <si>
    <t>Melting_Curves/meltCurve_P76318_yedK.pdf</t>
  </si>
  <si>
    <t>Melting_Curves/meltCurve_P76329_yedP.pdf</t>
  </si>
  <si>
    <t>Melting_Curves/meltCurve_P76330_yedQ.pdf</t>
  </si>
  <si>
    <t>Melting_Curves/meltCurve_P76342_msrP.pdf</t>
  </si>
  <si>
    <t>Melting_Curves/meltCurve_P76346_mtfA.pdf</t>
  </si>
  <si>
    <t>Melting_Curves/meltCurve_P76372_wzzB.pdf</t>
  </si>
  <si>
    <t>Melting_Curves/meltCurve_P76389_yegH.pdf</t>
  </si>
  <si>
    <t>Melting_Curves/meltCurve_P76397_mdtA.pdf</t>
  </si>
  <si>
    <t>Melting_Curves/meltCurve_P76402_yegP.pdf</t>
  </si>
  <si>
    <t>Melting_Curves/meltCurve_P76403_yegQ.pdf</t>
  </si>
  <si>
    <t>Melting_Curves/meltCurve_P76407_yegS.pdf</t>
  </si>
  <si>
    <t>Melting_Curves/meltCurve_P76440_preT.pdf</t>
  </si>
  <si>
    <t>Melting_Curves/meltCurve_P76445_lpxT.pdf</t>
  </si>
  <si>
    <t>Melting_Curves/meltCurve_P76502_sixA.pdf</t>
  </si>
  <si>
    <t>Melting_Curves/meltCurve_P76506_mlaA.pdf</t>
  </si>
  <si>
    <t>Melting_Curves/meltCurve_P76521_yfdY.pdf</t>
  </si>
  <si>
    <t>Melting_Curves/meltCurve_P76535_murQ.pdf</t>
  </si>
  <si>
    <t>Melting_Curves/meltCurve_P76536_yfeX.pdf</t>
  </si>
  <si>
    <t>Melting_Curves/meltCurve_P76537_yfeY.pdf</t>
  </si>
  <si>
    <t>Melting_Curves/meltCurve_P76541_eutL.pdf</t>
  </si>
  <si>
    <t>Melting_Curves/meltCurve_P76550_yffS.pdf</t>
  </si>
  <si>
    <t>Melting_Curves/meltCurve_P76558_maeB.pdf</t>
  </si>
  <si>
    <t>Melting_Curves/meltCurve_P76561_ypfH.pdf</t>
  </si>
  <si>
    <t>Melting_Curves/meltCurve_P76569_yfgD.pdf</t>
  </si>
  <si>
    <t>Melting_Curves/meltCurve_P76575_yfgJ.pdf</t>
  </si>
  <si>
    <t>Melting_Curves/meltCurve_P76576_yfgM.pdf</t>
  </si>
  <si>
    <t>Melting_Curves/meltCurve_P76578_yfhM.pdf</t>
  </si>
  <si>
    <t>Melting_Curves/meltCurve_P76621_csiD.pdf</t>
  </si>
  <si>
    <t>Melting_Curves/meltCurve_P76658_hldE.pdf</t>
  </si>
  <si>
    <t>Melting_Curves/meltCurve_P77148_ydhS.pdf</t>
  </si>
  <si>
    <t>Melting_Curves/meltCurve_P77162_ykfB.pdf</t>
  </si>
  <si>
    <t>Melting_Curves/meltCurve_P77173_zipA.pdf</t>
  </si>
  <si>
    <t>Melting_Curves/meltCurve_P77181_paaY.pdf</t>
  </si>
  <si>
    <t>Melting_Curves/meltCurve_P77202_dsbG.pdf</t>
  </si>
  <si>
    <t>Melting_Curves/meltCurve_P77212_rclA.pdf</t>
  </si>
  <si>
    <t>Melting_Curves/meltCurve_P77213_ybdK.pdf</t>
  </si>
  <si>
    <t>Melting_Curves/meltCurve_P77243_prpD.pdf</t>
  </si>
  <si>
    <t>Melting_Curves/meltCurve_P77247_yniC.pdf</t>
  </si>
  <si>
    <t>Melting_Curves/meltCurve_P77252_ykgE.pdf</t>
  </si>
  <si>
    <t>Melting_Curves/meltCurve_P77258_nemA.pdf</t>
  </si>
  <si>
    <t>Melting_Curves/meltCurve_P77269_yphF.pdf</t>
  </si>
  <si>
    <t>Melting_Curves/meltCurve_P77279_fetA.pdf</t>
  </si>
  <si>
    <t>Melting_Curves/meltCurve_P77285_rsxG.pdf</t>
  </si>
  <si>
    <t>Melting_Curves/meltCurve_P77318_ydeN.pdf</t>
  </si>
  <si>
    <t>Melting_Curves/meltCurve_P77330_borD.pdf</t>
  </si>
  <si>
    <t>Melting_Curves/meltCurve_P77338_mscK.pdf</t>
  </si>
  <si>
    <t>Melting_Curves/meltCurve_P77348_mppA.pdf</t>
  </si>
  <si>
    <t>Melting_Curves/meltCurve_P77364_glxK.pdf</t>
  </si>
  <si>
    <t>Melting_Curves/meltCurve_P77368_ybcL.pdf</t>
  </si>
  <si>
    <t>Melting_Curves/meltCurve_P77395_ybbN.pdf</t>
  </si>
  <si>
    <t>Melting_Curves/meltCurve_P77433_ykgG.pdf</t>
  </si>
  <si>
    <t>Melting_Curves/meltCurve_P77444_sufS.pdf</t>
  </si>
  <si>
    <t>Melting_Curves/meltCurve_P77454_glsA1.pdf</t>
  </si>
  <si>
    <t>Melting_Curves/meltCurve_P77488_dxs.pdf</t>
  </si>
  <si>
    <t>Melting_Curves/meltCurve_P77499_sufC.pdf</t>
  </si>
  <si>
    <t>Melting_Curves/meltCurve_P77522_sufB.pdf</t>
  </si>
  <si>
    <t>Melting_Curves/meltCurve_P77526_yfcG.pdf</t>
  </si>
  <si>
    <t>Melting_Curves/meltCurve_P77529_ydjN.pdf</t>
  </si>
  <si>
    <t>Melting_Curves/meltCurve_P77541_prpB.pdf</t>
  </si>
  <si>
    <t>Melting_Curves/meltCurve_P77544_yfcF.pdf</t>
  </si>
  <si>
    <t>Melting_Curves/meltCurve_P77552_ydhQ.pdf</t>
  </si>
  <si>
    <t>Melting_Curves/meltCurve_P77554_yahJ.pdf</t>
  </si>
  <si>
    <t>Melting_Curves/meltCurve_P77581_astC.pdf</t>
  </si>
  <si>
    <t>Melting_Curves/meltCurve_P77611_rsxC.pdf</t>
  </si>
  <si>
    <t>Melting_Curves/meltCurve_P77625_yfbT.pdf</t>
  </si>
  <si>
    <t>Melting_Curves/meltCurve_P77671_allB.pdf</t>
  </si>
  <si>
    <t>Melting_Curves/meltCurve_P77674_prr.pdf</t>
  </si>
  <si>
    <t>Melting_Curves/meltCurve_P77689_sufD.pdf</t>
  </si>
  <si>
    <t>Melting_Curves/meltCurve_P77695_gnsB.pdf</t>
  </si>
  <si>
    <t>Melting_Curves/meltCurve_P77712_fadM.pdf</t>
  </si>
  <si>
    <t>Melting_Curves/meltCurve_P77713_yagH.pdf</t>
  </si>
  <si>
    <t>Melting_Curves/meltCurve_P77717_ybaY.pdf</t>
  </si>
  <si>
    <t>Melting_Curves/meltCurve_P77718_thiI.pdf</t>
  </si>
  <si>
    <t>Melting_Curves/meltCurve_P77721_ydjF.pdf</t>
  </si>
  <si>
    <t>Melting_Curves/meltCurve_P77735_yajO.pdf</t>
  </si>
  <si>
    <t>Melting_Curves/meltCurve_P77737_oppF.pdf</t>
  </si>
  <si>
    <t>Melting_Curves/meltCurve_P77739_yniA.pdf</t>
  </si>
  <si>
    <t>Melting_Curves/meltCurve_P77748_ydiJ.pdf</t>
  </si>
  <si>
    <t>Melting_Curves/meltCurve_P77754_spy.pdf</t>
  </si>
  <si>
    <t>Melting_Curves/meltCurve_P77774_bamB.pdf</t>
  </si>
  <si>
    <t>Melting_Curves/meltCurve_P77775_yfcH.pdf</t>
  </si>
  <si>
    <t>Melting_Curves/meltCurve_P77791_maa.pdf</t>
  </si>
  <si>
    <t>Melting_Curves/meltCurve_P77804_ydgA.pdf</t>
  </si>
  <si>
    <t>Melting_Curves/meltCurve_P77808_yfaY.pdf</t>
  </si>
  <si>
    <t>Melting_Curves/meltCurve_P78055_fsaA.pdf</t>
  </si>
  <si>
    <t>Melting_Curves/meltCurve_P78067_ynjE.pdf</t>
  </si>
  <si>
    <t>Melting_Curves/meltCurve_P80668_feaB.pdf</t>
  </si>
  <si>
    <t>Melting_Curves/meltCurve_Q2M7R5_yibT.pdf</t>
  </si>
  <si>
    <t>Melting_Curves/meltCurve_Q2MB16_yobH.pdf</t>
  </si>
  <si>
    <t>Melting_Curves/meltCurve_Q46799_xdhA.pdf</t>
  </si>
  <si>
    <t>Melting_Curves/meltCurve_Q46803_ygeW.pdf</t>
  </si>
  <si>
    <t>Melting_Curves/meltCurve_Q46807_yqeA.pdf</t>
  </si>
  <si>
    <t>Melting_Curves/meltCurve_Q46811_ygfK.pdf</t>
  </si>
  <si>
    <t>Melting_Curves/meltCurve_Q46822_idi.pdf</t>
  </si>
  <si>
    <t>Melting_Curves/meltCurve_Q46829_bglA.pdf</t>
  </si>
  <si>
    <t>Melting_Curves/meltCurve_Q46845_yghU.pdf</t>
  </si>
  <si>
    <t>Melting_Curves/meltCurve_Q46851_gpr.pdf</t>
  </si>
  <si>
    <t>Melting_Curves/meltCurve_Q46856_yqhD.pdf</t>
  </si>
  <si>
    <t>Melting_Curves/meltCurve_Q46857_dkgA.pdf</t>
  </si>
  <si>
    <t>Melting_Curves/meltCurve_Q46863_ygiS.pdf</t>
  </si>
  <si>
    <t>Melting_Curves/meltCurve_Q46864_mqsA.pdf</t>
  </si>
  <si>
    <t>Melting_Curves/meltCurve_Q46868_yqiC.pdf</t>
  </si>
  <si>
    <t>Melting_Curves/meltCurve_Q46871_yqjH.pdf</t>
  </si>
  <si>
    <t>Melting_Curves/meltCurve_Q46893_ispD.pdf</t>
  </si>
  <si>
    <t>Melting_Curves/meltCurve_Q46920_queF.pdf</t>
  </si>
  <si>
    <t>Melting_Curves/meltCurve_Q46938_kduI.pdf</t>
  </si>
  <si>
    <t>Melting_Curves/meltCurve_Q46948_yajL.pdf</t>
  </si>
  <si>
    <t>Melting_Curves/meltCurve_Q47146_fadE.pdf</t>
  </si>
  <si>
    <t>Melting_Curves/meltCurve_Q47147_yafJ.pdf</t>
  </si>
  <si>
    <t>Melting_Curves/meltCurve_Q47150_dinJ.pdf</t>
  </si>
  <si>
    <t>Melting_Curves/meltCurve_Q47157_yafO.pdf</t>
  </si>
  <si>
    <t>Melting_Curves/meltCurve_Q47622_sapA.pdf</t>
  </si>
  <si>
    <t>Melting_Curves/meltCurve_Q47679_yafV.pdf</t>
  </si>
  <si>
    <t>Melting_Curves/meltCurve_Q57261_truD.pdf</t>
  </si>
  <si>
    <t>Melting_Curves/meltCurve_Q59385_copA.pdf</t>
  </si>
  <si>
    <t>Melting_Curves/meltCurve_Q93K97_nudF.pdf</t>
  </si>
  <si>
    <t>Melting_Curves/meltCurve_Q9LBU0_kgtP.pdf</t>
  </si>
  <si>
    <t>Melting_Curves/meltCurve_Q9LBU5_yrdA.pdf</t>
  </si>
  <si>
    <t>Melting_Curves/meltCurve_Q9LBV1_mobB.pdf</t>
  </si>
  <si>
    <t>Melting_Curves/meltCurve_Q9RFA1_.pdf</t>
  </si>
  <si>
    <t>Yes</t>
  </si>
  <si>
    <t>No</t>
  </si>
  <si>
    <t>Beta-galactosidase</t>
  </si>
  <si>
    <t>6-phosphogluconate dehydrogenase, decarboxylating</t>
  </si>
  <si>
    <t>Fumarate reductase flavoprotein subunit</t>
  </si>
  <si>
    <t>NADP-specific glutamate dehydrogenase</t>
  </si>
  <si>
    <t>NADH dehydrogenase</t>
  </si>
  <si>
    <t>Superoxide dismutase [Mn]</t>
  </si>
  <si>
    <t>Ribonucleoside-diphosphate reductase 1 subunit alpha</t>
  </si>
  <si>
    <t>Maltodextrin phosphorylase</t>
  </si>
  <si>
    <t>Aspartate aminotransferase</t>
  </si>
  <si>
    <t>Homoserine kinase</t>
  </si>
  <si>
    <t>PTS system mannitol-specific EIICBA component</t>
  </si>
  <si>
    <t>Bifunctional aspartokinase/homoserine dehydrogenase 1</t>
  </si>
  <si>
    <t>RNA polymerase sigma factor RpoD</t>
  </si>
  <si>
    <t>DNA polymerase I</t>
  </si>
  <si>
    <t>Alkaline phosphatase</t>
  </si>
  <si>
    <t>Signal peptidase I</t>
  </si>
  <si>
    <t>L-asparaginase 2</t>
  </si>
  <si>
    <t>Beta-lactamase</t>
  </si>
  <si>
    <t>Phosphoenolpyruvate carboxylase</t>
  </si>
  <si>
    <t>Anthranilate synthase component 1</t>
  </si>
  <si>
    <t>Bifunctional protein TrpGD</t>
  </si>
  <si>
    <t>Tryptophan biosynthesis protein TrpCF</t>
  </si>
  <si>
    <t>D-serine dehydratase</t>
  </si>
  <si>
    <t>Threonine synthase</t>
  </si>
  <si>
    <t>Cystathionine gamma-synthase</t>
  </si>
  <si>
    <t>Mannose-6-phosphate isomerase</t>
  </si>
  <si>
    <t>Tryptophan--tRNA ligase</t>
  </si>
  <si>
    <t>Isoleucine--tRNA ligase</t>
  </si>
  <si>
    <t>Alanine--tRNA ligase</t>
  </si>
  <si>
    <t>Methionine--tRNA ligase</t>
  </si>
  <si>
    <t>Glycine--tRNA ligase alpha subunit</t>
  </si>
  <si>
    <t>Glycine--tRNA ligase beta subunit</t>
  </si>
  <si>
    <t>Glutamine--tRNA ligase</t>
  </si>
  <si>
    <t>Carbamoyl-phosphate synthase large chain</t>
  </si>
  <si>
    <t>30S ribosomal protein S6</t>
  </si>
  <si>
    <t>30S ribosomal protein S7</t>
  </si>
  <si>
    <t>50S ribosomal protein L15</t>
  </si>
  <si>
    <t>Maltose transport system permease protein MalF</t>
  </si>
  <si>
    <t>Penicillin-binding protein 1B</t>
  </si>
  <si>
    <t>L-arabinose-binding periplasmic protein</t>
  </si>
  <si>
    <t>Ribose import binding protein RbsB</t>
  </si>
  <si>
    <t>Outer membrane protein TolC</t>
  </si>
  <si>
    <t>Outer membrane protein F</t>
  </si>
  <si>
    <t>Methyl-accepting chemotaxis protein I</t>
  </si>
  <si>
    <t>Maltoporin</t>
  </si>
  <si>
    <t>Chromosomal replication initiator protein DnaA</t>
  </si>
  <si>
    <t>DNA helicase II</t>
  </si>
  <si>
    <t>Protein MioC</t>
  </si>
  <si>
    <t>Maltose operon periplasmic protein</t>
  </si>
  <si>
    <t>4-hydroxy-tetrahydrodipicolinate reductase</t>
  </si>
  <si>
    <t>GMP synthase [glutamine-hydrolyzing]</t>
  </si>
  <si>
    <t>Esterase FrsA</t>
  </si>
  <si>
    <t>Glutathione synthetase</t>
  </si>
  <si>
    <t>Aromatic-amino-acid aminotransferase</t>
  </si>
  <si>
    <t>Glutamate--tRNA ligase</t>
  </si>
  <si>
    <t>Leucine-specific-binding protein</t>
  </si>
  <si>
    <t>Aminopeptidase N</t>
  </si>
  <si>
    <t>Lipoprotein 28</t>
  </si>
  <si>
    <t>Flagellin</t>
  </si>
  <si>
    <t>3-deoxy-manno-octulosonate cytidylyltransferase</t>
  </si>
  <si>
    <t>D-ribose pyranase</t>
  </si>
  <si>
    <t>Ribose import ATP-binding protein RbsA</t>
  </si>
  <si>
    <t>Exodeoxyribonuclease I</t>
  </si>
  <si>
    <t>Dihydroorotase</t>
  </si>
  <si>
    <t>Aminodeoxychorismate synthase component 1</t>
  </si>
  <si>
    <t>Fumarate hydratase class II</t>
  </si>
  <si>
    <t>Polyribonucleotide nucleotidyltransferase</t>
  </si>
  <si>
    <t>3-dehydroquinate dehydratase</t>
  </si>
  <si>
    <t>Protease 3</t>
  </si>
  <si>
    <t>Erythronate-4-phosphate dehydrogenase</t>
  </si>
  <si>
    <t>Bis(5-nucleosyl)-tetraphosphatase [symmetrical]</t>
  </si>
  <si>
    <t>Methyl-accepting chemotaxis protein III</t>
  </si>
  <si>
    <t>Sorbitol-6-phosphate 2-dehydrogenase</t>
  </si>
  <si>
    <t>Dihydroxy-acid dehydratase</t>
  </si>
  <si>
    <t>Ketol-acid reductoisomerase (NADP(+))</t>
  </si>
  <si>
    <t>Beta-glucuronidase</t>
  </si>
  <si>
    <t>D-lactate dehydrogenase</t>
  </si>
  <si>
    <t>CDP-diacylglycerol pyrophosphatase</t>
  </si>
  <si>
    <t>Thioredoxin/glutathione peroxidase BtuE</t>
  </si>
  <si>
    <t>DNA topoisomerase 1</t>
  </si>
  <si>
    <t>GTPase Era</t>
  </si>
  <si>
    <t>DNA polymerase III subunit tau</t>
  </si>
  <si>
    <t>Glutathione reductase</t>
  </si>
  <si>
    <t>Alpha-galactosidase</t>
  </si>
  <si>
    <t>HTH-type transcriptional regulator EbgR</t>
  </si>
  <si>
    <t>Dihydrolipoyllysine-residue acetyltransferase component of pyruvate dehydrogenase complex</t>
  </si>
  <si>
    <t>Multifunctional CCA protein</t>
  </si>
  <si>
    <t>HTH-type transcriptional regulator DicA</t>
  </si>
  <si>
    <t>Deoxyuridine 5-triphosphate nucleotidohydrolase</t>
  </si>
  <si>
    <t>Ferrichrome-iron receptor</t>
  </si>
  <si>
    <t>Flagellar motor switch protein FliM</t>
  </si>
  <si>
    <t>Porphobilinogen deaminase</t>
  </si>
  <si>
    <t>Histidinol-phosphate aminotransferase</t>
  </si>
  <si>
    <t>Histidine biosynthesis bifunctional protein HisB</t>
  </si>
  <si>
    <t>Histidinol dehydrogenase</t>
  </si>
  <si>
    <t>Histidine biosynthesis bifunctional protein HisIE</t>
  </si>
  <si>
    <t>Ribosomal RNA small subunit methyltransferase A</t>
  </si>
  <si>
    <t>Outer membrane protein C</t>
  </si>
  <si>
    <t>ATP-dependent 6-phosphofructokinase isozyme 2</t>
  </si>
  <si>
    <t>NAD(P) transhydrogenase subunit alpha</t>
  </si>
  <si>
    <t>Pyruvate dehydrogenase [ubiquinone]</t>
  </si>
  <si>
    <t>Gamma-glutamyl phosphate reductase</t>
  </si>
  <si>
    <t>Peptide chain release factor RF2</t>
  </si>
  <si>
    <t>Succinate dehydrogenase iron-sulfur subunit</t>
  </si>
  <si>
    <t>Methyl-accepting chemotaxis protein II</t>
  </si>
  <si>
    <t>T-protein</t>
  </si>
  <si>
    <t>Protein UshA</t>
  </si>
  <si>
    <t>Periplasmic AppA protein</t>
  </si>
  <si>
    <t>Sodium/proline symporter</t>
  </si>
  <si>
    <t>Valine--tRNA ligase</t>
  </si>
  <si>
    <t>Chemotaxis response regulator protein-glutamate methylesterase</t>
  </si>
  <si>
    <t>Chemotaxis protein CheA</t>
  </si>
  <si>
    <t>Phenylalanine--tRNA ligase beta subunit</t>
  </si>
  <si>
    <t>3-dehydroquinate synthase</t>
  </si>
  <si>
    <t>Thymidine phosphorylase</t>
  </si>
  <si>
    <t>1,4-alpha-glucan branching enzyme GlgB</t>
  </si>
  <si>
    <t>Leucine--tRNA ligase</t>
  </si>
  <si>
    <t>Iron(3+)-hydroxamate-binding protein FhuD</t>
  </si>
  <si>
    <t>D-alanine--D-alanine ligase B</t>
  </si>
  <si>
    <t>L-threonine 3-dehydrogenase</t>
  </si>
  <si>
    <t>Phosphoribosylformylglycinamidine cyclo-ligase</t>
  </si>
  <si>
    <t>Dihydrofolate synthase/folylpolyglutamate synthase</t>
  </si>
  <si>
    <t>Isocitrate dehydrogenase [NADP]</t>
  </si>
  <si>
    <t>L-arabinose isomerase</t>
  </si>
  <si>
    <t>Orotidine 5-phosphate decarboxylase</t>
  </si>
  <si>
    <t>Uncharacterized protein YciH</t>
  </si>
  <si>
    <t>Phenylalanine--tRNA ligase alpha subunit</t>
  </si>
  <si>
    <t>2,3-cyclic-nucleotide 2-phosphodiesterase/3-nucleotidase</t>
  </si>
  <si>
    <t>8-oxo-dGTP diphosphatase</t>
  </si>
  <si>
    <t>Transcriptional regulatory protein CreB</t>
  </si>
  <si>
    <t>UDP-N-acetylenolpyruvoylglucosamine reductase</t>
  </si>
  <si>
    <t>USG-1 protein</t>
  </si>
  <si>
    <t>Protease 4</t>
  </si>
  <si>
    <t>D-alanyl-D-alanine carboxypeptidase DacC</t>
  </si>
  <si>
    <t>Colicin V production protein</t>
  </si>
  <si>
    <t>Chaperone protein DnaJ</t>
  </si>
  <si>
    <t>Lysine-sensitive aspartokinase 3</t>
  </si>
  <si>
    <t>Phosphoenolpyruvate-protein phosphotransferase</t>
  </si>
  <si>
    <t>Type I restriction enzyme EcoKI R protein</t>
  </si>
  <si>
    <t>Type I restriction enzyme EcoKI M protein</t>
  </si>
  <si>
    <t>Malate synthase A</t>
  </si>
  <si>
    <t>N5-carboxyaminoimidazole ribonucleotide synthase</t>
  </si>
  <si>
    <t>Exodeoxyribonuclease III</t>
  </si>
  <si>
    <t>Uroporphyrinogen-III synthase</t>
  </si>
  <si>
    <t>Putative uroporphyrinogen-III C-methyltransferase</t>
  </si>
  <si>
    <t>UDP-glucose 4-epimerase</t>
  </si>
  <si>
    <t>Galactose-1-phosphate uridylyltransferase</t>
  </si>
  <si>
    <t>Respiratory nitrate reductase 1 alpha chain</t>
  </si>
  <si>
    <t>Ribonuclease D</t>
  </si>
  <si>
    <t>Polyamine aminopropyltransferase</t>
  </si>
  <si>
    <t>Protease 7</t>
  </si>
  <si>
    <t>PTS system N-acetylglucosamine-specific EIICBA component</t>
  </si>
  <si>
    <t>Protein GrpE</t>
  </si>
  <si>
    <t>Formate acetyltransferase 1</t>
  </si>
  <si>
    <t>Rhomboid protease GlpG</t>
  </si>
  <si>
    <t>Glycerophosphodiester phosphodiesterase, periplasmic</t>
  </si>
  <si>
    <t>Mannitol-1-phosphate 5-dehydrogenase</t>
  </si>
  <si>
    <t>Bifunctional protein PutA</t>
  </si>
  <si>
    <t>Cell division protein DedD</t>
  </si>
  <si>
    <t>Lysine/arginine/ornithine-binding periplasmic protein</t>
  </si>
  <si>
    <t>Glutamate synthase [NADPH] large chain</t>
  </si>
  <si>
    <t>Glutamate synthase [NADPH] small chain</t>
  </si>
  <si>
    <t>Molybdenum import ATP-binding protein ModC</t>
  </si>
  <si>
    <t>UvrABC system protein A</t>
  </si>
  <si>
    <t>Acetate kinase</t>
  </si>
  <si>
    <t>Acyl carrier protein</t>
  </si>
  <si>
    <t>Cysteine desulfurase IscS</t>
  </si>
  <si>
    <t>Endonuclease 4</t>
  </si>
  <si>
    <t>Arginine repressor</t>
  </si>
  <si>
    <t>3-phosphoshikimate 1-carboxyvinyltransferase</t>
  </si>
  <si>
    <t>Shikimate kinase 1</t>
  </si>
  <si>
    <t>Shikimate kinase 2</t>
  </si>
  <si>
    <t>Argininosuccinate synthase</t>
  </si>
  <si>
    <t>ATP-dependent dethiobiotin synthetase BioD 2</t>
  </si>
  <si>
    <t>Carbamoyl-phosphate synthase small chain</t>
  </si>
  <si>
    <t>Glycerol kinase</t>
  </si>
  <si>
    <t>60 kDa chaperonin</t>
  </si>
  <si>
    <t>10 kDa chaperonin</t>
  </si>
  <si>
    <t>Nicotinamide-nucleotide amidohydrolase PncC</t>
  </si>
  <si>
    <t>ATP-dependent Clp protease proteolytic subunit</t>
  </si>
  <si>
    <t>ATP-dependent Clp protease ATP-binding subunit ClpX</t>
  </si>
  <si>
    <t>ATP-dependent protease ATPase subunit HslU</t>
  </si>
  <si>
    <t>Cytidylate kinase</t>
  </si>
  <si>
    <t>Pantothenate kinase</t>
  </si>
  <si>
    <t>Phosphopantetheine adenylyltransferase</t>
  </si>
  <si>
    <t>Dephospho-CoA kinase</t>
  </si>
  <si>
    <t>Sulfate transporter CysZ</t>
  </si>
  <si>
    <t>D-amino acid dehydrogenase</t>
  </si>
  <si>
    <t>D-alanine--D-alanine ligase A</t>
  </si>
  <si>
    <t>Diaminopimelate epimerase</t>
  </si>
  <si>
    <t>Peptide deformylase</t>
  </si>
  <si>
    <t>Phosphopentomutase</t>
  </si>
  <si>
    <t>Deoxyribose-phosphate aldolase</t>
  </si>
  <si>
    <t>4-hydroxy-tetrahydrodipicolinate synthase</t>
  </si>
  <si>
    <t>Altronate oxidoreductase</t>
  </si>
  <si>
    <t>Co-chaperone protein HscB</t>
  </si>
  <si>
    <t>D-aminoacyl-tRNA deacylase</t>
  </si>
  <si>
    <t>Elongation factor G</t>
  </si>
  <si>
    <t>Elongation factor P</t>
  </si>
  <si>
    <t>Elongation factor P-like protein</t>
  </si>
  <si>
    <t>Elongation factor Ts</t>
  </si>
  <si>
    <t>GTPase Der</t>
  </si>
  <si>
    <t>Probable GTP-binding protein EngB</t>
  </si>
  <si>
    <t>Enolase</t>
  </si>
  <si>
    <t>3-hydroxydecanoyl-[acyl-carrier-protein] dehydratase</t>
  </si>
  <si>
    <t>3-hydroxyacyl-[acyl-carrier-protein] dehydratase FabZ</t>
  </si>
  <si>
    <t>3-oxoacyl-[acyl-carrier-protein] synthase 3</t>
  </si>
  <si>
    <t>Flagellar L-ring protein</t>
  </si>
  <si>
    <t>Glycerol-3-phosphate dehydrogenase [NAD(P)+]</t>
  </si>
  <si>
    <t>Glucose-6-phosphate isomerase</t>
  </si>
  <si>
    <t>Galactokinase</t>
  </si>
  <si>
    <t>GTP cyclohydrolase 1</t>
  </si>
  <si>
    <t>Glycine cleavage system H protein</t>
  </si>
  <si>
    <t>Ribosomal RNA small subunit methyltransferase G</t>
  </si>
  <si>
    <t>Glycogen synthase</t>
  </si>
  <si>
    <t>Glucose-1-phosphate adenylyltransferase</t>
  </si>
  <si>
    <t>Glucokinase</t>
  </si>
  <si>
    <t>Phospho-N-acetylmuramoyl-pentapeptide-transferase</t>
  </si>
  <si>
    <t>Transcription elongation factor GreA</t>
  </si>
  <si>
    <t>Glutamate--cysteine ligase</t>
  </si>
  <si>
    <t>RNA-binding protein Hfq</t>
  </si>
  <si>
    <t>Integration host factor subunit alpha</t>
  </si>
  <si>
    <t>Integration host factor subunit beta</t>
  </si>
  <si>
    <t>33 kDa chaperonin</t>
  </si>
  <si>
    <t>Chaperone protein DnaK</t>
  </si>
  <si>
    <t>Chaperone protein HscA</t>
  </si>
  <si>
    <t>Chaperone protein HtpG</t>
  </si>
  <si>
    <t>Translation initiation factor IF-2</t>
  </si>
  <si>
    <t>Translation initiation factor IF-3</t>
  </si>
  <si>
    <t>2-dehydro-3-deoxyphosphooctonate aldolase</t>
  </si>
  <si>
    <t>Ribose-phosphate pyrophosphokinase</t>
  </si>
  <si>
    <t>Thymidylate kinase</t>
  </si>
  <si>
    <t>Acyl-[acyl-carrier-protein]--UDP-N-acetylglucosamine O-acyltransferase</t>
  </si>
  <si>
    <t>UDP-3-O-acyl-N-acetylglucosamine deacetylase</t>
  </si>
  <si>
    <t>Maf-like protein YceF</t>
  </si>
  <si>
    <t>Methylglyoxal synthase</t>
  </si>
  <si>
    <t>Cell division topological specificity factor</t>
  </si>
  <si>
    <t>Cyclic pyranopterin monophosphate synthase</t>
  </si>
  <si>
    <t>Large-conductance mechanosensitive channel</t>
  </si>
  <si>
    <t>Peptide methionine sulfoxide reductase MsrA</t>
  </si>
  <si>
    <t>Peptide methionine sulfoxide reductase MsrB</t>
  </si>
  <si>
    <t>UDP-N-acetylglucosamine 1-carboxyvinyltransferase</t>
  </si>
  <si>
    <t>Glucosamine-6-phosphate deaminase</t>
  </si>
  <si>
    <t>Putative N-acetylmannosamine-6-phosphate 2-epimerase</t>
  </si>
  <si>
    <t>Nucleoside diphosphate kinase</t>
  </si>
  <si>
    <t>N utilization substance protein B</t>
  </si>
  <si>
    <t>Oligoribonuclease</t>
  </si>
  <si>
    <t>Aspartate 1-decarboxylase</t>
  </si>
  <si>
    <t>Pyridoxine 5-phosphate synthase</t>
  </si>
  <si>
    <t>ATP-dependent 6-phosphofructokinase isozyme 1</t>
  </si>
  <si>
    <t>Phosphoglycerate kinase</t>
  </si>
  <si>
    <t>Probable phosphoglycerate mutase GpmB</t>
  </si>
  <si>
    <t>Protein-L-isoaspartate O-methyltransferase</t>
  </si>
  <si>
    <t>Inorganic pyrophosphatase</t>
  </si>
  <si>
    <t>Glutamate 5-kinase</t>
  </si>
  <si>
    <t>ATP-dependent protease subunit HslV</t>
  </si>
  <si>
    <t>LexA repressor</t>
  </si>
  <si>
    <t>Peptidase E</t>
  </si>
  <si>
    <t>Peptidyl-tRNA hydrolase</t>
  </si>
  <si>
    <t>Adenylosuccinate synthetase</t>
  </si>
  <si>
    <t>Phosphoribosylaminoimidazole-succinocarboxamide synthase</t>
  </si>
  <si>
    <t>Dihydroorotate dehydrogenase (quinone)</t>
  </si>
  <si>
    <t>Orotate phosphoribosyltransferase</t>
  </si>
  <si>
    <t>CTP synthase</t>
  </si>
  <si>
    <t>Uridylate kinase</t>
  </si>
  <si>
    <t>Aspartate carbamoyltransferase regulatory chain</t>
  </si>
  <si>
    <t>S-adenosylmethionine decarboxylase proenzyme</t>
  </si>
  <si>
    <t>S-adenosylmethionine:tRNA ribosyltransferase-isomerase</t>
  </si>
  <si>
    <t>30S ribosome-binding factor</t>
  </si>
  <si>
    <t>Protein RecA</t>
  </si>
  <si>
    <t>Peptide chain release factor RF1</t>
  </si>
  <si>
    <t>Peptide chain release factor RF3</t>
  </si>
  <si>
    <t>GTP cyclohydrolase-2</t>
  </si>
  <si>
    <t>50S ribosomal protein L10</t>
  </si>
  <si>
    <t>50S ribosomal protein L11</t>
  </si>
  <si>
    <t>50S ribosomal protein L7/L12</t>
  </si>
  <si>
    <t>50S ribosomal protein L19</t>
  </si>
  <si>
    <t>50S ribosomal protein L1</t>
  </si>
  <si>
    <t>50S ribosomal protein L20</t>
  </si>
  <si>
    <t>50S ribosomal protein L27</t>
  </si>
  <si>
    <t>50S ribosomal protein L28</t>
  </si>
  <si>
    <t>50S ribosomal protein L29</t>
  </si>
  <si>
    <t>50S ribosomal protein L31</t>
  </si>
  <si>
    <t>50S ribosomal protein L36</t>
  </si>
  <si>
    <t>50S ribosomal protein L9</t>
  </si>
  <si>
    <t>30S ribosomal protein S10</t>
  </si>
  <si>
    <t>30S ribosomal protein S11</t>
  </si>
  <si>
    <t>30S ribosomal protein S12</t>
  </si>
  <si>
    <t>30S ribosomal protein S13</t>
  </si>
  <si>
    <t>30S ribosomal protein S16</t>
  </si>
  <si>
    <t>30S ribosomal protein S18</t>
  </si>
  <si>
    <t>30S ribosomal protein S19</t>
  </si>
  <si>
    <t>30S ribosomal protein S20</t>
  </si>
  <si>
    <t>30S ribosomal protein S2</t>
  </si>
  <si>
    <t>30S ribosomal protein S3</t>
  </si>
  <si>
    <t>30S ribosomal protein S4</t>
  </si>
  <si>
    <t>30S ribosomal protein S5</t>
  </si>
  <si>
    <t>30S ribosomal protein S8</t>
  </si>
  <si>
    <t>30S ribosomal protein S9</t>
  </si>
  <si>
    <t>Ribosome maturation factor RimM</t>
  </si>
  <si>
    <t>Ribonuclease 3</t>
  </si>
  <si>
    <t>Ribose-5-phosphate isomerase A</t>
  </si>
  <si>
    <t>DNA-directed RNA polymerase subunit alpha</t>
  </si>
  <si>
    <t>DNA-directed RNA polymerase subunit omega</t>
  </si>
  <si>
    <t>Ribosome-recycling factor</t>
  </si>
  <si>
    <t>Holliday junction ATP-dependent DNA helicase RuvA</t>
  </si>
  <si>
    <t>S-adenosylmethionine synthase</t>
  </si>
  <si>
    <t>L-seryl-tRNA(Sec) selenium transferase</t>
  </si>
  <si>
    <t>Sugar fermentation stimulation protein A</t>
  </si>
  <si>
    <t>Serine hydroxymethyltransferase</t>
  </si>
  <si>
    <t>Aerobic C4-dicarboxylate transport protein</t>
  </si>
  <si>
    <t>SsrA-binding protein</t>
  </si>
  <si>
    <t>Succinate--CoA ligase [ADP-forming] subunit beta</t>
  </si>
  <si>
    <t>5/3-nucleotidase SurE</t>
  </si>
  <si>
    <t>Trigger factor</t>
  </si>
  <si>
    <t>Tryptophanase</t>
  </si>
  <si>
    <t>Protein TolB</t>
  </si>
  <si>
    <t>Triosephosphate isomerase</t>
  </si>
  <si>
    <t>Thiol peroxidase</t>
  </si>
  <si>
    <t>Transaldolase A</t>
  </si>
  <si>
    <t>Transaldolase B</t>
  </si>
  <si>
    <t>tRNA (guanine-N(1)-)-methyltransferase</t>
  </si>
  <si>
    <t>Tryptophan synthase alpha chain</t>
  </si>
  <si>
    <t>Tryptophan synthase beta chain</t>
  </si>
  <si>
    <t>Trp operon repressor</t>
  </si>
  <si>
    <t>Thymidylate synthase</t>
  </si>
  <si>
    <t>Ubiquinone/menaquinone biosynthesis C-methyltransferase UbiE</t>
  </si>
  <si>
    <t>RNase adapter protein RapZ</t>
  </si>
  <si>
    <t>Endoribonuclease YbeY</t>
  </si>
  <si>
    <t>Probable transcriptional regulatory protein YebC</t>
  </si>
  <si>
    <t>Probable transcriptional regulatory protein YeeN</t>
  </si>
  <si>
    <t>Phosphoenolpyruvate synthase regulatory protein</t>
  </si>
  <si>
    <t>Nucleoid-associated protein YbaB</t>
  </si>
  <si>
    <t>UPF0145 protein YbjQ</t>
  </si>
  <si>
    <t>Transcriptional repressor NrdR</t>
  </si>
  <si>
    <t>UPF0178 protein YaiI</t>
  </si>
  <si>
    <t>O-acetyl-ADP-ribose deacetylase</t>
  </si>
  <si>
    <t>UPF0227 protein YcfP</t>
  </si>
  <si>
    <t>UPF0231 protein YacL</t>
  </si>
  <si>
    <t>UPF0234 protein YajQ</t>
  </si>
  <si>
    <t>Uracil phosphoribosyltransferase</t>
  </si>
  <si>
    <t>UvrABC system protein B</t>
  </si>
  <si>
    <t>Uronate isomerase</t>
  </si>
  <si>
    <t>NAD(P)H dehydrogenase (quinone)</t>
  </si>
  <si>
    <t>Exodeoxyribonuclease 7 small subunit</t>
  </si>
  <si>
    <t>Der GTPase-activating protein YihI</t>
  </si>
  <si>
    <t>Putative pre-16S rRNA nuclease</t>
  </si>
  <si>
    <t>UPF0246 protein YaaA</t>
  </si>
  <si>
    <t>tRNA (guanine-N(7)-)-methyltransferase</t>
  </si>
  <si>
    <t>ATP-dependent RNA helicase RhlB</t>
  </si>
  <si>
    <t>Phosphatidylserine decarboxylase proenzyme</t>
  </si>
  <si>
    <t>Serine--tRNA ligase</t>
  </si>
  <si>
    <t>Asparagine--tRNA ligase</t>
  </si>
  <si>
    <t>Threonine--tRNA ligase</t>
  </si>
  <si>
    <t>UPF0265 protein YeeX</t>
  </si>
  <si>
    <t>Macrodomain Ter protein</t>
  </si>
  <si>
    <t>Lysine--tRNA ligase</t>
  </si>
  <si>
    <t>Lysine--tRNA ligase, heat inducible</t>
  </si>
  <si>
    <t>Probable Fe(2+)-trafficking protein</t>
  </si>
  <si>
    <t>Fumarate reductase subunit C</t>
  </si>
  <si>
    <t>Fumarate reductase subunit D</t>
  </si>
  <si>
    <t>Regulator of ribonuclease activity A</t>
  </si>
  <si>
    <t>Protein SlyX</t>
  </si>
  <si>
    <t>HTH-type transcriptional regulator ArgP</t>
  </si>
  <si>
    <t>Ribosomal protein L11 methyltransferase</t>
  </si>
  <si>
    <t>DNA-directed RNA polymerase subunit beta</t>
  </si>
  <si>
    <t>UPF0294 protein YafD</t>
  </si>
  <si>
    <t>Met repressor</t>
  </si>
  <si>
    <t>Ribonuclease BN</t>
  </si>
  <si>
    <t>Fatty acid metabolism regulator protein</t>
  </si>
  <si>
    <t>Transcriptional regulator NanR</t>
  </si>
  <si>
    <t>Transcriptional regulator SlyA</t>
  </si>
  <si>
    <t>UPF0301 protein YqgE</t>
  </si>
  <si>
    <t>UPF0304 protein YfbU</t>
  </si>
  <si>
    <t>UPF0307 protein YjgA</t>
  </si>
  <si>
    <t>Protein YceI</t>
  </si>
  <si>
    <t>Alpha-D-glucose 1-phosphate phosphatase YihX</t>
  </si>
  <si>
    <t>Sugar phosphatase YidA</t>
  </si>
  <si>
    <t>Acyl-CoA thioester hydrolase YciA</t>
  </si>
  <si>
    <t>Outer membrane lipoprotein Blc</t>
  </si>
  <si>
    <t>Outer membrane protein assembly factor BamC</t>
  </si>
  <si>
    <t>Outer membrane lipoprotein SlyB</t>
  </si>
  <si>
    <t>Outer membrane protein A</t>
  </si>
  <si>
    <t>Peptidoglycan-associated lipoprotein</t>
  </si>
  <si>
    <t>Outer membrane protein W</t>
  </si>
  <si>
    <t>Outer membrane protein X</t>
  </si>
  <si>
    <t>Phospholipase A1</t>
  </si>
  <si>
    <t>Outer membrane protein assembly factor BamE</t>
  </si>
  <si>
    <t>Outer membrane protein assembly factor BamA</t>
  </si>
  <si>
    <t>Ribosomal-protein-alanine acetyltransferase</t>
  </si>
  <si>
    <t>3-oxoacyl-[acyl-carrier-protein] synthase 1</t>
  </si>
  <si>
    <t>KHG/KDPG aldolase</t>
  </si>
  <si>
    <t>L-asparaginase 1</t>
  </si>
  <si>
    <t>Chemotaxis protein CheW</t>
  </si>
  <si>
    <t>Cold shock-like protein CspE</t>
  </si>
  <si>
    <t>DNA polymerase III subunit beta</t>
  </si>
  <si>
    <t>Fructose-bisphosphate aldolase class 1</t>
  </si>
  <si>
    <t>Fructose-1,6-bisphosphatase class 1</t>
  </si>
  <si>
    <t>Bacterial non-heme ferritin</t>
  </si>
  <si>
    <t>Cell division protein FtsZ</t>
  </si>
  <si>
    <t>Ferric uptake regulation protein</t>
  </si>
  <si>
    <t>Glyceraldehyde-3-phosphate dehydrogenase A</t>
  </si>
  <si>
    <t>Aldose 1-epimerase</t>
  </si>
  <si>
    <t>Glutamine synthetase</t>
  </si>
  <si>
    <t>Fructose-1,6-bisphosphatase 1 class 2</t>
  </si>
  <si>
    <t>Glutathione S-transferase GstA</t>
  </si>
  <si>
    <t>Serine acetyltransferase</t>
  </si>
  <si>
    <t>2,3,4,5-tetrahydropyridine-2,6-dicarboxylate N-succinyltransferase</t>
  </si>
  <si>
    <t>Fumarate and nitrate reduction regulatory protein</t>
  </si>
  <si>
    <t>Transcriptional regulator MntR</t>
  </si>
  <si>
    <t>HTH-type transcriptional regulator CysB</t>
  </si>
  <si>
    <t>Isocitrate lyase</t>
  </si>
  <si>
    <t>Transcriptional regulator ModE</t>
  </si>
  <si>
    <t>G/U mismatch-specific DNA glycosylase</t>
  </si>
  <si>
    <t>Cob(I)yrinic acid a,c-diamide adenosyltransferase</t>
  </si>
  <si>
    <t>Cyclopropane-fatty-acyl-phospholipid synthase</t>
  </si>
  <si>
    <t>Protein phosphatase CheZ</t>
  </si>
  <si>
    <t>Ribonuclease G</t>
  </si>
  <si>
    <t>Ribokinase</t>
  </si>
  <si>
    <t>P-protein</t>
  </si>
  <si>
    <t>PhoH-like protein</t>
  </si>
  <si>
    <t>Phosphate-specific transport system accessory protein PhoU</t>
  </si>
  <si>
    <t>FKBP-type peptidyl-prolyl cis-trans isomerase SlyD</t>
  </si>
  <si>
    <t>FKBP-type 22 kDa peptidyl-prolyl cis-trans isomerase</t>
  </si>
  <si>
    <t>Peptidyl-prolyl cis-trans isomerase C</t>
  </si>
  <si>
    <t>Pyrroline-5-carboxylate reductase</t>
  </si>
  <si>
    <t>Lon protease</t>
  </si>
  <si>
    <t>Hypoxanthine phosphoribosyltransferase</t>
  </si>
  <si>
    <t>Xanthine phosphoribosyltransferase</t>
  </si>
  <si>
    <t>Phosphate acetyltransferase</t>
  </si>
  <si>
    <t>Phosphocarrier protein NPr</t>
  </si>
  <si>
    <t>Pyruvate formate-lyase 1-activating enzyme</t>
  </si>
  <si>
    <t>Dihydrolipoyl dehydrogenase</t>
  </si>
  <si>
    <t>Thioredoxin reductase</t>
  </si>
  <si>
    <t>Aerobic respiration control protein ArcA</t>
  </si>
  <si>
    <t>Acetyl-coenzyme A carboxylase carboxyl transferase subunit beta</t>
  </si>
  <si>
    <t>Aldehyde-alcohol dehydrogenase</t>
  </si>
  <si>
    <t>Aspartate-semialdehyde dehydrogenase</t>
  </si>
  <si>
    <t>2Fe-2S ferredoxin</t>
  </si>
  <si>
    <t>Cell division ATP-binding protein FtsE</t>
  </si>
  <si>
    <t>Lactaldehyde reductase</t>
  </si>
  <si>
    <t>Galactitol-1-phosphate 5-dehydrogenase</t>
  </si>
  <si>
    <t>Glycerol dehydrogenase</t>
  </si>
  <si>
    <t>D-3-phosphoglycerate dehydrogenase</t>
  </si>
  <si>
    <t>Protein tas</t>
  </si>
  <si>
    <t>Uncharacterized ABC transporter ATP-binding protein YbbA</t>
  </si>
  <si>
    <t>Uncharacterized ABC transporter ATP-binding protein YbiT</t>
  </si>
  <si>
    <t>HTH-type transcriptional regulator PuuR</t>
  </si>
  <si>
    <t>Lipopolysaccharide export system ATP-binding protein LptB</t>
  </si>
  <si>
    <t>Uncharacterized HTH-type transcriptional regulator YiaG</t>
  </si>
  <si>
    <t>HTH-type transcriptional regulator UlaR</t>
  </si>
  <si>
    <t>Energy-dependent translational throttle protein EttA</t>
  </si>
  <si>
    <t>Acid stress protein IbaG</t>
  </si>
  <si>
    <t>Rod shape-determining protein MreB</t>
  </si>
  <si>
    <t>Cold shock protein CspA</t>
  </si>
  <si>
    <t>Cold shock-like protein CspC</t>
  </si>
  <si>
    <t>Nitrogen regulatory protein P-II 1</t>
  </si>
  <si>
    <t>Phosphocarrier protein HPr</t>
  </si>
  <si>
    <t>50S ribosomal protein L13</t>
  </si>
  <si>
    <t>Transcriptional regulatory protein OmpR</t>
  </si>
  <si>
    <t>Thioredoxin 1</t>
  </si>
  <si>
    <t>Ribosomal large subunit pseudouridine synthase A</t>
  </si>
  <si>
    <t>Ribosomal large subunit pseudouridine synthase C</t>
  </si>
  <si>
    <t>Ribosomal small subunit pseudouridine synthase A</t>
  </si>
  <si>
    <t>Protein QmcA</t>
  </si>
  <si>
    <t>Protein YobA</t>
  </si>
  <si>
    <t>Inner membrane protein YqjA</t>
  </si>
  <si>
    <t>Uncharacterized lipoprotein YeaY</t>
  </si>
  <si>
    <t>Inner membrane protein YagU</t>
  </si>
  <si>
    <t>3-octaprenyl-4-hydroxybenzoate carboxy-lyase</t>
  </si>
  <si>
    <t>UTP--glucose-1-phosphate uridylyltransferase</t>
  </si>
  <si>
    <t>Universal stress protein D</t>
  </si>
  <si>
    <t>Universal stress protein E</t>
  </si>
  <si>
    <t>Inner membrane protein YbhL</t>
  </si>
  <si>
    <t>Iron-binding protein IscA</t>
  </si>
  <si>
    <t>Arginine transport ATP-binding protein ArtP</t>
  </si>
  <si>
    <t>Dipeptide transport ATP-binding protein DppD</t>
  </si>
  <si>
    <t>Galactose/methyl galactoside import ATP-binding protein MglA</t>
  </si>
  <si>
    <t>Phosphate import ATP-binding protein PstB</t>
  </si>
  <si>
    <t>Putrescine export system ATP-binding protein SapF</t>
  </si>
  <si>
    <t>ATP-dependent zinc metalloprotease FtsH</t>
  </si>
  <si>
    <t>3-oxoacyl-[acyl-carrier-protein] synthase 2</t>
  </si>
  <si>
    <t>Malonyl CoA-acyl carrier protein transacylase</t>
  </si>
  <si>
    <t>Formate dehydrogenase-O iron-sulfur subunit</t>
  </si>
  <si>
    <t>Hydrogenase-2 operon protein HybA</t>
  </si>
  <si>
    <t>Hydrogenase isoenzymes nickel incorporation protein HypB</t>
  </si>
  <si>
    <t>Uncharacterized protein YaiA</t>
  </si>
  <si>
    <t>Anti-adapter protein IraP</t>
  </si>
  <si>
    <t>Transcriptional repressor FrmR</t>
  </si>
  <si>
    <t>Uncharacterized protein YajD</t>
  </si>
  <si>
    <t>Uncharacterized protein YbaA</t>
  </si>
  <si>
    <t>Cys-tRNA(Pro)/Cys-tRNA(Cys) deacylase YbaK</t>
  </si>
  <si>
    <t>Inner membrane protein YlaC</t>
  </si>
  <si>
    <t>Inner membrane protein YbbJ</t>
  </si>
  <si>
    <t>Uncharacterized protein YbcJ</t>
  </si>
  <si>
    <t>Uncharacterized protein YbdF</t>
  </si>
  <si>
    <t>Uncharacterized protein YbeL</t>
  </si>
  <si>
    <t>Uncharacterized protein YbfE</t>
  </si>
  <si>
    <t>Uncharacterized protein YbgE</t>
  </si>
  <si>
    <t>Uncharacterized protein YbgJ</t>
  </si>
  <si>
    <t>Uncharacterized protein YbgS</t>
  </si>
  <si>
    <t>Uncharacterized protein YbhP</t>
  </si>
  <si>
    <t>Probable L,D-transpeptidase YbiS</t>
  </si>
  <si>
    <t>Uncharacterized protein YbjN</t>
  </si>
  <si>
    <t>UPF0434 protein YcaR</t>
  </si>
  <si>
    <t>Uncharacterized protein YcbJ</t>
  </si>
  <si>
    <t>Inner membrane protein YccF</t>
  </si>
  <si>
    <t>Sulfurtransferase TusE</t>
  </si>
  <si>
    <t>Heat shock protein HspQ</t>
  </si>
  <si>
    <t>Iron uptake system component EfeO</t>
  </si>
  <si>
    <t>Uncharacterized lipoprotein YceB</t>
  </si>
  <si>
    <t>Large ribosomal RNA subunit accumulation protein YceD</t>
  </si>
  <si>
    <t>Penicillin-binding protein activator LpoB</t>
  </si>
  <si>
    <t>Protein YcgL</t>
  </si>
  <si>
    <t>Protein YchN</t>
  </si>
  <si>
    <t>Protein YciI</t>
  </si>
  <si>
    <t>Protein YciN</t>
  </si>
  <si>
    <t>Acylphosphatase</t>
  </si>
  <si>
    <t>NAD(P) transhydrogenase subunit beta</t>
  </si>
  <si>
    <t>Fructose-bisphosphate aldolase class 2</t>
  </si>
  <si>
    <t>2-amino-3-ketobutyrate coenzyme A ligase</t>
  </si>
  <si>
    <t>Branched-chain-amino-acid aminotransferase</t>
  </si>
  <si>
    <t>Adenylosuccinate lyase</t>
  </si>
  <si>
    <t>Phospho-2-dehydro-3-deoxyheptonate aldolase, Phe-sensitive</t>
  </si>
  <si>
    <t>ATP synthase subunit a</t>
  </si>
  <si>
    <t>ATP synthase subunit b</t>
  </si>
  <si>
    <t>ATP synthase subunit delta</t>
  </si>
  <si>
    <t>ATP synthase gamma chain</t>
  </si>
  <si>
    <t>ATP synthase subunit alpha</t>
  </si>
  <si>
    <t>ATP synthase subunit beta</t>
  </si>
  <si>
    <t>Magnesium-transporting ATPase, P-type 1</t>
  </si>
  <si>
    <t>Modulator of FtsH protease HflC</t>
  </si>
  <si>
    <t>Modulator of FtsH protease HflK</t>
  </si>
  <si>
    <t>Bacterioferritin</t>
  </si>
  <si>
    <t>Acetyl-coenzyme A carboxylase carboxyl transferase subunit alpha</t>
  </si>
  <si>
    <t>Biotin carboxyl carrier protein of acetyl-CoA carboxylase</t>
  </si>
  <si>
    <t>DNA-binding transcriptional regulator BolA</t>
  </si>
  <si>
    <t>Cytochrome b561</t>
  </si>
  <si>
    <t>Cytidine deaminase</t>
  </si>
  <si>
    <t>CDP-diacylglycerol--glycerol-3-phosphate 3-phosphatidyltransferase</t>
  </si>
  <si>
    <t>Peptidoglycan glycosyltransferase MrdB</t>
  </si>
  <si>
    <t>Cell division protein FtsA</t>
  </si>
  <si>
    <t>Citrate synthase</t>
  </si>
  <si>
    <t>ATP-dependent Clp protease ATP-binding subunit ClpA</t>
  </si>
  <si>
    <t>Cytochrome bo(3) ubiquinol oxidase subunit 1</t>
  </si>
  <si>
    <t>Cytochrome bo(3) ubiquinol oxidase subunit 2</t>
  </si>
  <si>
    <t>Cytochrome bd-I ubiquinol oxidase subunit 1</t>
  </si>
  <si>
    <t>Cytochrome bd-I ubiquinol oxidase subunit 2</t>
  </si>
  <si>
    <t>Cysteine synthase A</t>
  </si>
  <si>
    <t>Diacylglycerol kinase</t>
  </si>
  <si>
    <t>Anaerobic C4-dicarboxylate transporter DcuA</t>
  </si>
  <si>
    <t>Purine nucleoside phosphorylase DeoD-type</t>
  </si>
  <si>
    <t>Coenzyme A biosynthesis bifunctional protein CoaBC</t>
  </si>
  <si>
    <t>2-hydroxy-3-oxopropionate reductase</t>
  </si>
  <si>
    <t>Dihydrofolate reductase</t>
  </si>
  <si>
    <t>RNA polymerase-binding transcription factor DksA</t>
  </si>
  <si>
    <t>DNA primase</t>
  </si>
  <si>
    <t>DNA protection during starvation protein</t>
  </si>
  <si>
    <t>1,4-dihydroxy-2-naphthoyl-CoA synthase</t>
  </si>
  <si>
    <t>Ribosome-binding ATPase YchF</t>
  </si>
  <si>
    <t>Glyoxalase ElbB</t>
  </si>
  <si>
    <t>Biopolymer transport protein ExbB</t>
  </si>
  <si>
    <t>Protein TolQ</t>
  </si>
  <si>
    <t>Biopolymer transport protein ExbD</t>
  </si>
  <si>
    <t>Protein TolR</t>
  </si>
  <si>
    <t>Flagellar protein FliL</t>
  </si>
  <si>
    <t>Flavodoxin 2</t>
  </si>
  <si>
    <t>Flagellar motor switch protein FliG</t>
  </si>
  <si>
    <t>3-deoxy-D-manno-octulosonate 8-phosphate phosphatase KdsC</t>
  </si>
  <si>
    <t>Chaperone SurA</t>
  </si>
  <si>
    <t>Outer membrane protein assembly factor BamD</t>
  </si>
  <si>
    <t>Dihydropteroate synthase</t>
  </si>
  <si>
    <t>Dihydroneopterin triphosphate 2-epimerase</t>
  </si>
  <si>
    <t>Probable formate transporter 1</t>
  </si>
  <si>
    <t>Cell division protein FtsX</t>
  </si>
  <si>
    <t>Fumarate hydratase class I, aerobic</t>
  </si>
  <si>
    <t>Aspartate ammonia-lyase</t>
  </si>
  <si>
    <t>Succinate dehydrogenase flavoprotein subunit</t>
  </si>
  <si>
    <t>Succinate dehydrogenase hydrophobic membrane anchor subunit</t>
  </si>
  <si>
    <t>Fumarate reductase iron-sulfur subunit</t>
  </si>
  <si>
    <t>Zinc uptake regulation protein</t>
  </si>
  <si>
    <t>Glucose-6-phosphate 1-dehydrogenase</t>
  </si>
  <si>
    <t>Glutaredoxin 2</t>
  </si>
  <si>
    <t>Glutaredoxin 3</t>
  </si>
  <si>
    <t>Glutaredoxin 4</t>
  </si>
  <si>
    <t>Lactoylglutathione lyase</t>
  </si>
  <si>
    <t>Hydroxyacylglutathione hydrolase GloB</t>
  </si>
  <si>
    <t>Protein GnsA</t>
  </si>
  <si>
    <t>Uncharacterized GST-like protein YibF</t>
  </si>
  <si>
    <t>Stringent starvation protein A</t>
  </si>
  <si>
    <t>Glutathione S-transferase GstB</t>
  </si>
  <si>
    <t>Replicative DNA helicase</t>
  </si>
  <si>
    <t>Delta-aminolevulinic acid dehydratase</t>
  </si>
  <si>
    <t>Protein HemY</t>
  </si>
  <si>
    <t>Iron-sulfur cluster insertion protein ErpA</t>
  </si>
  <si>
    <t>Bifunctional protein GlmU</t>
  </si>
  <si>
    <t>Iron-sulfur cluster assembly scaffold protein IscU</t>
  </si>
  <si>
    <t>Hydrogenase-1 large chain</t>
  </si>
  <si>
    <t>Hydrogenase-2 large chain</t>
  </si>
  <si>
    <t>Purine nucleoside phosphoramidase</t>
  </si>
  <si>
    <t>DNA-binding protein HU-alpha</t>
  </si>
  <si>
    <t>DNA-binding protein HU-beta</t>
  </si>
  <si>
    <t>DNA-binding protein H-NS</t>
  </si>
  <si>
    <t>DNA-binding protein StpA</t>
  </si>
  <si>
    <t>Right origin-binding protein</t>
  </si>
  <si>
    <t>Leucine-responsive regulatory protein</t>
  </si>
  <si>
    <t>cAMP-activated global transcriptional regulator CRP</t>
  </si>
  <si>
    <t>Putative aga operon transcriptional repressor</t>
  </si>
  <si>
    <t>Exu regulon transcriptional regulator</t>
  </si>
  <si>
    <t>Uncharacterized HTH-type transcriptional regulator YegW</t>
  </si>
  <si>
    <t>HTH-type transcriptional repressor AllR</t>
  </si>
  <si>
    <t>HTH-type transcriptional repressor CytR</t>
  </si>
  <si>
    <t>HTH-type transcriptional regulator GntR</t>
  </si>
  <si>
    <t>HTH-type transcriptional repressor PurR</t>
  </si>
  <si>
    <t>Hydrogen peroxide-inducible genes activator</t>
  </si>
  <si>
    <t>Uncharacterized HTH-type transcriptional regulator YeiE</t>
  </si>
  <si>
    <t>Transcriptional repressor MprA</t>
  </si>
  <si>
    <t>HTH-type transcriptional regulator RpiR</t>
  </si>
  <si>
    <t>HTH-type transcriptional regulator RutR</t>
  </si>
  <si>
    <t>HTH-type transcriptional regulator YjdC</t>
  </si>
  <si>
    <t>Lipopolysaccharide assembly protein A</t>
  </si>
  <si>
    <t>Protein MpaA</t>
  </si>
  <si>
    <t>Uncharacterized protein YdcH</t>
  </si>
  <si>
    <t>Putative monooxygenase YdhR</t>
  </si>
  <si>
    <t>Uncharacterized protein YdhZ</t>
  </si>
  <si>
    <t>Putative NAD(P)H nitroreductase YdjA</t>
  </si>
  <si>
    <t>Uncharacterized protein YeaG</t>
  </si>
  <si>
    <t>Uncharacterized protein YebG</t>
  </si>
  <si>
    <t>DNA-binding transcriptional activator EvgA</t>
  </si>
  <si>
    <t>Uncharacterized protein YecA</t>
  </si>
  <si>
    <t>Uncharacterized protein YecJ</t>
  </si>
  <si>
    <t>Protein YeeZ</t>
  </si>
  <si>
    <t>UPF0381 protein YfcZ</t>
  </si>
  <si>
    <t>Uncharacterized protein YfhG</t>
  </si>
  <si>
    <t>Inner membrane protein YphA</t>
  </si>
  <si>
    <t>Ribosome-associated inhibitor A</t>
  </si>
  <si>
    <t>Octaprenyl diphosphate synthase</t>
  </si>
  <si>
    <t>Inhibitor of vertebrate lysozyme</t>
  </si>
  <si>
    <t>Pyruvate kinase I</t>
  </si>
  <si>
    <t>Leu/Ile/Val-binding protein</t>
  </si>
  <si>
    <t>Acyl-CoA thioesterase 1</t>
  </si>
  <si>
    <t>Murein hydrolase activator NlpD</t>
  </si>
  <si>
    <t>Uncharacterized lipoprotein YajG</t>
  </si>
  <si>
    <t>Osmotically-inducible putative lipoprotein OsmE</t>
  </si>
  <si>
    <t>LPS-assembly lipoprotein LptE</t>
  </si>
  <si>
    <t>Lipopolysaccharide export system permease protein LptG</t>
  </si>
  <si>
    <t>Uncharacterized protein YgaU</t>
  </si>
  <si>
    <t>tRNA-modifying protein YgfZ</t>
  </si>
  <si>
    <t>Acetolactate synthase isozyme 1 small subunit</t>
  </si>
  <si>
    <t>Inositol-1-monophosphatase</t>
  </si>
  <si>
    <t>Inosine-5-monophosphate dehydrogenase</t>
  </si>
  <si>
    <t>Enterobactin synthase component B</t>
  </si>
  <si>
    <t>Isochorismatase family protein YecD</t>
  </si>
  <si>
    <t>Uncharacterized protein YiaF</t>
  </si>
  <si>
    <t>Uncharacterized protein YibL</t>
  </si>
  <si>
    <t>UPF0438 protein YifE</t>
  </si>
  <si>
    <t>Uncharacterized lipoprotein YifL</t>
  </si>
  <si>
    <t>Ubiquinone biosynthesis protein UbiJ</t>
  </si>
  <si>
    <t>Protein YihD</t>
  </si>
  <si>
    <t>Uncharacterized protein YgaM</t>
  </si>
  <si>
    <t>Ribosomal RNA large subunit methyltransferase M</t>
  </si>
  <si>
    <t>LOG family protein YgdH</t>
  </si>
  <si>
    <t>Cell division protein ZapA</t>
  </si>
  <si>
    <t>Uncharacterized protein YggE</t>
  </si>
  <si>
    <t>Uncharacterized protein YggN</t>
  </si>
  <si>
    <t>UPF0441 protein YgiB</t>
  </si>
  <si>
    <t>Putative acid--amine ligase YgiC</t>
  </si>
  <si>
    <t>Uncharacterized protein YgiM</t>
  </si>
  <si>
    <t>Probable quinol monooxygenase YgiN</t>
  </si>
  <si>
    <t>Protein YgiW</t>
  </si>
  <si>
    <t>Lipopolysaccharide export system protein LptA</t>
  </si>
  <si>
    <t>Uncharacterized protein YhbW</t>
  </si>
  <si>
    <t>Probable phospholipid-binding protein MlaC</t>
  </si>
  <si>
    <t>Lipopolysaccharide export system protein LptC</t>
  </si>
  <si>
    <t>Inner membrane protein YhcB</t>
  </si>
  <si>
    <t>Protein YhfA</t>
  </si>
  <si>
    <t>Uncharacterized protein YhfG</t>
  </si>
  <si>
    <t>Uncharacterized protein YhhA</t>
  </si>
  <si>
    <t>Peptidyl-prolyl cis-trans isomerase D</t>
  </si>
  <si>
    <t>50S ribosomal protein L14</t>
  </si>
  <si>
    <t>50S ribosomal protein L16</t>
  </si>
  <si>
    <t>50S ribosomal protein L23</t>
  </si>
  <si>
    <t>30S ribosomal protein S15</t>
  </si>
  <si>
    <t>UPF0092 membrane protein YajC</t>
  </si>
  <si>
    <t>tRNA (cytidine/uridine-2-O-)-methyltransferase TrmJ</t>
  </si>
  <si>
    <t>Multidrug efflux pump subunit AcrA</t>
  </si>
  <si>
    <t>Alkyl hydroperoxide reductase subunit C</t>
  </si>
  <si>
    <t>AMP nucleosidase</t>
  </si>
  <si>
    <t>Methionine aminopeptidase</t>
  </si>
  <si>
    <t>Class B acid phosphatase</t>
  </si>
  <si>
    <t>Arginine N-succinyltransferase</t>
  </si>
  <si>
    <t>Gamma-glutamylcyclotransferase family protein YtfP</t>
  </si>
  <si>
    <t>Putative peroxiredoxin bcp</t>
  </si>
  <si>
    <t>Cell division activator CedA</t>
  </si>
  <si>
    <t>Putative cation transport regulator ChaB</t>
  </si>
  <si>
    <t>Chemotaxis protein CheY</t>
  </si>
  <si>
    <t>Endoribonuclease MazF</t>
  </si>
  <si>
    <t>Magnesium and cobalt efflux protein CorC</t>
  </si>
  <si>
    <t>Sensor histidine kinase CpxA</t>
  </si>
  <si>
    <t>Periplasmic protein CpxP</t>
  </si>
  <si>
    <t>Transcriptional regulatory protein CpxR</t>
  </si>
  <si>
    <t>Protein CreA</t>
  </si>
  <si>
    <t>Siroheme synthase</t>
  </si>
  <si>
    <t>D-alanyl-D-alanine carboxypeptidase DacA</t>
  </si>
  <si>
    <t>RutC family protein YoaB</t>
  </si>
  <si>
    <t>Signal transduction histidine-protein kinase BarA</t>
  </si>
  <si>
    <t>Universal stress protein A</t>
  </si>
  <si>
    <t>Succinyl-diaminopimelate desuccinylase</t>
  </si>
  <si>
    <t>Protein DcrB</t>
  </si>
  <si>
    <t>Serine endoprotease DegS</t>
  </si>
  <si>
    <t>D-galactose-binding periplasmic protein</t>
  </si>
  <si>
    <t>Dipeptide transport system permease protein DppC</t>
  </si>
  <si>
    <t>Thiol:disulfide interchange protein DsbA</t>
  </si>
  <si>
    <t>Thiol:disulfide interchange protein DsbC</t>
  </si>
  <si>
    <t>Regulator of sigma-E protease RseP</t>
  </si>
  <si>
    <t>Protein ElaA</t>
  </si>
  <si>
    <t>Protein ElaB</t>
  </si>
  <si>
    <t>tRNA-2-methylthio-N(6)-dimethylallyladenosine synthase</t>
  </si>
  <si>
    <t>Ribosomal protein S12 methylthiotransferase RimO</t>
  </si>
  <si>
    <t>Osmolarity sensor protein EnvZ</t>
  </si>
  <si>
    <t>Ethanolamine ammonia-lyase heavy chain</t>
  </si>
  <si>
    <t>3-oxoacyl-[acyl-carrier-protein] reductase FabG</t>
  </si>
  <si>
    <t>Enoyl-[acyl-carrier-protein] reductase [NADH] FabI</t>
  </si>
  <si>
    <t>Ferrienterobactin-binding periplasmic protein</t>
  </si>
  <si>
    <t>Negative regulator of flagellin synthesis</t>
  </si>
  <si>
    <t>RNA polymerase sigma factor FliA</t>
  </si>
  <si>
    <t>L-cystine-binding protein FliY</t>
  </si>
  <si>
    <t>NAD(P)H-flavin reductase</t>
  </si>
  <si>
    <t>L-fucose mutarotase</t>
  </si>
  <si>
    <t>Glyoxylate carboligase</t>
  </si>
  <si>
    <t>Protein GlcG</t>
  </si>
  <si>
    <t>Glutamine-binding periplasmic protein</t>
  </si>
  <si>
    <t>Glutamine transport system permease protein GlnP</t>
  </si>
  <si>
    <t>Glutamate/aspartate import permease protein GltJ</t>
  </si>
  <si>
    <t>Bifunctional glutathionylspermidine synthetase/amidase</t>
  </si>
  <si>
    <t>Glucarate dehydratase</t>
  </si>
  <si>
    <t>DNA gyrase subunit A</t>
  </si>
  <si>
    <t>DNA gyrase subunit B</t>
  </si>
  <si>
    <t>Acid stress chaperone HdeA</t>
  </si>
  <si>
    <t>Acid stress chaperone HdeB</t>
  </si>
  <si>
    <t>Protein HdeD</t>
  </si>
  <si>
    <t>7-alpha-hydroxysteroid dehydrogenase</t>
  </si>
  <si>
    <t>Histidine-binding periplasmic protein</t>
  </si>
  <si>
    <t>Chaperone protein Skp</t>
  </si>
  <si>
    <t>Regulator of RpoS</t>
  </si>
  <si>
    <t>Hydrogenase 3 maturation protease</t>
  </si>
  <si>
    <t>3,5-cyclic adenosine monophosphate phosphodiesterase CpdA</t>
  </si>
  <si>
    <t>Probable phosphoribulokinase</t>
  </si>
  <si>
    <t>Maltose-binding periplasmic protein</t>
  </si>
  <si>
    <t>UPF0056 inner membrane protein MarC</t>
  </si>
  <si>
    <t>Nucleoside triphosphate pyrophosphohydrolase</t>
  </si>
  <si>
    <t>Modulator of drug activity B</t>
  </si>
  <si>
    <t>Septum site-determining protein MinD</t>
  </si>
  <si>
    <t>Molybdenum cofactor biosynthesis protein B</t>
  </si>
  <si>
    <t>Molybdopterin adenylyltransferase</t>
  </si>
  <si>
    <t>Iron-sulfur cluster carrier protein</t>
  </si>
  <si>
    <t>5-methylthioadenosine/S-adenosylhomocysteine nucleosidase</t>
  </si>
  <si>
    <t>N-acetylglucosamine-6-phosphate deacetylase</t>
  </si>
  <si>
    <t>N-acetylglucosamine repressor</t>
  </si>
  <si>
    <t>Ribonucleotide monophosphatase NagD</t>
  </si>
  <si>
    <t>Nitrate/nitrite response regulator protein NarL</t>
  </si>
  <si>
    <t>Cell division protein ZapB</t>
  </si>
  <si>
    <t>UPF0047 protein YjbQ</t>
  </si>
  <si>
    <t>Uncharacterized protein YjbR</t>
  </si>
  <si>
    <t>Inner membrane protein YjcH</t>
  </si>
  <si>
    <t>Uncharacterized protein YjdI</t>
  </si>
  <si>
    <t>HTH-type transcriptional repressor NsrR</t>
  </si>
  <si>
    <t>tRNA threonylcarbamoyladenosine biosynthesis protein TsaE</t>
  </si>
  <si>
    <t>Uncharacterized protein YjeI</t>
  </si>
  <si>
    <t>Regulator of ribonuclease activity B</t>
  </si>
  <si>
    <t>2-iminobutanoate/2-iminopropanoate deaminase</t>
  </si>
  <si>
    <t>Toxin-antitoxin biofilm protein TabA</t>
  </si>
  <si>
    <t>Lipopolysaccharide export system permease protein LptF</t>
  </si>
  <si>
    <t>Na(+)/H(+) antiporter NhaB</t>
  </si>
  <si>
    <t>Nitrogen regulation protein NR(II)</t>
  </si>
  <si>
    <t>NADH-quinone oxidoreductase subunit A</t>
  </si>
  <si>
    <t>NADH-quinone oxidoreductase subunit B</t>
  </si>
  <si>
    <t>NADH-quinone oxidoreductase subunit E</t>
  </si>
  <si>
    <t>NADH-quinone oxidoreductase subunit H</t>
  </si>
  <si>
    <t>NADH-quinone oxidoreductase subunit I</t>
  </si>
  <si>
    <t>NADH-quinone oxidoreductase subunit J</t>
  </si>
  <si>
    <t>NADH-quinone oxidoreductase subunit K</t>
  </si>
  <si>
    <t>NADH-quinone oxidoreductase subunit M</t>
  </si>
  <si>
    <t>NADH-quinone oxidoreductase subunit N</t>
  </si>
  <si>
    <t>Nucleoside permease NupC</t>
  </si>
  <si>
    <t>Transcription termination/antitermination protein NusA</t>
  </si>
  <si>
    <t>Transcription termination/antitermination protein NusG</t>
  </si>
  <si>
    <t>2-oxoglutarate dehydrogenase E1 component</t>
  </si>
  <si>
    <t>Dihydrolipoyllysine-residue succinyltransferase component of 2-oxoglutarate dehydrogenase complex</t>
  </si>
  <si>
    <t>Pyruvate dehydrogenase E1 component</t>
  </si>
  <si>
    <t>Oligopeptide transport system permease protein OppB</t>
  </si>
  <si>
    <t>Oligopeptide transport system permease protein OppC</t>
  </si>
  <si>
    <t>Osmotically-inducible protein Y</t>
  </si>
  <si>
    <t>DNA topoisomerase 4 subunit A</t>
  </si>
  <si>
    <t>Pyridoxine/pyridoxamine 5-phosphate oxidase</t>
  </si>
  <si>
    <t>Putative permease PerM</t>
  </si>
  <si>
    <t>Protein PhnA</t>
  </si>
  <si>
    <t>Phosphate regulon transcriptional regulatory protein PhoB</t>
  </si>
  <si>
    <t>Metalloprotease PmbA</t>
  </si>
  <si>
    <t>Nicotinamide riboside transporter PnuC</t>
  </si>
  <si>
    <t>Spermidine/putrescine-binding periplasmic protein</t>
  </si>
  <si>
    <t>Peptidyl-prolyl cis-trans isomerase A</t>
  </si>
  <si>
    <t>Glycine betaine/proline betaine-binding periplasmic protein</t>
  </si>
  <si>
    <t>Phosphate starvation-inducible protein PsiF</t>
  </si>
  <si>
    <t>Phage shock protein A</t>
  </si>
  <si>
    <t>Phage shock protein B</t>
  </si>
  <si>
    <t>Phage shock protein C</t>
  </si>
  <si>
    <t>Uncharacterized oxidoreductase YbbO</t>
  </si>
  <si>
    <t>GTP cyclohydrolase 1 type 2 homolog</t>
  </si>
  <si>
    <t>Uncharacterized metal-dependent hydrolase YcfH</t>
  </si>
  <si>
    <t>NTE family protein RssA</t>
  </si>
  <si>
    <t>C4-dicarboxylic acid transporter DauA</t>
  </si>
  <si>
    <t>Uncharacterized protein YciO</t>
  </si>
  <si>
    <t>Dihydromonapterin reductase</t>
  </si>
  <si>
    <t>UPF0118 inner membrane protein YdiK</t>
  </si>
  <si>
    <t>L-cystine transport system permease protein YecS</t>
  </si>
  <si>
    <t>Riboflavin synthase</t>
  </si>
  <si>
    <t>Ribosome modulation factor</t>
  </si>
  <si>
    <t>Regulator of nucleoside diphosphate kinase</t>
  </si>
  <si>
    <t>Protein rof</t>
  </si>
  <si>
    <t>Ribosome hibernation promoting factor</t>
  </si>
  <si>
    <t>Regulator of sigma D</t>
  </si>
  <si>
    <t>Sigma-E factor regulatory protein RseB</t>
  </si>
  <si>
    <t>Negative modulator of initiation of replication</t>
  </si>
  <si>
    <t>Protein SseB</t>
  </si>
  <si>
    <t>Stringent starvation protein B</t>
  </si>
  <si>
    <t>ECA polysaccharide chain length modulation protein</t>
  </si>
  <si>
    <t>Ribulose-phosphate 3-epimerase</t>
  </si>
  <si>
    <t>Probable protease SohB</t>
  </si>
  <si>
    <t>GTP pyrophosphokinase</t>
  </si>
  <si>
    <t>Uncharacterized protein YibN</t>
  </si>
  <si>
    <t>Transcription termination factor Rho</t>
  </si>
  <si>
    <t>Riboflavin biosynthesis protein RibF</t>
  </si>
  <si>
    <t>50S ribosomal protein L17</t>
  </si>
  <si>
    <t>50S ribosomal protein L21</t>
  </si>
  <si>
    <t>50S ribosomal protein L30</t>
  </si>
  <si>
    <t>50S ribosomal protein L6</t>
  </si>
  <si>
    <t>30S ribosomal protein S14</t>
  </si>
  <si>
    <t>30S ribosomal protein S17</t>
  </si>
  <si>
    <t>30S ribosomal protein S1</t>
  </si>
  <si>
    <t>Sulfate-binding protein</t>
  </si>
  <si>
    <t>sn-glycerol-3-phosphate-binding periplasmic protein UgpB</t>
  </si>
  <si>
    <t>Phosphate-binding protein PstS</t>
  </si>
  <si>
    <t>Uncharacterized oxidoreductase YghA</t>
  </si>
  <si>
    <t>Protein-export protein SecB</t>
  </si>
  <si>
    <t>Protein translocase subunit SecD</t>
  </si>
  <si>
    <t>Protein translocase subunit SecE</t>
  </si>
  <si>
    <t>Protein-export membrane protein SecG</t>
  </si>
  <si>
    <t>Protein translocase subunit SecY</t>
  </si>
  <si>
    <t>Transcriptional regulatory protein UhpA</t>
  </si>
  <si>
    <t>Phosphoserine phosphatase</t>
  </si>
  <si>
    <t>ECF RNA polymerase sigma-E factor</t>
  </si>
  <si>
    <t>Soluble lytic murein transglycosylase</t>
  </si>
  <si>
    <t>Superoxide dismutase [Cu-Zn]</t>
  </si>
  <si>
    <t>Superoxide dismutase [Fe]</t>
  </si>
  <si>
    <t>Signal recognition particle protein</t>
  </si>
  <si>
    <t>Single-stranded DNA-binding protein</t>
  </si>
  <si>
    <t>Chromate reductase</t>
  </si>
  <si>
    <t>Succinate--CoA ligase [ADP-forming] subunit alpha</t>
  </si>
  <si>
    <t>Sulfur acceptor protein CsdE</t>
  </si>
  <si>
    <t>Acyl-CoA thioesterase 2</t>
  </si>
  <si>
    <t>Thioredoxin 2</t>
  </si>
  <si>
    <t>Metalloprotease TldD</t>
  </si>
  <si>
    <t>Ribose import permease protein RbsC</t>
  </si>
  <si>
    <t>tRNA (guanosine(18)-2-O)-methyltransferase</t>
  </si>
  <si>
    <t>Uncharacterized tRNA/rRNA methyltransferase YfiF</t>
  </si>
  <si>
    <t>tRNA (cytidine(34)-2-O)-methyltransferase</t>
  </si>
  <si>
    <t>Tyrosine--tRNA ligase</t>
  </si>
  <si>
    <t>RNA-binding protein YhbY</t>
  </si>
  <si>
    <t>HTH-type transcriptional regulator IscR</t>
  </si>
  <si>
    <t>Putative reactive intermediate deaminase TdcF</t>
  </si>
  <si>
    <t>Ribosome association toxin RatA</t>
  </si>
  <si>
    <t>Ribosomal RNA small subunit methyltransferase E</t>
  </si>
  <si>
    <t>50S ribosomal protein L18</t>
  </si>
  <si>
    <t>UPF0345 protein YaiE</t>
  </si>
  <si>
    <t>Small heat shock protein IbpA</t>
  </si>
  <si>
    <t>mRNA interferase RelE</t>
  </si>
  <si>
    <t>Antitoxin RelB</t>
  </si>
  <si>
    <t>Peroxiredoxin OsmC</t>
  </si>
  <si>
    <t>Proline/betaine transporter</t>
  </si>
  <si>
    <t>Small-conductance mechanosensitive channel</t>
  </si>
  <si>
    <t>Ribosomal protein S6--L-glutamate ligase</t>
  </si>
  <si>
    <t>Periplasmic serine endoprotease DegP</t>
  </si>
  <si>
    <t>D-tagatose-1,6-bisphosphate aldolase subunit GatY</t>
  </si>
  <si>
    <t>D-tagatose-1,6-bisphosphate aldolase subunit GatZ</t>
  </si>
  <si>
    <t>Phosphoethanolamine transferase EptC</t>
  </si>
  <si>
    <t>Elongation factor Tu 1</t>
  </si>
  <si>
    <t>Putative lipoprotein AcfD homolog</t>
  </si>
  <si>
    <t>Transcriptional regulatory protein RcsB</t>
  </si>
  <si>
    <t>Endolytic peptidoglycan transglycosylase RlpA</t>
  </si>
  <si>
    <t>Signal recognition particle receptor FtsY</t>
  </si>
  <si>
    <t>Glutamine transport ATP-binding protein GlnQ</t>
  </si>
  <si>
    <t>1-(5-phosphoribosyl)-5-[(5-phosphoribosylamino)methylideneamino] imidazole-4-carboxamide isomerase</t>
  </si>
  <si>
    <t>Enterobactin synthase component E</t>
  </si>
  <si>
    <t>Long-chain fatty acid transport protein</t>
  </si>
  <si>
    <t>Protein translocase subunit SecA</t>
  </si>
  <si>
    <t>Lipid-A-disaccharide synthase</t>
  </si>
  <si>
    <t>Glycerophosphodiester phosphodiesterase, cytoplasmic</t>
  </si>
  <si>
    <t>Respiratory nitrate reductase 1 beta chain</t>
  </si>
  <si>
    <t>Argininosuccinate lyase</t>
  </si>
  <si>
    <t>Enterobactin synthase component F</t>
  </si>
  <si>
    <t>Cell division protein DamX</t>
  </si>
  <si>
    <t>Arginine--tRNA ligase</t>
  </si>
  <si>
    <t>UDP-N-acetylmuramoyl-tripeptide--D-alanyl-D-alanine ligase</t>
  </si>
  <si>
    <t>Chorismate synthase</t>
  </si>
  <si>
    <t>Molybdopterin molybdenumtransferase</t>
  </si>
  <si>
    <t>Molybdopterin-synthase adenylyltransferase</t>
  </si>
  <si>
    <t>Uracil-DNA glycosylase</t>
  </si>
  <si>
    <t>Uridine phosphorylase</t>
  </si>
  <si>
    <t>UPF0098 protein YbhB</t>
  </si>
  <si>
    <t>Pimeloyl-[acyl-carrier protein] methyl ester esterase</t>
  </si>
  <si>
    <t>Methionine synthase</t>
  </si>
  <si>
    <t>1,6-anhydro-N-acetylmuramyl-L-alanine amidase AmpD</t>
  </si>
  <si>
    <t>Protein FdhE</t>
  </si>
  <si>
    <t>Catalase-peroxidase</t>
  </si>
  <si>
    <t>Aerobic glycerol-3-phosphate dehydrogenase</t>
  </si>
  <si>
    <t>RNA polymerase sigma factor RpoS</t>
  </si>
  <si>
    <t>Periplasmic trehalase</t>
  </si>
  <si>
    <t>Probable bifunctional chitinase/lysozyme</t>
  </si>
  <si>
    <t>Ribosomal-protein-serine acetyltransferase</t>
  </si>
  <si>
    <t>Transcriptional regulatory protein ZraR</t>
  </si>
  <si>
    <t>UDP-N-acetylmuramoylalanine--D-glutamate ligase</t>
  </si>
  <si>
    <t>Fe(3+) dicitrate-binding periplasmic protein</t>
  </si>
  <si>
    <t>Xaa-Pro aminopeptidase</t>
  </si>
  <si>
    <t>DNA helicase IV</t>
  </si>
  <si>
    <t>DNA ligase</t>
  </si>
  <si>
    <t>Glycogen debranching enzyme</t>
  </si>
  <si>
    <t>Flagellar motor switch protein FliN</t>
  </si>
  <si>
    <t>Carbon starvation protein A</t>
  </si>
  <si>
    <t>Glucitol operon repressor</t>
  </si>
  <si>
    <t>Phosphoribosylformylglycinamidine synthase</t>
  </si>
  <si>
    <t>Flagellar regulator flk</t>
  </si>
  <si>
    <t>Cytosol non-specific dipeptidase</t>
  </si>
  <si>
    <t>Antitoxin PrlF</t>
  </si>
  <si>
    <t>Bifunctional purine biosynthesis protein PurH</t>
  </si>
  <si>
    <t>Phosphoribosylamine--glycine ligase</t>
  </si>
  <si>
    <t>Shikimate dehydrogenase (NADP(+))</t>
  </si>
  <si>
    <t>Quinoprotein glucose dehydrogenase</t>
  </si>
  <si>
    <t>4-alpha-glucanotransferase</t>
  </si>
  <si>
    <t>L-serine dehydratase 1</t>
  </si>
  <si>
    <t>tRNA dimethylallyltransferase</t>
  </si>
  <si>
    <t>Selenide, water dikinase</t>
  </si>
  <si>
    <t>DNA replication terminus site-binding protein</t>
  </si>
  <si>
    <t>Transcriptional repressor IclR</t>
  </si>
  <si>
    <t>Proline--tRNA ligase</t>
  </si>
  <si>
    <t>Protein PhnB</t>
  </si>
  <si>
    <t>Thiosulfate-binding protein</t>
  </si>
  <si>
    <t>Cysteine synthase B</t>
  </si>
  <si>
    <t>Cell shape-determining protein MreC</t>
  </si>
  <si>
    <t>Arabinose 5-phosphate isomerase GutQ</t>
  </si>
  <si>
    <t>Oxygen-insensitive NADPH nitroreductase</t>
  </si>
  <si>
    <t>Glutamine--fructose-6-phosphate aminotransferase [isomerizing]</t>
  </si>
  <si>
    <t>UDP-N-acetylglucosamine--N-acetylmuramyl-(pentapeptide) pyrophosphoryl-undecaprenol N-acetylglucosamine transferase</t>
  </si>
  <si>
    <t>Phosphoadenosine phosphosulfate reductase</t>
  </si>
  <si>
    <t>UDP-N-acetylmuramate--L-alanine ligase</t>
  </si>
  <si>
    <t>Ubiquinone biosynthesis O-methyltransferase</t>
  </si>
  <si>
    <t>Septum site-determining protein MinC</t>
  </si>
  <si>
    <t>Sensor protein RstB</t>
  </si>
  <si>
    <t>Dimethyl sulfoxide reductase DmsA</t>
  </si>
  <si>
    <t>Anaerobic dimethyl sulfoxide reductase chain B</t>
  </si>
  <si>
    <t>NH(3)-dependent NAD(+) synthetase</t>
  </si>
  <si>
    <t>Gamma-glutamyltranspeptidase</t>
  </si>
  <si>
    <t>Respiratory nitrate reductase 2 beta chain</t>
  </si>
  <si>
    <t>Respiratory nitrate reductase 2 alpha chain</t>
  </si>
  <si>
    <t>4-hydroxythreonine-4-phosphate dehydrogenase</t>
  </si>
  <si>
    <t>Ethanolamine ammonia-lyase light chain</t>
  </si>
  <si>
    <t>Glucose-1-phosphatase</t>
  </si>
  <si>
    <t>Protein TolA</t>
  </si>
  <si>
    <t>DNA topoisomerase 4 subunit B</t>
  </si>
  <si>
    <t>Biotin sulfoxide reductase</t>
  </si>
  <si>
    <t>Probable adenosine monophosphate-protein transferase fic</t>
  </si>
  <si>
    <t>PTS system fructose-specific EIIBBC component</t>
  </si>
  <si>
    <t>3-ketoacyl-CoA thiolase</t>
  </si>
  <si>
    <t>Xaa-Pro dipeptidase</t>
  </si>
  <si>
    <t>Constitutive ornithine decarboxylase</t>
  </si>
  <si>
    <t>Biosynthetic arginine decarboxylase</t>
  </si>
  <si>
    <t>Fatty acid oxidation complex subunit alpha</t>
  </si>
  <si>
    <t>Catalase HPII</t>
  </si>
  <si>
    <t>Ribonuclease I</t>
  </si>
  <si>
    <t>Protein YciF</t>
  </si>
  <si>
    <t>Protein YciE</t>
  </si>
  <si>
    <t>UPF0259 membrane protein YciC</t>
  </si>
  <si>
    <t>Uncharacterized protein YcaC</t>
  </si>
  <si>
    <t>Nicotinamidase</t>
  </si>
  <si>
    <t>Ribonuclease R</t>
  </si>
  <si>
    <t>ATP-dependent RNA helicase SrmB</t>
  </si>
  <si>
    <t>Ribonuclease E</t>
  </si>
  <si>
    <t>Pyruvate kinase II</t>
  </si>
  <si>
    <t>UDP-3-O-(3-hydroxymyristoyl)glucosamine N-acyltransferase</t>
  </si>
  <si>
    <t>KDP operon transcriptional regulatory protein KdpE</t>
  </si>
  <si>
    <t>Cysteine--tRNA ligase</t>
  </si>
  <si>
    <t>Aspartate--tRNA ligase</t>
  </si>
  <si>
    <t>Asparagine synthetase B [glutamine-hydrolyzing]</t>
  </si>
  <si>
    <t>Transcriptional regulator MraZ</t>
  </si>
  <si>
    <t>UDP-N-acetylmuramoyl-L-alanyl-D-glutamate--2,6-diaminopimelate ligase</t>
  </si>
  <si>
    <t>3(2),5-bisphosphate nucleotidase CysQ</t>
  </si>
  <si>
    <t>4-aminobutyrate aminotransferase GabT</t>
  </si>
  <si>
    <t>Phosphoenolpyruvate carboxykinase (ATP)</t>
  </si>
  <si>
    <t>Adenosine deaminase</t>
  </si>
  <si>
    <t>Chromosome partition protein MukB</t>
  </si>
  <si>
    <t>Chromosome partition protein MukE</t>
  </si>
  <si>
    <t>Probable L,D-transpeptidase YcbB</t>
  </si>
  <si>
    <t>Non-specific ribonucleoside hydrolase RihC</t>
  </si>
  <si>
    <t>tRNA/tmRNA (uracil-C(5))-methyltransferase</t>
  </si>
  <si>
    <t>Low affinity tryptophan permease</t>
  </si>
  <si>
    <t>Galactoside transport system permease protein MglC</t>
  </si>
  <si>
    <t>Thymidine kinase</t>
  </si>
  <si>
    <t>DNA mismatch repair protein MutL</t>
  </si>
  <si>
    <t>5-keto-4-deoxy-D-glucarate aldolase</t>
  </si>
  <si>
    <t>Phosphoenolpyruvate synthase</t>
  </si>
  <si>
    <t>Phosphoserine aminotransferase</t>
  </si>
  <si>
    <t>Ecotin</t>
  </si>
  <si>
    <t>CDP-diacylglycerol--serine O-phosphatidyltransferase</t>
  </si>
  <si>
    <t>Transcriptional regulatory protein PhoP</t>
  </si>
  <si>
    <t>Sensor protein PhoQ</t>
  </si>
  <si>
    <t>UPF0701 protein YicC</t>
  </si>
  <si>
    <t>Periplasmic oligopeptide-binding protein</t>
  </si>
  <si>
    <t>Periplasmic dipeptide transport protein</t>
  </si>
  <si>
    <t>Thiosulfate sulfurtransferase PspE</t>
  </si>
  <si>
    <t>Tail-specific protease</t>
  </si>
  <si>
    <t>Peptidyl-prolyl cis-trans isomerase B</t>
  </si>
  <si>
    <t>Ferrochelatase</t>
  </si>
  <si>
    <t>Methionyl-tRNA formyltransferase</t>
  </si>
  <si>
    <t>Glutamate-1-semialdehyde 2,1-aminomutase</t>
  </si>
  <si>
    <t>Protease HtpX</t>
  </si>
  <si>
    <t>Acetylornithine deacetylase</t>
  </si>
  <si>
    <t>Fructokinase</t>
  </si>
  <si>
    <t>Apolipoprotein N-acyltransferase</t>
  </si>
  <si>
    <t>Dipeptidyl carboxypeptidase</t>
  </si>
  <si>
    <t>Lipopolysaccharide heptosyltransferase 1</t>
  </si>
  <si>
    <t>Protein YffB</t>
  </si>
  <si>
    <t>Biotin carboxylase</t>
  </si>
  <si>
    <t>Formate dehydrogenase, nitrate-inducible, major subunit</t>
  </si>
  <si>
    <t>Bifunctional protein FolD</t>
  </si>
  <si>
    <t>Mrr restriction system protein</t>
  </si>
  <si>
    <t>Uncharacterized GTP-binding protein YjiA</t>
  </si>
  <si>
    <t>Lipid A biosynthesis myristoyltransferase</t>
  </si>
  <si>
    <t>Mannonate dehydratase</t>
  </si>
  <si>
    <t>Flavohemoprotein</t>
  </si>
  <si>
    <t>HTH-type transcriptional regulator AscG</t>
  </si>
  <si>
    <t>Sigma factor-binding protein Crl</t>
  </si>
  <si>
    <t>Protease 2</t>
  </si>
  <si>
    <t>Tellurite methyltransferase</t>
  </si>
  <si>
    <t>S-(hydroxymethyl)glutathione dehydrogenase</t>
  </si>
  <si>
    <t>Aconitate hydratase A</t>
  </si>
  <si>
    <t>GTPase HflX</t>
  </si>
  <si>
    <t>tRNA modification GTPase MnmE</t>
  </si>
  <si>
    <t>Cytosine deaminase</t>
  </si>
  <si>
    <t>Succinate-semialdehyde dehydrogenase [NADP(+)] GabD</t>
  </si>
  <si>
    <t>2-octaprenylphenol hydroxylase</t>
  </si>
  <si>
    <t>Maf-like protein YhdE</t>
  </si>
  <si>
    <t>Riboflavin biosynthesis protein RibD</t>
  </si>
  <si>
    <t>Guanosine-5-triphosphate,3-diphosphate pyrophosphatase</t>
  </si>
  <si>
    <t>Lactaldehyde dehydrogenase</t>
  </si>
  <si>
    <t>Membrane protein insertase YidC</t>
  </si>
  <si>
    <t>tRNA-specific 2-thiouridylase MnmA</t>
  </si>
  <si>
    <t>NAD-dependent dihydropyrimidine dehydrogenase subunit PreA</t>
  </si>
  <si>
    <t>Metalloprotease LoiP</t>
  </si>
  <si>
    <t>Putative oxidoreductase YdbC</t>
  </si>
  <si>
    <t>Cytoplasmic alpha-amylase</t>
  </si>
  <si>
    <t>NAD-dependent malic enzyme</t>
  </si>
  <si>
    <t>Probable acrylyl-CoA reductase AcuI</t>
  </si>
  <si>
    <t>1-acyl-sn-glycerol-3-phosphate acyltransferase</t>
  </si>
  <si>
    <t>Cell division protein FtsP</t>
  </si>
  <si>
    <t>Surface composition regulator</t>
  </si>
  <si>
    <t>Uncharacterized protein YfeD</t>
  </si>
  <si>
    <t>Phosphate acyltransferase</t>
  </si>
  <si>
    <t>Aminomethyltransferase</t>
  </si>
  <si>
    <t>Aldehyde reductase Ahr</t>
  </si>
  <si>
    <t>Trifunctional NAD biosynthesis/regulator protein NadR</t>
  </si>
  <si>
    <t>Oligopeptidase A</t>
  </si>
  <si>
    <t>Transketolase 1</t>
  </si>
  <si>
    <t>Multidrug export protein EmrA</t>
  </si>
  <si>
    <t>Soluble pyridine nucleotide transhydrogenase</t>
  </si>
  <si>
    <t>50S ribosomal protein L16 3-hydroxylase</t>
  </si>
  <si>
    <t>Cytoskeleton protein RodZ</t>
  </si>
  <si>
    <t>Acetyl-coenzyme A synthetase</t>
  </si>
  <si>
    <t>UDP-N-acetylglucosamine 2-epimerase</t>
  </si>
  <si>
    <t>UDP-N-acetyl-D-mannosamine dehydrogenase</t>
  </si>
  <si>
    <t>dTDP-4-amino-4,6-dideoxygalactose transaminase</t>
  </si>
  <si>
    <t>Protein CyaY</t>
  </si>
  <si>
    <t>Pyridoxal phosphate phosphatase YigL</t>
  </si>
  <si>
    <t>IMPACT family member YigZ</t>
  </si>
  <si>
    <t>Membrane-bound lysozyme inhibitor of C-type lysozyme</t>
  </si>
  <si>
    <t>dCTP deaminase</t>
  </si>
  <si>
    <t>Protein AsmA</t>
  </si>
  <si>
    <t>Quinone oxidoreductase 1</t>
  </si>
  <si>
    <t>Endolytic murein transglycosylase</t>
  </si>
  <si>
    <t>tRNA (adenine(37)-N6)-methyltransferase</t>
  </si>
  <si>
    <t>D-methionine-binding lipoprotein MetQ</t>
  </si>
  <si>
    <t>Ferredoxin--NADP reductase</t>
  </si>
  <si>
    <t>Trehalose-6-phosphate hydrolase</t>
  </si>
  <si>
    <t>DNA polymerase III subunit chi</t>
  </si>
  <si>
    <t>Alanine racemase, catabolic</t>
  </si>
  <si>
    <t>Uncharacterized protein YcgB</t>
  </si>
  <si>
    <t>Cell division protein FtsN</t>
  </si>
  <si>
    <t>UPF0502 protein YceH</t>
  </si>
  <si>
    <t>Uroporphyrinogen decarboxylase</t>
  </si>
  <si>
    <t>Peptidase T</t>
  </si>
  <si>
    <t>Nicotinate-nucleotide pyrophosphorylase [carboxylating]</t>
  </si>
  <si>
    <t>Ribonuclease T</t>
  </si>
  <si>
    <t>3-isopropylmalate dehydrogenase</t>
  </si>
  <si>
    <t>3-isopropylmalate dehydratase small subunit</t>
  </si>
  <si>
    <t>Uncharacterized protein YbiB</t>
  </si>
  <si>
    <t>Uncharacterized oxidoreductase YbiC</t>
  </si>
  <si>
    <t>Methionine import ATP-binding protein MetN</t>
  </si>
  <si>
    <t>Exoribonuclease 2</t>
  </si>
  <si>
    <t>Putative ABC transporter arginine-binding protein 2</t>
  </si>
  <si>
    <t>ABC transporter arginine-binding protein 1</t>
  </si>
  <si>
    <t>2,5-diketo-D-gluconic acid reductase B</t>
  </si>
  <si>
    <t>Uncharacterized HTH-type transcriptional regulator YafC</t>
  </si>
  <si>
    <t>Bifunctional glutamine synthetase adenylyltransferase/adenylyl-removing enzyme</t>
  </si>
  <si>
    <t>Inorganic triphosphatase</t>
  </si>
  <si>
    <t>Transcription-repair-coupling factor</t>
  </si>
  <si>
    <t>3-methyl-2-oxobutanoate hydroxymethyltransferase</t>
  </si>
  <si>
    <t>Uncharacterized lipoprotein YedD</t>
  </si>
  <si>
    <t>Flagellar assembly protein FliH</t>
  </si>
  <si>
    <t>Voltage-gated potassium channel Kch</t>
  </si>
  <si>
    <t>Bifunctional protein Aas</t>
  </si>
  <si>
    <t>Phosphoglucosamine mutase</t>
  </si>
  <si>
    <t>Uncharacterized protein YdeI</t>
  </si>
  <si>
    <t>Protein YdeJ</t>
  </si>
  <si>
    <t>Putrescine-binding periplasmic protein</t>
  </si>
  <si>
    <t>3-mercaptopyruvate sulfurtransferase</t>
  </si>
  <si>
    <t>Multidrug efflux pump subunit AcrB</t>
  </si>
  <si>
    <t>Uncharacterized protein YicH</t>
  </si>
  <si>
    <t>Adenine deaminase</t>
  </si>
  <si>
    <t>Uncharacterized protein YidR</t>
  </si>
  <si>
    <t>Galactonate operon transcriptional repressor</t>
  </si>
  <si>
    <t>Uncharacterized HTH-type transcriptional regulator YieP</t>
  </si>
  <si>
    <t>Thiamine-binding periplasmic protein</t>
  </si>
  <si>
    <t>LPS-assembly protein LptD</t>
  </si>
  <si>
    <t>Protein deglycase 1</t>
  </si>
  <si>
    <t>2-methylcitrate synthase</t>
  </si>
  <si>
    <t>Pantothenate synthetase</t>
  </si>
  <si>
    <t>Trehalose-6-phosphate synthase</t>
  </si>
  <si>
    <t>Nitrate/nitrite response regulator protein NarP</t>
  </si>
  <si>
    <t>Bifunctional NAD(P)H-hydrate repair enzyme Nnr</t>
  </si>
  <si>
    <t>Uncharacterized oxidoreductase YciK</t>
  </si>
  <si>
    <t>NADH-quinone oxidoreductase subunit F</t>
  </si>
  <si>
    <t>Lipoate-protein ligase A</t>
  </si>
  <si>
    <t>Oxygen-independent coproporphyrinogen III oxidase</t>
  </si>
  <si>
    <t>GTP-binding protein TypA/BipA</t>
  </si>
  <si>
    <t>Protein YiiM</t>
  </si>
  <si>
    <t>Uncharacterized protein YiiQ</t>
  </si>
  <si>
    <t>UPF0381 protein YiiS</t>
  </si>
  <si>
    <t>Formate dehydrogenase-O major subunit</t>
  </si>
  <si>
    <t>Sulfurtransferase FdhD</t>
  </si>
  <si>
    <t>Phosphoglycolate phosphatase</t>
  </si>
  <si>
    <t>NADH pyrophosphatase</t>
  </si>
  <si>
    <t>Fructose-6-phosphate aldolase 2</t>
  </si>
  <si>
    <t>Uncharacterized protein YjaG</t>
  </si>
  <si>
    <t>23S rRNA pseudouridine(2604) synthase</t>
  </si>
  <si>
    <t>tRNA-dihydrouridine(20/20a) synthase</t>
  </si>
  <si>
    <t>Cation/acetate symporter ActP</t>
  </si>
  <si>
    <t>Multidrug resistance protein MdtO</t>
  </si>
  <si>
    <t>DNA gyrase inhibitor</t>
  </si>
  <si>
    <t>Zinc-binding GTPase YeiR</t>
  </si>
  <si>
    <t>Glucans biosynthesis protein G</t>
  </si>
  <si>
    <t>Glycine dehydrogenase (decarboxylating)</t>
  </si>
  <si>
    <t>Inner membrane protein YebE</t>
  </si>
  <si>
    <t>Protein YebF</t>
  </si>
  <si>
    <t>Formate-dependent phosphoribosylglycinamide formyltransferase</t>
  </si>
  <si>
    <t>Putative acyl-CoA dehydrogenase AidB</t>
  </si>
  <si>
    <t>Trimethylamine-N-oxide reductase 1</t>
  </si>
  <si>
    <t>Uncharacterized protein YehS</t>
  </si>
  <si>
    <t>Glycine betaine uptake system ATP-binding protein YehX</t>
  </si>
  <si>
    <t>Glycine betaine-binding protein YehZ</t>
  </si>
  <si>
    <t>Periplasmic beta-glucosidase</t>
  </si>
  <si>
    <t>Uncharacterized oxidoreductase YohF</t>
  </si>
  <si>
    <t>Transketolase 2</t>
  </si>
  <si>
    <t>Nickel-binding periplasmic protein</t>
  </si>
  <si>
    <t>NADH-quinone oxidoreductase subunit C/D</t>
  </si>
  <si>
    <t>NADH-quinone oxidoreductase subunit G</t>
  </si>
  <si>
    <t>Ribosomal large subunit pseudouridine synthase D</t>
  </si>
  <si>
    <t>Laccase domain protein YfiH</t>
  </si>
  <si>
    <t>Uncharacterized protein YejA</t>
  </si>
  <si>
    <t>Uncharacterized ABC transporter ATP-binding protein YejF</t>
  </si>
  <si>
    <t>Periplasmic nitrate reductase</t>
  </si>
  <si>
    <t>Protein YdcF</t>
  </si>
  <si>
    <t>Alkyl hydroperoxide reductase subunit F</t>
  </si>
  <si>
    <t>Blue copper oxidase CueO</t>
  </si>
  <si>
    <t>Curved DNA-binding protein</t>
  </si>
  <si>
    <t>PTS system trehalose-specific EIIBC component</t>
  </si>
  <si>
    <t>Cell division protein ZapD</t>
  </si>
  <si>
    <t>Aconitate hydratase B</t>
  </si>
  <si>
    <t>Recombination-associated protein RdgC</t>
  </si>
  <si>
    <t>Probable HTH-type transcriptional regulator LrhA</t>
  </si>
  <si>
    <t>Uncharacterized ABC transporter ATP-binding protein YadG</t>
  </si>
  <si>
    <t>Ribosomal RNA small subunit methyltransferase B</t>
  </si>
  <si>
    <t>Phosphoglucomutase</t>
  </si>
  <si>
    <t>Dual-specificity RNA methyltransferase RlmN</t>
  </si>
  <si>
    <t>Formyltetrahydrofolate deformylase</t>
  </si>
  <si>
    <t>Peptidase B</t>
  </si>
  <si>
    <t>GDP-mannose pyrophosphatase NudK</t>
  </si>
  <si>
    <t>UPF0716 protein FxsA</t>
  </si>
  <si>
    <t>Hydrogenase 2 maturation protease</t>
  </si>
  <si>
    <t>PTS system galactitol-specific EIIB component</t>
  </si>
  <si>
    <t>Outer membrane protein slp</t>
  </si>
  <si>
    <t>Dipeptide transport ATP-binding protein DppF</t>
  </si>
  <si>
    <t>Uncharacterized protein YbcH</t>
  </si>
  <si>
    <t>Molybdate-binding periplasmic protein</t>
  </si>
  <si>
    <t>Malate synthase G</t>
  </si>
  <si>
    <t>L-2-hydroxyglutarate oxidase LhgO</t>
  </si>
  <si>
    <t>Multidrug resistance protein MdtK</t>
  </si>
  <si>
    <t>Uncharacterized protein YjjI</t>
  </si>
  <si>
    <t>Protein-lysine deacetylase</t>
  </si>
  <si>
    <t>Ribose-5-phosphate isomerase B</t>
  </si>
  <si>
    <t>D-xylose-binding periplasmic protein</t>
  </si>
  <si>
    <t>Oxidoreductase UcpA</t>
  </si>
  <si>
    <t>Isoaspartyl peptidase</t>
  </si>
  <si>
    <t>PanD maturation factor</t>
  </si>
  <si>
    <t>Lead, cadmium, zinc and mercury-transporting ATPase</t>
  </si>
  <si>
    <t>Uncharacterized protein YhiI</t>
  </si>
  <si>
    <t>Uncharacterized protein YhiN</t>
  </si>
  <si>
    <t>Multidrug resistance protein MdtE</t>
  </si>
  <si>
    <t>Multidrug resistance protein MdtF</t>
  </si>
  <si>
    <t>Inner membrane protein YhjD</t>
  </si>
  <si>
    <t>Uncharacterized protein YhjG</t>
  </si>
  <si>
    <t>2-dehydro-3-deoxygluconokinase</t>
  </si>
  <si>
    <t>Protein YhjJ</t>
  </si>
  <si>
    <t>Protein BcsG homolog</t>
  </si>
  <si>
    <t>Probable lipoprotein YiaD</t>
  </si>
  <si>
    <t>Glyoxylate/hydroxypyruvate reductase B</t>
  </si>
  <si>
    <t>Aldehyde dehydrogenase B</t>
  </si>
  <si>
    <t>2,3-bisphosphoglycerate-independent phosphoglycerate mutase</t>
  </si>
  <si>
    <t>Murein hydrolase activator EnvC</t>
  </si>
  <si>
    <t>Glucose-1-phosphate thymidylyltransferase 1</t>
  </si>
  <si>
    <t>UDP-galactopyranose mutase</t>
  </si>
  <si>
    <t>Putative lipopolysaccharide biosynthesis O-acetyl transferase WbbJ</t>
  </si>
  <si>
    <t>dTDP-glucose 4,6-dehydratase 1</t>
  </si>
  <si>
    <t>dTDP-4-dehydrorhamnose reductase</t>
  </si>
  <si>
    <t>Ribosomal large subunit pseudouridine synthase B</t>
  </si>
  <si>
    <t>Uncharacterized HTH-type transcriptional regulator YfhH</t>
  </si>
  <si>
    <t>UDP-N-acetylmuramate--L-alanyl-gamma-D-glutamyl-meso-2,6-diaminoheptandioate ligase</t>
  </si>
  <si>
    <t>Chitooligosaccharide deacetylase ChbG</t>
  </si>
  <si>
    <t>Glutamate/aspartate import solute-binding protein</t>
  </si>
  <si>
    <t>Universal stress protein F</t>
  </si>
  <si>
    <t>Sulfite reductase [NADPH] flavoprotein alpha-component</t>
  </si>
  <si>
    <t>Isochorismate synthase MenF</t>
  </si>
  <si>
    <t>Oxygen-insensitive NAD(P)H nitroreductase</t>
  </si>
  <si>
    <t>Periplasmic pH-dependent serine endoprotease DegQ</t>
  </si>
  <si>
    <t>D-mannonate oxidoreductase</t>
  </si>
  <si>
    <t>High-affinity zinc uptake system protein ZnuA</t>
  </si>
  <si>
    <t>Putative glucose-6-phosphate 1-epimerase</t>
  </si>
  <si>
    <t>Probable L,D-transpeptidase ErfK/SrfK</t>
  </si>
  <si>
    <t>Universal stress protein UP12</t>
  </si>
  <si>
    <t>Uncharacterized protein YtfJ</t>
  </si>
  <si>
    <t>50S ribosomal protein L3 glutamine methyltransferase</t>
  </si>
  <si>
    <t>D-allose-binding periplasmic protein</t>
  </si>
  <si>
    <t>Uncharacterized protein YjdJ</t>
  </si>
  <si>
    <t>Miniconductance mechanosensitive channel MscM</t>
  </si>
  <si>
    <t>Small ribosomal subunit biogenesis GTPase RsgA</t>
  </si>
  <si>
    <t>Lipoprotein BsmA</t>
  </si>
  <si>
    <t>Esterase YjfP</t>
  </si>
  <si>
    <t>Uncharacterized protein YtfB</t>
  </si>
  <si>
    <t>Quinone oxidoreductase 2</t>
  </si>
  <si>
    <t>Translocation and assembly module TamB</t>
  </si>
  <si>
    <t>ABC transporter periplasmic-binding protein YtfQ</t>
  </si>
  <si>
    <t>RutC family protein YjgH</t>
  </si>
  <si>
    <t>Uncharacterized N-acetyltransferase YjgM</t>
  </si>
  <si>
    <t>Uncharacterized protein YjgR</t>
  </si>
  <si>
    <t>Uncharacterized transcriptional regulator YjhU</t>
  </si>
  <si>
    <t>Uncharacterized protein YjhG</t>
  </si>
  <si>
    <t>Putative phosphotransferase IIA component SgcA</t>
  </si>
  <si>
    <t>Putative aminopeptidase SgcX</t>
  </si>
  <si>
    <t>N-acetylneuraminate epimerase</t>
  </si>
  <si>
    <t>Isoaspartyl dipeptidase</t>
  </si>
  <si>
    <t>Uncharacterized protein YjiN</t>
  </si>
  <si>
    <t>Ribosomal RNA small subunit methyltransferase C</t>
  </si>
  <si>
    <t>Uncharacterized protein YjjU</t>
  </si>
  <si>
    <t>Uncharacterized metal-dependent hydrolase YjjV</t>
  </si>
  <si>
    <t>Non-canonical purine NTP phosphatase</t>
  </si>
  <si>
    <t>Alcohol dehydrogenase, propanol-preferring</t>
  </si>
  <si>
    <t>Inner membrane protein YbaL</t>
  </si>
  <si>
    <t>NADP-dependent 3-hydroxy acid dehydrogenase YdfG</t>
  </si>
  <si>
    <t>Phosphotransferase RcsD</t>
  </si>
  <si>
    <t>Glucans biosynthesis protein D</t>
  </si>
  <si>
    <t>Pyridoxine/pyridoxal/pyridoxamine kinase</t>
  </si>
  <si>
    <t>Lipoprotein NlpE</t>
  </si>
  <si>
    <t>N-methyl-L-tryptophan oxidase</t>
  </si>
  <si>
    <t>Uncharacterized protein YbiI</t>
  </si>
  <si>
    <t>FMN-dependent NADH-azoreductase</t>
  </si>
  <si>
    <t>Pyrimidine-specific ribonucleoside hydrolase RihA</t>
  </si>
  <si>
    <t>tRNA-binding protein YgjH</t>
  </si>
  <si>
    <t>Glucosidase YgjK</t>
  </si>
  <si>
    <t>2,4-dienoyl-CoA reductase [NADPH]</t>
  </si>
  <si>
    <t>Uncharacterized oxidoreductase YgjR</t>
  </si>
  <si>
    <t>Altronate dehydratase</t>
  </si>
  <si>
    <t>Protein YqjC</t>
  </si>
  <si>
    <t>Glutathionyl-hydroquinone reductase YqjG</t>
  </si>
  <si>
    <t>GTPase ObgE/CgtA</t>
  </si>
  <si>
    <t>N-acetylgalactosamine-specific phosphotransferase enzyme IIB component 2</t>
  </si>
  <si>
    <t>UDP-2,3-diacylglucosamine hydrolase</t>
  </si>
  <si>
    <t>Paraquat-inducible protein B</t>
  </si>
  <si>
    <t>ABC transporter ATP-binding protein uup</t>
  </si>
  <si>
    <t>Arabinose 5-phosphate isomerase KdsD</t>
  </si>
  <si>
    <t>Uncharacterized protein YhcH</t>
  </si>
  <si>
    <t>N-acetylmannosamine kinase</t>
  </si>
  <si>
    <t>Penicillin-binding protein activator LpoA</t>
  </si>
  <si>
    <t>Protein deglycase 2</t>
  </si>
  <si>
    <t>FKBP-type peptidyl-prolyl cis-trans isomerase FkpA</t>
  </si>
  <si>
    <t>Protein TusB</t>
  </si>
  <si>
    <t>1-deoxy-D-xylulose 5-phosphate reductoisomerase</t>
  </si>
  <si>
    <t>RNA chaperone ProQ</t>
  </si>
  <si>
    <t>S-ribosylhomocysteine lyase</t>
  </si>
  <si>
    <t>Threonylcarbamoyl-AMP synthase</t>
  </si>
  <si>
    <t>Uncharacterized protein YrdD</t>
  </si>
  <si>
    <t>ADP compounds hydrolase NudE</t>
  </si>
  <si>
    <t>Cell division coordinator CpoB</t>
  </si>
  <si>
    <t>Uncharacterized lipoprotein YajI</t>
  </si>
  <si>
    <t>Inner membrane protein YedI</t>
  </si>
  <si>
    <t>Putative acyl-CoA thioester hydrolase YbhC</t>
  </si>
  <si>
    <t>Uncharacterized protein YhdP</t>
  </si>
  <si>
    <t>Protein YhgF</t>
  </si>
  <si>
    <t>RNA 3-terminal phosphate cyclase</t>
  </si>
  <si>
    <t>Quercetin 2,3-dioxygenase</t>
  </si>
  <si>
    <t>Uncharacterized oxidoreductase YhhX</t>
  </si>
  <si>
    <t>Aerotaxis receptor</t>
  </si>
  <si>
    <t>Uncharacterized protein YaiL</t>
  </si>
  <si>
    <t>L-Ala-D/L-Glu epimerase</t>
  </si>
  <si>
    <t>Protein YecM</t>
  </si>
  <si>
    <t>UPF0235 protein YggU</t>
  </si>
  <si>
    <t>dITP/XTP pyrophosphatase</t>
  </si>
  <si>
    <t>Glycolate oxidase subunit GlcE</t>
  </si>
  <si>
    <t>Uncharacterized protein YaeR</t>
  </si>
  <si>
    <t>tRNA(Ile)-lysidine synthase</t>
  </si>
  <si>
    <t>Transcriptional regulatory protein RstA</t>
  </si>
  <si>
    <t>UPF0125 protein RatB</t>
  </si>
  <si>
    <t>Flagellum-specific ATP synthase</t>
  </si>
  <si>
    <t>Probable pyruvate-flavodoxin oxidoreductase</t>
  </si>
  <si>
    <t>6-phosphogluconolactonase</t>
  </si>
  <si>
    <t>Inner membrane protein YgaP</t>
  </si>
  <si>
    <t>Putative carboxymethylenebutenolidase</t>
  </si>
  <si>
    <t>PTS system glucitol/sorbitol-specific EIIB component</t>
  </si>
  <si>
    <t>RNA polymerase-associated protein RapA</t>
  </si>
  <si>
    <t>Chromosome partition protein MukF</t>
  </si>
  <si>
    <t>tRNA pseudouridine synthase B</t>
  </si>
  <si>
    <t>Ribosomal RNA small subunit methyltransferase H</t>
  </si>
  <si>
    <t>50S ribosomal protein L2</t>
  </si>
  <si>
    <t>50S ribosomal protein L3</t>
  </si>
  <si>
    <t>Guanylate kinase</t>
  </si>
  <si>
    <t>GMP reductase</t>
  </si>
  <si>
    <t>Protein FixA</t>
  </si>
  <si>
    <t>Imidazole glycerol phosphate synthase subunit HisH</t>
  </si>
  <si>
    <t>50S ribosomal protein L24</t>
  </si>
  <si>
    <t>Agmatinase</t>
  </si>
  <si>
    <t>Imidazole glycerol phosphate synthase subunit HisF</t>
  </si>
  <si>
    <t>Lipoyl synthase</t>
  </si>
  <si>
    <t>50S ribosomal protein L4</t>
  </si>
  <si>
    <t>Lipid A export ATP-binding/permease protein MsbA</t>
  </si>
  <si>
    <t>ATP phosphoribosyltransferase</t>
  </si>
  <si>
    <t>Elongation factor 4</t>
  </si>
  <si>
    <t>Putative transport protein YidE</t>
  </si>
  <si>
    <t>Histidine--tRNA ligase</t>
  </si>
  <si>
    <t>50S ribosomal protein L22</t>
  </si>
  <si>
    <t>Outer-membrane lipoprotein carrier protein</t>
  </si>
  <si>
    <t>Outer-membrane lipoprotein LolB</t>
  </si>
  <si>
    <t>Carbonic anhydrase 2</t>
  </si>
  <si>
    <t>6,7-dimethyl-8-ribityllumazine synthase</t>
  </si>
  <si>
    <t>Malate dehydrogenase</t>
  </si>
  <si>
    <t>Flavodoxin 1</t>
  </si>
  <si>
    <t>50S ribosomal protein L5</t>
  </si>
  <si>
    <t>Glucans biosynthesis glucosyltransferase H</t>
  </si>
  <si>
    <t>4-diphosphocytidyl-2-C-methyl-D-erythritol kinase</t>
  </si>
  <si>
    <t>2-C-methyl-D-erythritol 2,4-cyclodiphosphate synthase</t>
  </si>
  <si>
    <t>4-hydroxy-3-methylbut-2-en-1-yl diphosphate synthase (flavodoxin)</t>
  </si>
  <si>
    <t>4-hydroxy-3-methylbut-2-enyl diphosphate reductase</t>
  </si>
  <si>
    <t>Protein ApaG</t>
  </si>
  <si>
    <t>2,3-bisphosphoglycerate-dependent phosphoglycerate mutase</t>
  </si>
  <si>
    <t>UPF0325 protein YaeH</t>
  </si>
  <si>
    <t>Fe/S biogenesis protein NfuA</t>
  </si>
  <si>
    <t>23S rRNA (guanosine-2-O-)-methyltransferase RlmB</t>
  </si>
  <si>
    <t>Phosphoheptose isomerase</t>
  </si>
  <si>
    <t>D-glycero-beta-D-manno-heptose-1,7-bisphosphate 7-phosphatase</t>
  </si>
  <si>
    <t>Probable glutamate/gamma-aminobutyrate antiporter</t>
  </si>
  <si>
    <t>Chaperone protein ClpB</t>
  </si>
  <si>
    <t>Probable phospholipid import ATP-binding protein MlaF</t>
  </si>
  <si>
    <t>Uncharacterized ABC transporter ATP-binding protein YheS</t>
  </si>
  <si>
    <t>Uncharacterized N-acetyltransferase YhbS</t>
  </si>
  <si>
    <t>N-acetylmuramoyl-L-alanine amidase AmiC</t>
  </si>
  <si>
    <t>Zinc transport protein ZntB</t>
  </si>
  <si>
    <t>Uncharacterized protein YpfJ</t>
  </si>
  <si>
    <t>Uncharacterized lipoprotein YdcL</t>
  </si>
  <si>
    <t>Uncharacterized protein YdcY</t>
  </si>
  <si>
    <t>(4S)-4-hydroxy-5-phosphonooxypentane-2,3-dione isomerase</t>
  </si>
  <si>
    <t>Putative selenoprotein YdfZ</t>
  </si>
  <si>
    <t>OriC-binding nucleoid-associated protein</t>
  </si>
  <si>
    <t>Uncharacterized protein YdiZ</t>
  </si>
  <si>
    <t>Uncharacterized protein YeaK</t>
  </si>
  <si>
    <t>Uncharacterized protein YebV</t>
  </si>
  <si>
    <t>Uncharacterized protein YebY</t>
  </si>
  <si>
    <t>Inner membrane protein YecN</t>
  </si>
  <si>
    <t>Uncharacterized protein YodD</t>
  </si>
  <si>
    <t>Transcriptional repressor RcnR</t>
  </si>
  <si>
    <t>Nickel/cobalt homeostasis protein RcnB</t>
  </si>
  <si>
    <t>7-carboxy-7-deazaguanine synthase</t>
  </si>
  <si>
    <t>Uncharacterized protein YggT</t>
  </si>
  <si>
    <t>Uncharacterized protein YqjD</t>
  </si>
  <si>
    <t>Inner membrane protein YqjE</t>
  </si>
  <si>
    <t>Transcriptional regulator YqjI</t>
  </si>
  <si>
    <t>Uncharacterized protein YraP</t>
  </si>
  <si>
    <t>Probable phospholipid ABC transporter-binding protein MlaB</t>
  </si>
  <si>
    <t>Probable phospholipid ABC transporter-binding protein MlaD</t>
  </si>
  <si>
    <t>Probable phospholipid ABC transporter permease protein MlaE</t>
  </si>
  <si>
    <t>Uncharacterized protein YhcO</t>
  </si>
  <si>
    <t>Uncharacterized protein YheO</t>
  </si>
  <si>
    <t>Uncharacterized lipoprotein YgdI</t>
  </si>
  <si>
    <t>Uncharacterized protein YqcA</t>
  </si>
  <si>
    <t>Uncharacterized Nudix hydrolase YfcD</t>
  </si>
  <si>
    <t>Uncharacterized protein YgeY</t>
  </si>
  <si>
    <t>6-carboxy-5,6,7,8-tetrahydropterin synthase</t>
  </si>
  <si>
    <t>Diaminopropionate ammonia-lyase</t>
  </si>
  <si>
    <t>Beta-barrel assembly-enhancing protease</t>
  </si>
  <si>
    <t>UPF0001 protein YggS</t>
  </si>
  <si>
    <t>Ribosomal RNA small subunit methyltransferase I</t>
  </si>
  <si>
    <t>Phosphodiesterase YfcE</t>
  </si>
  <si>
    <t>UPF0114 protein YqhA</t>
  </si>
  <si>
    <t>UPF0267 protein YqfB</t>
  </si>
  <si>
    <t>Probable HTH-type transcriptional regulator YhaJ</t>
  </si>
  <si>
    <t>Copper homeostasis protein CutC</t>
  </si>
  <si>
    <t>ADP-L-glycero-D-manno-heptose-6-epimerase</t>
  </si>
  <si>
    <t>Autonomous glycyl radical cofactor</t>
  </si>
  <si>
    <t>Maltose/maltodextrin import ATP-binding protein MalK</t>
  </si>
  <si>
    <t>Stationary-phase-induced ribosome-associated protein</t>
  </si>
  <si>
    <t>UPF0337 protein YjbJ</t>
  </si>
  <si>
    <t>30S ribosomal protein S21</t>
  </si>
  <si>
    <t>Glutaredoxin 1</t>
  </si>
  <si>
    <t>ATP synthase subunit c</t>
  </si>
  <si>
    <t>Cytosol aminopeptidase</t>
  </si>
  <si>
    <t>50S ribosomal protein L25</t>
  </si>
  <si>
    <t>Succinate dehydrogenase cytochrome b556 subunit</t>
  </si>
  <si>
    <t>Translation initiation factor IF-1</t>
  </si>
  <si>
    <t>Transcriptional regulatory protein BaeR</t>
  </si>
  <si>
    <t>Antitoxin YefM</t>
  </si>
  <si>
    <t>Outer membrane lipoprotein RcsF</t>
  </si>
  <si>
    <t>Sec-independent protein translocase protein TatB</t>
  </si>
  <si>
    <t>Sec-independent protein translocase protein TatA</t>
  </si>
  <si>
    <t>Adenylate kinase</t>
  </si>
  <si>
    <t>Long-chain-fatty-acid--CoA ligase</t>
  </si>
  <si>
    <t>Divalent-cation tolerance protein CutA</t>
  </si>
  <si>
    <t>Adenine phosphoribosyltransferase</t>
  </si>
  <si>
    <t>Iron-sulfur cluster repair protein YtfE</t>
  </si>
  <si>
    <t>Hydrogenase-2 small chain</t>
  </si>
  <si>
    <t>Major outer membrane lipoprotein Lpp</t>
  </si>
  <si>
    <t>PTS system glucose-specific EIIA component</t>
  </si>
  <si>
    <t>PTS system glucose-specific EIICB component</t>
  </si>
  <si>
    <t>PTS system N,N-diacetylchitobiose-specific EIIB component</t>
  </si>
  <si>
    <t>PTS system mannose-specific EIIAB component</t>
  </si>
  <si>
    <t>PTS system mannose-specific EIID component</t>
  </si>
  <si>
    <t>Multiphosphoryl transfer protein</t>
  </si>
  <si>
    <t>Ascorbate-specific PTS system EIIB component</t>
  </si>
  <si>
    <t>PTS system galactitol-specific EIIA component</t>
  </si>
  <si>
    <t>Nitrogen regulatory protein</t>
  </si>
  <si>
    <t>Tat proofreading chaperone DmsD</t>
  </si>
  <si>
    <t>Spermidine/putrescine import ATP-binding protein PotA</t>
  </si>
  <si>
    <t>Glutamate decarboxylase alpha</t>
  </si>
  <si>
    <t>Glutamate decarboxylase beta</t>
  </si>
  <si>
    <t>Carbon storage regulator</t>
  </si>
  <si>
    <t>L-fucose isomerase</t>
  </si>
  <si>
    <t>Ribonucleoside-diphosphate reductase 1 subunit beta</t>
  </si>
  <si>
    <t>Probable 2-keto-3-deoxy-galactonate aldolase YagE</t>
  </si>
  <si>
    <t>Aldehyde reductase YahK</t>
  </si>
  <si>
    <t>Uncharacterized protein YahO</t>
  </si>
  <si>
    <t>(S)-ureidoglycine aminohydrolase</t>
  </si>
  <si>
    <t>2-octaprenyl-3-methyl-6-methoxy-1,4-benzoquinol hydroxylase</t>
  </si>
  <si>
    <t>Esterase YbfF</t>
  </si>
  <si>
    <t>Uncharacterized protein YbgK</t>
  </si>
  <si>
    <t>Putative gluconeogenesis factor</t>
  </si>
  <si>
    <t>UPF0194 membrane protein YbhG</t>
  </si>
  <si>
    <t>Sugar phosphatase YbiV</t>
  </si>
  <si>
    <t>Glutathione-binding protein GsiB</t>
  </si>
  <si>
    <t>Uncharacterized lipoprotein YbjP</t>
  </si>
  <si>
    <t>Uncharacterized protein YcbX</t>
  </si>
  <si>
    <t>Ribosomal RNA large subunit methyltransferase K/L</t>
  </si>
  <si>
    <t>Uncharacterized protein YccU</t>
  </si>
  <si>
    <t>Ribosomal RNA large subunit methyltransferase I</t>
  </si>
  <si>
    <t>Glyoxylate/hydroxypyruvate reductase A</t>
  </si>
  <si>
    <t>Probable phosphatase YcdX</t>
  </si>
  <si>
    <t>Chaperone protein YcdY</t>
  </si>
  <si>
    <t>Putative oxidoreductase YceM</t>
  </si>
  <si>
    <t>Flagellar hook protein FlgE</t>
  </si>
  <si>
    <t>HTH-type transcriptional repressor ComR</t>
  </si>
  <si>
    <t>N-acetyl-D-glucosamine kinase</t>
  </si>
  <si>
    <t>NAD-dependent protein deacylase</t>
  </si>
  <si>
    <t>Prophage repressor CohE</t>
  </si>
  <si>
    <t>Prophage transcriptional regulatory protein</t>
  </si>
  <si>
    <t>Putative protein JayE</t>
  </si>
  <si>
    <t>Uncharacterized protein YcgJ</t>
  </si>
  <si>
    <t>Inhibitor of g-type lysozyme</t>
  </si>
  <si>
    <t>Uncharacterized protein YcgM</t>
  </si>
  <si>
    <t>Murein tetrapeptide carboxypeptidase</t>
  </si>
  <si>
    <t>PEP-dependent dihydroxyacetone kinase, ADP-binding subunit DhaL</t>
  </si>
  <si>
    <t>PEP-dependent dihydroxyacetone kinase, dihydroxyacetone-binding subunit DhaK</t>
  </si>
  <si>
    <t>Oligopeptide transport ATP-binding protein OppD</t>
  </si>
  <si>
    <t>Uncharacterized protein YcjX</t>
  </si>
  <si>
    <t>Uncharacterized protein YcjY</t>
  </si>
  <si>
    <t>tRNA 2-thiocytidine biosynthesis protein TtcA</t>
  </si>
  <si>
    <t>Prophage repressor RacR</t>
  </si>
  <si>
    <t>Uncharacterized protein YdcJ</t>
  </si>
  <si>
    <t>Putative ABC transporter periplasmic-binding protein YdcS</t>
  </si>
  <si>
    <t>NADPH-dependent curcumin reductase</t>
  </si>
  <si>
    <t>Uncharacterized protein YncE</t>
  </si>
  <si>
    <t>Uncharacterized protein YddH</t>
  </si>
  <si>
    <t>Probable D,D-dipeptide-binding periplasmic protein DdpA</t>
  </si>
  <si>
    <t>Autoinducer 2-binding protein LsrB</t>
  </si>
  <si>
    <t>3-hydroxy-5-phosphonooxypentane-2,4-dione thiolase</t>
  </si>
  <si>
    <t>Trans-aconitate 2-methyltransferase</t>
  </si>
  <si>
    <t>Succinate semialdehyde dehydrogenase [NAD(P)+] Sad</t>
  </si>
  <si>
    <t>Uncharacterized protein YnfD</t>
  </si>
  <si>
    <t>Anaerobic dimethyl sulfoxide reductase chain YnfH</t>
  </si>
  <si>
    <t>Uncharacterized serine protease YdgD</t>
  </si>
  <si>
    <t>Protein YdgH</t>
  </si>
  <si>
    <t>Oxidoreductase YdhF</t>
  </si>
  <si>
    <t>Uncharacterized oxidoreductase YdhV</t>
  </si>
  <si>
    <t>Probable L,D-transpeptidase YnhG</t>
  </si>
  <si>
    <t>Cysteine desulfuration protein SufE</t>
  </si>
  <si>
    <t>N-succinylarginine dihydrolase</t>
  </si>
  <si>
    <t>N-succinylglutamate 5-semialdehyde dehydrogenase</t>
  </si>
  <si>
    <t>Uncharacterized protein YdjY</t>
  </si>
  <si>
    <t>Protein YnjB</t>
  </si>
  <si>
    <t>Uncharacterized protein YnjH</t>
  </si>
  <si>
    <t>UPF0229 protein YeaH</t>
  </si>
  <si>
    <t>Uncharacterized protein YeaO</t>
  </si>
  <si>
    <t>D-malate dehydrogenase [decarboxylating]</t>
  </si>
  <si>
    <t>tRNA threonylcarbamoyladenosine biosynthesis protein TsaB</t>
  </si>
  <si>
    <t>Transcriptional regulator KdgR</t>
  </si>
  <si>
    <t>Free methionine-R-sulfoxide reductase</t>
  </si>
  <si>
    <t>Uncharacterized protein YebT</t>
  </si>
  <si>
    <t>Carboxy-S-adenosyl-L-methionine synthase</t>
  </si>
  <si>
    <t>tRNA U34 carboxymethyltransferase</t>
  </si>
  <si>
    <t>Flagellar protein FlhE</t>
  </si>
  <si>
    <t>Flagellar biosynthesis protein FlhA</t>
  </si>
  <si>
    <t>Uncharacterized protein YecR</t>
  </si>
  <si>
    <t>D-cysteine desulfhydrase</t>
  </si>
  <si>
    <t>Putative SOS response-associated peptidase YedK</t>
  </si>
  <si>
    <t>Mannosyl-3-phosphoglycerate phosphatase</t>
  </si>
  <si>
    <t>Probable diguanylate cyclase YedQ</t>
  </si>
  <si>
    <t>Protein-methionine-sulfoxide reductase catalytic subunit MsrP</t>
  </si>
  <si>
    <t>Protein MtfA</t>
  </si>
  <si>
    <t>Chain length determinant protein</t>
  </si>
  <si>
    <t>UPF0053 protein YegH</t>
  </si>
  <si>
    <t>Multidrug resistance protein MdtA</t>
  </si>
  <si>
    <t>UPF0339 protein YegP</t>
  </si>
  <si>
    <t>Uncharacterized protease YegQ</t>
  </si>
  <si>
    <t>Lipid kinase YegS</t>
  </si>
  <si>
    <t>NAD-dependent dihydropyrimidine dehydrogenase subunit PreT</t>
  </si>
  <si>
    <t>Lipid A 1-diphosphate synthase</t>
  </si>
  <si>
    <t>Phosphohistidine phosphatase SixA</t>
  </si>
  <si>
    <t>Probable phospholipid-binding lipoprotein MlaA</t>
  </si>
  <si>
    <t>Uncharacterized protein YfdY</t>
  </si>
  <si>
    <t>N-acetylmuramic acid 6-phosphate etherase</t>
  </si>
  <si>
    <t>Probable deferrochelatase/peroxidase YfeX</t>
  </si>
  <si>
    <t>Uncharacterized protein YfeY</t>
  </si>
  <si>
    <t>Ethanolamine utilization protein EutL</t>
  </si>
  <si>
    <t>Uncharacterized protein YffS</t>
  </si>
  <si>
    <t>NADP-dependent malic enzyme</t>
  </si>
  <si>
    <t>Esterase YpfH</t>
  </si>
  <si>
    <t>Uncharacterized protein YfgD</t>
  </si>
  <si>
    <t>Uncharacterized protein YfgJ</t>
  </si>
  <si>
    <t>UPF0070 protein YfgM</t>
  </si>
  <si>
    <t>Uncharacterized lipoprotein YfhM</t>
  </si>
  <si>
    <t>Protein CsiD</t>
  </si>
  <si>
    <t>Bifunctional protein HldE</t>
  </si>
  <si>
    <t>Uncharacterized protein YdhS</t>
  </si>
  <si>
    <t>Uncharacterized protein YkfB</t>
  </si>
  <si>
    <t>Cell division protein ZipA</t>
  </si>
  <si>
    <t>Phenylacetic acid degradation protein PaaY</t>
  </si>
  <si>
    <t>Thiol:disulfide interchange protein DsbG</t>
  </si>
  <si>
    <t>Probable pyridine nucleotide-disulfide oxidoreductase RclA</t>
  </si>
  <si>
    <t>Putative glutamate--cysteine ligase 2</t>
  </si>
  <si>
    <t>2-methylcitrate dehydratase</t>
  </si>
  <si>
    <t>2-deoxyglucose-6-phosphate phosphatase</t>
  </si>
  <si>
    <t>Uncharacterized protein YkgE</t>
  </si>
  <si>
    <t>N-ethylmaleimide reductase</t>
  </si>
  <si>
    <t>ABC transporter periplasmic-binding protein YphF</t>
  </si>
  <si>
    <t>Probable iron export ATP-binding protein FetA</t>
  </si>
  <si>
    <t>Electron transport complex subunit RsxG</t>
  </si>
  <si>
    <t>Uncharacterized sulfatase YdeN</t>
  </si>
  <si>
    <t>Prophage lipoprotein Bor homolog</t>
  </si>
  <si>
    <t>Mechanosensitive channel MscK</t>
  </si>
  <si>
    <t>Periplasmic murein peptide-binding protein</t>
  </si>
  <si>
    <t>Glycerate 3-kinase</t>
  </si>
  <si>
    <t>UPF0098 protein YbcL</t>
  </si>
  <si>
    <t>Uncharacterized protein YbbN</t>
  </si>
  <si>
    <t>Uncharacterized protein YkgG</t>
  </si>
  <si>
    <t>Cysteine desulfurase</t>
  </si>
  <si>
    <t>Glutaminase 1</t>
  </si>
  <si>
    <t>1-deoxy-D-xylulose-5-phosphate synthase</t>
  </si>
  <si>
    <t>Probable ATP-dependent transporter SufC</t>
  </si>
  <si>
    <t>FeS cluster assembly protein SufB</t>
  </si>
  <si>
    <t>Disulfide-bond oxidoreductase YfcG</t>
  </si>
  <si>
    <t>L-cystine transporter YdjN</t>
  </si>
  <si>
    <t>2-methylisocitrate lyase</t>
  </si>
  <si>
    <t>Glutathione S-transferase YfcF</t>
  </si>
  <si>
    <t>Uncharacterized protein YdhQ</t>
  </si>
  <si>
    <t>Uncharacterized protein YahJ</t>
  </si>
  <si>
    <t>Succinylornithine transaminase</t>
  </si>
  <si>
    <t>Electron transport complex subunit RsxC</t>
  </si>
  <si>
    <t>Sugar phosphatase YfbT</t>
  </si>
  <si>
    <t>Allantoinase</t>
  </si>
  <si>
    <t>Gamma-aminobutyraldehyde dehydrogenase</t>
  </si>
  <si>
    <t>FeS cluster assembly protein SufD</t>
  </si>
  <si>
    <t>Protein GnsB</t>
  </si>
  <si>
    <t>Long-chain acyl-CoA thioesterase FadM</t>
  </si>
  <si>
    <t>Putative beta-xylosidase</t>
  </si>
  <si>
    <t>Uncharacterized lipoprotein YbaY</t>
  </si>
  <si>
    <t>tRNA sulfurtransferase</t>
  </si>
  <si>
    <t>Uncharacterized HTH-type transcriptional regulator YdjF</t>
  </si>
  <si>
    <t>Uncharacterized oxidoreductase YajO</t>
  </si>
  <si>
    <t>Oligopeptide transport ATP-binding protein OppF</t>
  </si>
  <si>
    <t>Uncharacterized protein YniA</t>
  </si>
  <si>
    <t>Uncharacterized protein YdiJ</t>
  </si>
  <si>
    <t>Periplasmic chaperone Spy</t>
  </si>
  <si>
    <t>Outer membrane protein assembly factor BamB</t>
  </si>
  <si>
    <t>Epimerase family protein YfcH</t>
  </si>
  <si>
    <t>Maltose O-acetyltransferase</t>
  </si>
  <si>
    <t>Protein YdgA</t>
  </si>
  <si>
    <t>NMN amidohydrolase-like protein YfaY</t>
  </si>
  <si>
    <t>Fructose-6-phosphate aldolase 1</t>
  </si>
  <si>
    <t>Thiosulfate sulfurtransferase YnjE</t>
  </si>
  <si>
    <t>Phenylacetaldehyde dehydrogenase</t>
  </si>
  <si>
    <t>Uncharacterized protein YibT</t>
  </si>
  <si>
    <t>Uncharacterized protein YobH</t>
  </si>
  <si>
    <t>Putative xanthine dehydrogenase molybdenum-binding subunit XdhA</t>
  </si>
  <si>
    <t>Uncharacterized protein YgeW</t>
  </si>
  <si>
    <t>Carbamate kinase-like protein YqeA</t>
  </si>
  <si>
    <t>Uncharacterized protein YgfK</t>
  </si>
  <si>
    <t>Isopentenyl-diphosphate Delta-isomerase</t>
  </si>
  <si>
    <t>6-phospho-beta-glucosidase BglA</t>
  </si>
  <si>
    <t>Disulfide-bond oxidoreductase YghU</t>
  </si>
  <si>
    <t>L-glyceraldehyde 3-phosphate reductase</t>
  </si>
  <si>
    <t>Alcohol dehydrogenase YqhD</t>
  </si>
  <si>
    <t>2,5-diketo-D-gluconic acid reductase A</t>
  </si>
  <si>
    <t>Probable deoxycholate-binding periplasmic protein YgiS</t>
  </si>
  <si>
    <t>Antitoxin MqsA</t>
  </si>
  <si>
    <t>Uncharacterized protein YqiC</t>
  </si>
  <si>
    <t>NADPH-dependent ferric-chelate reductase</t>
  </si>
  <si>
    <t>2-C-methyl-D-erythritol 4-phosphate cytidylyltransferase</t>
  </si>
  <si>
    <t>NADPH-dependent 7-cyano-7-deazaguanine reductase</t>
  </si>
  <si>
    <t>4-deoxy-L-threo-5-hexosulose-uronate ketol-isomerase</t>
  </si>
  <si>
    <t>Protein deglycase 3</t>
  </si>
  <si>
    <t>Acyl-coenzyme A dehydrogenase</t>
  </si>
  <si>
    <t>Putative glutamine amidotransferase YafJ</t>
  </si>
  <si>
    <t>Antitoxin DinJ</t>
  </si>
  <si>
    <t>mRNA interferase YafO</t>
  </si>
  <si>
    <t>Probable ABC transporter periplasmic-binding protein SapA</t>
  </si>
  <si>
    <t>Hydrolase YafV</t>
  </si>
  <si>
    <t>tRNA pseudouridine synthase D</t>
  </si>
  <si>
    <t>Copper-exporting P-type ATPase A</t>
  </si>
  <si>
    <t>ADP-ribose pyrophosphatase</t>
  </si>
  <si>
    <t>Alpha-ketoglutarate permease (Fragment)</t>
  </si>
  <si>
    <t>Transferase (Fragment)</t>
  </si>
  <si>
    <t>Molybdopterin-guanine dinucleotide biosynthesis protein B</t>
  </si>
  <si>
    <t>Putative uncharacterized protein (Fragment)</t>
  </si>
  <si>
    <t>G0ZKW2</t>
  </si>
  <si>
    <t>P00350</t>
  </si>
  <si>
    <t>P00363</t>
  </si>
  <si>
    <t>P00370</t>
  </si>
  <si>
    <t>P00393</t>
  </si>
  <si>
    <t>P00448</t>
  </si>
  <si>
    <t>P00452</t>
  </si>
  <si>
    <t>P00490</t>
  </si>
  <si>
    <t>P00509</t>
  </si>
  <si>
    <t>P00547</t>
  </si>
  <si>
    <t>P00550</t>
  </si>
  <si>
    <t>P00561</t>
  </si>
  <si>
    <t>P00579</t>
  </si>
  <si>
    <t>P00582</t>
  </si>
  <si>
    <t>P00634</t>
  </si>
  <si>
    <t>P00803</t>
  </si>
  <si>
    <t>P00805</t>
  </si>
  <si>
    <t>P00811</t>
  </si>
  <si>
    <t>P00864</t>
  </si>
  <si>
    <t>P00895</t>
  </si>
  <si>
    <t>P00904</t>
  </si>
  <si>
    <t>P00909</t>
  </si>
  <si>
    <t>P00926</t>
  </si>
  <si>
    <t>P00934</t>
  </si>
  <si>
    <t>P00935</t>
  </si>
  <si>
    <t>P00946</t>
  </si>
  <si>
    <t>P00954</t>
  </si>
  <si>
    <t>P00956</t>
  </si>
  <si>
    <t>P00957</t>
  </si>
  <si>
    <t>P00959</t>
  </si>
  <si>
    <t>P00960</t>
  </si>
  <si>
    <t>P00961</t>
  </si>
  <si>
    <t>P00962</t>
  </si>
  <si>
    <t>P00968</t>
  </si>
  <si>
    <t>P02358</t>
  </si>
  <si>
    <t>P02359</t>
  </si>
  <si>
    <t>P02413</t>
  </si>
  <si>
    <t>P02916</t>
  </si>
  <si>
    <t>P02919</t>
  </si>
  <si>
    <t>P02924</t>
  </si>
  <si>
    <t>P02925</t>
  </si>
  <si>
    <t>P02930</t>
  </si>
  <si>
    <t>P02931</t>
  </si>
  <si>
    <t>P02942</t>
  </si>
  <si>
    <t>P02943</t>
  </si>
  <si>
    <t>P03004</t>
  </si>
  <si>
    <t>P03018</t>
  </si>
  <si>
    <t>P03817</t>
  </si>
  <si>
    <t>P03841</t>
  </si>
  <si>
    <t>P04036</t>
  </si>
  <si>
    <t>P04079</t>
  </si>
  <si>
    <t>P04335</t>
  </si>
  <si>
    <t>P04425</t>
  </si>
  <si>
    <t>P04693</t>
  </si>
  <si>
    <t>P04805</t>
  </si>
  <si>
    <t>P04816</t>
  </si>
  <si>
    <t>P04825</t>
  </si>
  <si>
    <t>P04846</t>
  </si>
  <si>
    <t>P04949</t>
  </si>
  <si>
    <t>P04951</t>
  </si>
  <si>
    <t>P04982</t>
  </si>
  <si>
    <t>P04983</t>
  </si>
  <si>
    <t>P04995</t>
  </si>
  <si>
    <t>P05020</t>
  </si>
  <si>
    <t>P05041</t>
  </si>
  <si>
    <t>P05042</t>
  </si>
  <si>
    <t>P05055</t>
  </si>
  <si>
    <t>P05194</t>
  </si>
  <si>
    <t>P05458</t>
  </si>
  <si>
    <t>P05459</t>
  </si>
  <si>
    <t>P05637</t>
  </si>
  <si>
    <t>P05704</t>
  </si>
  <si>
    <t>P05707</t>
  </si>
  <si>
    <t>P05791</t>
  </si>
  <si>
    <t>P05793</t>
  </si>
  <si>
    <t>P05804</t>
  </si>
  <si>
    <t>P06149</t>
  </si>
  <si>
    <t>P06282</t>
  </si>
  <si>
    <t>P06610</t>
  </si>
  <si>
    <t>P06612</t>
  </si>
  <si>
    <t>P06616</t>
  </si>
  <si>
    <t>P06710</t>
  </si>
  <si>
    <t>P06715</t>
  </si>
  <si>
    <t>P06720</t>
  </si>
  <si>
    <t>P06846</t>
  </si>
  <si>
    <t>P06959</t>
  </si>
  <si>
    <t>P06961</t>
  </si>
  <si>
    <t>P06966</t>
  </si>
  <si>
    <t>P06968</t>
  </si>
  <si>
    <t>P06971</t>
  </si>
  <si>
    <t>P06974</t>
  </si>
  <si>
    <t>P06983</t>
  </si>
  <si>
    <t>P06986</t>
  </si>
  <si>
    <t>P06987</t>
  </si>
  <si>
    <t>P06988</t>
  </si>
  <si>
    <t>P06989</t>
  </si>
  <si>
    <t>P06992</t>
  </si>
  <si>
    <t>P06996</t>
  </si>
  <si>
    <t>P06999</t>
  </si>
  <si>
    <t>P07001</t>
  </si>
  <si>
    <t>P07003</t>
  </si>
  <si>
    <t>P07004</t>
  </si>
  <si>
    <t>P07012</t>
  </si>
  <si>
    <t>P07014</t>
  </si>
  <si>
    <t>P07017</t>
  </si>
  <si>
    <t>P07023</t>
  </si>
  <si>
    <t>P07024</t>
  </si>
  <si>
    <t>P07102</t>
  </si>
  <si>
    <t>P07117</t>
  </si>
  <si>
    <t>P07118</t>
  </si>
  <si>
    <t>P07330</t>
  </si>
  <si>
    <t>P07363</t>
  </si>
  <si>
    <t>P07395</t>
  </si>
  <si>
    <t>P07639</t>
  </si>
  <si>
    <t>P07650</t>
  </si>
  <si>
    <t>P07762</t>
  </si>
  <si>
    <t>P07813</t>
  </si>
  <si>
    <t>P07822</t>
  </si>
  <si>
    <t>P07862</t>
  </si>
  <si>
    <t>P07913</t>
  </si>
  <si>
    <t>P08178</t>
  </si>
  <si>
    <t>P08192</t>
  </si>
  <si>
    <t>P08200</t>
  </si>
  <si>
    <t>P08202</t>
  </si>
  <si>
    <t>P08244</t>
  </si>
  <si>
    <t>P08245</t>
  </si>
  <si>
    <t>P08312</t>
  </si>
  <si>
    <t>P08331</t>
  </si>
  <si>
    <t>P08337</t>
  </si>
  <si>
    <t>P08368</t>
  </si>
  <si>
    <t>P08373</t>
  </si>
  <si>
    <t>P08390</t>
  </si>
  <si>
    <t>P08395</t>
  </si>
  <si>
    <t>P08506</t>
  </si>
  <si>
    <t>P08550</t>
  </si>
  <si>
    <t>P08622</t>
  </si>
  <si>
    <t>P08660</t>
  </si>
  <si>
    <t>P08839</t>
  </si>
  <si>
    <t>P08956</t>
  </si>
  <si>
    <t>P08957</t>
  </si>
  <si>
    <t>P08997</t>
  </si>
  <si>
    <t>P09029</t>
  </si>
  <si>
    <t>P09030</t>
  </si>
  <si>
    <t>P09126</t>
  </si>
  <si>
    <t>P09127</t>
  </si>
  <si>
    <t>P09147</t>
  </si>
  <si>
    <t>P09148</t>
  </si>
  <si>
    <t>P09152</t>
  </si>
  <si>
    <t>P09155</t>
  </si>
  <si>
    <t>P09158</t>
  </si>
  <si>
    <t>P09169</t>
  </si>
  <si>
    <t>P09323</t>
  </si>
  <si>
    <t>P09372</t>
  </si>
  <si>
    <t>P09373</t>
  </si>
  <si>
    <t>P09391</t>
  </si>
  <si>
    <t>P09394</t>
  </si>
  <si>
    <t>P09424</t>
  </si>
  <si>
    <t>P09546</t>
  </si>
  <si>
    <t>P09549</t>
  </si>
  <si>
    <t>P09551</t>
  </si>
  <si>
    <t>P09831</t>
  </si>
  <si>
    <t>P09832</t>
  </si>
  <si>
    <t>P09833</t>
  </si>
  <si>
    <t>P0A698</t>
  </si>
  <si>
    <t>P0A6A3</t>
  </si>
  <si>
    <t>P0A6A8</t>
  </si>
  <si>
    <t>P0A6B7</t>
  </si>
  <si>
    <t>P0A6C1</t>
  </si>
  <si>
    <t>P0A6D0</t>
  </si>
  <si>
    <t>P0A6D3</t>
  </si>
  <si>
    <t>P0A6D7</t>
  </si>
  <si>
    <t>P0A6E1</t>
  </si>
  <si>
    <t>P0A6E4</t>
  </si>
  <si>
    <t>P0A6E9</t>
  </si>
  <si>
    <t>P0A6F1</t>
  </si>
  <si>
    <t>P0A6F3</t>
  </si>
  <si>
    <t>P0A6F5</t>
  </si>
  <si>
    <t>P0A6F9</t>
  </si>
  <si>
    <t>P0A6G3</t>
  </si>
  <si>
    <t>P0A6G7</t>
  </si>
  <si>
    <t>P0A6H1</t>
  </si>
  <si>
    <t>P0A6H5</t>
  </si>
  <si>
    <t>P0A6I0</t>
  </si>
  <si>
    <t>P0A6I3</t>
  </si>
  <si>
    <t>P0A6I6</t>
  </si>
  <si>
    <t>P0A6I9</t>
  </si>
  <si>
    <t>P0A6J3</t>
  </si>
  <si>
    <t>P0A6J5</t>
  </si>
  <si>
    <t>P0A6J8</t>
  </si>
  <si>
    <t>P0A6K1</t>
  </si>
  <si>
    <t>P0A6K3</t>
  </si>
  <si>
    <t>P0A6K6</t>
  </si>
  <si>
    <t>P0A6L0</t>
  </si>
  <si>
    <t>P0A6L2</t>
  </si>
  <si>
    <t>P0A6L7</t>
  </si>
  <si>
    <t>P0A6L9</t>
  </si>
  <si>
    <t>P0A6M4</t>
  </si>
  <si>
    <t>P0A6M8</t>
  </si>
  <si>
    <t>P0A6N4</t>
  </si>
  <si>
    <t>P0A6N8</t>
  </si>
  <si>
    <t>P0A6P1</t>
  </si>
  <si>
    <t>P0A6P5</t>
  </si>
  <si>
    <t>P0A6P7</t>
  </si>
  <si>
    <t>P0A6P9</t>
  </si>
  <si>
    <t>P0A6Q3</t>
  </si>
  <si>
    <t>P0A6Q6</t>
  </si>
  <si>
    <t>P0A6R0</t>
  </si>
  <si>
    <t>P0A6S0</t>
  </si>
  <si>
    <t>P0A6S7</t>
  </si>
  <si>
    <t>P0A6T1</t>
  </si>
  <si>
    <t>P0A6T3</t>
  </si>
  <si>
    <t>P0A6T5</t>
  </si>
  <si>
    <t>P0A6T9</t>
  </si>
  <si>
    <t>P0A6U5</t>
  </si>
  <si>
    <t>P0A6U8</t>
  </si>
  <si>
    <t>P0A6V1</t>
  </si>
  <si>
    <t>P0A6V8</t>
  </si>
  <si>
    <t>P0A6W3</t>
  </si>
  <si>
    <t>P0A6W5</t>
  </si>
  <si>
    <t>P0A6W9</t>
  </si>
  <si>
    <t>P0A6X3</t>
  </si>
  <si>
    <t>P0A6X7</t>
  </si>
  <si>
    <t>P0A6Y1</t>
  </si>
  <si>
    <t>P0A6Y5</t>
  </si>
  <si>
    <t>P0A6Y8</t>
  </si>
  <si>
    <t>P0A6Z1</t>
  </si>
  <si>
    <t>P0A6Z3</t>
  </si>
  <si>
    <t>P0A705</t>
  </si>
  <si>
    <t>P0A707</t>
  </si>
  <si>
    <t>P0A715</t>
  </si>
  <si>
    <t>P0A717</t>
  </si>
  <si>
    <t>P0A720</t>
  </si>
  <si>
    <t>P0A722</t>
  </si>
  <si>
    <t>P0A725</t>
  </si>
  <si>
    <t>P0A729</t>
  </si>
  <si>
    <t>P0A731</t>
  </si>
  <si>
    <t>P0A734</t>
  </si>
  <si>
    <t>P0A738</t>
  </si>
  <si>
    <t>P0A742</t>
  </si>
  <si>
    <t>P0A744</t>
  </si>
  <si>
    <t>P0A746</t>
  </si>
  <si>
    <t>P0A749</t>
  </si>
  <si>
    <t>P0A759</t>
  </si>
  <si>
    <t>P0A761</t>
  </si>
  <si>
    <t>P0A763</t>
  </si>
  <si>
    <t>P0A780</t>
  </si>
  <si>
    <t>P0A784</t>
  </si>
  <si>
    <t>P0A790</t>
  </si>
  <si>
    <t>P0A794</t>
  </si>
  <si>
    <t>P0A796</t>
  </si>
  <si>
    <t>P0A799</t>
  </si>
  <si>
    <t>P0A7A2</t>
  </si>
  <si>
    <t>P0A7A5</t>
  </si>
  <si>
    <t>P0A7A9</t>
  </si>
  <si>
    <t>P0A7B5</t>
  </si>
  <si>
    <t>P0A7B8</t>
  </si>
  <si>
    <t>P0A7C2</t>
  </si>
  <si>
    <t>P0A7C6</t>
  </si>
  <si>
    <t>P0A7D1</t>
  </si>
  <si>
    <t>P0A7D4</t>
  </si>
  <si>
    <t>P0A7D7</t>
  </si>
  <si>
    <t>P0A7E1</t>
  </si>
  <si>
    <t>P0A7E3</t>
  </si>
  <si>
    <t>P0A7E5</t>
  </si>
  <si>
    <t>P0A7E9</t>
  </si>
  <si>
    <t>P0A7F3</t>
  </si>
  <si>
    <t>P0A7F6</t>
  </si>
  <si>
    <t>P0A7F9</t>
  </si>
  <si>
    <t>P0A7G2</t>
  </si>
  <si>
    <t>P0A7G6</t>
  </si>
  <si>
    <t>P0A7I0</t>
  </si>
  <si>
    <t>P0A7I4</t>
  </si>
  <si>
    <t>P0A7I7</t>
  </si>
  <si>
    <t>P0A7J3</t>
  </si>
  <si>
    <t>P0A7J7</t>
  </si>
  <si>
    <t>P0A7K2</t>
  </si>
  <si>
    <t>P0A7K6</t>
  </si>
  <si>
    <t>P0A7L0</t>
  </si>
  <si>
    <t>P0A7L3</t>
  </si>
  <si>
    <t>P0A7L8</t>
  </si>
  <si>
    <t>P0A7M2</t>
  </si>
  <si>
    <t>P0A7M6</t>
  </si>
  <si>
    <t>P0A7M9</t>
  </si>
  <si>
    <t>P0A7Q6</t>
  </si>
  <si>
    <t>P0A7R1</t>
  </si>
  <si>
    <t>P0A7R5</t>
  </si>
  <si>
    <t>P0A7R9</t>
  </si>
  <si>
    <t>P0A7S3</t>
  </si>
  <si>
    <t>P0A7S9</t>
  </si>
  <si>
    <t>P0A7T3</t>
  </si>
  <si>
    <t>P0A7T7</t>
  </si>
  <si>
    <t>P0A7U3</t>
  </si>
  <si>
    <t>P0A7U7</t>
  </si>
  <si>
    <t>P0A7V0</t>
  </si>
  <si>
    <t>P0A7V3</t>
  </si>
  <si>
    <t>P0A7V8</t>
  </si>
  <si>
    <t>P0A7W1</t>
  </si>
  <si>
    <t>P0A7W7</t>
  </si>
  <si>
    <t>P0A7X3</t>
  </si>
  <si>
    <t>P0A7X6</t>
  </si>
  <si>
    <t>P0A7Y0</t>
  </si>
  <si>
    <t>P0A7Z0</t>
  </si>
  <si>
    <t>P0A7Z4</t>
  </si>
  <si>
    <t>P0A800</t>
  </si>
  <si>
    <t>P0A805</t>
  </si>
  <si>
    <t>P0A809</t>
  </si>
  <si>
    <t>P0A817</t>
  </si>
  <si>
    <t>P0A821</t>
  </si>
  <si>
    <t>P0A823</t>
  </si>
  <si>
    <t>P0A825</t>
  </si>
  <si>
    <t>P0A830</t>
  </si>
  <si>
    <t>P0A832</t>
  </si>
  <si>
    <t>P0A836</t>
  </si>
  <si>
    <t>P0A840</t>
  </si>
  <si>
    <t>P0A850</t>
  </si>
  <si>
    <t>P0A853</t>
  </si>
  <si>
    <t>P0A855</t>
  </si>
  <si>
    <t>P0A858</t>
  </si>
  <si>
    <t>P0A862</t>
  </si>
  <si>
    <t>P0A867</t>
  </si>
  <si>
    <t>P0A870</t>
  </si>
  <si>
    <t>P0A873</t>
  </si>
  <si>
    <t>P0A877</t>
  </si>
  <si>
    <t>P0A879</t>
  </si>
  <si>
    <t>P0A881</t>
  </si>
  <si>
    <t>P0A884</t>
  </si>
  <si>
    <t>P0A887</t>
  </si>
  <si>
    <t>P0A894</t>
  </si>
  <si>
    <t>P0A898</t>
  </si>
  <si>
    <t>P0A8A0</t>
  </si>
  <si>
    <t>P0A8A2</t>
  </si>
  <si>
    <t>P0A8A4</t>
  </si>
  <si>
    <t>P0A8B5</t>
  </si>
  <si>
    <t>P0A8C1</t>
  </si>
  <si>
    <t>P0A8D0</t>
  </si>
  <si>
    <t>P0A8D3</t>
  </si>
  <si>
    <t>P0A8D6</t>
  </si>
  <si>
    <t>P0A8E1</t>
  </si>
  <si>
    <t>P0A8E5</t>
  </si>
  <si>
    <t>P0A8E7</t>
  </si>
  <si>
    <t>P0A8F0</t>
  </si>
  <si>
    <t>P0A8F8</t>
  </si>
  <si>
    <t>P0A8G3</t>
  </si>
  <si>
    <t>P0A8G6</t>
  </si>
  <si>
    <t>P0A8G9</t>
  </si>
  <si>
    <t>P0A8H6</t>
  </si>
  <si>
    <t>P0A8I1</t>
  </si>
  <si>
    <t>P0A8I3</t>
  </si>
  <si>
    <t>P0A8I5</t>
  </si>
  <si>
    <t>P0A8J8</t>
  </si>
  <si>
    <t>P0A8K1</t>
  </si>
  <si>
    <t>P0A8L1</t>
  </si>
  <si>
    <t>P0A8M0</t>
  </si>
  <si>
    <t>P0A8M3</t>
  </si>
  <si>
    <t>P0A8M6</t>
  </si>
  <si>
    <t>P0A8N0</t>
  </si>
  <si>
    <t>P0A8N3</t>
  </si>
  <si>
    <t>P0A8N5</t>
  </si>
  <si>
    <t>P0A8P3</t>
  </si>
  <si>
    <t>P0A8Q0</t>
  </si>
  <si>
    <t>P0A8Q3</t>
  </si>
  <si>
    <t>P0A8R0</t>
  </si>
  <si>
    <t>P0A8R4</t>
  </si>
  <si>
    <t>P0A8S1</t>
  </si>
  <si>
    <t>P0A8T1</t>
  </si>
  <si>
    <t>P0A8T7</t>
  </si>
  <si>
    <t>P0A8U2</t>
  </si>
  <si>
    <t>P0A8U6</t>
  </si>
  <si>
    <t>P0A8V0</t>
  </si>
  <si>
    <t>P0A8V2</t>
  </si>
  <si>
    <t>P0A8V6</t>
  </si>
  <si>
    <t>P0A8W0</t>
  </si>
  <si>
    <t>P0A8W2</t>
  </si>
  <si>
    <t>P0A8W5</t>
  </si>
  <si>
    <t>P0A8W8</t>
  </si>
  <si>
    <t>P0A8X0</t>
  </si>
  <si>
    <t>P0A8X2</t>
  </si>
  <si>
    <t>P0A8Y3</t>
  </si>
  <si>
    <t>P0A8Y5</t>
  </si>
  <si>
    <t>P0A8Z0</t>
  </si>
  <si>
    <t>P0A901</t>
  </si>
  <si>
    <t>P0A903</t>
  </si>
  <si>
    <t>P0A905</t>
  </si>
  <si>
    <t>P0A910</t>
  </si>
  <si>
    <t>P0A912</t>
  </si>
  <si>
    <t>P0A915</t>
  </si>
  <si>
    <t>P0A917</t>
  </si>
  <si>
    <t>P0A921</t>
  </si>
  <si>
    <t>P0A937</t>
  </si>
  <si>
    <t>P0A940</t>
  </si>
  <si>
    <t>P0A948</t>
  </si>
  <si>
    <t>P0A953</t>
  </si>
  <si>
    <t>P0A955</t>
  </si>
  <si>
    <t>P0A962</t>
  </si>
  <si>
    <t>P0A964</t>
  </si>
  <si>
    <t>P0A972</t>
  </si>
  <si>
    <t>P0A988</t>
  </si>
  <si>
    <t>P0A991</t>
  </si>
  <si>
    <t>P0A993</t>
  </si>
  <si>
    <t>P0A998</t>
  </si>
  <si>
    <t>P0A9A6</t>
  </si>
  <si>
    <t>P0A9A9</t>
  </si>
  <si>
    <t>P0A9B2</t>
  </si>
  <si>
    <t>P0A9C3</t>
  </si>
  <si>
    <t>P0A9C5</t>
  </si>
  <si>
    <t>P0A9C9</t>
  </si>
  <si>
    <t>P0A9D2</t>
  </si>
  <si>
    <t>P0A9D4</t>
  </si>
  <si>
    <t>P0A9D8</t>
  </si>
  <si>
    <t>P0A9E5</t>
  </si>
  <si>
    <t>P0A9F1</t>
  </si>
  <si>
    <t>P0A9F3</t>
  </si>
  <si>
    <t>P0A9G6</t>
  </si>
  <si>
    <t>P0A9G8</t>
  </si>
  <si>
    <t>P0A9H1</t>
  </si>
  <si>
    <t>P0A9H5</t>
  </si>
  <si>
    <t>P0A9H7</t>
  </si>
  <si>
    <t>P0A9H9</t>
  </si>
  <si>
    <t>P0A9J0</t>
  </si>
  <si>
    <t>P0A9J6</t>
  </si>
  <si>
    <t>P0A9J8</t>
  </si>
  <si>
    <t>P0A9K3</t>
  </si>
  <si>
    <t>P0A9K7</t>
  </si>
  <si>
    <t>P0A9K9</t>
  </si>
  <si>
    <t>P0A9L3</t>
  </si>
  <si>
    <t>P0A9L5</t>
  </si>
  <si>
    <t>P0A9L8</t>
  </si>
  <si>
    <t>P0A9M0</t>
  </si>
  <si>
    <t>P0A9M2</t>
  </si>
  <si>
    <t>P0A9M5</t>
  </si>
  <si>
    <t>P0A9M8</t>
  </si>
  <si>
    <t>P0A9N0</t>
  </si>
  <si>
    <t>P0A9N4</t>
  </si>
  <si>
    <t>P0A9P0</t>
  </si>
  <si>
    <t>P0A9P4</t>
  </si>
  <si>
    <t>P0A9Q1</t>
  </si>
  <si>
    <t>P0A9Q5</t>
  </si>
  <si>
    <t>P0A9Q7</t>
  </si>
  <si>
    <t>P0A9Q9</t>
  </si>
  <si>
    <t>P0A9R4</t>
  </si>
  <si>
    <t>P0A9R7</t>
  </si>
  <si>
    <t>P0A9S1</t>
  </si>
  <si>
    <t>P0A9S3</t>
  </si>
  <si>
    <t>P0A9S5</t>
  </si>
  <si>
    <t>P0A9T0</t>
  </si>
  <si>
    <t>P0A9T4</t>
  </si>
  <si>
    <t>P0A9T8</t>
  </si>
  <si>
    <t>P0A9U3</t>
  </si>
  <si>
    <t>P0A9U6</t>
  </si>
  <si>
    <t>P0A9V1</t>
  </si>
  <si>
    <t>P0A9V5</t>
  </si>
  <si>
    <t>P0A9W0</t>
  </si>
  <si>
    <t>P0A9W3</t>
  </si>
  <si>
    <t>P0A9W6</t>
  </si>
  <si>
    <t>P0A9X4</t>
  </si>
  <si>
    <t>P0A9X9</t>
  </si>
  <si>
    <t>P0A9Y6</t>
  </si>
  <si>
    <t>P0A9Z1</t>
  </si>
  <si>
    <t>P0AA04</t>
  </si>
  <si>
    <t>P0AA10</t>
  </si>
  <si>
    <t>P0AA16</t>
  </si>
  <si>
    <t>P0AA25</t>
  </si>
  <si>
    <t>P0AA37</t>
  </si>
  <si>
    <t>P0AA39</t>
  </si>
  <si>
    <t>P0AA43</t>
  </si>
  <si>
    <t>P0AA53</t>
  </si>
  <si>
    <t>P0AA57</t>
  </si>
  <si>
    <t>P0AA63</t>
  </si>
  <si>
    <t>P0AA91</t>
  </si>
  <si>
    <t>P0AAA1</t>
  </si>
  <si>
    <t>P0AAB4</t>
  </si>
  <si>
    <t>P0AAB6</t>
  </si>
  <si>
    <t>P0AAB8</t>
  </si>
  <si>
    <t>P0AAC0</t>
  </si>
  <si>
    <t>P0AAC4</t>
  </si>
  <si>
    <t>P0AAC8</t>
  </si>
  <si>
    <t>P0AAF6</t>
  </si>
  <si>
    <t>P0AAG0</t>
  </si>
  <si>
    <t>P0AAG8</t>
  </si>
  <si>
    <t>P0AAH0</t>
  </si>
  <si>
    <t>P0AAH8</t>
  </si>
  <si>
    <t>P0AAI3</t>
  </si>
  <si>
    <t>P0AAI5</t>
  </si>
  <si>
    <t>P0AAI9</t>
  </si>
  <si>
    <t>P0AAJ5</t>
  </si>
  <si>
    <t>P0AAJ8</t>
  </si>
  <si>
    <t>P0AAN3</t>
  </si>
  <si>
    <t>P0AAN5</t>
  </si>
  <si>
    <t>P0AAN9</t>
  </si>
  <si>
    <t>P0AAP3</t>
  </si>
  <si>
    <t>P0AAQ2</t>
  </si>
  <si>
    <t>P0AAQ6</t>
  </si>
  <si>
    <t>P0AAR3</t>
  </si>
  <si>
    <t>P0AAS0</t>
  </si>
  <si>
    <t>P0AAS3</t>
  </si>
  <si>
    <t>P0AAS7</t>
  </si>
  <si>
    <t>P0AAT2</t>
  </si>
  <si>
    <t>P0AAT9</t>
  </si>
  <si>
    <t>P0AAU7</t>
  </si>
  <si>
    <t>P0AAV0</t>
  </si>
  <si>
    <t>P0AAV4</t>
  </si>
  <si>
    <t>P0AAV6</t>
  </si>
  <si>
    <t>P0AAW1</t>
  </si>
  <si>
    <t>P0AAX8</t>
  </si>
  <si>
    <t>P0AAY6</t>
  </si>
  <si>
    <t>P0AAZ7</t>
  </si>
  <si>
    <t>P0AB03</t>
  </si>
  <si>
    <t>P0AB12</t>
  </si>
  <si>
    <t>P0AB18</t>
  </si>
  <si>
    <t>P0AB20</t>
  </si>
  <si>
    <t>P0AB24</t>
  </si>
  <si>
    <t>P0AB26</t>
  </si>
  <si>
    <t>P0AB28</t>
  </si>
  <si>
    <t>P0AB38</t>
  </si>
  <si>
    <t>P0AB43</t>
  </si>
  <si>
    <t>P0AB52</t>
  </si>
  <si>
    <t>P0AB55</t>
  </si>
  <si>
    <t>P0AB61</t>
  </si>
  <si>
    <t>P0AB65</t>
  </si>
  <si>
    <t>P0AB67</t>
  </si>
  <si>
    <t>P0AB71</t>
  </si>
  <si>
    <t>P0AB77</t>
  </si>
  <si>
    <t>P0AB80</t>
  </si>
  <si>
    <t>P0AB89</t>
  </si>
  <si>
    <t>P0AB91</t>
  </si>
  <si>
    <t>P0AB98</t>
  </si>
  <si>
    <t>P0ABA0</t>
  </si>
  <si>
    <t>P0ABA4</t>
  </si>
  <si>
    <t>P0ABA6</t>
  </si>
  <si>
    <t>P0ABB0</t>
  </si>
  <si>
    <t>P0ABB4</t>
  </si>
  <si>
    <t>P0ABB8</t>
  </si>
  <si>
    <t>P0ABC3</t>
  </si>
  <si>
    <t>P0ABC7</t>
  </si>
  <si>
    <t>P0ABD3</t>
  </si>
  <si>
    <t>P0ABD5</t>
  </si>
  <si>
    <t>P0ABD8</t>
  </si>
  <si>
    <t>P0ABE2</t>
  </si>
  <si>
    <t>P0ABE5</t>
  </si>
  <si>
    <t>P0ABF6</t>
  </si>
  <si>
    <t>P0ABF8</t>
  </si>
  <si>
    <t>P0ABG7</t>
  </si>
  <si>
    <t>P0ABH0</t>
  </si>
  <si>
    <t>P0ABH7</t>
  </si>
  <si>
    <t>P0ABH9</t>
  </si>
  <si>
    <t>P0ABI8</t>
  </si>
  <si>
    <t>P0ABJ1</t>
  </si>
  <si>
    <t>P0ABJ9</t>
  </si>
  <si>
    <t>P0ABK2</t>
  </si>
  <si>
    <t>P0ABK5</t>
  </si>
  <si>
    <t>P0ABN1</t>
  </si>
  <si>
    <t>P0ABN5</t>
  </si>
  <si>
    <t>P0ABP8</t>
  </si>
  <si>
    <t>P0ABQ0</t>
  </si>
  <si>
    <t>P0ABQ2</t>
  </si>
  <si>
    <t>P0ABQ4</t>
  </si>
  <si>
    <t>P0ABS1</t>
  </si>
  <si>
    <t>P0ABS5</t>
  </si>
  <si>
    <t>P0ABT2</t>
  </si>
  <si>
    <t>P0ABU0</t>
  </si>
  <si>
    <t>P0ABU2</t>
  </si>
  <si>
    <t>P0ABU5</t>
  </si>
  <si>
    <t>P0ABU7</t>
  </si>
  <si>
    <t>P0ABU9</t>
  </si>
  <si>
    <t>P0ABV2</t>
  </si>
  <si>
    <t>P0ABV6</t>
  </si>
  <si>
    <t>P0ABX8</t>
  </si>
  <si>
    <t>P0ABY4</t>
  </si>
  <si>
    <t>P0ABZ1</t>
  </si>
  <si>
    <t>P0ABZ4</t>
  </si>
  <si>
    <t>P0ABZ6</t>
  </si>
  <si>
    <t>P0AC02</t>
  </si>
  <si>
    <t>P0AC13</t>
  </si>
  <si>
    <t>P0AC19</t>
  </si>
  <si>
    <t>P0AC23</t>
  </si>
  <si>
    <t>P0AC30</t>
  </si>
  <si>
    <t>P0AC33</t>
  </si>
  <si>
    <t>P0AC38</t>
  </si>
  <si>
    <t>P0AC41</t>
  </si>
  <si>
    <t>P0AC44</t>
  </si>
  <si>
    <t>P0AC47</t>
  </si>
  <si>
    <t>P0AC51</t>
  </si>
  <si>
    <t>P0AC53</t>
  </si>
  <si>
    <t>P0AC59</t>
  </si>
  <si>
    <t>P0AC62</t>
  </si>
  <si>
    <t>P0AC69</t>
  </si>
  <si>
    <t>P0AC81</t>
  </si>
  <si>
    <t>P0AC84</t>
  </si>
  <si>
    <t>P0AC92</t>
  </si>
  <si>
    <t>P0ACA1</t>
  </si>
  <si>
    <t>P0ACA3</t>
  </si>
  <si>
    <t>P0ACA7</t>
  </si>
  <si>
    <t>P0ACB0</t>
  </si>
  <si>
    <t>P0ACB2</t>
  </si>
  <si>
    <t>P0ACB7</t>
  </si>
  <si>
    <t>P0ACC3</t>
  </si>
  <si>
    <t>P0ACC7</t>
  </si>
  <si>
    <t>P0ACD4</t>
  </si>
  <si>
    <t>P0ACD8</t>
  </si>
  <si>
    <t>P0ACE0</t>
  </si>
  <si>
    <t>P0ACE7</t>
  </si>
  <si>
    <t>P0ACF0</t>
  </si>
  <si>
    <t>P0ACF4</t>
  </si>
  <si>
    <t>P0ACF8</t>
  </si>
  <si>
    <t>P0ACG1</t>
  </si>
  <si>
    <t>P0ACI0</t>
  </si>
  <si>
    <t>P0ACJ0</t>
  </si>
  <si>
    <t>P0ACJ8</t>
  </si>
  <si>
    <t>P0ACK2</t>
  </si>
  <si>
    <t>P0ACL2</t>
  </si>
  <si>
    <t>P0ACM5</t>
  </si>
  <si>
    <t>P0ACN4</t>
  </si>
  <si>
    <t>P0ACN7</t>
  </si>
  <si>
    <t>P0ACP5</t>
  </si>
  <si>
    <t>P0ACP7</t>
  </si>
  <si>
    <t>P0ACQ4</t>
  </si>
  <si>
    <t>P0ACR4</t>
  </si>
  <si>
    <t>P0ACR9</t>
  </si>
  <si>
    <t>P0ACS7</t>
  </si>
  <si>
    <t>P0ACU2</t>
  </si>
  <si>
    <t>P0ACU7</t>
  </si>
  <si>
    <t>P0ACV4</t>
  </si>
  <si>
    <t>P0ACV6</t>
  </si>
  <si>
    <t>P0ACW6</t>
  </si>
  <si>
    <t>P0ACX3</t>
  </si>
  <si>
    <t>P0ACX5</t>
  </si>
  <si>
    <t>P0ACY1</t>
  </si>
  <si>
    <t>P0ACY3</t>
  </si>
  <si>
    <t>P0ACY9</t>
  </si>
  <si>
    <t>P0ACZ4</t>
  </si>
  <si>
    <t>P0AD05</t>
  </si>
  <si>
    <t>P0AD10</t>
  </si>
  <si>
    <t>P0AD12</t>
  </si>
  <si>
    <t>P0AD33</t>
  </si>
  <si>
    <t>P0AD44</t>
  </si>
  <si>
    <t>P0AD47</t>
  </si>
  <si>
    <t>P0AD49</t>
  </si>
  <si>
    <t>P0AD57</t>
  </si>
  <si>
    <t>P0AD59</t>
  </si>
  <si>
    <t>P0AD61</t>
  </si>
  <si>
    <t>P0AD96</t>
  </si>
  <si>
    <t>P0ADA1</t>
  </si>
  <si>
    <t>P0ADA3</t>
  </si>
  <si>
    <t>P0ADA5</t>
  </si>
  <si>
    <t>P0ADB1</t>
  </si>
  <si>
    <t>P0ADC1</t>
  </si>
  <si>
    <t>P0ADC6</t>
  </si>
  <si>
    <t>P0ADE6</t>
  </si>
  <si>
    <t>P0ADE8</t>
  </si>
  <si>
    <t>P0ADF8</t>
  </si>
  <si>
    <t>P0ADG4</t>
  </si>
  <si>
    <t>P0ADG7</t>
  </si>
  <si>
    <t>P0ADI4</t>
  </si>
  <si>
    <t>P0ADI7</t>
  </si>
  <si>
    <t>P0ADK0</t>
  </si>
  <si>
    <t>P0ADK8</t>
  </si>
  <si>
    <t>P0ADN2</t>
  </si>
  <si>
    <t>P0ADN6</t>
  </si>
  <si>
    <t>P0ADP7</t>
  </si>
  <si>
    <t>P0ADP9</t>
  </si>
  <si>
    <t>P0ADQ7</t>
  </si>
  <si>
    <t>P0ADR6</t>
  </si>
  <si>
    <t>P0ADR8</t>
  </si>
  <si>
    <t>P0ADS2</t>
  </si>
  <si>
    <t>P0ADS6</t>
  </si>
  <si>
    <t>P0ADS9</t>
  </si>
  <si>
    <t>P0ADT2</t>
  </si>
  <si>
    <t>P0ADT5</t>
  </si>
  <si>
    <t>P0ADT8</t>
  </si>
  <si>
    <t>P0ADU2</t>
  </si>
  <si>
    <t>P0ADU5</t>
  </si>
  <si>
    <t>P0ADV1</t>
  </si>
  <si>
    <t>P0ADV5</t>
  </si>
  <si>
    <t>P0ADV7</t>
  </si>
  <si>
    <t>P0ADV9</t>
  </si>
  <si>
    <t>P0ADW3</t>
  </si>
  <si>
    <t>P0ADX1</t>
  </si>
  <si>
    <t>P0ADX5</t>
  </si>
  <si>
    <t>P0ADX7</t>
  </si>
  <si>
    <t>P0ADY1</t>
  </si>
  <si>
    <t>P0ADY3</t>
  </si>
  <si>
    <t>P0ADY7</t>
  </si>
  <si>
    <t>P0ADZ0</t>
  </si>
  <si>
    <t>P0ADZ4</t>
  </si>
  <si>
    <t>P0ADZ7</t>
  </si>
  <si>
    <t>P0AE01</t>
  </si>
  <si>
    <t>P0AE06</t>
  </si>
  <si>
    <t>P0AE08</t>
  </si>
  <si>
    <t>P0AE12</t>
  </si>
  <si>
    <t>P0AE18</t>
  </si>
  <si>
    <t>P0AE22</t>
  </si>
  <si>
    <t>P0AE37</t>
  </si>
  <si>
    <t>P0AE48</t>
  </si>
  <si>
    <t>P0AE52</t>
  </si>
  <si>
    <t>P0AE60</t>
  </si>
  <si>
    <t>P0AE63</t>
  </si>
  <si>
    <t>P0AE67</t>
  </si>
  <si>
    <t>P0AE70</t>
  </si>
  <si>
    <t>P0AE78</t>
  </si>
  <si>
    <t>P0AE82</t>
  </si>
  <si>
    <t>P0AE85</t>
  </si>
  <si>
    <t>P0AE88</t>
  </si>
  <si>
    <t>P0AE91</t>
  </si>
  <si>
    <t>P0AEA8</t>
  </si>
  <si>
    <t>P0AEB2</t>
  </si>
  <si>
    <t>P0AEB7</t>
  </si>
  <si>
    <t>P0AEC5</t>
  </si>
  <si>
    <t>P0AED0</t>
  </si>
  <si>
    <t>P0AED7</t>
  </si>
  <si>
    <t>P0AEE1</t>
  </si>
  <si>
    <t>P0AEE3</t>
  </si>
  <si>
    <t>P0AEE5</t>
  </si>
  <si>
    <t>P0AEG1</t>
  </si>
  <si>
    <t>P0AEG4</t>
  </si>
  <si>
    <t>P0AEG6</t>
  </si>
  <si>
    <t>P0AEH1</t>
  </si>
  <si>
    <t>P0AEH3</t>
  </si>
  <si>
    <t>P0AEH5</t>
  </si>
  <si>
    <t>P0AEI1</t>
  </si>
  <si>
    <t>P0AEI4</t>
  </si>
  <si>
    <t>P0AEJ4</t>
  </si>
  <si>
    <t>P0AEJ6</t>
  </si>
  <si>
    <t>P0AEK2</t>
  </si>
  <si>
    <t>P0AEK4</t>
  </si>
  <si>
    <t>P0AEL6</t>
  </si>
  <si>
    <t>P0AEM4</t>
  </si>
  <si>
    <t>P0AEM6</t>
  </si>
  <si>
    <t>P0AEM9</t>
  </si>
  <si>
    <t>P0AEN1</t>
  </si>
  <si>
    <t>P0AEN8</t>
  </si>
  <si>
    <t>P0AEP3</t>
  </si>
  <si>
    <t>P0AEP7</t>
  </si>
  <si>
    <t>P0AEQ1</t>
  </si>
  <si>
    <t>P0AEQ3</t>
  </si>
  <si>
    <t>P0AEQ6</t>
  </si>
  <si>
    <t>P0AER3</t>
  </si>
  <si>
    <t>P0AES0</t>
  </si>
  <si>
    <t>P0AES2</t>
  </si>
  <si>
    <t>P0AES4</t>
  </si>
  <si>
    <t>P0AES6</t>
  </si>
  <si>
    <t>P0AES9</t>
  </si>
  <si>
    <t>P0AET2</t>
  </si>
  <si>
    <t>P0AET5</t>
  </si>
  <si>
    <t>P0AET8</t>
  </si>
  <si>
    <t>P0AEU0</t>
  </si>
  <si>
    <t>P0AEU7</t>
  </si>
  <si>
    <t>P0AEV1</t>
  </si>
  <si>
    <t>P0AEV9</t>
  </si>
  <si>
    <t>P0AEW4</t>
  </si>
  <si>
    <t>P0AEX5</t>
  </si>
  <si>
    <t>P0AEX9</t>
  </si>
  <si>
    <t>P0AEY1</t>
  </si>
  <si>
    <t>P0AEY3</t>
  </si>
  <si>
    <t>P0AEY5</t>
  </si>
  <si>
    <t>P0AEZ3</t>
  </si>
  <si>
    <t>P0AEZ9</t>
  </si>
  <si>
    <t>P0AF03</t>
  </si>
  <si>
    <t>P0AF08</t>
  </si>
  <si>
    <t>P0AF12</t>
  </si>
  <si>
    <t>P0AF18</t>
  </si>
  <si>
    <t>P0AF20</t>
  </si>
  <si>
    <t>P0AF24</t>
  </si>
  <si>
    <t>P0AF28</t>
  </si>
  <si>
    <t>P0AF36</t>
  </si>
  <si>
    <t>P0AF48</t>
  </si>
  <si>
    <t>P0AF50</t>
  </si>
  <si>
    <t>P0AF54</t>
  </si>
  <si>
    <t>P0AF59</t>
  </si>
  <si>
    <t>P0AF63</t>
  </si>
  <si>
    <t>P0AF67</t>
  </si>
  <si>
    <t>P0AF70</t>
  </si>
  <si>
    <t>P0AF90</t>
  </si>
  <si>
    <t>P0AF93</t>
  </si>
  <si>
    <t>P0AF96</t>
  </si>
  <si>
    <t>P0AF98</t>
  </si>
  <si>
    <t>P0AFA7</t>
  </si>
  <si>
    <t>P0AFB5</t>
  </si>
  <si>
    <t>P0AFC3</t>
  </si>
  <si>
    <t>P0AFC7</t>
  </si>
  <si>
    <t>P0AFD1</t>
  </si>
  <si>
    <t>P0AFD4</t>
  </si>
  <si>
    <t>P0AFD6</t>
  </si>
  <si>
    <t>P0AFE0</t>
  </si>
  <si>
    <t>P0AFE4</t>
  </si>
  <si>
    <t>P0AFE8</t>
  </si>
  <si>
    <t>P0AFF0</t>
  </si>
  <si>
    <t>P0AFF2</t>
  </si>
  <si>
    <t>P0AFF6</t>
  </si>
  <si>
    <t>P0AFG0</t>
  </si>
  <si>
    <t>P0AFG3</t>
  </si>
  <si>
    <t>P0AFG6</t>
  </si>
  <si>
    <t>P0AFG8</t>
  </si>
  <si>
    <t>P0AFH2</t>
  </si>
  <si>
    <t>P0AFH6</t>
  </si>
  <si>
    <t>P0AFH8</t>
  </si>
  <si>
    <t>P0AFI2</t>
  </si>
  <si>
    <t>P0AFI7</t>
  </si>
  <si>
    <t>P0AFI9</t>
  </si>
  <si>
    <t>P0AFJ1</t>
  </si>
  <si>
    <t>P0AFJ5</t>
  </si>
  <si>
    <t>P0AFK0</t>
  </si>
  <si>
    <t>P0AFK2</t>
  </si>
  <si>
    <t>P0AFK9</t>
  </si>
  <si>
    <t>P0AFL3</t>
  </si>
  <si>
    <t>P0AFM2</t>
  </si>
  <si>
    <t>P0AFM4</t>
  </si>
  <si>
    <t>P0AFM6</t>
  </si>
  <si>
    <t>P0AFM9</t>
  </si>
  <si>
    <t>P0AFN2</t>
  </si>
  <si>
    <t>P0AFP4</t>
  </si>
  <si>
    <t>P0AFP6</t>
  </si>
  <si>
    <t>P0AFQ7</t>
  </si>
  <si>
    <t>P0AFR0</t>
  </si>
  <si>
    <t>P0AFR2</t>
  </si>
  <si>
    <t>P0AFR4</t>
  </si>
  <si>
    <t>P0AFS3</t>
  </si>
  <si>
    <t>P0AFS7</t>
  </si>
  <si>
    <t>P0AFT2</t>
  </si>
  <si>
    <t>P0AFU8</t>
  </si>
  <si>
    <t>P0AFW2</t>
  </si>
  <si>
    <t>P0AFW4</t>
  </si>
  <si>
    <t>P0AFW8</t>
  </si>
  <si>
    <t>P0AFX0</t>
  </si>
  <si>
    <t>P0AFX4</t>
  </si>
  <si>
    <t>P0AFX9</t>
  </si>
  <si>
    <t>P0AFY8</t>
  </si>
  <si>
    <t>P0AFZ1</t>
  </si>
  <si>
    <t>P0AFZ3</t>
  </si>
  <si>
    <t>P0AG00</t>
  </si>
  <si>
    <t>P0AG07</t>
  </si>
  <si>
    <t>P0AG14</t>
  </si>
  <si>
    <t>P0AG20</t>
  </si>
  <si>
    <t>P0AG27</t>
  </si>
  <si>
    <t>P0AG30</t>
  </si>
  <si>
    <t>P0AG40</t>
  </si>
  <si>
    <t>P0AG44</t>
  </si>
  <si>
    <t>P0AG48</t>
  </si>
  <si>
    <t>P0AG51</t>
  </si>
  <si>
    <t>P0AG55</t>
  </si>
  <si>
    <t>P0AG59</t>
  </si>
  <si>
    <t>P0AG63</t>
  </si>
  <si>
    <t>P0AG67</t>
  </si>
  <si>
    <t>P0AG78</t>
  </si>
  <si>
    <t>P0AG80</t>
  </si>
  <si>
    <t>P0AG82</t>
  </si>
  <si>
    <t>P0AG84</t>
  </si>
  <si>
    <t>P0AG86</t>
  </si>
  <si>
    <t>P0AG90</t>
  </si>
  <si>
    <t>P0AG96</t>
  </si>
  <si>
    <t>P0AG99</t>
  </si>
  <si>
    <t>P0AGA2</t>
  </si>
  <si>
    <t>P0AGA6</t>
  </si>
  <si>
    <t>P0AGB0</t>
  </si>
  <si>
    <t>P0AGB6</t>
  </si>
  <si>
    <t>P0AGC3</t>
  </si>
  <si>
    <t>P0AGD1</t>
  </si>
  <si>
    <t>P0AGD3</t>
  </si>
  <si>
    <t>P0AGD7</t>
  </si>
  <si>
    <t>P0AGE0</t>
  </si>
  <si>
    <t>P0AGE6</t>
  </si>
  <si>
    <t>P0AGE9</t>
  </si>
  <si>
    <t>P0AGF2</t>
  </si>
  <si>
    <t>P0AGG2</t>
  </si>
  <si>
    <t>P0AGG4</t>
  </si>
  <si>
    <t>P0AGG8</t>
  </si>
  <si>
    <t>P0AGI1</t>
  </si>
  <si>
    <t>P0AGJ2</t>
  </si>
  <si>
    <t>P0AGJ5</t>
  </si>
  <si>
    <t>P0AGJ7</t>
  </si>
  <si>
    <t>P0AGJ9</t>
  </si>
  <si>
    <t>P0AGK4</t>
  </si>
  <si>
    <t>P0AGK8</t>
  </si>
  <si>
    <t>P0AGL2</t>
  </si>
  <si>
    <t>P0AGL5</t>
  </si>
  <si>
    <t>P0AGL7</t>
  </si>
  <si>
    <t>P0C018</t>
  </si>
  <si>
    <t>P0C037</t>
  </si>
  <si>
    <t>P0C054</t>
  </si>
  <si>
    <t>P0C077</t>
  </si>
  <si>
    <t>P0C079</t>
  </si>
  <si>
    <t>P0C0L2</t>
  </si>
  <si>
    <t>P0C0L7</t>
  </si>
  <si>
    <t>P0C0S1</t>
  </si>
  <si>
    <t>P0C0U4</t>
  </si>
  <si>
    <t>P0C0V0</t>
  </si>
  <si>
    <t>P0C8J6</t>
  </si>
  <si>
    <t>P0C8J8</t>
  </si>
  <si>
    <t>P0CB39</t>
  </si>
  <si>
    <t>P0CE47</t>
  </si>
  <si>
    <t>P0CK95</t>
  </si>
  <si>
    <t>P0DMC7</t>
  </si>
  <si>
    <t>P10100</t>
  </si>
  <si>
    <t>P10121</t>
  </si>
  <si>
    <t>P10346</t>
  </si>
  <si>
    <t>P10371</t>
  </si>
  <si>
    <t>P10378</t>
  </si>
  <si>
    <t>P10384</t>
  </si>
  <si>
    <t>P10408</t>
  </si>
  <si>
    <t>P10441</t>
  </si>
  <si>
    <t>P10908</t>
  </si>
  <si>
    <t>P11349</t>
  </si>
  <si>
    <t>P11447</t>
  </si>
  <si>
    <t>P11454</t>
  </si>
  <si>
    <t>P11557</t>
  </si>
  <si>
    <t>P11875</t>
  </si>
  <si>
    <t>P11880</t>
  </si>
  <si>
    <t>P12008</t>
  </si>
  <si>
    <t>P12281</t>
  </si>
  <si>
    <t>P12282</t>
  </si>
  <si>
    <t>P12295</t>
  </si>
  <si>
    <t>P12758</t>
  </si>
  <si>
    <t>P12994</t>
  </si>
  <si>
    <t>P13001</t>
  </si>
  <si>
    <t>P13009</t>
  </si>
  <si>
    <t>P13016</t>
  </si>
  <si>
    <t>P13024</t>
  </si>
  <si>
    <t>P13029</t>
  </si>
  <si>
    <t>P13035</t>
  </si>
  <si>
    <t>P13445</t>
  </si>
  <si>
    <t>P13482</t>
  </si>
  <si>
    <t>P13656</t>
  </si>
  <si>
    <t>P13857</t>
  </si>
  <si>
    <t>P14375</t>
  </si>
  <si>
    <t>P14900</t>
  </si>
  <si>
    <t>P15028</t>
  </si>
  <si>
    <t>P15034</t>
  </si>
  <si>
    <t>P15038</t>
  </si>
  <si>
    <t>P15042</t>
  </si>
  <si>
    <t>P15067</t>
  </si>
  <si>
    <t>P15070</t>
  </si>
  <si>
    <t>P15078</t>
  </si>
  <si>
    <t>P15082</t>
  </si>
  <si>
    <t>P15254</t>
  </si>
  <si>
    <t>P15286</t>
  </si>
  <si>
    <t>P15288</t>
  </si>
  <si>
    <t>P15373</t>
  </si>
  <si>
    <t>P15639</t>
  </si>
  <si>
    <t>P15640</t>
  </si>
  <si>
    <t>P15770</t>
  </si>
  <si>
    <t>P15877</t>
  </si>
  <si>
    <t>P15977</t>
  </si>
  <si>
    <t>P16095</t>
  </si>
  <si>
    <t>P16384</t>
  </si>
  <si>
    <t>P16456</t>
  </si>
  <si>
    <t>P16525</t>
  </si>
  <si>
    <t>P16528</t>
  </si>
  <si>
    <t>P16659</t>
  </si>
  <si>
    <t>P16681</t>
  </si>
  <si>
    <t>P16700</t>
  </si>
  <si>
    <t>P16703</t>
  </si>
  <si>
    <t>P16926</t>
  </si>
  <si>
    <t>P17115</t>
  </si>
  <si>
    <t>P17117</t>
  </si>
  <si>
    <t>P17169</t>
  </si>
  <si>
    <t>P17443</t>
  </si>
  <si>
    <t>P17854</t>
  </si>
  <si>
    <t>P17952</t>
  </si>
  <si>
    <t>P17993</t>
  </si>
  <si>
    <t>P18196</t>
  </si>
  <si>
    <t>P18392</t>
  </si>
  <si>
    <t>P18775</t>
  </si>
  <si>
    <t>P18776</t>
  </si>
  <si>
    <t>P18843</t>
  </si>
  <si>
    <t>P18956</t>
  </si>
  <si>
    <t>P19318</t>
  </si>
  <si>
    <t>P19319</t>
  </si>
  <si>
    <t>P19624</t>
  </si>
  <si>
    <t>P19636</t>
  </si>
  <si>
    <t>P19926</t>
  </si>
  <si>
    <t>P19934</t>
  </si>
  <si>
    <t>P20083</t>
  </si>
  <si>
    <t>P20099</t>
  </si>
  <si>
    <t>P20605</t>
  </si>
  <si>
    <t>P20966</t>
  </si>
  <si>
    <t>P21151</t>
  </si>
  <si>
    <t>P21165</t>
  </si>
  <si>
    <t>P21169</t>
  </si>
  <si>
    <t>P21170</t>
  </si>
  <si>
    <t>P21177</t>
  </si>
  <si>
    <t>P21179</t>
  </si>
  <si>
    <t>P21338</t>
  </si>
  <si>
    <t>P21362</t>
  </si>
  <si>
    <t>P21363</t>
  </si>
  <si>
    <t>P21365</t>
  </si>
  <si>
    <t>P21367</t>
  </si>
  <si>
    <t>P21369</t>
  </si>
  <si>
    <t>P21499</t>
  </si>
  <si>
    <t>P21507</t>
  </si>
  <si>
    <t>P21513</t>
  </si>
  <si>
    <t>P21599</t>
  </si>
  <si>
    <t>P21645</t>
  </si>
  <si>
    <t>P21866</t>
  </si>
  <si>
    <t>P21888</t>
  </si>
  <si>
    <t>P21889</t>
  </si>
  <si>
    <t>P22106</t>
  </si>
  <si>
    <t>P22186</t>
  </si>
  <si>
    <t>P22188</t>
  </si>
  <si>
    <t>P22255</t>
  </si>
  <si>
    <t>P22256</t>
  </si>
  <si>
    <t>P22259</t>
  </si>
  <si>
    <t>P22333</t>
  </si>
  <si>
    <t>P22523</t>
  </si>
  <si>
    <t>P22524</t>
  </si>
  <si>
    <t>P22525</t>
  </si>
  <si>
    <t>P22564</t>
  </si>
  <si>
    <t>P23003</t>
  </si>
  <si>
    <t>P23173</t>
  </si>
  <si>
    <t>P23200</t>
  </si>
  <si>
    <t>P23331</t>
  </si>
  <si>
    <t>P23367</t>
  </si>
  <si>
    <t>P23522</t>
  </si>
  <si>
    <t>P23538</t>
  </si>
  <si>
    <t>P23721</t>
  </si>
  <si>
    <t>P23827</t>
  </si>
  <si>
    <t>P23830</t>
  </si>
  <si>
    <t>P23836</t>
  </si>
  <si>
    <t>P23837</t>
  </si>
  <si>
    <t>P23839</t>
  </si>
  <si>
    <t>P23843</t>
  </si>
  <si>
    <t>P23847</t>
  </si>
  <si>
    <t>P23857</t>
  </si>
  <si>
    <t>P23865</t>
  </si>
  <si>
    <t>P23869</t>
  </si>
  <si>
    <t>P23871</t>
  </si>
  <si>
    <t>P23882</t>
  </si>
  <si>
    <t>P23893</t>
  </si>
  <si>
    <t>P23894</t>
  </si>
  <si>
    <t>P23908</t>
  </si>
  <si>
    <t>P23917</t>
  </si>
  <si>
    <t>P23930</t>
  </si>
  <si>
    <t>P24171</t>
  </si>
  <si>
    <t>P24173</t>
  </si>
  <si>
    <t>P24178</t>
  </si>
  <si>
    <t>P24182</t>
  </si>
  <si>
    <t>P24183</t>
  </si>
  <si>
    <t>P24186</t>
  </si>
  <si>
    <t>P24202</t>
  </si>
  <si>
    <t>P24203</t>
  </si>
  <si>
    <t>P24205</t>
  </si>
  <si>
    <t>P24215</t>
  </si>
  <si>
    <t>P24232</t>
  </si>
  <si>
    <t>P24242</t>
  </si>
  <si>
    <t>P24251</t>
  </si>
  <si>
    <t>P24555</t>
  </si>
  <si>
    <t>P25397</t>
  </si>
  <si>
    <t>P25437</t>
  </si>
  <si>
    <t>P25516</t>
  </si>
  <si>
    <t>P25519</t>
  </si>
  <si>
    <t>P25522</t>
  </si>
  <si>
    <t>P25524</t>
  </si>
  <si>
    <t>P25526</t>
  </si>
  <si>
    <t>P25535</t>
  </si>
  <si>
    <t>P25536</t>
  </si>
  <si>
    <t>P25539</t>
  </si>
  <si>
    <t>P25552</t>
  </si>
  <si>
    <t>P25553</t>
  </si>
  <si>
    <t>P25714</t>
  </si>
  <si>
    <t>P25745</t>
  </si>
  <si>
    <t>P25889</t>
  </si>
  <si>
    <t>P25894</t>
  </si>
  <si>
    <t>P25906</t>
  </si>
  <si>
    <t>P26612</t>
  </si>
  <si>
    <t>P26616</t>
  </si>
  <si>
    <t>P26646</t>
  </si>
  <si>
    <t>P26647</t>
  </si>
  <si>
    <t>P26648</t>
  </si>
  <si>
    <t>P26649</t>
  </si>
  <si>
    <t>P27238</t>
  </si>
  <si>
    <t>P27247</t>
  </si>
  <si>
    <t>P27248</t>
  </si>
  <si>
    <t>P27250</t>
  </si>
  <si>
    <t>P27278</t>
  </si>
  <si>
    <t>P27298</t>
  </si>
  <si>
    <t>P27302</t>
  </si>
  <si>
    <t>P27303</t>
  </si>
  <si>
    <t>P27306</t>
  </si>
  <si>
    <t>P27431</t>
  </si>
  <si>
    <t>P27434</t>
  </si>
  <si>
    <t>P27550</t>
  </si>
  <si>
    <t>P27828</t>
  </si>
  <si>
    <t>P27829</t>
  </si>
  <si>
    <t>P27833</t>
  </si>
  <si>
    <t>P27838</t>
  </si>
  <si>
    <t>P27848</t>
  </si>
  <si>
    <t>P27862</t>
  </si>
  <si>
    <t>P28224</t>
  </si>
  <si>
    <t>P28248</t>
  </si>
  <si>
    <t>P28249</t>
  </si>
  <si>
    <t>P28304</t>
  </si>
  <si>
    <t>P28306</t>
  </si>
  <si>
    <t>P28634</t>
  </si>
  <si>
    <t>P28635</t>
  </si>
  <si>
    <t>P28861</t>
  </si>
  <si>
    <t>P28904</t>
  </si>
  <si>
    <t>P28905</t>
  </si>
  <si>
    <t>P29012</t>
  </si>
  <si>
    <t>P29013</t>
  </si>
  <si>
    <t>P29131</t>
  </si>
  <si>
    <t>P29217</t>
  </si>
  <si>
    <t>P29680</t>
  </si>
  <si>
    <t>P29745</t>
  </si>
  <si>
    <t>P30011</t>
  </si>
  <si>
    <t>P30014</t>
  </si>
  <si>
    <t>P30125</t>
  </si>
  <si>
    <t>P30126</t>
  </si>
  <si>
    <t>P30177</t>
  </si>
  <si>
    <t>P30178</t>
  </si>
  <si>
    <t>P30750</t>
  </si>
  <si>
    <t>P30850</t>
  </si>
  <si>
    <t>P30859</t>
  </si>
  <si>
    <t>P30860</t>
  </si>
  <si>
    <t>P30863</t>
  </si>
  <si>
    <t>P30864</t>
  </si>
  <si>
    <t>P30870</t>
  </si>
  <si>
    <t>P30871</t>
  </si>
  <si>
    <t>P30958</t>
  </si>
  <si>
    <t>P31057</t>
  </si>
  <si>
    <t>P31063</t>
  </si>
  <si>
    <t>P31068</t>
  </si>
  <si>
    <t>P31069</t>
  </si>
  <si>
    <t>P31119</t>
  </si>
  <si>
    <t>P31120</t>
  </si>
  <si>
    <t>P31130</t>
  </si>
  <si>
    <t>P31131</t>
  </si>
  <si>
    <t>P31133</t>
  </si>
  <si>
    <t>P31142</t>
  </si>
  <si>
    <t>P31224</t>
  </si>
  <si>
    <t>P31433</t>
  </si>
  <si>
    <t>P31441</t>
  </si>
  <si>
    <t>P31455</t>
  </si>
  <si>
    <t>P31460</t>
  </si>
  <si>
    <t>P31475</t>
  </si>
  <si>
    <t>P31550</t>
  </si>
  <si>
    <t>P31554</t>
  </si>
  <si>
    <t>P31658</t>
  </si>
  <si>
    <t>P31660</t>
  </si>
  <si>
    <t>P31663</t>
  </si>
  <si>
    <t>P31677</t>
  </si>
  <si>
    <t>P31802</t>
  </si>
  <si>
    <t>P31806</t>
  </si>
  <si>
    <t>P31808</t>
  </si>
  <si>
    <t>P31979</t>
  </si>
  <si>
    <t>P32099</t>
  </si>
  <si>
    <t>P32131</t>
  </si>
  <si>
    <t>P32132</t>
  </si>
  <si>
    <t>P32157</t>
  </si>
  <si>
    <t>P32160</t>
  </si>
  <si>
    <t>P32162</t>
  </si>
  <si>
    <t>P32176</t>
  </si>
  <si>
    <t>P32177</t>
  </si>
  <si>
    <t>P32662</t>
  </si>
  <si>
    <t>P32664</t>
  </si>
  <si>
    <t>P32669</t>
  </si>
  <si>
    <t>P32680</t>
  </si>
  <si>
    <t>P32684</t>
  </si>
  <si>
    <t>P32695</t>
  </si>
  <si>
    <t>P32705</t>
  </si>
  <si>
    <t>P32715</t>
  </si>
  <si>
    <t>P33012</t>
  </si>
  <si>
    <t>P33030</t>
  </si>
  <si>
    <t>P33136</t>
  </si>
  <si>
    <t>P33195</t>
  </si>
  <si>
    <t>P33218</t>
  </si>
  <si>
    <t>P33219</t>
  </si>
  <si>
    <t>P33221</t>
  </si>
  <si>
    <t>P33224</t>
  </si>
  <si>
    <t>P33225</t>
  </si>
  <si>
    <t>P33355</t>
  </si>
  <si>
    <t>P33360</t>
  </si>
  <si>
    <t>P33362</t>
  </si>
  <si>
    <t>P33363</t>
  </si>
  <si>
    <t>P33368</t>
  </si>
  <si>
    <t>P33570</t>
  </si>
  <si>
    <t>P33590</t>
  </si>
  <si>
    <t>P33599</t>
  </si>
  <si>
    <t>P33602</t>
  </si>
  <si>
    <t>P33643</t>
  </si>
  <si>
    <t>P33644</t>
  </si>
  <si>
    <t>P33913</t>
  </si>
  <si>
    <t>P33916</t>
  </si>
  <si>
    <t>P33937</t>
  </si>
  <si>
    <t>P34209</t>
  </si>
  <si>
    <t>P35340</t>
  </si>
  <si>
    <t>P36649</t>
  </si>
  <si>
    <t>P36659</t>
  </si>
  <si>
    <t>P36672</t>
  </si>
  <si>
    <t>P36680</t>
  </si>
  <si>
    <t>P36683</t>
  </si>
  <si>
    <t>P36767</t>
  </si>
  <si>
    <t>P36771</t>
  </si>
  <si>
    <t>P36879</t>
  </si>
  <si>
    <t>P36929</t>
  </si>
  <si>
    <t>P36938</t>
  </si>
  <si>
    <t>P36979</t>
  </si>
  <si>
    <t>P37051</t>
  </si>
  <si>
    <t>P37095</t>
  </si>
  <si>
    <t>P37128</t>
  </si>
  <si>
    <t>P37147</t>
  </si>
  <si>
    <t>P37182</t>
  </si>
  <si>
    <t>P37188</t>
  </si>
  <si>
    <t>P37194</t>
  </si>
  <si>
    <t>P37313</t>
  </si>
  <si>
    <t>P37325</t>
  </si>
  <si>
    <t>P37329</t>
  </si>
  <si>
    <t>P37330</t>
  </si>
  <si>
    <t>P37339</t>
  </si>
  <si>
    <t>P37340</t>
  </si>
  <si>
    <t>P37342</t>
  </si>
  <si>
    <t>P37349</t>
  </si>
  <si>
    <t>P37351</t>
  </si>
  <si>
    <t>P37387</t>
  </si>
  <si>
    <t>P37440</t>
  </si>
  <si>
    <t>P37595</t>
  </si>
  <si>
    <t>P37613</t>
  </si>
  <si>
    <t>P37617</t>
  </si>
  <si>
    <t>P37626</t>
  </si>
  <si>
    <t>P37631</t>
  </si>
  <si>
    <t>P37636</t>
  </si>
  <si>
    <t>P37637</t>
  </si>
  <si>
    <t>P37642</t>
  </si>
  <si>
    <t>P37645</t>
  </si>
  <si>
    <t>P37647</t>
  </si>
  <si>
    <t>P37648</t>
  </si>
  <si>
    <t>P37659</t>
  </si>
  <si>
    <t>P37665</t>
  </si>
  <si>
    <t>P37666</t>
  </si>
  <si>
    <t>P37685</t>
  </si>
  <si>
    <t>P37689</t>
  </si>
  <si>
    <t>P37690</t>
  </si>
  <si>
    <t>P37744</t>
  </si>
  <si>
    <t>P37747</t>
  </si>
  <si>
    <t>P37750</t>
  </si>
  <si>
    <t>P37759</t>
  </si>
  <si>
    <t>P37760</t>
  </si>
  <si>
    <t>P37765</t>
  </si>
  <si>
    <t>P37767</t>
  </si>
  <si>
    <t>P37773</t>
  </si>
  <si>
    <t>P37794</t>
  </si>
  <si>
    <t>P37902</t>
  </si>
  <si>
    <t>P37903</t>
  </si>
  <si>
    <t>P38038</t>
  </si>
  <si>
    <t>P38051</t>
  </si>
  <si>
    <t>P38489</t>
  </si>
  <si>
    <t>P39099</t>
  </si>
  <si>
    <t>P39160</t>
  </si>
  <si>
    <t>P39172</t>
  </si>
  <si>
    <t>P39173</t>
  </si>
  <si>
    <t>P39176</t>
  </si>
  <si>
    <t>P39177</t>
  </si>
  <si>
    <t>P39187</t>
  </si>
  <si>
    <t>P39199</t>
  </si>
  <si>
    <t>P39265</t>
  </si>
  <si>
    <t>P39274</t>
  </si>
  <si>
    <t>P39285</t>
  </si>
  <si>
    <t>P39286</t>
  </si>
  <si>
    <t>P39297</t>
  </si>
  <si>
    <t>P39298</t>
  </si>
  <si>
    <t>P39310</t>
  </si>
  <si>
    <t>P39315</t>
  </si>
  <si>
    <t>P39321</t>
  </si>
  <si>
    <t>P39325</t>
  </si>
  <si>
    <t>P39332</t>
  </si>
  <si>
    <t>P39337</t>
  </si>
  <si>
    <t>P39342</t>
  </si>
  <si>
    <t>P39356</t>
  </si>
  <si>
    <t>P39358</t>
  </si>
  <si>
    <t>P39363</t>
  </si>
  <si>
    <t>P39366</t>
  </si>
  <si>
    <t>P39371</t>
  </si>
  <si>
    <t>P39377</t>
  </si>
  <si>
    <t>P39385</t>
  </si>
  <si>
    <t>P39406</t>
  </si>
  <si>
    <t>P39407</t>
  </si>
  <si>
    <t>P39408</t>
  </si>
  <si>
    <t>P39411</t>
  </si>
  <si>
    <t>P39451</t>
  </si>
  <si>
    <t>P39830</t>
  </si>
  <si>
    <t>P39831</t>
  </si>
  <si>
    <t>P39838</t>
  </si>
  <si>
    <t>P40120</t>
  </si>
  <si>
    <t>P40191</t>
  </si>
  <si>
    <t>P40710</t>
  </si>
  <si>
    <t>P40874</t>
  </si>
  <si>
    <t>P41039</t>
  </si>
  <si>
    <t>P41407</t>
  </si>
  <si>
    <t>P41409</t>
  </si>
  <si>
    <t>P42589</t>
  </si>
  <si>
    <t>P42592</t>
  </si>
  <si>
    <t>P42593</t>
  </si>
  <si>
    <t>P42599</t>
  </si>
  <si>
    <t>P42604</t>
  </si>
  <si>
    <t>P42616</t>
  </si>
  <si>
    <t>P42620</t>
  </si>
  <si>
    <t>P42641</t>
  </si>
  <si>
    <t>P42904</t>
  </si>
  <si>
    <t>P43341</t>
  </si>
  <si>
    <t>P43671</t>
  </si>
  <si>
    <t>P43672</t>
  </si>
  <si>
    <t>P45395</t>
  </si>
  <si>
    <t>P45424</t>
  </si>
  <si>
    <t>P45425</t>
  </si>
  <si>
    <t>P45464</t>
  </si>
  <si>
    <t>P45470</t>
  </si>
  <si>
    <t>P45523</t>
  </si>
  <si>
    <t>P45530</t>
  </si>
  <si>
    <t>P45568</t>
  </si>
  <si>
    <t>P45577</t>
  </si>
  <si>
    <t>P45578</t>
  </si>
  <si>
    <t>P45748</t>
  </si>
  <si>
    <t>P45771</t>
  </si>
  <si>
    <t>P45799</t>
  </si>
  <si>
    <t>P45955</t>
  </si>
  <si>
    <t>P46122</t>
  </si>
  <si>
    <t>P46125</t>
  </si>
  <si>
    <t>P46130</t>
  </si>
  <si>
    <t>P46474</t>
  </si>
  <si>
    <t>P46837</t>
  </si>
  <si>
    <t>P46849</t>
  </si>
  <si>
    <t>P46852</t>
  </si>
  <si>
    <t>P46853</t>
  </si>
  <si>
    <t>P50466</t>
  </si>
  <si>
    <t>P51024</t>
  </si>
  <si>
    <t>P51981</t>
  </si>
  <si>
    <t>P52007</t>
  </si>
  <si>
    <t>P52060</t>
  </si>
  <si>
    <t>P52061</t>
  </si>
  <si>
    <t>P52073</t>
  </si>
  <si>
    <t>P52096</t>
  </si>
  <si>
    <t>P52097</t>
  </si>
  <si>
    <t>P52108</t>
  </si>
  <si>
    <t>P52119</t>
  </si>
  <si>
    <t>P52612</t>
  </si>
  <si>
    <t>P52643</t>
  </si>
  <si>
    <t>P52647</t>
  </si>
  <si>
    <t>P52697</t>
  </si>
  <si>
    <t>P55734</t>
  </si>
  <si>
    <t>P56262</t>
  </si>
  <si>
    <t>P56580</t>
  </si>
  <si>
    <t>P60240</t>
  </si>
  <si>
    <t>P60293</t>
  </si>
  <si>
    <t>P60340</t>
  </si>
  <si>
    <t>P60390</t>
  </si>
  <si>
    <t>P60422</t>
  </si>
  <si>
    <t>P60438</t>
  </si>
  <si>
    <t>P60546</t>
  </si>
  <si>
    <t>P60560</t>
  </si>
  <si>
    <t>P60566</t>
  </si>
  <si>
    <t>P60595</t>
  </si>
  <si>
    <t>P60624</t>
  </si>
  <si>
    <t>P60651</t>
  </si>
  <si>
    <t>P60664</t>
  </si>
  <si>
    <t>P60716</t>
  </si>
  <si>
    <t>P60723</t>
  </si>
  <si>
    <t>P60752</t>
  </si>
  <si>
    <t>P60757</t>
  </si>
  <si>
    <t>P60785</t>
  </si>
  <si>
    <t>P60872</t>
  </si>
  <si>
    <t>P60906</t>
  </si>
  <si>
    <t>P61175</t>
  </si>
  <si>
    <t>P61316</t>
  </si>
  <si>
    <t>P61320</t>
  </si>
  <si>
    <t>P61517</t>
  </si>
  <si>
    <t>P61714</t>
  </si>
  <si>
    <t>P61889</t>
  </si>
  <si>
    <t>P61949</t>
  </si>
  <si>
    <t>P62399</t>
  </si>
  <si>
    <t>P62517</t>
  </si>
  <si>
    <t>P62615</t>
  </si>
  <si>
    <t>P62617</t>
  </si>
  <si>
    <t>P62620</t>
  </si>
  <si>
    <t>P62623</t>
  </si>
  <si>
    <t>P62672</t>
  </si>
  <si>
    <t>P62707</t>
  </si>
  <si>
    <t>P62768</t>
  </si>
  <si>
    <t>P63020</t>
  </si>
  <si>
    <t>P63177</t>
  </si>
  <si>
    <t>P63224</t>
  </si>
  <si>
    <t>P63229</t>
  </si>
  <si>
    <t>P63235</t>
  </si>
  <si>
    <t>P63284</t>
  </si>
  <si>
    <t>P63386</t>
  </si>
  <si>
    <t>P63389</t>
  </si>
  <si>
    <t>P63417</t>
  </si>
  <si>
    <t>P63883</t>
  </si>
  <si>
    <t>P64423</t>
  </si>
  <si>
    <t>P64429</t>
  </si>
  <si>
    <t>P64451</t>
  </si>
  <si>
    <t>P64455</t>
  </si>
  <si>
    <t>P64461</t>
  </si>
  <si>
    <t>P64463</t>
  </si>
  <si>
    <t>P64467</t>
  </si>
  <si>
    <t>P64479</t>
  </si>
  <si>
    <t>P64483</t>
  </si>
  <si>
    <t>P64503</t>
  </si>
  <si>
    <t>P64506</t>
  </si>
  <si>
    <t>P64515</t>
  </si>
  <si>
    <t>P64519</t>
  </si>
  <si>
    <t>P64530</t>
  </si>
  <si>
    <t>P64534</t>
  </si>
  <si>
    <t>P64554</t>
  </si>
  <si>
    <t>P64564</t>
  </si>
  <si>
    <t>P64581</t>
  </si>
  <si>
    <t>P64585</t>
  </si>
  <si>
    <t>P64588</t>
  </si>
  <si>
    <t>P64596</t>
  </si>
  <si>
    <t>P64602</t>
  </si>
  <si>
    <t>P64604</t>
  </si>
  <si>
    <t>P64606</t>
  </si>
  <si>
    <t>P64616</t>
  </si>
  <si>
    <t>P64624</t>
  </si>
  <si>
    <t>P65292</t>
  </si>
  <si>
    <t>P65367</t>
  </si>
  <si>
    <t>P65556</t>
  </si>
  <si>
    <t>P65807</t>
  </si>
  <si>
    <t>P65870</t>
  </si>
  <si>
    <t>P66899</t>
  </si>
  <si>
    <t>P66948</t>
  </si>
  <si>
    <t>P67080</t>
  </si>
  <si>
    <t>P67087</t>
  </si>
  <si>
    <t>P67095</t>
  </si>
  <si>
    <t>P67244</t>
  </si>
  <si>
    <t>P67603</t>
  </si>
  <si>
    <t>P67660</t>
  </si>
  <si>
    <t>P67826</t>
  </si>
  <si>
    <t>P67910</t>
  </si>
  <si>
    <t>P68066</t>
  </si>
  <si>
    <t>P68187</t>
  </si>
  <si>
    <t>P68191</t>
  </si>
  <si>
    <t>P68206</t>
  </si>
  <si>
    <t>P68679</t>
  </si>
  <si>
    <t>P68688</t>
  </si>
  <si>
    <t>P68699</t>
  </si>
  <si>
    <t>P68767</t>
  </si>
  <si>
    <t>P68919</t>
  </si>
  <si>
    <t>P69054</t>
  </si>
  <si>
    <t>P69222</t>
  </si>
  <si>
    <t>P69228</t>
  </si>
  <si>
    <t>P69346</t>
  </si>
  <si>
    <t>P69411</t>
  </si>
  <si>
    <t>P69425</t>
  </si>
  <si>
    <t>P69428</t>
  </si>
  <si>
    <t>P69441</t>
  </si>
  <si>
    <t>P69451</t>
  </si>
  <si>
    <t>P69488</t>
  </si>
  <si>
    <t>P69503</t>
  </si>
  <si>
    <t>P69506</t>
  </si>
  <si>
    <t>P69741</t>
  </si>
  <si>
    <t>P69776</t>
  </si>
  <si>
    <t>P69783</t>
  </si>
  <si>
    <t>P69786</t>
  </si>
  <si>
    <t>P69795</t>
  </si>
  <si>
    <t>P69797</t>
  </si>
  <si>
    <t>P69805</t>
  </si>
  <si>
    <t>P69811</t>
  </si>
  <si>
    <t>P69822</t>
  </si>
  <si>
    <t>P69828</t>
  </si>
  <si>
    <t>P69829</t>
  </si>
  <si>
    <t>P69853</t>
  </si>
  <si>
    <t>P69874</t>
  </si>
  <si>
    <t>P69908</t>
  </si>
  <si>
    <t>P69910</t>
  </si>
  <si>
    <t>P69913</t>
  </si>
  <si>
    <t>P69922</t>
  </si>
  <si>
    <t>P69924</t>
  </si>
  <si>
    <t>P75682</t>
  </si>
  <si>
    <t>P75691</t>
  </si>
  <si>
    <t>P75694</t>
  </si>
  <si>
    <t>P75713</t>
  </si>
  <si>
    <t>P75728</t>
  </si>
  <si>
    <t>P75736</t>
  </si>
  <si>
    <t>P75745</t>
  </si>
  <si>
    <t>P75767</t>
  </si>
  <si>
    <t>P75777</t>
  </si>
  <si>
    <t>P75792</t>
  </si>
  <si>
    <t>P75797</t>
  </si>
  <si>
    <t>P75818</t>
  </si>
  <si>
    <t>P75863</t>
  </si>
  <si>
    <t>P75864</t>
  </si>
  <si>
    <t>P75874</t>
  </si>
  <si>
    <t>P75876</t>
  </si>
  <si>
    <t>P75913</t>
  </si>
  <si>
    <t>P75914</t>
  </si>
  <si>
    <t>P75915</t>
  </si>
  <si>
    <t>P75931</t>
  </si>
  <si>
    <t>P75937</t>
  </si>
  <si>
    <t>P75952</t>
  </si>
  <si>
    <t>P75959</t>
  </si>
  <si>
    <t>P75960</t>
  </si>
  <si>
    <t>P75974</t>
  </si>
  <si>
    <t>P75975</t>
  </si>
  <si>
    <t>P75981</t>
  </si>
  <si>
    <t>P76001</t>
  </si>
  <si>
    <t>P76002</t>
  </si>
  <si>
    <t>P76004</t>
  </si>
  <si>
    <t>P76008</t>
  </si>
  <si>
    <t>P76014</t>
  </si>
  <si>
    <t>P76015</t>
  </si>
  <si>
    <t>P76027</t>
  </si>
  <si>
    <t>P76046</t>
  </si>
  <si>
    <t>P76049</t>
  </si>
  <si>
    <t>P76055</t>
  </si>
  <si>
    <t>P76062</t>
  </si>
  <si>
    <t>P76097</t>
  </si>
  <si>
    <t>P76108</t>
  </si>
  <si>
    <t>P76113</t>
  </si>
  <si>
    <t>P76116</t>
  </si>
  <si>
    <t>P76121</t>
  </si>
  <si>
    <t>P76128</t>
  </si>
  <si>
    <t>P76142</t>
  </si>
  <si>
    <t>P76143</t>
  </si>
  <si>
    <t>P76145</t>
  </si>
  <si>
    <t>P76149</t>
  </si>
  <si>
    <t>P76172</t>
  </si>
  <si>
    <t>P76173</t>
  </si>
  <si>
    <t>P76176</t>
  </si>
  <si>
    <t>P76177</t>
  </si>
  <si>
    <t>P76187</t>
  </si>
  <si>
    <t>P76192</t>
  </si>
  <si>
    <t>P76193</t>
  </si>
  <si>
    <t>P76194</t>
  </si>
  <si>
    <t>P76216</t>
  </si>
  <si>
    <t>P76217</t>
  </si>
  <si>
    <t>P76220</t>
  </si>
  <si>
    <t>P76223</t>
  </si>
  <si>
    <t>P76227</t>
  </si>
  <si>
    <t>P76235</t>
  </si>
  <si>
    <t>P76243</t>
  </si>
  <si>
    <t>P76251</t>
  </si>
  <si>
    <t>P76256</t>
  </si>
  <si>
    <t>P76268</t>
  </si>
  <si>
    <t>P76270</t>
  </si>
  <si>
    <t>P76272</t>
  </si>
  <si>
    <t>P76290</t>
  </si>
  <si>
    <t>P76291</t>
  </si>
  <si>
    <t>P76297</t>
  </si>
  <si>
    <t>P76298</t>
  </si>
  <si>
    <t>P76308</t>
  </si>
  <si>
    <t>P76316</t>
  </si>
  <si>
    <t>P76318</t>
  </si>
  <si>
    <t>P76329</t>
  </si>
  <si>
    <t>P76330</t>
  </si>
  <si>
    <t>P76342</t>
  </si>
  <si>
    <t>P76346</t>
  </si>
  <si>
    <t>P76372</t>
  </si>
  <si>
    <t>P76389</t>
  </si>
  <si>
    <t>P76397</t>
  </si>
  <si>
    <t>P76402</t>
  </si>
  <si>
    <t>P76403</t>
  </si>
  <si>
    <t>P76407</t>
  </si>
  <si>
    <t>P76440</t>
  </si>
  <si>
    <t>P76445</t>
  </si>
  <si>
    <t>P76502</t>
  </si>
  <si>
    <t>P76506</t>
  </si>
  <si>
    <t>P76521</t>
  </si>
  <si>
    <t>P76535</t>
  </si>
  <si>
    <t>P76536</t>
  </si>
  <si>
    <t>P76537</t>
  </si>
  <si>
    <t>P76541</t>
  </si>
  <si>
    <t>P76550</t>
  </si>
  <si>
    <t>P76558</t>
  </si>
  <si>
    <t>P76561</t>
  </si>
  <si>
    <t>P76569</t>
  </si>
  <si>
    <t>P76575</t>
  </si>
  <si>
    <t>P76576</t>
  </si>
  <si>
    <t>P76578</t>
  </si>
  <si>
    <t>P76621</t>
  </si>
  <si>
    <t>P76658</t>
  </si>
  <si>
    <t>P77148</t>
  </si>
  <si>
    <t>P77162</t>
  </si>
  <si>
    <t>P77173</t>
  </si>
  <si>
    <t>P77181</t>
  </si>
  <si>
    <t>P77202</t>
  </si>
  <si>
    <t>P77212</t>
  </si>
  <si>
    <t>P77213</t>
  </si>
  <si>
    <t>P77243</t>
  </si>
  <si>
    <t>P77247</t>
  </si>
  <si>
    <t>P77252</t>
  </si>
  <si>
    <t>P77258</t>
  </si>
  <si>
    <t>P77269</t>
  </si>
  <si>
    <t>P77279</t>
  </si>
  <si>
    <t>P77285</t>
  </si>
  <si>
    <t>P77318</t>
  </si>
  <si>
    <t>P77330</t>
  </si>
  <si>
    <t>P77338</t>
  </si>
  <si>
    <t>P77348</t>
  </si>
  <si>
    <t>P77364</t>
  </si>
  <si>
    <t>P77368</t>
  </si>
  <si>
    <t>P77395</t>
  </si>
  <si>
    <t>P77433</t>
  </si>
  <si>
    <t>P77444</t>
  </si>
  <si>
    <t>P77454</t>
  </si>
  <si>
    <t>P77488</t>
  </si>
  <si>
    <t>P77499</t>
  </si>
  <si>
    <t>P77522</t>
  </si>
  <si>
    <t>P77526</t>
  </si>
  <si>
    <t>P77529</t>
  </si>
  <si>
    <t>P77541</t>
  </si>
  <si>
    <t>P77544</t>
  </si>
  <si>
    <t>P77552</t>
  </si>
  <si>
    <t>P77554</t>
  </si>
  <si>
    <t>P77581</t>
  </si>
  <si>
    <t>P77611</t>
  </si>
  <si>
    <t>P77625</t>
  </si>
  <si>
    <t>P77671</t>
  </si>
  <si>
    <t>P77674</t>
  </si>
  <si>
    <t>P77689</t>
  </si>
  <si>
    <t>P77695</t>
  </si>
  <si>
    <t>P77712</t>
  </si>
  <si>
    <t>P77713</t>
  </si>
  <si>
    <t>P77717</t>
  </si>
  <si>
    <t>P77718</t>
  </si>
  <si>
    <t>P77721</t>
  </si>
  <si>
    <t>P77735</t>
  </si>
  <si>
    <t>P77737</t>
  </si>
  <si>
    <t>P77739</t>
  </si>
  <si>
    <t>P77748</t>
  </si>
  <si>
    <t>P77754</t>
  </si>
  <si>
    <t>P77774</t>
  </si>
  <si>
    <t>P77775</t>
  </si>
  <si>
    <t>P77791</t>
  </si>
  <si>
    <t>P77804</t>
  </si>
  <si>
    <t>P77808</t>
  </si>
  <si>
    <t>P78055</t>
  </si>
  <si>
    <t>P78067</t>
  </si>
  <si>
    <t>P80668</t>
  </si>
  <si>
    <t>Q2M7R5</t>
  </si>
  <si>
    <t>Q2MB16</t>
  </si>
  <si>
    <t>Q46799</t>
  </si>
  <si>
    <t>Q46803</t>
  </si>
  <si>
    <t>Q46807</t>
  </si>
  <si>
    <t>Q46811</t>
  </si>
  <si>
    <t>Q46822</t>
  </si>
  <si>
    <t>Q46829</t>
  </si>
  <si>
    <t>Q46845</t>
  </si>
  <si>
    <t>Q46851</t>
  </si>
  <si>
    <t>Q46856</t>
  </si>
  <si>
    <t>Q46857</t>
  </si>
  <si>
    <t>Q46863</t>
  </si>
  <si>
    <t>Q46864</t>
  </si>
  <si>
    <t>Q46868</t>
  </si>
  <si>
    <t>Q46871</t>
  </si>
  <si>
    <t>Q46893</t>
  </si>
  <si>
    <t>Q46920</t>
  </si>
  <si>
    <t>Q46938</t>
  </si>
  <si>
    <t>Q46948</t>
  </si>
  <si>
    <t>Q47146</t>
  </si>
  <si>
    <t>Q47147</t>
  </si>
  <si>
    <t>Q47150</t>
  </si>
  <si>
    <t>Q47157</t>
  </si>
  <si>
    <t>Q47622</t>
  </si>
  <si>
    <t>Q47679</t>
  </si>
  <si>
    <t>Q57261</t>
  </si>
  <si>
    <t>Q59385</t>
  </si>
  <si>
    <t>Q93K97</t>
  </si>
  <si>
    <t>Q9LBU0</t>
  </si>
  <si>
    <t>Q9LBU5</t>
  </si>
  <si>
    <t>Q9LBV1</t>
  </si>
  <si>
    <t>Q9RFA1</t>
  </si>
  <si>
    <t>lacZ</t>
  </si>
  <si>
    <t>gnd</t>
  </si>
  <si>
    <t>frdA</t>
  </si>
  <si>
    <t>gdhA</t>
  </si>
  <si>
    <t>ndh</t>
  </si>
  <si>
    <t>sodA</t>
  </si>
  <si>
    <t>nrdA</t>
  </si>
  <si>
    <t>malP</t>
  </si>
  <si>
    <t>aspC</t>
  </si>
  <si>
    <t>thrB</t>
  </si>
  <si>
    <t>mtlA</t>
  </si>
  <si>
    <t>thrA</t>
  </si>
  <si>
    <t>rpoD</t>
  </si>
  <si>
    <t>polA</t>
  </si>
  <si>
    <t>phoA</t>
  </si>
  <si>
    <t>lepB</t>
  </si>
  <si>
    <t>ansB</t>
  </si>
  <si>
    <t>ampC</t>
  </si>
  <si>
    <t>ppc</t>
  </si>
  <si>
    <t>trpE</t>
  </si>
  <si>
    <t>trpGD</t>
  </si>
  <si>
    <t>trpC</t>
  </si>
  <si>
    <t>dsdA</t>
  </si>
  <si>
    <t>thrC</t>
  </si>
  <si>
    <t>metB</t>
  </si>
  <si>
    <t>manA</t>
  </si>
  <si>
    <t>trpS</t>
  </si>
  <si>
    <t>ileS</t>
  </si>
  <si>
    <t>alaS</t>
  </si>
  <si>
    <t>metG</t>
  </si>
  <si>
    <t>glyQ</t>
  </si>
  <si>
    <t>glyS</t>
  </si>
  <si>
    <t>glnS</t>
  </si>
  <si>
    <t>carB</t>
  </si>
  <si>
    <t>rpsF</t>
  </si>
  <si>
    <t>rpsG</t>
  </si>
  <si>
    <t>rplO</t>
  </si>
  <si>
    <t>malF</t>
  </si>
  <si>
    <t>mrcB</t>
  </si>
  <si>
    <t>araF</t>
  </si>
  <si>
    <t>rbsB</t>
  </si>
  <si>
    <t>tolC</t>
  </si>
  <si>
    <t>ompF</t>
  </si>
  <si>
    <t>tsr</t>
  </si>
  <si>
    <t>lamB</t>
  </si>
  <si>
    <t>dnaA</t>
  </si>
  <si>
    <t>uvrD</t>
  </si>
  <si>
    <t>mioC</t>
  </si>
  <si>
    <t>malM</t>
  </si>
  <si>
    <t>dapB</t>
  </si>
  <si>
    <t>guaA</t>
  </si>
  <si>
    <t>frsA</t>
  </si>
  <si>
    <t>gshB</t>
  </si>
  <si>
    <t>tyrB</t>
  </si>
  <si>
    <t>gltX</t>
  </si>
  <si>
    <t>livK</t>
  </si>
  <si>
    <t>pepN</t>
  </si>
  <si>
    <t>nlpA</t>
  </si>
  <si>
    <t>fliC</t>
  </si>
  <si>
    <t>kdsB</t>
  </si>
  <si>
    <t>rbsD</t>
  </si>
  <si>
    <t>rbsA</t>
  </si>
  <si>
    <t>sbcB</t>
  </si>
  <si>
    <t>pyrC</t>
  </si>
  <si>
    <t>pabB</t>
  </si>
  <si>
    <t>fumC</t>
  </si>
  <si>
    <t>pnp</t>
  </si>
  <si>
    <t>aroD</t>
  </si>
  <si>
    <t>ptrA</t>
  </si>
  <si>
    <t>pdxB</t>
  </si>
  <si>
    <t>apaH</t>
  </si>
  <si>
    <t>trg</t>
  </si>
  <si>
    <t>srlD</t>
  </si>
  <si>
    <t>ilvD</t>
  </si>
  <si>
    <t>ilvC</t>
  </si>
  <si>
    <t>uidA</t>
  </si>
  <si>
    <t>dld</t>
  </si>
  <si>
    <t>cdh</t>
  </si>
  <si>
    <t>btuE</t>
  </si>
  <si>
    <t>topA</t>
  </si>
  <si>
    <t>era</t>
  </si>
  <si>
    <t>dnaX</t>
  </si>
  <si>
    <t>gor</t>
  </si>
  <si>
    <t>melA</t>
  </si>
  <si>
    <t>ebgR</t>
  </si>
  <si>
    <t>aceF</t>
  </si>
  <si>
    <t>cca</t>
  </si>
  <si>
    <t>dicA</t>
  </si>
  <si>
    <t>dut</t>
  </si>
  <si>
    <t>fhuA</t>
  </si>
  <si>
    <t>fliM</t>
  </si>
  <si>
    <t>hemC</t>
  </si>
  <si>
    <t>hisC</t>
  </si>
  <si>
    <t>hisB</t>
  </si>
  <si>
    <t>hisD</t>
  </si>
  <si>
    <t>hisI</t>
  </si>
  <si>
    <t>rsmA</t>
  </si>
  <si>
    <t>ompC</t>
  </si>
  <si>
    <t>pfkB</t>
  </si>
  <si>
    <t>pntA</t>
  </si>
  <si>
    <t>poxB</t>
  </si>
  <si>
    <t>proA</t>
  </si>
  <si>
    <t>prfB</t>
  </si>
  <si>
    <t>sdhB</t>
  </si>
  <si>
    <t>tar</t>
  </si>
  <si>
    <t>tyrA</t>
  </si>
  <si>
    <t>ushA</t>
  </si>
  <si>
    <t>appA</t>
  </si>
  <si>
    <t>putP</t>
  </si>
  <si>
    <t>valS</t>
  </si>
  <si>
    <t>cheB</t>
  </si>
  <si>
    <t>cheA</t>
  </si>
  <si>
    <t>pheT</t>
  </si>
  <si>
    <t>aroB</t>
  </si>
  <si>
    <t>deoA</t>
  </si>
  <si>
    <t>glgB</t>
  </si>
  <si>
    <t>leuS</t>
  </si>
  <si>
    <t>fhuD</t>
  </si>
  <si>
    <t>ddlB</t>
  </si>
  <si>
    <t>tdh</t>
  </si>
  <si>
    <t>purM</t>
  </si>
  <si>
    <t>folC</t>
  </si>
  <si>
    <t>icd</t>
  </si>
  <si>
    <t>araA</t>
  </si>
  <si>
    <t>pyrF</t>
  </si>
  <si>
    <t>yciH</t>
  </si>
  <si>
    <t>pheS</t>
  </si>
  <si>
    <t>cpdB</t>
  </si>
  <si>
    <t>mutT</t>
  </si>
  <si>
    <t>creB</t>
  </si>
  <si>
    <t>murB</t>
  </si>
  <si>
    <t>usg</t>
  </si>
  <si>
    <t>sppA</t>
  </si>
  <si>
    <t>dacC</t>
  </si>
  <si>
    <t>cvpA</t>
  </si>
  <si>
    <t>dnaJ</t>
  </si>
  <si>
    <t>lysC</t>
  </si>
  <si>
    <t>ptsI</t>
  </si>
  <si>
    <t>hsdR</t>
  </si>
  <si>
    <t>hsdM</t>
  </si>
  <si>
    <t>aceB</t>
  </si>
  <si>
    <t>purK</t>
  </si>
  <si>
    <t>xthA</t>
  </si>
  <si>
    <t>hemD</t>
  </si>
  <si>
    <t>hemX</t>
  </si>
  <si>
    <t>galE</t>
  </si>
  <si>
    <t>galT</t>
  </si>
  <si>
    <t>narG</t>
  </si>
  <si>
    <t>rnd</t>
  </si>
  <si>
    <t>speE</t>
  </si>
  <si>
    <t>ompT</t>
  </si>
  <si>
    <t>nagE</t>
  </si>
  <si>
    <t>grpE</t>
  </si>
  <si>
    <t>pflB</t>
  </si>
  <si>
    <t>glpG</t>
  </si>
  <si>
    <t>glpQ</t>
  </si>
  <si>
    <t>mtlD</t>
  </si>
  <si>
    <t>putA</t>
  </si>
  <si>
    <t>dedD</t>
  </si>
  <si>
    <t>argT</t>
  </si>
  <si>
    <t>gltB</t>
  </si>
  <si>
    <t>gltD</t>
  </si>
  <si>
    <t>modC</t>
  </si>
  <si>
    <t>uvrA</t>
  </si>
  <si>
    <t>ackA</t>
  </si>
  <si>
    <t>acpP</t>
  </si>
  <si>
    <t>iscS</t>
  </si>
  <si>
    <t>nfo</t>
  </si>
  <si>
    <t>argR</t>
  </si>
  <si>
    <t>aroA</t>
  </si>
  <si>
    <t>aroK</t>
  </si>
  <si>
    <t>aroL</t>
  </si>
  <si>
    <t>argG</t>
  </si>
  <si>
    <t>bioD2</t>
  </si>
  <si>
    <t>carA</t>
  </si>
  <si>
    <t>glpK</t>
  </si>
  <si>
    <t>groL</t>
  </si>
  <si>
    <t>groS</t>
  </si>
  <si>
    <t>pncC</t>
  </si>
  <si>
    <t>clpP</t>
  </si>
  <si>
    <t>clpX</t>
  </si>
  <si>
    <t>hslU</t>
  </si>
  <si>
    <t>cmk</t>
  </si>
  <si>
    <t>coaA</t>
  </si>
  <si>
    <t>coaD</t>
  </si>
  <si>
    <t>coaE</t>
  </si>
  <si>
    <t>cysZ</t>
  </si>
  <si>
    <t>dadA</t>
  </si>
  <si>
    <t>ddlA</t>
  </si>
  <si>
    <t>dapF</t>
  </si>
  <si>
    <t>def</t>
  </si>
  <si>
    <t>deoB</t>
  </si>
  <si>
    <t>deoC</t>
  </si>
  <si>
    <t>dapA</t>
  </si>
  <si>
    <t>uxaB</t>
  </si>
  <si>
    <t>hscB</t>
  </si>
  <si>
    <t>dtd</t>
  </si>
  <si>
    <t>fusA</t>
  </si>
  <si>
    <t>efp</t>
  </si>
  <si>
    <t>yeiP</t>
  </si>
  <si>
    <t>tsf</t>
  </si>
  <si>
    <t>der</t>
  </si>
  <si>
    <t>engB</t>
  </si>
  <si>
    <t>eno</t>
  </si>
  <si>
    <t>fabA</t>
  </si>
  <si>
    <t>fabZ</t>
  </si>
  <si>
    <t>fabH</t>
  </si>
  <si>
    <t>flgH</t>
  </si>
  <si>
    <t>gpsA</t>
  </si>
  <si>
    <t>pgi</t>
  </si>
  <si>
    <t>galK</t>
  </si>
  <si>
    <t>folE</t>
  </si>
  <si>
    <t>gcvH</t>
  </si>
  <si>
    <t>rsmG</t>
  </si>
  <si>
    <t>glgA</t>
  </si>
  <si>
    <t>glgC</t>
  </si>
  <si>
    <t>glk</t>
  </si>
  <si>
    <t>mraY</t>
  </si>
  <si>
    <t>greA</t>
  </si>
  <si>
    <t>gshA</t>
  </si>
  <si>
    <t>hfq</t>
  </si>
  <si>
    <t>ihfA</t>
  </si>
  <si>
    <t>ihfB</t>
  </si>
  <si>
    <t>hslO</t>
  </si>
  <si>
    <t>dnaK</t>
  </si>
  <si>
    <t>hscA</t>
  </si>
  <si>
    <t>htpG</t>
  </si>
  <si>
    <t>infB</t>
  </si>
  <si>
    <t>infC</t>
  </si>
  <si>
    <t>kdsA</t>
  </si>
  <si>
    <t>prs</t>
  </si>
  <si>
    <t>tmk</t>
  </si>
  <si>
    <t>lpxA</t>
  </si>
  <si>
    <t>lpxC</t>
  </si>
  <si>
    <t>yceF</t>
  </si>
  <si>
    <t>mgsA</t>
  </si>
  <si>
    <t>minE</t>
  </si>
  <si>
    <t>moaC</t>
  </si>
  <si>
    <t>mscL</t>
  </si>
  <si>
    <t>msrA</t>
  </si>
  <si>
    <t>msrB</t>
  </si>
  <si>
    <t>murA</t>
  </si>
  <si>
    <t>nagB</t>
  </si>
  <si>
    <t>nanE</t>
  </si>
  <si>
    <t>ndk</t>
  </si>
  <si>
    <t>nusB</t>
  </si>
  <si>
    <t>orn</t>
  </si>
  <si>
    <t>panD</t>
  </si>
  <si>
    <t>pdxJ</t>
  </si>
  <si>
    <t>pfkA</t>
  </si>
  <si>
    <t>pgk</t>
  </si>
  <si>
    <t>gpmB</t>
  </si>
  <si>
    <t>pcm</t>
  </si>
  <si>
    <t>ppa</t>
  </si>
  <si>
    <t>proB</t>
  </si>
  <si>
    <t>hslV</t>
  </si>
  <si>
    <t>lexA</t>
  </si>
  <si>
    <t>pepE</t>
  </si>
  <si>
    <t>pth</t>
  </si>
  <si>
    <t>purA</t>
  </si>
  <si>
    <t>purC</t>
  </si>
  <si>
    <t>pyrD</t>
  </si>
  <si>
    <t>pyrE</t>
  </si>
  <si>
    <t>pyrG</t>
  </si>
  <si>
    <t>pyrH</t>
  </si>
  <si>
    <t>pyrI</t>
  </si>
  <si>
    <t>speD</t>
  </si>
  <si>
    <t>queA</t>
  </si>
  <si>
    <t>rbfA</t>
  </si>
  <si>
    <t>recA</t>
  </si>
  <si>
    <t>prfA</t>
  </si>
  <si>
    <t>prfC</t>
  </si>
  <si>
    <t>ribA</t>
  </si>
  <si>
    <t>rplJ</t>
  </si>
  <si>
    <t>rplK</t>
  </si>
  <si>
    <t>rplL</t>
  </si>
  <si>
    <t>rplS</t>
  </si>
  <si>
    <t>rplA</t>
  </si>
  <si>
    <t>rplT</t>
  </si>
  <si>
    <t>rpmA</t>
  </si>
  <si>
    <t>rpmB</t>
  </si>
  <si>
    <t>rpmC</t>
  </si>
  <si>
    <t>rpmE</t>
  </si>
  <si>
    <t>rpmJ</t>
  </si>
  <si>
    <t>rplI</t>
  </si>
  <si>
    <t>rpsJ</t>
  </si>
  <si>
    <t>rpsK</t>
  </si>
  <si>
    <t>rpsL</t>
  </si>
  <si>
    <t>rpsM</t>
  </si>
  <si>
    <t>rpsP</t>
  </si>
  <si>
    <t>rpsR</t>
  </si>
  <si>
    <t>rpsS</t>
  </si>
  <si>
    <t>rpsT</t>
  </si>
  <si>
    <t>rpsB</t>
  </si>
  <si>
    <t>rpsC</t>
  </si>
  <si>
    <t>rpsD</t>
  </si>
  <si>
    <t>rpsE</t>
  </si>
  <si>
    <t>rpsH</t>
  </si>
  <si>
    <t>rpsI</t>
  </si>
  <si>
    <t>rimM</t>
  </si>
  <si>
    <t>rnc</t>
  </si>
  <si>
    <t>rpiA</t>
  </si>
  <si>
    <t>rpoA</t>
  </si>
  <si>
    <t>rpoZ</t>
  </si>
  <si>
    <t>frr</t>
  </si>
  <si>
    <t>ruvA</t>
  </si>
  <si>
    <t>metK</t>
  </si>
  <si>
    <t>selA</t>
  </si>
  <si>
    <t>sfsA</t>
  </si>
  <si>
    <t>glyA</t>
  </si>
  <si>
    <t>dctA</t>
  </si>
  <si>
    <t>smpB</t>
  </si>
  <si>
    <t>sucC</t>
  </si>
  <si>
    <t>surE</t>
  </si>
  <si>
    <t>tig</t>
  </si>
  <si>
    <t>tnaA</t>
  </si>
  <si>
    <t>tolB</t>
  </si>
  <si>
    <t>tpiA</t>
  </si>
  <si>
    <t>tpx</t>
  </si>
  <si>
    <t>talA</t>
  </si>
  <si>
    <t>talB</t>
  </si>
  <si>
    <t>trmD</t>
  </si>
  <si>
    <t>trpA</t>
  </si>
  <si>
    <t>trpB</t>
  </si>
  <si>
    <t>trpR</t>
  </si>
  <si>
    <t>thyA</t>
  </si>
  <si>
    <t>ubiE</t>
  </si>
  <si>
    <t>rapZ</t>
  </si>
  <si>
    <t>ybeY</t>
  </si>
  <si>
    <t>yebC</t>
  </si>
  <si>
    <t>yeeN</t>
  </si>
  <si>
    <t>ppsR</t>
  </si>
  <si>
    <t>ybaB</t>
  </si>
  <si>
    <t>ybjQ</t>
  </si>
  <si>
    <t>nrdR</t>
  </si>
  <si>
    <t>yaiI</t>
  </si>
  <si>
    <t>ymdB</t>
  </si>
  <si>
    <t>ycfP</t>
  </si>
  <si>
    <t>yacL</t>
  </si>
  <si>
    <t>yajQ</t>
  </si>
  <si>
    <t>upp</t>
  </si>
  <si>
    <t>uvrB</t>
  </si>
  <si>
    <t>uxaC</t>
  </si>
  <si>
    <t>wrbA</t>
  </si>
  <si>
    <t>xseB</t>
  </si>
  <si>
    <t>yihI</t>
  </si>
  <si>
    <t>yqgF</t>
  </si>
  <si>
    <t>yaaA</t>
  </si>
  <si>
    <t>trmB</t>
  </si>
  <si>
    <t>rhlB</t>
  </si>
  <si>
    <t>psd</t>
  </si>
  <si>
    <t>serS</t>
  </si>
  <si>
    <t>asnS</t>
  </si>
  <si>
    <t>thrS</t>
  </si>
  <si>
    <t>yeeX</t>
  </si>
  <si>
    <t>matP</t>
  </si>
  <si>
    <t>lysS</t>
  </si>
  <si>
    <t>lysU</t>
  </si>
  <si>
    <t>yggX</t>
  </si>
  <si>
    <t>frdC</t>
  </si>
  <si>
    <t>frdD</t>
  </si>
  <si>
    <t>rraA</t>
  </si>
  <si>
    <t>slyX</t>
  </si>
  <si>
    <t>argP</t>
  </si>
  <si>
    <t>prmA</t>
  </si>
  <si>
    <t>rpoC</t>
  </si>
  <si>
    <t>yafD</t>
  </si>
  <si>
    <t>metJ</t>
  </si>
  <si>
    <t>rbn</t>
  </si>
  <si>
    <t>rpoB</t>
  </si>
  <si>
    <t>fadR</t>
  </si>
  <si>
    <t>nanR</t>
  </si>
  <si>
    <t>slyA</t>
  </si>
  <si>
    <t>yqgE</t>
  </si>
  <si>
    <t>yfbU</t>
  </si>
  <si>
    <t>yjgA</t>
  </si>
  <si>
    <t>yceI</t>
  </si>
  <si>
    <t>yihX</t>
  </si>
  <si>
    <t>yidA</t>
  </si>
  <si>
    <t>yciA</t>
  </si>
  <si>
    <t>blc</t>
  </si>
  <si>
    <t>bamC</t>
  </si>
  <si>
    <t>slyB</t>
  </si>
  <si>
    <t>ompA</t>
  </si>
  <si>
    <t>pal</t>
  </si>
  <si>
    <t>ompW</t>
  </si>
  <si>
    <t>ompX</t>
  </si>
  <si>
    <t>pldA</t>
  </si>
  <si>
    <t>bamE</t>
  </si>
  <si>
    <t>bamA</t>
  </si>
  <si>
    <t>rimJ</t>
  </si>
  <si>
    <t>fabB</t>
  </si>
  <si>
    <t>eda</t>
  </si>
  <si>
    <t>ansA</t>
  </si>
  <si>
    <t>cheW</t>
  </si>
  <si>
    <t>cspE</t>
  </si>
  <si>
    <t>dnaN</t>
  </si>
  <si>
    <t>fbaB</t>
  </si>
  <si>
    <t>fbp</t>
  </si>
  <si>
    <t>ftnA</t>
  </si>
  <si>
    <t>ftsZ</t>
  </si>
  <si>
    <t>fur</t>
  </si>
  <si>
    <t>gapA</t>
  </si>
  <si>
    <t>galM</t>
  </si>
  <si>
    <t>glnA</t>
  </si>
  <si>
    <t>glpX</t>
  </si>
  <si>
    <t>gstA</t>
  </si>
  <si>
    <t>cysE</t>
  </si>
  <si>
    <t>dapD</t>
  </si>
  <si>
    <t>fnr</t>
  </si>
  <si>
    <t>mntR</t>
  </si>
  <si>
    <t>cysB</t>
  </si>
  <si>
    <t>aceA</t>
  </si>
  <si>
    <t>modE</t>
  </si>
  <si>
    <t>mug</t>
  </si>
  <si>
    <t>btuR</t>
  </si>
  <si>
    <t>cfa</t>
  </si>
  <si>
    <t>cheZ</t>
  </si>
  <si>
    <t>rng</t>
  </si>
  <si>
    <t>rbsK</t>
  </si>
  <si>
    <t>pheA</t>
  </si>
  <si>
    <t>ybeZ</t>
  </si>
  <si>
    <t>phoU</t>
  </si>
  <si>
    <t>slyD</t>
  </si>
  <si>
    <t>fklB</t>
  </si>
  <si>
    <t>ppiC</t>
  </si>
  <si>
    <t>proC</t>
  </si>
  <si>
    <t>lon</t>
  </si>
  <si>
    <t>hpt</t>
  </si>
  <si>
    <t>gpt</t>
  </si>
  <si>
    <t>pta</t>
  </si>
  <si>
    <t>ptsO</t>
  </si>
  <si>
    <t>pflA</t>
  </si>
  <si>
    <t>lpdA</t>
  </si>
  <si>
    <t>trxB</t>
  </si>
  <si>
    <t>arcA</t>
  </si>
  <si>
    <t>accD</t>
  </si>
  <si>
    <t>adhE</t>
  </si>
  <si>
    <t>asd</t>
  </si>
  <si>
    <t>fdx</t>
  </si>
  <si>
    <t>ftsE</t>
  </si>
  <si>
    <t>fucO</t>
  </si>
  <si>
    <t>gatD</t>
  </si>
  <si>
    <t>gldA</t>
  </si>
  <si>
    <t>serA</t>
  </si>
  <si>
    <t>tas</t>
  </si>
  <si>
    <t>ybbA</t>
  </si>
  <si>
    <t>ybiT</t>
  </si>
  <si>
    <t>puuR</t>
  </si>
  <si>
    <t>lptB</t>
  </si>
  <si>
    <t>yiaG</t>
  </si>
  <si>
    <t>ulaR</t>
  </si>
  <si>
    <t>ettA</t>
  </si>
  <si>
    <t>ibaG</t>
  </si>
  <si>
    <t>mreB</t>
  </si>
  <si>
    <t>cspA</t>
  </si>
  <si>
    <t>cspC</t>
  </si>
  <si>
    <t>glnB</t>
  </si>
  <si>
    <t>ptsH</t>
  </si>
  <si>
    <t>rplM</t>
  </si>
  <si>
    <t>ompR</t>
  </si>
  <si>
    <t>trxA</t>
  </si>
  <si>
    <t>rluA</t>
  </si>
  <si>
    <t>rluC</t>
  </si>
  <si>
    <t>rsuA</t>
  </si>
  <si>
    <t>qmcA</t>
  </si>
  <si>
    <t>yobA</t>
  </si>
  <si>
    <t>yqjA</t>
  </si>
  <si>
    <t>yeaY</t>
  </si>
  <si>
    <t>yagU</t>
  </si>
  <si>
    <t>ubiD</t>
  </si>
  <si>
    <t>galF</t>
  </si>
  <si>
    <t>uspD</t>
  </si>
  <si>
    <t>uspE</t>
  </si>
  <si>
    <t>ybhL</t>
  </si>
  <si>
    <t>iscA</t>
  </si>
  <si>
    <t>artP</t>
  </si>
  <si>
    <t>dppD</t>
  </si>
  <si>
    <t>mglA</t>
  </si>
  <si>
    <t>pstB</t>
  </si>
  <si>
    <t>sapF</t>
  </si>
  <si>
    <t>ftsH</t>
  </si>
  <si>
    <t>fabF</t>
  </si>
  <si>
    <t>fabD</t>
  </si>
  <si>
    <t>fdoH</t>
  </si>
  <si>
    <t>hybA</t>
  </si>
  <si>
    <t>hypB</t>
  </si>
  <si>
    <t>yaiA</t>
  </si>
  <si>
    <t>iraP</t>
  </si>
  <si>
    <t>frmR</t>
  </si>
  <si>
    <t>yajD</t>
  </si>
  <si>
    <t>ybaA</t>
  </si>
  <si>
    <t>ybaK</t>
  </si>
  <si>
    <t>ylaC</t>
  </si>
  <si>
    <t>ybbJ</t>
  </si>
  <si>
    <t>ybcJ</t>
  </si>
  <si>
    <t>ybdF</t>
  </si>
  <si>
    <t>ybeL</t>
  </si>
  <si>
    <t>ybfE</t>
  </si>
  <si>
    <t>ybgE</t>
  </si>
  <si>
    <t>ybgJ</t>
  </si>
  <si>
    <t>ybgS</t>
  </si>
  <si>
    <t>ybhP</t>
  </si>
  <si>
    <t>ybiS</t>
  </si>
  <si>
    <t>ybjN</t>
  </si>
  <si>
    <t>ycaR</t>
  </si>
  <si>
    <t>ycbJ</t>
  </si>
  <si>
    <t>yccF</t>
  </si>
  <si>
    <t>tusE</t>
  </si>
  <si>
    <t>hspQ</t>
  </si>
  <si>
    <t>efeO</t>
  </si>
  <si>
    <t>yceB</t>
  </si>
  <si>
    <t>yceD</t>
  </si>
  <si>
    <t>lpoB</t>
  </si>
  <si>
    <t>ycgL</t>
  </si>
  <si>
    <t>ychN</t>
  </si>
  <si>
    <t>yciI</t>
  </si>
  <si>
    <t>yciN</t>
  </si>
  <si>
    <t>yccX</t>
  </si>
  <si>
    <t>pntB</t>
  </si>
  <si>
    <t>fbaA</t>
  </si>
  <si>
    <t>kbl</t>
  </si>
  <si>
    <t>ilvE</t>
  </si>
  <si>
    <t>purB</t>
  </si>
  <si>
    <t>aroG</t>
  </si>
  <si>
    <t>atpB</t>
  </si>
  <si>
    <t>atpF</t>
  </si>
  <si>
    <t>atpH</t>
  </si>
  <si>
    <t>atpG</t>
  </si>
  <si>
    <t>atpA</t>
  </si>
  <si>
    <t>atpD</t>
  </si>
  <si>
    <t>mgtA</t>
  </si>
  <si>
    <t>hflC</t>
  </si>
  <si>
    <t>hflK</t>
  </si>
  <si>
    <t>bfr</t>
  </si>
  <si>
    <t>accA</t>
  </si>
  <si>
    <t>accB</t>
  </si>
  <si>
    <t>bolA</t>
  </si>
  <si>
    <t>cybB</t>
  </si>
  <si>
    <t>cdd</t>
  </si>
  <si>
    <t>pgsA</t>
  </si>
  <si>
    <t>mrdB</t>
  </si>
  <si>
    <t>ftsA</t>
  </si>
  <si>
    <t>gltA</t>
  </si>
  <si>
    <t>clpA</t>
  </si>
  <si>
    <t>cyoB</t>
  </si>
  <si>
    <t>cyoA</t>
  </si>
  <si>
    <t>cydA</t>
  </si>
  <si>
    <t>cydB</t>
  </si>
  <si>
    <t>cysK</t>
  </si>
  <si>
    <t>dgkA</t>
  </si>
  <si>
    <t>dcuA</t>
  </si>
  <si>
    <t>deoD</t>
  </si>
  <si>
    <t>coaBC</t>
  </si>
  <si>
    <t>garR</t>
  </si>
  <si>
    <t>folA</t>
  </si>
  <si>
    <t>dksA</t>
  </si>
  <si>
    <t>dnaG</t>
  </si>
  <si>
    <t>dps</t>
  </si>
  <si>
    <t>menB</t>
  </si>
  <si>
    <t>ychF</t>
  </si>
  <si>
    <t>elbB</t>
  </si>
  <si>
    <t>exbB</t>
  </si>
  <si>
    <t>tolQ</t>
  </si>
  <si>
    <t>exbD</t>
  </si>
  <si>
    <t>tolR</t>
  </si>
  <si>
    <t>fliL</t>
  </si>
  <si>
    <t>fldB</t>
  </si>
  <si>
    <t>fliG</t>
  </si>
  <si>
    <t>kdsC</t>
  </si>
  <si>
    <t>surA</t>
  </si>
  <si>
    <t>bamD</t>
  </si>
  <si>
    <t>folP</t>
  </si>
  <si>
    <t>folX</t>
  </si>
  <si>
    <t>focA</t>
  </si>
  <si>
    <t>ftsX</t>
  </si>
  <si>
    <t>fumA</t>
  </si>
  <si>
    <t>aspA</t>
  </si>
  <si>
    <t>sdhA</t>
  </si>
  <si>
    <t>sdhD</t>
  </si>
  <si>
    <t>frdB</t>
  </si>
  <si>
    <t>zur</t>
  </si>
  <si>
    <t>zwf</t>
  </si>
  <si>
    <t>grxB</t>
  </si>
  <si>
    <t>grxC</t>
  </si>
  <si>
    <t>grxD</t>
  </si>
  <si>
    <t>gloA</t>
  </si>
  <si>
    <t>gloB</t>
  </si>
  <si>
    <t>gnsA</t>
  </si>
  <si>
    <t>yibF</t>
  </si>
  <si>
    <t>sspA</t>
  </si>
  <si>
    <t>gstB</t>
  </si>
  <si>
    <t>dnaB</t>
  </si>
  <si>
    <t>hemB</t>
  </si>
  <si>
    <t>hemY</t>
  </si>
  <si>
    <t>erpA</t>
  </si>
  <si>
    <t>glmU</t>
  </si>
  <si>
    <t>iscU</t>
  </si>
  <si>
    <t>hyaB</t>
  </si>
  <si>
    <t>hybC</t>
  </si>
  <si>
    <t>hinT</t>
  </si>
  <si>
    <t>hupA</t>
  </si>
  <si>
    <t>hupB</t>
  </si>
  <si>
    <t>hns</t>
  </si>
  <si>
    <t>stpA</t>
  </si>
  <si>
    <t>rob</t>
  </si>
  <si>
    <t>lrp</t>
  </si>
  <si>
    <t>crp</t>
  </si>
  <si>
    <t>agaR</t>
  </si>
  <si>
    <t>exuR</t>
  </si>
  <si>
    <t>yegW</t>
  </si>
  <si>
    <t>allR</t>
  </si>
  <si>
    <t>cytR</t>
  </si>
  <si>
    <t>gntR</t>
  </si>
  <si>
    <t>purR</t>
  </si>
  <si>
    <t>oxyR</t>
  </si>
  <si>
    <t>yeiE</t>
  </si>
  <si>
    <t>mprA</t>
  </si>
  <si>
    <t>rpiR</t>
  </si>
  <si>
    <t>rutR</t>
  </si>
  <si>
    <t>yjdC</t>
  </si>
  <si>
    <t>lapA</t>
  </si>
  <si>
    <t>mpaA</t>
  </si>
  <si>
    <t>ydcH</t>
  </si>
  <si>
    <t>ydhR</t>
  </si>
  <si>
    <t>ydhZ</t>
  </si>
  <si>
    <t>ydjA</t>
  </si>
  <si>
    <t>yeaG</t>
  </si>
  <si>
    <t>yebG</t>
  </si>
  <si>
    <t>evgA</t>
  </si>
  <si>
    <t>yecA</t>
  </si>
  <si>
    <t>yecJ</t>
  </si>
  <si>
    <t>yeeZ</t>
  </si>
  <si>
    <t>yfcZ</t>
  </si>
  <si>
    <t>yfhG</t>
  </si>
  <si>
    <t>yphA</t>
  </si>
  <si>
    <t>raiA</t>
  </si>
  <si>
    <t>ispB</t>
  </si>
  <si>
    <t>ivy</t>
  </si>
  <si>
    <t>pykF</t>
  </si>
  <si>
    <t>livJ</t>
  </si>
  <si>
    <t>tesA</t>
  </si>
  <si>
    <t>nlpD</t>
  </si>
  <si>
    <t>yajG</t>
  </si>
  <si>
    <t>osmE</t>
  </si>
  <si>
    <t>lptE</t>
  </si>
  <si>
    <t>lptG</t>
  </si>
  <si>
    <t>ygaU</t>
  </si>
  <si>
    <t>ygfZ</t>
  </si>
  <si>
    <t>ilvN</t>
  </si>
  <si>
    <t>suhB</t>
  </si>
  <si>
    <t>guaB</t>
  </si>
  <si>
    <t>entB</t>
  </si>
  <si>
    <t>yecD</t>
  </si>
  <si>
    <t>yiaF</t>
  </si>
  <si>
    <t>yibL</t>
  </si>
  <si>
    <t>yifE</t>
  </si>
  <si>
    <t>yifL</t>
  </si>
  <si>
    <t>ubiJ</t>
  </si>
  <si>
    <t>yihD</t>
  </si>
  <si>
    <t>ygaM</t>
  </si>
  <si>
    <t>rlmM</t>
  </si>
  <si>
    <t>ygdH</t>
  </si>
  <si>
    <t>zapA</t>
  </si>
  <si>
    <t>yggE</t>
  </si>
  <si>
    <t>yggN</t>
  </si>
  <si>
    <t>ygiB</t>
  </si>
  <si>
    <t>ygiC</t>
  </si>
  <si>
    <t>ygiM</t>
  </si>
  <si>
    <t>ygiN</t>
  </si>
  <si>
    <t>ygiW</t>
  </si>
  <si>
    <t>lptA</t>
  </si>
  <si>
    <t>yhbW</t>
  </si>
  <si>
    <t>mlaC</t>
  </si>
  <si>
    <t>lptC</t>
  </si>
  <si>
    <t>yhcB</t>
  </si>
  <si>
    <t>yhfA</t>
  </si>
  <si>
    <t>yhfG</t>
  </si>
  <si>
    <t>yhhA</t>
  </si>
  <si>
    <t>ppiD</t>
  </si>
  <si>
    <t>rplN</t>
  </si>
  <si>
    <t>rplP</t>
  </si>
  <si>
    <t>rplW</t>
  </si>
  <si>
    <t>rpsO</t>
  </si>
  <si>
    <t>yajC</t>
  </si>
  <si>
    <t>trmJ</t>
  </si>
  <si>
    <t>acrA</t>
  </si>
  <si>
    <t>ahpC</t>
  </si>
  <si>
    <t>amn</t>
  </si>
  <si>
    <t>map</t>
  </si>
  <si>
    <t>aphA</t>
  </si>
  <si>
    <t>astA</t>
  </si>
  <si>
    <t>ytfP</t>
  </si>
  <si>
    <t>bcp</t>
  </si>
  <si>
    <t>cedA</t>
  </si>
  <si>
    <t>chaB</t>
  </si>
  <si>
    <t>cheY</t>
  </si>
  <si>
    <t>mazF</t>
  </si>
  <si>
    <t>corC</t>
  </si>
  <si>
    <t>cpxA</t>
  </si>
  <si>
    <t>cpxP</t>
  </si>
  <si>
    <t>cpxR</t>
  </si>
  <si>
    <t>creA</t>
  </si>
  <si>
    <t>cysG</t>
  </si>
  <si>
    <t>dacA</t>
  </si>
  <si>
    <t>yoaB</t>
  </si>
  <si>
    <t>barA</t>
  </si>
  <si>
    <t>uspA</t>
  </si>
  <si>
    <t>dapE</t>
  </si>
  <si>
    <t>dcrB</t>
  </si>
  <si>
    <t>degS</t>
  </si>
  <si>
    <t>mglB</t>
  </si>
  <si>
    <t>dppC</t>
  </si>
  <si>
    <t>dsbA</t>
  </si>
  <si>
    <t>dsbC</t>
  </si>
  <si>
    <t>rseP</t>
  </si>
  <si>
    <t>elaA</t>
  </si>
  <si>
    <t>elaB</t>
  </si>
  <si>
    <t>miaB</t>
  </si>
  <si>
    <t>rimO</t>
  </si>
  <si>
    <t>envZ</t>
  </si>
  <si>
    <t>eutB</t>
  </si>
  <si>
    <t>fabG</t>
  </si>
  <si>
    <t>fabI</t>
  </si>
  <si>
    <t>fepB</t>
  </si>
  <si>
    <t>flgM</t>
  </si>
  <si>
    <t>fliA</t>
  </si>
  <si>
    <t>fliY</t>
  </si>
  <si>
    <t>fre</t>
  </si>
  <si>
    <t>fucU</t>
  </si>
  <si>
    <t>galU</t>
  </si>
  <si>
    <t>gcl</t>
  </si>
  <si>
    <t>glcG</t>
  </si>
  <si>
    <t>glnH</t>
  </si>
  <si>
    <t>glnP</t>
  </si>
  <si>
    <t>gltJ</t>
  </si>
  <si>
    <t>gss</t>
  </si>
  <si>
    <t>gudD</t>
  </si>
  <si>
    <t>gyrA</t>
  </si>
  <si>
    <t>gyrB</t>
  </si>
  <si>
    <t>hdeA</t>
  </si>
  <si>
    <t>hdeB</t>
  </si>
  <si>
    <t>hdeD</t>
  </si>
  <si>
    <t>hdhA</t>
  </si>
  <si>
    <t>hisJ</t>
  </si>
  <si>
    <t>skp</t>
  </si>
  <si>
    <t>rssB</t>
  </si>
  <si>
    <t>hycI</t>
  </si>
  <si>
    <t>cpdA</t>
  </si>
  <si>
    <t>prkB</t>
  </si>
  <si>
    <t>malE</t>
  </si>
  <si>
    <t>marC</t>
  </si>
  <si>
    <t>mazG</t>
  </si>
  <si>
    <t>mdaB</t>
  </si>
  <si>
    <t>minD</t>
  </si>
  <si>
    <t>moaB</t>
  </si>
  <si>
    <t>mog</t>
  </si>
  <si>
    <t>mrp</t>
  </si>
  <si>
    <t>mtnN</t>
  </si>
  <si>
    <t>nagA</t>
  </si>
  <si>
    <t>nagC</t>
  </si>
  <si>
    <t>nagD</t>
  </si>
  <si>
    <t>narL</t>
  </si>
  <si>
    <t>zapB</t>
  </si>
  <si>
    <t>yjbQ</t>
  </si>
  <si>
    <t>yjbR</t>
  </si>
  <si>
    <t>yjcH</t>
  </si>
  <si>
    <t>yjdI</t>
  </si>
  <si>
    <t>nsrR</t>
  </si>
  <si>
    <t>tsaE</t>
  </si>
  <si>
    <t>yjeI</t>
  </si>
  <si>
    <t>rraB</t>
  </si>
  <si>
    <t>ridA</t>
  </si>
  <si>
    <t>tabA</t>
  </si>
  <si>
    <t>lptF</t>
  </si>
  <si>
    <t>nhaB</t>
  </si>
  <si>
    <t>glnL</t>
  </si>
  <si>
    <t>nuoA</t>
  </si>
  <si>
    <t>nuoB</t>
  </si>
  <si>
    <t>nuoE</t>
  </si>
  <si>
    <t>nuoH</t>
  </si>
  <si>
    <t>nuoI</t>
  </si>
  <si>
    <t>nuoJ</t>
  </si>
  <si>
    <t>nuoK</t>
  </si>
  <si>
    <t>nuoM</t>
  </si>
  <si>
    <t>nuoN</t>
  </si>
  <si>
    <t>nupC</t>
  </si>
  <si>
    <t>nusA</t>
  </si>
  <si>
    <t>nusG</t>
  </si>
  <si>
    <t>sucA</t>
  </si>
  <si>
    <t>sucB</t>
  </si>
  <si>
    <t>aceE</t>
  </si>
  <si>
    <t>oppB</t>
  </si>
  <si>
    <t>oppC</t>
  </si>
  <si>
    <t>osmY</t>
  </si>
  <si>
    <t>parC</t>
  </si>
  <si>
    <t>pdxH</t>
  </si>
  <si>
    <t>perM</t>
  </si>
  <si>
    <t>phnA</t>
  </si>
  <si>
    <t>phoB</t>
  </si>
  <si>
    <t>pmbA</t>
  </si>
  <si>
    <t>pnuC</t>
  </si>
  <si>
    <t>potD</t>
  </si>
  <si>
    <t>ppiA</t>
  </si>
  <si>
    <t>proX</t>
  </si>
  <si>
    <t>psiF</t>
  </si>
  <si>
    <t>pspA</t>
  </si>
  <si>
    <t>pspB</t>
  </si>
  <si>
    <t>pspC</t>
  </si>
  <si>
    <t>ybbO</t>
  </si>
  <si>
    <t>ybgI</t>
  </si>
  <si>
    <t>ycfH</t>
  </si>
  <si>
    <t>rssA</t>
  </si>
  <si>
    <t>dauA</t>
  </si>
  <si>
    <t>yciO</t>
  </si>
  <si>
    <t>folM</t>
  </si>
  <si>
    <t>ydiK</t>
  </si>
  <si>
    <t>yecS</t>
  </si>
  <si>
    <t>ribC</t>
  </si>
  <si>
    <t>rmf</t>
  </si>
  <si>
    <t>rnk</t>
  </si>
  <si>
    <t>rof</t>
  </si>
  <si>
    <t>hpf</t>
  </si>
  <si>
    <t>rsd</t>
  </si>
  <si>
    <t>rseB</t>
  </si>
  <si>
    <t>seqA</t>
  </si>
  <si>
    <t>sseB</t>
  </si>
  <si>
    <t>sspB</t>
  </si>
  <si>
    <t>wzzE</t>
  </si>
  <si>
    <t>rpe</t>
  </si>
  <si>
    <t>sohB</t>
  </si>
  <si>
    <t>relA</t>
  </si>
  <si>
    <t>yibN</t>
  </si>
  <si>
    <t>rho</t>
  </si>
  <si>
    <t>ribF</t>
  </si>
  <si>
    <t>rplQ</t>
  </si>
  <si>
    <t>rplU</t>
  </si>
  <si>
    <t>rpmD</t>
  </si>
  <si>
    <t>rplF</t>
  </si>
  <si>
    <t>rpsN</t>
  </si>
  <si>
    <t>rpsQ</t>
  </si>
  <si>
    <t>rpsA</t>
  </si>
  <si>
    <t>sbp</t>
  </si>
  <si>
    <t>ugpB</t>
  </si>
  <si>
    <t>pstS</t>
  </si>
  <si>
    <t>yghA</t>
  </si>
  <si>
    <t>secB</t>
  </si>
  <si>
    <t>secD</t>
  </si>
  <si>
    <t>secE</t>
  </si>
  <si>
    <t>secG</t>
  </si>
  <si>
    <t>secY</t>
  </si>
  <si>
    <t>uhpA</t>
  </si>
  <si>
    <t>serB</t>
  </si>
  <si>
    <t>rpoE</t>
  </si>
  <si>
    <t>slt</t>
  </si>
  <si>
    <t>sodC</t>
  </si>
  <si>
    <t>sodB</t>
  </si>
  <si>
    <t>ffh</t>
  </si>
  <si>
    <t>ssb</t>
  </si>
  <si>
    <t>chrR</t>
  </si>
  <si>
    <t>sucD</t>
  </si>
  <si>
    <t>csdE</t>
  </si>
  <si>
    <t>tesB</t>
  </si>
  <si>
    <t>trxC</t>
  </si>
  <si>
    <t>tldD</t>
  </si>
  <si>
    <t>rbsC</t>
  </si>
  <si>
    <t>trmH</t>
  </si>
  <si>
    <t>yfiF</t>
  </si>
  <si>
    <t>trmL</t>
  </si>
  <si>
    <t>tyrS</t>
  </si>
  <si>
    <t>yhbY</t>
  </si>
  <si>
    <t>iscR</t>
  </si>
  <si>
    <t>tdcF</t>
  </si>
  <si>
    <t>ratA</t>
  </si>
  <si>
    <t>rsmE</t>
  </si>
  <si>
    <t>rplR</t>
  </si>
  <si>
    <t>yaiE</t>
  </si>
  <si>
    <t>ibpA</t>
  </si>
  <si>
    <t>relE</t>
  </si>
  <si>
    <t>relB</t>
  </si>
  <si>
    <t>osmC</t>
  </si>
  <si>
    <t>proP</t>
  </si>
  <si>
    <t>mscS</t>
  </si>
  <si>
    <t>rimK</t>
  </si>
  <si>
    <t>degP</t>
  </si>
  <si>
    <t>gatY</t>
  </si>
  <si>
    <t>gatZ</t>
  </si>
  <si>
    <t>eptC</t>
  </si>
  <si>
    <t>tufA</t>
  </si>
  <si>
    <t>yghJ</t>
  </si>
  <si>
    <t>rcsB</t>
  </si>
  <si>
    <t>rlpA</t>
  </si>
  <si>
    <t>ftsY</t>
  </si>
  <si>
    <t>glnQ</t>
  </si>
  <si>
    <t>hisA</t>
  </si>
  <si>
    <t>entE</t>
  </si>
  <si>
    <t>fadL</t>
  </si>
  <si>
    <t>secA</t>
  </si>
  <si>
    <t>lpxB</t>
  </si>
  <si>
    <t>ugpQ</t>
  </si>
  <si>
    <t>narH</t>
  </si>
  <si>
    <t>argH</t>
  </si>
  <si>
    <t>entF</t>
  </si>
  <si>
    <t>damX</t>
  </si>
  <si>
    <t>argS</t>
  </si>
  <si>
    <t>murF</t>
  </si>
  <si>
    <t>aroC</t>
  </si>
  <si>
    <t>moeA</t>
  </si>
  <si>
    <t>moeB</t>
  </si>
  <si>
    <t>ung</t>
  </si>
  <si>
    <t>udp</t>
  </si>
  <si>
    <t>ybhB</t>
  </si>
  <si>
    <t>bioH</t>
  </si>
  <si>
    <t>metH</t>
  </si>
  <si>
    <t>ampD</t>
  </si>
  <si>
    <t>fdhE</t>
  </si>
  <si>
    <t>katG</t>
  </si>
  <si>
    <t>glpD</t>
  </si>
  <si>
    <t>rpoS</t>
  </si>
  <si>
    <t>treA</t>
  </si>
  <si>
    <t>chiA</t>
  </si>
  <si>
    <t>rimL</t>
  </si>
  <si>
    <t>zraR</t>
  </si>
  <si>
    <t>murD</t>
  </si>
  <si>
    <t>fecB</t>
  </si>
  <si>
    <t>pepP</t>
  </si>
  <si>
    <t>helD</t>
  </si>
  <si>
    <t>ligA</t>
  </si>
  <si>
    <t>glgX</t>
  </si>
  <si>
    <t>fliN</t>
  </si>
  <si>
    <t>cstA</t>
  </si>
  <si>
    <t>srlR</t>
  </si>
  <si>
    <t>purL</t>
  </si>
  <si>
    <t>flk</t>
  </si>
  <si>
    <t>pepD</t>
  </si>
  <si>
    <t>prlF</t>
  </si>
  <si>
    <t>purH</t>
  </si>
  <si>
    <t>purD</t>
  </si>
  <si>
    <t>aroE</t>
  </si>
  <si>
    <t>gcd</t>
  </si>
  <si>
    <t>malQ</t>
  </si>
  <si>
    <t>sdaA</t>
  </si>
  <si>
    <t>miaA</t>
  </si>
  <si>
    <t>selD</t>
  </si>
  <si>
    <t>tus</t>
  </si>
  <si>
    <t>iclR</t>
  </si>
  <si>
    <t>proS</t>
  </si>
  <si>
    <t>phnB</t>
  </si>
  <si>
    <t>cysP</t>
  </si>
  <si>
    <t>cysM</t>
  </si>
  <si>
    <t>mreC</t>
  </si>
  <si>
    <t>gutQ</t>
  </si>
  <si>
    <t>nfsA</t>
  </si>
  <si>
    <t>glmS</t>
  </si>
  <si>
    <t>murG</t>
  </si>
  <si>
    <t>cysH</t>
  </si>
  <si>
    <t>murC</t>
  </si>
  <si>
    <t>ubiG</t>
  </si>
  <si>
    <t>minC</t>
  </si>
  <si>
    <t>rstB</t>
  </si>
  <si>
    <t>dmsA</t>
  </si>
  <si>
    <t>dmsB</t>
  </si>
  <si>
    <t>nadE</t>
  </si>
  <si>
    <t>ggt</t>
  </si>
  <si>
    <t>narY</t>
  </si>
  <si>
    <t>narZ</t>
  </si>
  <si>
    <t>pdxA</t>
  </si>
  <si>
    <t>eutC</t>
  </si>
  <si>
    <t>agp</t>
  </si>
  <si>
    <t>tolA</t>
  </si>
  <si>
    <t>parE</t>
  </si>
  <si>
    <t>bisC</t>
  </si>
  <si>
    <t>fic</t>
  </si>
  <si>
    <t>fruA</t>
  </si>
  <si>
    <t>fadA</t>
  </si>
  <si>
    <t>pepQ</t>
  </si>
  <si>
    <t>speC</t>
  </si>
  <si>
    <t>speA</t>
  </si>
  <si>
    <t>fadB</t>
  </si>
  <si>
    <t>katE</t>
  </si>
  <si>
    <t>rna</t>
  </si>
  <si>
    <t>yciF</t>
  </si>
  <si>
    <t>yciE</t>
  </si>
  <si>
    <t>yciC</t>
  </si>
  <si>
    <t>ycaC</t>
  </si>
  <si>
    <t>pncA</t>
  </si>
  <si>
    <t>rnr</t>
  </si>
  <si>
    <t>srmB</t>
  </si>
  <si>
    <t>rne</t>
  </si>
  <si>
    <t>pykA</t>
  </si>
  <si>
    <t>lpxD</t>
  </si>
  <si>
    <t>kdpE</t>
  </si>
  <si>
    <t>cysS</t>
  </si>
  <si>
    <t>aspS</t>
  </si>
  <si>
    <t>asnB</t>
  </si>
  <si>
    <t>mraZ</t>
  </si>
  <si>
    <t>murE</t>
  </si>
  <si>
    <t>cysQ</t>
  </si>
  <si>
    <t>gabT</t>
  </si>
  <si>
    <t>pckA</t>
  </si>
  <si>
    <t>add</t>
  </si>
  <si>
    <t>mukB</t>
  </si>
  <si>
    <t>mukE</t>
  </si>
  <si>
    <t>ycbB</t>
  </si>
  <si>
    <t>rihC</t>
  </si>
  <si>
    <t>trmA</t>
  </si>
  <si>
    <t>tnaB</t>
  </si>
  <si>
    <t>mglC</t>
  </si>
  <si>
    <t>tdk</t>
  </si>
  <si>
    <t>mutL</t>
  </si>
  <si>
    <t>garL</t>
  </si>
  <si>
    <t>ppsA</t>
  </si>
  <si>
    <t>serC</t>
  </si>
  <si>
    <t>eco</t>
  </si>
  <si>
    <t>pssA</t>
  </si>
  <si>
    <t>phoP</t>
  </si>
  <si>
    <t>phoQ</t>
  </si>
  <si>
    <t>yicC</t>
  </si>
  <si>
    <t>oppA</t>
  </si>
  <si>
    <t>dppA</t>
  </si>
  <si>
    <t>pspE</t>
  </si>
  <si>
    <t>prc</t>
  </si>
  <si>
    <t>ppiB</t>
  </si>
  <si>
    <t>hemH</t>
  </si>
  <si>
    <t>fmt</t>
  </si>
  <si>
    <t>hemL</t>
  </si>
  <si>
    <t>htpX</t>
  </si>
  <si>
    <t>argE</t>
  </si>
  <si>
    <t>mak</t>
  </si>
  <si>
    <t>lnt</t>
  </si>
  <si>
    <t>dcp</t>
  </si>
  <si>
    <t>rfaC</t>
  </si>
  <si>
    <t>yffB</t>
  </si>
  <si>
    <t>accC</t>
  </si>
  <si>
    <t>fdnG</t>
  </si>
  <si>
    <t>folD</t>
  </si>
  <si>
    <t>mrr</t>
  </si>
  <si>
    <t>yjiA</t>
  </si>
  <si>
    <t>lpxM</t>
  </si>
  <si>
    <t>uxuA</t>
  </si>
  <si>
    <t>hmp</t>
  </si>
  <si>
    <t>ascG</t>
  </si>
  <si>
    <t>crl</t>
  </si>
  <si>
    <t>ptrB</t>
  </si>
  <si>
    <t>tehB</t>
  </si>
  <si>
    <t>frmA</t>
  </si>
  <si>
    <t>acnA</t>
  </si>
  <si>
    <t>hflX</t>
  </si>
  <si>
    <t>mnmE</t>
  </si>
  <si>
    <t>codA</t>
  </si>
  <si>
    <t>gabD</t>
  </si>
  <si>
    <t>ubiI</t>
  </si>
  <si>
    <t>yhdE</t>
  </si>
  <si>
    <t>ribD</t>
  </si>
  <si>
    <t>gppA</t>
  </si>
  <si>
    <t>aldA</t>
  </si>
  <si>
    <t>yidC</t>
  </si>
  <si>
    <t>mnmA</t>
  </si>
  <si>
    <t>preA</t>
  </si>
  <si>
    <t>loiP</t>
  </si>
  <si>
    <t>ydbC</t>
  </si>
  <si>
    <t>amyA</t>
  </si>
  <si>
    <t>maeA</t>
  </si>
  <si>
    <t>acuI</t>
  </si>
  <si>
    <t>plsC</t>
  </si>
  <si>
    <t>ftsP</t>
  </si>
  <si>
    <t>glgS</t>
  </si>
  <si>
    <t>yfeD</t>
  </si>
  <si>
    <t>plsX</t>
  </si>
  <si>
    <t>gcvT</t>
  </si>
  <si>
    <t>ahr</t>
  </si>
  <si>
    <t>nadR</t>
  </si>
  <si>
    <t>prlC</t>
  </si>
  <si>
    <t>tktA</t>
  </si>
  <si>
    <t>emrA</t>
  </si>
  <si>
    <t>sthA</t>
  </si>
  <si>
    <t>roxA</t>
  </si>
  <si>
    <t>rodZ</t>
  </si>
  <si>
    <t>acs</t>
  </si>
  <si>
    <t>wecB</t>
  </si>
  <si>
    <t>wecC</t>
  </si>
  <si>
    <t>wecE</t>
  </si>
  <si>
    <t>cyaY</t>
  </si>
  <si>
    <t>yigL</t>
  </si>
  <si>
    <t>yigZ</t>
  </si>
  <si>
    <t>mliC</t>
  </si>
  <si>
    <t>dcd</t>
  </si>
  <si>
    <t>asmA</t>
  </si>
  <si>
    <t>qorA</t>
  </si>
  <si>
    <t>mltG</t>
  </si>
  <si>
    <t>trmO</t>
  </si>
  <si>
    <t>metQ</t>
  </si>
  <si>
    <t>fpr</t>
  </si>
  <si>
    <t>treC</t>
  </si>
  <si>
    <t>holC</t>
  </si>
  <si>
    <t>dadX</t>
  </si>
  <si>
    <t>ycgB</t>
  </si>
  <si>
    <t>ftsN</t>
  </si>
  <si>
    <t>yceH</t>
  </si>
  <si>
    <t>hemE</t>
  </si>
  <si>
    <t>pepT</t>
  </si>
  <si>
    <t>nadC</t>
  </si>
  <si>
    <t>rnt</t>
  </si>
  <si>
    <t>leuB</t>
  </si>
  <si>
    <t>leuD</t>
  </si>
  <si>
    <t>ybiB</t>
  </si>
  <si>
    <t>ybiC</t>
  </si>
  <si>
    <t>metN</t>
  </si>
  <si>
    <t>rnb</t>
  </si>
  <si>
    <t>artI</t>
  </si>
  <si>
    <t>artJ</t>
  </si>
  <si>
    <t>dkgB</t>
  </si>
  <si>
    <t>yafC</t>
  </si>
  <si>
    <t>glnE</t>
  </si>
  <si>
    <t>ygiF</t>
  </si>
  <si>
    <t>mfd</t>
  </si>
  <si>
    <t>panB</t>
  </si>
  <si>
    <t>yedD</t>
  </si>
  <si>
    <t>fliH</t>
  </si>
  <si>
    <t>kch</t>
  </si>
  <si>
    <t>aas</t>
  </si>
  <si>
    <t>glmM</t>
  </si>
  <si>
    <t>ydeI</t>
  </si>
  <si>
    <t>ydeJ</t>
  </si>
  <si>
    <t>potF</t>
  </si>
  <si>
    <t>sseA</t>
  </si>
  <si>
    <t>acrB</t>
  </si>
  <si>
    <t>yicH</t>
  </si>
  <si>
    <t>ade</t>
  </si>
  <si>
    <t>yidR</t>
  </si>
  <si>
    <t>dgoR</t>
  </si>
  <si>
    <t>yieP</t>
  </si>
  <si>
    <t>thiB</t>
  </si>
  <si>
    <t>lptD</t>
  </si>
  <si>
    <t>hchA</t>
  </si>
  <si>
    <t>prpC</t>
  </si>
  <si>
    <t>panC</t>
  </si>
  <si>
    <t>otsA</t>
  </si>
  <si>
    <t>narP</t>
  </si>
  <si>
    <t>nnr</t>
  </si>
  <si>
    <t>yciK</t>
  </si>
  <si>
    <t>nuoF</t>
  </si>
  <si>
    <t>lplA</t>
  </si>
  <si>
    <t>hemN</t>
  </si>
  <si>
    <t>typA</t>
  </si>
  <si>
    <t>yiiM</t>
  </si>
  <si>
    <t>yiiQ</t>
  </si>
  <si>
    <t>yiiS</t>
  </si>
  <si>
    <t>fdoG</t>
  </si>
  <si>
    <t>fdhD</t>
  </si>
  <si>
    <t>gph</t>
  </si>
  <si>
    <t>nudC</t>
  </si>
  <si>
    <t>fsaB</t>
  </si>
  <si>
    <t>yjaG</t>
  </si>
  <si>
    <t>rluF</t>
  </si>
  <si>
    <t>dusA</t>
  </si>
  <si>
    <t>actP</t>
  </si>
  <si>
    <t>mdtO</t>
  </si>
  <si>
    <t>sbmC</t>
  </si>
  <si>
    <t>yeiR</t>
  </si>
  <si>
    <t>mdoG</t>
  </si>
  <si>
    <t>gcvP</t>
  </si>
  <si>
    <t>yebE</t>
  </si>
  <si>
    <t>yebF</t>
  </si>
  <si>
    <t>purT</t>
  </si>
  <si>
    <t>aidB</t>
  </si>
  <si>
    <t>torA</t>
  </si>
  <si>
    <t>yehS</t>
  </si>
  <si>
    <t>yehX</t>
  </si>
  <si>
    <t>yehZ</t>
  </si>
  <si>
    <t>bglX</t>
  </si>
  <si>
    <t>yohF</t>
  </si>
  <si>
    <t>tktB</t>
  </si>
  <si>
    <t>nikA</t>
  </si>
  <si>
    <t>nuoC</t>
  </si>
  <si>
    <t>nuoG</t>
  </si>
  <si>
    <t>rluD</t>
  </si>
  <si>
    <t>yfiH</t>
  </si>
  <si>
    <t>yejA</t>
  </si>
  <si>
    <t>yejF</t>
  </si>
  <si>
    <t>napA</t>
  </si>
  <si>
    <t>ydcF</t>
  </si>
  <si>
    <t>ahpF</t>
  </si>
  <si>
    <t>cueO</t>
  </si>
  <si>
    <t>cbpA</t>
  </si>
  <si>
    <t>treB</t>
  </si>
  <si>
    <t>zapD</t>
  </si>
  <si>
    <t>acnB</t>
  </si>
  <si>
    <t>rdgC</t>
  </si>
  <si>
    <t>lrhA</t>
  </si>
  <si>
    <t>yadG</t>
  </si>
  <si>
    <t>rsmB</t>
  </si>
  <si>
    <t>pgm</t>
  </si>
  <si>
    <t>rlmN</t>
  </si>
  <si>
    <t>purU</t>
  </si>
  <si>
    <t>pepB</t>
  </si>
  <si>
    <t>nudK</t>
  </si>
  <si>
    <t>fxsA</t>
  </si>
  <si>
    <t>hybD</t>
  </si>
  <si>
    <t>gatB</t>
  </si>
  <si>
    <t>slp</t>
  </si>
  <si>
    <t>dppF</t>
  </si>
  <si>
    <t>ybcH</t>
  </si>
  <si>
    <t>modA</t>
  </si>
  <si>
    <t>glcB</t>
  </si>
  <si>
    <t>lhgO</t>
  </si>
  <si>
    <t>mdtK</t>
  </si>
  <si>
    <t>yjjI</t>
  </si>
  <si>
    <t>dhaM</t>
  </si>
  <si>
    <t>rpiB</t>
  </si>
  <si>
    <t>xylF</t>
  </si>
  <si>
    <t>ucpA</t>
  </si>
  <si>
    <t>iaaA</t>
  </si>
  <si>
    <t>panM</t>
  </si>
  <si>
    <t>zntA</t>
  </si>
  <si>
    <t>yhiI</t>
  </si>
  <si>
    <t>yhiN</t>
  </si>
  <si>
    <t>mdtE</t>
  </si>
  <si>
    <t>mdtF</t>
  </si>
  <si>
    <t>yhjD</t>
  </si>
  <si>
    <t>yhjG</t>
  </si>
  <si>
    <t>kdgK</t>
  </si>
  <si>
    <t>yhjJ</t>
  </si>
  <si>
    <t>bcsG</t>
  </si>
  <si>
    <t>yiaD</t>
  </si>
  <si>
    <t>ghrB</t>
  </si>
  <si>
    <t>aldB</t>
  </si>
  <si>
    <t>gpmI</t>
  </si>
  <si>
    <t>envC</t>
  </si>
  <si>
    <t>rfbA</t>
  </si>
  <si>
    <t>glf</t>
  </si>
  <si>
    <t>wbbJ</t>
  </si>
  <si>
    <t>rfbB</t>
  </si>
  <si>
    <t>rfbD</t>
  </si>
  <si>
    <t>rluB</t>
  </si>
  <si>
    <t>yfhH</t>
  </si>
  <si>
    <t>mpl</t>
  </si>
  <si>
    <t>chbG</t>
  </si>
  <si>
    <t>gltI</t>
  </si>
  <si>
    <t>uspF</t>
  </si>
  <si>
    <t>cysJ</t>
  </si>
  <si>
    <t>menF</t>
  </si>
  <si>
    <t>nfsB</t>
  </si>
  <si>
    <t>degQ</t>
  </si>
  <si>
    <t>uxuB</t>
  </si>
  <si>
    <t>znuA</t>
  </si>
  <si>
    <t>yeaD</t>
  </si>
  <si>
    <t>erfK</t>
  </si>
  <si>
    <t>uspG</t>
  </si>
  <si>
    <t>ytfJ</t>
  </si>
  <si>
    <t>prmB</t>
  </si>
  <si>
    <t>alsB</t>
  </si>
  <si>
    <t>yjdJ</t>
  </si>
  <si>
    <t>mscM</t>
  </si>
  <si>
    <t>rsgA</t>
  </si>
  <si>
    <t>bsmA</t>
  </si>
  <si>
    <t>yjfP</t>
  </si>
  <si>
    <t>ytfB</t>
  </si>
  <si>
    <t>qorB</t>
  </si>
  <si>
    <t>tamB</t>
  </si>
  <si>
    <t>ytfQ</t>
  </si>
  <si>
    <t>yjgH</t>
  </si>
  <si>
    <t>yjgM</t>
  </si>
  <si>
    <t>yjgR</t>
  </si>
  <si>
    <t>yjhU</t>
  </si>
  <si>
    <t>yjhG</t>
  </si>
  <si>
    <t>sgcA</t>
  </si>
  <si>
    <t>sgcX</t>
  </si>
  <si>
    <t>nanM</t>
  </si>
  <si>
    <t>iadA</t>
  </si>
  <si>
    <t>yjiN</t>
  </si>
  <si>
    <t>rsmC</t>
  </si>
  <si>
    <t>yjjU</t>
  </si>
  <si>
    <t>yjjV</t>
  </si>
  <si>
    <t>yjjX</t>
  </si>
  <si>
    <t>adhP</t>
  </si>
  <si>
    <t>ybaL</t>
  </si>
  <si>
    <t>ydfG</t>
  </si>
  <si>
    <t>rcsD</t>
  </si>
  <si>
    <t>mdoD</t>
  </si>
  <si>
    <t>pdxK</t>
  </si>
  <si>
    <t>nlpE</t>
  </si>
  <si>
    <t>solA</t>
  </si>
  <si>
    <t>ybiI</t>
  </si>
  <si>
    <t>azoR</t>
  </si>
  <si>
    <t>rihA</t>
  </si>
  <si>
    <t>ygjH</t>
  </si>
  <si>
    <t>ygjK</t>
  </si>
  <si>
    <t>fadH</t>
  </si>
  <si>
    <t>ygjR</t>
  </si>
  <si>
    <t>uxaA</t>
  </si>
  <si>
    <t>yqjC</t>
  </si>
  <si>
    <t>yqjG</t>
  </si>
  <si>
    <t>obgE</t>
  </si>
  <si>
    <t>agaV</t>
  </si>
  <si>
    <t>lpxH</t>
  </si>
  <si>
    <t>pqiB</t>
  </si>
  <si>
    <t>uup</t>
  </si>
  <si>
    <t>kdsD</t>
  </si>
  <si>
    <t>yhcH</t>
  </si>
  <si>
    <t>nanK</t>
  </si>
  <si>
    <t>lpoA</t>
  </si>
  <si>
    <t>yhbO</t>
  </si>
  <si>
    <t>fkpA</t>
  </si>
  <si>
    <t>tusB</t>
  </si>
  <si>
    <t>dxr</t>
  </si>
  <si>
    <t>proQ</t>
  </si>
  <si>
    <t>luxS</t>
  </si>
  <si>
    <t>tsaC</t>
  </si>
  <si>
    <t>yrdD</t>
  </si>
  <si>
    <t>nudE</t>
  </si>
  <si>
    <t>cpoB</t>
  </si>
  <si>
    <t>yajI</t>
  </si>
  <si>
    <t>yedI</t>
  </si>
  <si>
    <t>ybhC</t>
  </si>
  <si>
    <t>yhdP</t>
  </si>
  <si>
    <t>yhgF</t>
  </si>
  <si>
    <t>rtcA</t>
  </si>
  <si>
    <t>yhhW</t>
  </si>
  <si>
    <t>yhhX</t>
  </si>
  <si>
    <t>aer</t>
  </si>
  <si>
    <t>yaiL</t>
  </si>
  <si>
    <t>ycjG</t>
  </si>
  <si>
    <t>yecM</t>
  </si>
  <si>
    <t>yggU</t>
  </si>
  <si>
    <t>rdgB</t>
  </si>
  <si>
    <t>glcE</t>
  </si>
  <si>
    <t>yaeR</t>
  </si>
  <si>
    <t>tilS</t>
  </si>
  <si>
    <t>rstA</t>
  </si>
  <si>
    <t>ratB</t>
  </si>
  <si>
    <t>fliI</t>
  </si>
  <si>
    <t>ldhA</t>
  </si>
  <si>
    <t>ydbK</t>
  </si>
  <si>
    <t>pgl</t>
  </si>
  <si>
    <t>ygaP</t>
  </si>
  <si>
    <t>ysgA</t>
  </si>
  <si>
    <t>srlE</t>
  </si>
  <si>
    <t>rapA</t>
  </si>
  <si>
    <t>mukF</t>
  </si>
  <si>
    <t>truB</t>
  </si>
  <si>
    <t>rsmH</t>
  </si>
  <si>
    <t>rplB</t>
  </si>
  <si>
    <t>rplC</t>
  </si>
  <si>
    <t>gmk</t>
  </si>
  <si>
    <t>guaC</t>
  </si>
  <si>
    <t>fixA</t>
  </si>
  <si>
    <t>hisH</t>
  </si>
  <si>
    <t>rplX</t>
  </si>
  <si>
    <t>speB</t>
  </si>
  <si>
    <t>hisF</t>
  </si>
  <si>
    <t>lipA</t>
  </si>
  <si>
    <t>rplD</t>
  </si>
  <si>
    <t>msbA</t>
  </si>
  <si>
    <t>hisG</t>
  </si>
  <si>
    <t>lepA</t>
  </si>
  <si>
    <t>yidE</t>
  </si>
  <si>
    <t>hisS</t>
  </si>
  <si>
    <t>rplV</t>
  </si>
  <si>
    <t>lolA</t>
  </si>
  <si>
    <t>lolB</t>
  </si>
  <si>
    <t>can</t>
  </si>
  <si>
    <t>ribE</t>
  </si>
  <si>
    <t>mdh</t>
  </si>
  <si>
    <t>fldA</t>
  </si>
  <si>
    <t>rplE</t>
  </si>
  <si>
    <t>mdoH</t>
  </si>
  <si>
    <t>ispE</t>
  </si>
  <si>
    <t>ispF</t>
  </si>
  <si>
    <t>ispG</t>
  </si>
  <si>
    <t>ispH</t>
  </si>
  <si>
    <t>apaG</t>
  </si>
  <si>
    <t>gpmA</t>
  </si>
  <si>
    <t>yaeH</t>
  </si>
  <si>
    <t>nfuA</t>
  </si>
  <si>
    <t>rlmB</t>
  </si>
  <si>
    <t>gmhA</t>
  </si>
  <si>
    <t>gmhB</t>
  </si>
  <si>
    <t>gadC</t>
  </si>
  <si>
    <t>clpB</t>
  </si>
  <si>
    <t>mlaF</t>
  </si>
  <si>
    <t>yheS</t>
  </si>
  <si>
    <t>yhbS</t>
  </si>
  <si>
    <t>amiC</t>
  </si>
  <si>
    <t>zntB</t>
  </si>
  <si>
    <t>ypfJ</t>
  </si>
  <si>
    <t>ydcL</t>
  </si>
  <si>
    <t>ydcY</t>
  </si>
  <si>
    <t>lsrG</t>
  </si>
  <si>
    <t>ydfZ</t>
  </si>
  <si>
    <t>cnu</t>
  </si>
  <si>
    <t>ydiZ</t>
  </si>
  <si>
    <t>yeaK</t>
  </si>
  <si>
    <t>yebV</t>
  </si>
  <si>
    <t>yebY</t>
  </si>
  <si>
    <t>yecN</t>
  </si>
  <si>
    <t>yodD</t>
  </si>
  <si>
    <t>rcnR</t>
  </si>
  <si>
    <t>rcnB</t>
  </si>
  <si>
    <t>queE</t>
  </si>
  <si>
    <t>yggT</t>
  </si>
  <si>
    <t>yqjD</t>
  </si>
  <si>
    <t>yqjE</t>
  </si>
  <si>
    <t>yqjI</t>
  </si>
  <si>
    <t>yraP</t>
  </si>
  <si>
    <t>mlaB</t>
  </si>
  <si>
    <t>mlaD</t>
  </si>
  <si>
    <t>mlaE</t>
  </si>
  <si>
    <t>yhcO</t>
  </si>
  <si>
    <t>yheO</t>
  </si>
  <si>
    <t>ygdI</t>
  </si>
  <si>
    <t>yqcA</t>
  </si>
  <si>
    <t>yfcD</t>
  </si>
  <si>
    <t>ygeY</t>
  </si>
  <si>
    <t>queD</t>
  </si>
  <si>
    <t>ygeX</t>
  </si>
  <si>
    <t>bepA</t>
  </si>
  <si>
    <t>yggS</t>
  </si>
  <si>
    <t>rsmI</t>
  </si>
  <si>
    <t>yfcE</t>
  </si>
  <si>
    <t>yqhA</t>
  </si>
  <si>
    <t>yqfB</t>
  </si>
  <si>
    <t>yhaJ</t>
  </si>
  <si>
    <t>cutC</t>
  </si>
  <si>
    <t>hldD</t>
  </si>
  <si>
    <t>grcA</t>
  </si>
  <si>
    <t>malK</t>
  </si>
  <si>
    <t>sra</t>
  </si>
  <si>
    <t>yjbJ</t>
  </si>
  <si>
    <t>rpsU</t>
  </si>
  <si>
    <t>grxA</t>
  </si>
  <si>
    <t>atpE</t>
  </si>
  <si>
    <t>pepA</t>
  </si>
  <si>
    <t>rplY</t>
  </si>
  <si>
    <t>sdhC</t>
  </si>
  <si>
    <t>infA</t>
  </si>
  <si>
    <t>baeR</t>
  </si>
  <si>
    <t>yefM</t>
  </si>
  <si>
    <t>rcsF</t>
  </si>
  <si>
    <t>tatB</t>
  </si>
  <si>
    <t>tatA</t>
  </si>
  <si>
    <t>adk</t>
  </si>
  <si>
    <t>fadD</t>
  </si>
  <si>
    <t>cutA</t>
  </si>
  <si>
    <t>apt</t>
  </si>
  <si>
    <t>ytfE</t>
  </si>
  <si>
    <t>hybO</t>
  </si>
  <si>
    <t>lpp</t>
  </si>
  <si>
    <t>crr</t>
  </si>
  <si>
    <t>ptsG</t>
  </si>
  <si>
    <t>chbB</t>
  </si>
  <si>
    <t>manX</t>
  </si>
  <si>
    <t>manZ</t>
  </si>
  <si>
    <t>fruB</t>
  </si>
  <si>
    <t>ulaB</t>
  </si>
  <si>
    <t>gatA</t>
  </si>
  <si>
    <t>ptsN</t>
  </si>
  <si>
    <t>dmsD</t>
  </si>
  <si>
    <t>potA</t>
  </si>
  <si>
    <t>gadA</t>
  </si>
  <si>
    <t>gadB</t>
  </si>
  <si>
    <t>csrA</t>
  </si>
  <si>
    <t>fucI</t>
  </si>
  <si>
    <t>nrdB</t>
  </si>
  <si>
    <t>yagE</t>
  </si>
  <si>
    <t>yahK</t>
  </si>
  <si>
    <t>yahO</t>
  </si>
  <si>
    <t>allE</t>
  </si>
  <si>
    <t>ubiF</t>
  </si>
  <si>
    <t>ybfF</t>
  </si>
  <si>
    <t>ybgK</t>
  </si>
  <si>
    <t>ybhK</t>
  </si>
  <si>
    <t>ybhG</t>
  </si>
  <si>
    <t>ybiV</t>
  </si>
  <si>
    <t>gsiB</t>
  </si>
  <si>
    <t>ybjP</t>
  </si>
  <si>
    <t>ycbX</t>
  </si>
  <si>
    <t>rlmL</t>
  </si>
  <si>
    <t>yccU</t>
  </si>
  <si>
    <t>rlmI</t>
  </si>
  <si>
    <t>ghrA</t>
  </si>
  <si>
    <t>ycdX</t>
  </si>
  <si>
    <t>ycdY</t>
  </si>
  <si>
    <t>yceM</t>
  </si>
  <si>
    <t>flgE</t>
  </si>
  <si>
    <t>comR</t>
  </si>
  <si>
    <t>nagK</t>
  </si>
  <si>
    <t>cobB</t>
  </si>
  <si>
    <t>cohE</t>
  </si>
  <si>
    <t>croE</t>
  </si>
  <si>
    <t>jayE</t>
  </si>
  <si>
    <t>ycgJ</t>
  </si>
  <si>
    <t>pliG</t>
  </si>
  <si>
    <t>ycgM</t>
  </si>
  <si>
    <t>ldcA</t>
  </si>
  <si>
    <t>dhaL</t>
  </si>
  <si>
    <t>dhaK</t>
  </si>
  <si>
    <t>oppD</t>
  </si>
  <si>
    <t>ycjX</t>
  </si>
  <si>
    <t>ycjY</t>
  </si>
  <si>
    <t>ttcA</t>
  </si>
  <si>
    <t>racR</t>
  </si>
  <si>
    <t>ydcJ</t>
  </si>
  <si>
    <t>ydcS</t>
  </si>
  <si>
    <t>curA</t>
  </si>
  <si>
    <t>yncE</t>
  </si>
  <si>
    <t>yddH</t>
  </si>
  <si>
    <t>ddpA</t>
  </si>
  <si>
    <t>lsrB</t>
  </si>
  <si>
    <t>lsrF</t>
  </si>
  <si>
    <t>tam</t>
  </si>
  <si>
    <t>sad</t>
  </si>
  <si>
    <t>ynfD</t>
  </si>
  <si>
    <t>ynfH</t>
  </si>
  <si>
    <t>ydgD</t>
  </si>
  <si>
    <t>ydgH</t>
  </si>
  <si>
    <t>ydhF</t>
  </si>
  <si>
    <t>ydhV</t>
  </si>
  <si>
    <t>ynhG</t>
  </si>
  <si>
    <t>sufE</t>
  </si>
  <si>
    <t>astB</t>
  </si>
  <si>
    <t>astD</t>
  </si>
  <si>
    <t>ydjY</t>
  </si>
  <si>
    <t>ynjB</t>
  </si>
  <si>
    <t>ynjH</t>
  </si>
  <si>
    <t>yeaH</t>
  </si>
  <si>
    <t>yeaO</t>
  </si>
  <si>
    <t>dmlA</t>
  </si>
  <si>
    <t>tsaB</t>
  </si>
  <si>
    <t>kdgR</t>
  </si>
  <si>
    <t>msrC</t>
  </si>
  <si>
    <t>yebT</t>
  </si>
  <si>
    <t>cmoA</t>
  </si>
  <si>
    <t>cmoB</t>
  </si>
  <si>
    <t>flhE</t>
  </si>
  <si>
    <t>flhA</t>
  </si>
  <si>
    <t>yecR</t>
  </si>
  <si>
    <t>dcyD</t>
  </si>
  <si>
    <t>yedK</t>
  </si>
  <si>
    <t>yedP</t>
  </si>
  <si>
    <t>yedQ</t>
  </si>
  <si>
    <t>msrP</t>
  </si>
  <si>
    <t>mtfA</t>
  </si>
  <si>
    <t>wzzB</t>
  </si>
  <si>
    <t>yegH</t>
  </si>
  <si>
    <t>mdtA</t>
  </si>
  <si>
    <t>yegP</t>
  </si>
  <si>
    <t>yegQ</t>
  </si>
  <si>
    <t>yegS</t>
  </si>
  <si>
    <t>preT</t>
  </si>
  <si>
    <t>lpxT</t>
  </si>
  <si>
    <t>sixA</t>
  </si>
  <si>
    <t>mlaA</t>
  </si>
  <si>
    <t>yfdY</t>
  </si>
  <si>
    <t>murQ</t>
  </si>
  <si>
    <t>yfeX</t>
  </si>
  <si>
    <t>yfeY</t>
  </si>
  <si>
    <t>eutL</t>
  </si>
  <si>
    <t>yffS</t>
  </si>
  <si>
    <t>maeB</t>
  </si>
  <si>
    <t>ypfH</t>
  </si>
  <si>
    <t>yfgD</t>
  </si>
  <si>
    <t>yfgJ</t>
  </si>
  <si>
    <t>yfgM</t>
  </si>
  <si>
    <t>yfhM</t>
  </si>
  <si>
    <t>csiD</t>
  </si>
  <si>
    <t>hldE</t>
  </si>
  <si>
    <t>ydhS</t>
  </si>
  <si>
    <t>ykfB</t>
  </si>
  <si>
    <t>zipA</t>
  </si>
  <si>
    <t>paaY</t>
  </si>
  <si>
    <t>dsbG</t>
  </si>
  <si>
    <t>rclA</t>
  </si>
  <si>
    <t>ybdK</t>
  </si>
  <si>
    <t>prpD</t>
  </si>
  <si>
    <t>yniC</t>
  </si>
  <si>
    <t>ykgE</t>
  </si>
  <si>
    <t>nemA</t>
  </si>
  <si>
    <t>yphF</t>
  </si>
  <si>
    <t>fetA</t>
  </si>
  <si>
    <t>rsxG</t>
  </si>
  <si>
    <t>ydeN</t>
  </si>
  <si>
    <t>borD</t>
  </si>
  <si>
    <t>mscK</t>
  </si>
  <si>
    <t>mppA</t>
  </si>
  <si>
    <t>glxK</t>
  </si>
  <si>
    <t>ybcL</t>
  </si>
  <si>
    <t>ybbN</t>
  </si>
  <si>
    <t>ykgG</t>
  </si>
  <si>
    <t>sufS</t>
  </si>
  <si>
    <t>glsA1</t>
  </si>
  <si>
    <t>dxs</t>
  </si>
  <si>
    <t>sufC</t>
  </si>
  <si>
    <t>sufB</t>
  </si>
  <si>
    <t>yfcG</t>
  </si>
  <si>
    <t>ydjN</t>
  </si>
  <si>
    <t>prpB</t>
  </si>
  <si>
    <t>yfcF</t>
  </si>
  <si>
    <t>ydhQ</t>
  </si>
  <si>
    <t>yahJ</t>
  </si>
  <si>
    <t>astC</t>
  </si>
  <si>
    <t>rsxC</t>
  </si>
  <si>
    <t>yfbT</t>
  </si>
  <si>
    <t>allB</t>
  </si>
  <si>
    <t>prr</t>
  </si>
  <si>
    <t>sufD</t>
  </si>
  <si>
    <t>gnsB</t>
  </si>
  <si>
    <t>fadM</t>
  </si>
  <si>
    <t>yagH</t>
  </si>
  <si>
    <t>ybaY</t>
  </si>
  <si>
    <t>thiI</t>
  </si>
  <si>
    <t>ydjF</t>
  </si>
  <si>
    <t>yajO</t>
  </si>
  <si>
    <t>oppF</t>
  </si>
  <si>
    <t>yniA</t>
  </si>
  <si>
    <t>ydiJ</t>
  </si>
  <si>
    <t>spy</t>
  </si>
  <si>
    <t>bamB</t>
  </si>
  <si>
    <t>yfcH</t>
  </si>
  <si>
    <t>maa</t>
  </si>
  <si>
    <t>ydgA</t>
  </si>
  <si>
    <t>yfaY</t>
  </si>
  <si>
    <t>fsaA</t>
  </si>
  <si>
    <t>ynjE</t>
  </si>
  <si>
    <t>feaB</t>
  </si>
  <si>
    <t>yibT</t>
  </si>
  <si>
    <t>yobH</t>
  </si>
  <si>
    <t>xdhA</t>
  </si>
  <si>
    <t>ygeW</t>
  </si>
  <si>
    <t>yqeA</t>
  </si>
  <si>
    <t>ygfK</t>
  </si>
  <si>
    <t>idi</t>
  </si>
  <si>
    <t>bglA</t>
  </si>
  <si>
    <t>yghU</t>
  </si>
  <si>
    <t>gpr</t>
  </si>
  <si>
    <t>yqhD</t>
  </si>
  <si>
    <t>dkgA</t>
  </si>
  <si>
    <t>ygiS</t>
  </si>
  <si>
    <t>mqsA</t>
  </si>
  <si>
    <t>yqiC</t>
  </si>
  <si>
    <t>yqjH</t>
  </si>
  <si>
    <t>ispD</t>
  </si>
  <si>
    <t>queF</t>
  </si>
  <si>
    <t>kduI</t>
  </si>
  <si>
    <t>yajL</t>
  </si>
  <si>
    <t>fadE</t>
  </si>
  <si>
    <t>yafJ</t>
  </si>
  <si>
    <t>dinJ</t>
  </si>
  <si>
    <t>yafO</t>
  </si>
  <si>
    <t>sapA</t>
  </si>
  <si>
    <t>yafV</t>
  </si>
  <si>
    <t>truD</t>
  </si>
  <si>
    <t>copA</t>
  </si>
  <si>
    <t>nudF</t>
  </si>
  <si>
    <t>kgtP</t>
  </si>
  <si>
    <t>yrdA</t>
  </si>
  <si>
    <t>mobB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</si>
</sst>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59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0.999998419929286</v>
      </c>
      <c r="C2">
        <v>1.38718408588007</v>
      </c>
      <c r="D2">
        <v>0.7767810491913461</v>
      </c>
      <c r="E2">
        <v>0.412699512032627</v>
      </c>
      <c r="F2">
        <v>0.33057854347299</v>
      </c>
      <c r="G2">
        <v>0.260775970072201</v>
      </c>
      <c r="H2">
        <v>0.109133387884916</v>
      </c>
      <c r="I2">
        <v>0.0662144444748337</v>
      </c>
      <c r="J2">
        <v>0.0558772236288792</v>
      </c>
      <c r="K2">
        <v>0.0543380319346394</v>
      </c>
      <c r="L2">
        <v>1028.39716984463</v>
      </c>
      <c r="M2">
        <v>22.3579480039983</v>
      </c>
      <c r="N2">
        <v>46.5025469481966</v>
      </c>
      <c r="O2">
        <v>45.633715897001</v>
      </c>
      <c r="P2">
        <v>-0.109272059122781</v>
      </c>
      <c r="Q2">
        <v>0.107899378792986</v>
      </c>
      <c r="R2">
        <v>0.887025576229267</v>
      </c>
      <c r="S2" t="s">
        <v>1686</v>
      </c>
      <c r="T2" t="s">
        <v>3344</v>
      </c>
      <c r="U2" t="s">
        <v>3344</v>
      </c>
      <c r="V2" t="s">
        <v>3344</v>
      </c>
      <c r="W2" t="s">
        <v>3346</v>
      </c>
      <c r="X2">
        <v>7</v>
      </c>
      <c r="Y2" t="s">
        <v>5001</v>
      </c>
      <c r="Z2" t="s">
        <v>6659</v>
      </c>
      <c r="AA2">
        <v>0.3847310571677308</v>
      </c>
      <c r="AB2">
        <f>HYPERLINK("Melting_Curves/meltCurve_G0ZKW2_lacZ.pdf", "Melting_Curves/meltCurve_G0ZKW2_lacZ.pdf")</f>
        <v>0</v>
      </c>
    </row>
    <row r="3" spans="1:28">
      <c r="A3" t="s">
        <v>29</v>
      </c>
      <c r="B3">
        <v>0.999998419929286</v>
      </c>
      <c r="C3">
        <v>0.962047738266556</v>
      </c>
      <c r="D3">
        <v>0.983435816930971</v>
      </c>
      <c r="E3">
        <v>0.923226514510049</v>
      </c>
      <c r="F3">
        <v>0.9699963584878259</v>
      </c>
      <c r="G3">
        <v>1.01019394619838</v>
      </c>
      <c r="H3">
        <v>0.602775541225706</v>
      </c>
      <c r="I3">
        <v>0.114848912653748</v>
      </c>
      <c r="J3">
        <v>0.0786676188617952</v>
      </c>
      <c r="K3">
        <v>0.0831742237485843</v>
      </c>
      <c r="L3">
        <v>3815.03826386658</v>
      </c>
      <c r="M3">
        <v>66.19064885690381</v>
      </c>
      <c r="N3">
        <v>57.7974296457688</v>
      </c>
      <c r="O3">
        <v>57.5845764307416</v>
      </c>
      <c r="P3">
        <v>-0.263264065820645</v>
      </c>
      <c r="Q3">
        <v>0.0838618024854185</v>
      </c>
      <c r="R3">
        <v>0.99429978953035</v>
      </c>
      <c r="S3" t="s">
        <v>1687</v>
      </c>
      <c r="T3" t="s">
        <v>3344</v>
      </c>
      <c r="U3" t="s">
        <v>3344</v>
      </c>
      <c r="V3" t="s">
        <v>3344</v>
      </c>
      <c r="W3" t="s">
        <v>3347</v>
      </c>
      <c r="X3">
        <v>13</v>
      </c>
      <c r="Y3" t="s">
        <v>5002</v>
      </c>
      <c r="Z3" t="s">
        <v>6660</v>
      </c>
      <c r="AA3">
        <v>0.7153991824311942</v>
      </c>
      <c r="AB3">
        <f>HYPERLINK("Melting_Curves/meltCurve_P00350_gnd.pdf", "Melting_Curves/meltCurve_P00350_gnd.pdf")</f>
        <v>0</v>
      </c>
    </row>
    <row r="4" spans="1:28">
      <c r="A4" t="s">
        <v>30</v>
      </c>
      <c r="B4">
        <v>0.999998419929286</v>
      </c>
      <c r="C4">
        <v>1.17334492632988</v>
      </c>
      <c r="D4">
        <v>0.993368293498697</v>
      </c>
      <c r="E4">
        <v>0.895710056848414</v>
      </c>
      <c r="F4">
        <v>0.334185951472252</v>
      </c>
      <c r="G4">
        <v>0.209755686484019</v>
      </c>
      <c r="H4">
        <v>0.146866282176564</v>
      </c>
      <c r="I4">
        <v>0.126197245923271</v>
      </c>
      <c r="J4">
        <v>0.124616463210748</v>
      </c>
      <c r="K4">
        <v>0.108956007688273</v>
      </c>
      <c r="L4">
        <v>1971.15386263428</v>
      </c>
      <c r="M4">
        <v>40.4066987861181</v>
      </c>
      <c r="N4">
        <v>49.1728629423725</v>
      </c>
      <c r="O4">
        <v>48.6638201310977</v>
      </c>
      <c r="P4">
        <v>-0.179122036249384</v>
      </c>
      <c r="Q4">
        <v>0.137099005693331</v>
      </c>
      <c r="R4">
        <v>0.980659172653555</v>
      </c>
      <c r="S4" t="s">
        <v>1688</v>
      </c>
      <c r="T4" t="s">
        <v>3344</v>
      </c>
      <c r="U4" t="s">
        <v>3344</v>
      </c>
      <c r="V4" t="s">
        <v>3344</v>
      </c>
      <c r="W4" t="s">
        <v>3348</v>
      </c>
      <c r="X4">
        <v>15</v>
      </c>
      <c r="Y4" t="s">
        <v>5003</v>
      </c>
      <c r="Z4" t="s">
        <v>6661</v>
      </c>
      <c r="AA4">
        <v>0.4788639956119171</v>
      </c>
      <c r="AB4">
        <f>HYPERLINK("Melting_Curves/meltCurve_P00363_frdA.pdf", "Melting_Curves/meltCurve_P00363_frdA.pdf")</f>
        <v>0</v>
      </c>
    </row>
    <row r="5" spans="1:28">
      <c r="A5" t="s">
        <v>31</v>
      </c>
      <c r="B5">
        <v>0.999998419929286</v>
      </c>
      <c r="C5">
        <v>1.35965913234197</v>
      </c>
      <c r="D5">
        <v>1.09170536679147</v>
      </c>
      <c r="E5">
        <v>1.13645048434599</v>
      </c>
      <c r="F5">
        <v>1.12643542951793</v>
      </c>
      <c r="G5">
        <v>1.24547484484506</v>
      </c>
      <c r="H5">
        <v>0.874957337918863</v>
      </c>
      <c r="I5">
        <v>0.221414953222226</v>
      </c>
      <c r="J5">
        <v>0.0832905366946942</v>
      </c>
      <c r="K5">
        <v>0.06280119595100669</v>
      </c>
      <c r="L5">
        <v>3532.46828031301</v>
      </c>
      <c r="M5">
        <v>59.5721123902136</v>
      </c>
      <c r="N5">
        <v>59.4447271652989</v>
      </c>
      <c r="O5">
        <v>59.2306163523261</v>
      </c>
      <c r="P5">
        <v>-0.234179217120592</v>
      </c>
      <c r="Q5">
        <v>0.0686529047453671</v>
      </c>
      <c r="R5">
        <v>0.896052956628709</v>
      </c>
      <c r="S5" t="s">
        <v>1689</v>
      </c>
      <c r="T5" t="s">
        <v>3344</v>
      </c>
      <c r="U5" t="s">
        <v>3344</v>
      </c>
      <c r="V5" t="s">
        <v>3344</v>
      </c>
      <c r="W5" t="s">
        <v>3349</v>
      </c>
      <c r="X5">
        <v>8</v>
      </c>
      <c r="Y5" t="s">
        <v>5004</v>
      </c>
      <c r="Z5" t="s">
        <v>6662</v>
      </c>
      <c r="AA5">
        <v>0.7625416510794671</v>
      </c>
      <c r="AB5">
        <f>HYPERLINK("Melting_Curves/meltCurve_P00370_gdhA.pdf", "Melting_Curves/meltCurve_P00370_gdhA.pdf")</f>
        <v>0</v>
      </c>
    </row>
    <row r="6" spans="1:28">
      <c r="A6" t="s">
        <v>32</v>
      </c>
      <c r="B6">
        <v>0.999998419929286</v>
      </c>
      <c r="C6">
        <v>1.13664615503186</v>
      </c>
      <c r="D6">
        <v>0.684516813886227</v>
      </c>
      <c r="E6">
        <v>0.430458062323895</v>
      </c>
      <c r="F6">
        <v>0.291103065602179</v>
      </c>
      <c r="G6">
        <v>0.30508798183732</v>
      </c>
      <c r="H6">
        <v>0.166594506956219</v>
      </c>
      <c r="I6">
        <v>0.116479634418542</v>
      </c>
      <c r="J6">
        <v>0.107240861464679</v>
      </c>
      <c r="K6">
        <v>0.13264748594293</v>
      </c>
      <c r="L6">
        <v>906.289238098719</v>
      </c>
      <c r="M6">
        <v>20.1058435900885</v>
      </c>
      <c r="N6">
        <v>45.9414109270254</v>
      </c>
      <c r="O6">
        <v>44.6371050506543</v>
      </c>
      <c r="P6">
        <v>-0.09485768947943619</v>
      </c>
      <c r="Q6">
        <v>0.157650330164289</v>
      </c>
      <c r="R6">
        <v>0.948848759139188</v>
      </c>
      <c r="S6" t="s">
        <v>1690</v>
      </c>
      <c r="T6" t="s">
        <v>3344</v>
      </c>
      <c r="U6" t="s">
        <v>3344</v>
      </c>
      <c r="V6" t="s">
        <v>3344</v>
      </c>
      <c r="W6" t="s">
        <v>3350</v>
      </c>
      <c r="X6">
        <v>3</v>
      </c>
      <c r="Y6" t="s">
        <v>5005</v>
      </c>
      <c r="Z6" t="s">
        <v>6663</v>
      </c>
      <c r="AA6">
        <v>0.3953470912655888</v>
      </c>
      <c r="AB6">
        <f>HYPERLINK("Melting_Curves/meltCurve_P00393_ndh.pdf", "Melting_Curves/meltCurve_P00393_ndh.pdf")</f>
        <v>0</v>
      </c>
    </row>
    <row r="7" spans="1:28">
      <c r="A7" t="s">
        <v>33</v>
      </c>
      <c r="B7">
        <v>0.999998419929286</v>
      </c>
      <c r="C7">
        <v>0.888056380688182</v>
      </c>
      <c r="D7">
        <v>1.08335253813497</v>
      </c>
      <c r="E7">
        <v>1.36062913997723</v>
      </c>
      <c r="F7">
        <v>1.60916170472475</v>
      </c>
      <c r="G7">
        <v>2.36924012687589</v>
      </c>
      <c r="H7">
        <v>2.15043280676264</v>
      </c>
      <c r="I7">
        <v>1.24674739183308</v>
      </c>
      <c r="J7">
        <v>1.32872785220727</v>
      </c>
      <c r="K7">
        <v>1.29588685417323</v>
      </c>
      <c r="L7">
        <v>2006.32192716664</v>
      </c>
      <c r="M7">
        <v>44.3264409458553</v>
      </c>
      <c r="O7">
        <v>45.1705867175949</v>
      </c>
      <c r="P7">
        <v>0.122664179192916</v>
      </c>
      <c r="Q7">
        <v>1.5</v>
      </c>
      <c r="R7">
        <v>0.359965581748096</v>
      </c>
      <c r="S7" t="s">
        <v>1691</v>
      </c>
      <c r="T7" t="s">
        <v>3344</v>
      </c>
      <c r="U7" t="s">
        <v>3344</v>
      </c>
      <c r="V7" t="s">
        <v>3344</v>
      </c>
      <c r="W7" t="s">
        <v>3351</v>
      </c>
      <c r="X7">
        <v>5</v>
      </c>
      <c r="Y7" t="s">
        <v>5006</v>
      </c>
      <c r="Z7" t="s">
        <v>6664</v>
      </c>
      <c r="AA7">
        <v>1.361020361351443</v>
      </c>
      <c r="AB7">
        <f>HYPERLINK("Melting_Curves/meltCurve_P00448_sodA.pdf", "Melting_Curves/meltCurve_P00448_sodA.pdf")</f>
        <v>0</v>
      </c>
    </row>
    <row r="8" spans="1:28">
      <c r="A8" t="s">
        <v>34</v>
      </c>
      <c r="B8">
        <v>0.999998419929286</v>
      </c>
      <c r="C8">
        <v>1.37567436811266</v>
      </c>
      <c r="D8">
        <v>1.25465693001767</v>
      </c>
      <c r="E8">
        <v>0.685744317696384</v>
      </c>
      <c r="F8">
        <v>0.230871027738184</v>
      </c>
      <c r="G8">
        <v>0.157742053892806</v>
      </c>
      <c r="H8">
        <v>0.08890468347785491</v>
      </c>
      <c r="I8">
        <v>0.06822529774182701</v>
      </c>
      <c r="J8">
        <v>0.0582717918961574</v>
      </c>
      <c r="K8">
        <v>0.0533052133319128</v>
      </c>
      <c r="L8">
        <v>1869.34010149322</v>
      </c>
      <c r="M8">
        <v>39.2677554125218</v>
      </c>
      <c r="N8">
        <v>47.8404692328703</v>
      </c>
      <c r="O8">
        <v>47.4820009684637</v>
      </c>
      <c r="P8">
        <v>-0.188581069910134</v>
      </c>
      <c r="Q8">
        <v>0.0878839957676361</v>
      </c>
      <c r="R8">
        <v>0.913126545765533</v>
      </c>
      <c r="S8" t="s">
        <v>1692</v>
      </c>
      <c r="T8" t="s">
        <v>3344</v>
      </c>
      <c r="U8" t="s">
        <v>3344</v>
      </c>
      <c r="V8" t="s">
        <v>3344</v>
      </c>
      <c r="W8" t="s">
        <v>3352</v>
      </c>
      <c r="X8">
        <v>17</v>
      </c>
      <c r="Y8" t="s">
        <v>5007</v>
      </c>
      <c r="Z8" t="s">
        <v>6665</v>
      </c>
      <c r="AA8">
        <v>0.4134316139602902</v>
      </c>
      <c r="AB8">
        <f>HYPERLINK("Melting_Curves/meltCurve_P00452_nrdA.pdf", "Melting_Curves/meltCurve_P00452_nrdA.pdf")</f>
        <v>0</v>
      </c>
    </row>
    <row r="9" spans="1:28">
      <c r="A9" t="s">
        <v>35</v>
      </c>
      <c r="B9">
        <v>0.999998419929286</v>
      </c>
      <c r="C9">
        <v>0.980746028275296</v>
      </c>
      <c r="D9">
        <v>0.577558841291514</v>
      </c>
      <c r="E9">
        <v>0.464317190145854</v>
      </c>
      <c r="F9">
        <v>0.39087203115265</v>
      </c>
      <c r="G9">
        <v>0.382421318304195</v>
      </c>
      <c r="H9">
        <v>0.210692308413778</v>
      </c>
      <c r="I9">
        <v>0.151229023744741</v>
      </c>
      <c r="J9">
        <v>0.100088907357011</v>
      </c>
      <c r="K9">
        <v>0.0911484293427042</v>
      </c>
      <c r="L9">
        <v>466.163000037782</v>
      </c>
      <c r="M9">
        <v>10.0791031713268</v>
      </c>
      <c r="N9">
        <v>47.1261133451715</v>
      </c>
      <c r="O9">
        <v>44.5404985713065</v>
      </c>
      <c r="P9">
        <v>-0.0517660381661674</v>
      </c>
      <c r="Q9">
        <v>0.0853958113857875</v>
      </c>
      <c r="R9">
        <v>0.939628370504596</v>
      </c>
      <c r="S9" t="s">
        <v>1693</v>
      </c>
      <c r="T9" t="s">
        <v>3344</v>
      </c>
      <c r="U9" t="s">
        <v>3344</v>
      </c>
      <c r="V9" t="s">
        <v>3344</v>
      </c>
      <c r="W9" t="s">
        <v>3353</v>
      </c>
      <c r="X9">
        <v>12</v>
      </c>
      <c r="Y9" t="s">
        <v>5008</v>
      </c>
      <c r="Z9" t="s">
        <v>6666</v>
      </c>
      <c r="AA9">
        <v>0.4084991323489447</v>
      </c>
      <c r="AB9">
        <f>HYPERLINK("Melting_Curves/meltCurve_P00490_malP.pdf", "Melting_Curves/meltCurve_P00490_malP.pdf")</f>
        <v>0</v>
      </c>
    </row>
    <row r="10" spans="1:28">
      <c r="A10" t="s">
        <v>36</v>
      </c>
      <c r="B10">
        <v>0.999998419929286</v>
      </c>
      <c r="C10">
        <v>1.05995957150843</v>
      </c>
      <c r="D10">
        <v>1.22089136638068</v>
      </c>
      <c r="E10">
        <v>1.42625724923887</v>
      </c>
      <c r="F10">
        <v>1.75956188852295</v>
      </c>
      <c r="G10">
        <v>2.08494619417971</v>
      </c>
      <c r="H10">
        <v>1.36890997857706</v>
      </c>
      <c r="I10">
        <v>0.389675859783787</v>
      </c>
      <c r="J10">
        <v>0.160643908441813</v>
      </c>
      <c r="K10">
        <v>0.129970379722343</v>
      </c>
      <c r="L10">
        <v>15000</v>
      </c>
      <c r="M10">
        <v>246.816938844767</v>
      </c>
      <c r="N10">
        <v>60.8584467731517</v>
      </c>
      <c r="O10">
        <v>60.7697969012616</v>
      </c>
      <c r="P10">
        <v>-0.867836717272559</v>
      </c>
      <c r="Q10">
        <v>0.145305650128444</v>
      </c>
      <c r="R10">
        <v>0.458275555040039</v>
      </c>
      <c r="S10" t="s">
        <v>1694</v>
      </c>
      <c r="T10" t="s">
        <v>3344</v>
      </c>
      <c r="U10" t="s">
        <v>3344</v>
      </c>
      <c r="V10" t="s">
        <v>3344</v>
      </c>
      <c r="W10" t="s">
        <v>3354</v>
      </c>
      <c r="X10">
        <v>17</v>
      </c>
      <c r="Y10" t="s">
        <v>5009</v>
      </c>
      <c r="Z10" t="s">
        <v>6667</v>
      </c>
      <c r="AA10">
        <v>0.8227098823900671</v>
      </c>
      <c r="AB10">
        <f>HYPERLINK("Melting_Curves/meltCurve_P00509_aspC.pdf", "Melting_Curves/meltCurve_P00509_aspC.pdf")</f>
        <v>0</v>
      </c>
    </row>
    <row r="11" spans="1:28">
      <c r="A11" t="s">
        <v>37</v>
      </c>
      <c r="B11">
        <v>0.999998419929286</v>
      </c>
      <c r="C11">
        <v>1.04889912183043</v>
      </c>
      <c r="D11">
        <v>0.727481048139771</v>
      </c>
      <c r="E11">
        <v>0.972159708990246</v>
      </c>
      <c r="F11">
        <v>0.997795185872662</v>
      </c>
      <c r="G11">
        <v>1.12104492430015</v>
      </c>
      <c r="H11">
        <v>0.965319505656655</v>
      </c>
      <c r="I11">
        <v>0.878690601189931</v>
      </c>
      <c r="J11">
        <v>0.694076307414485</v>
      </c>
      <c r="K11">
        <v>0.754473913535273</v>
      </c>
      <c r="L11">
        <v>15000</v>
      </c>
      <c r="M11">
        <v>245.660347329192</v>
      </c>
      <c r="O11">
        <v>61.0558686323932</v>
      </c>
      <c r="P11">
        <v>-0.277347936621003</v>
      </c>
      <c r="Q11">
        <v>0.724274278024829</v>
      </c>
      <c r="R11">
        <v>0.502816447772883</v>
      </c>
      <c r="S11" t="s">
        <v>1695</v>
      </c>
      <c r="T11" t="s">
        <v>3344</v>
      </c>
      <c r="U11" t="s">
        <v>3344</v>
      </c>
      <c r="V11" t="s">
        <v>3344</v>
      </c>
      <c r="W11" t="s">
        <v>3355</v>
      </c>
      <c r="X11">
        <v>3</v>
      </c>
      <c r="Y11" t="s">
        <v>5010</v>
      </c>
      <c r="Z11" t="s">
        <v>6668</v>
      </c>
      <c r="AA11">
        <v>0.9454361284683622</v>
      </c>
      <c r="AB11">
        <f>HYPERLINK("Melting_Curves/meltCurve_P00547_thrB.pdf", "Melting_Curves/meltCurve_P00547_thrB.pdf")</f>
        <v>0</v>
      </c>
    </row>
    <row r="12" spans="1:28">
      <c r="A12" t="s">
        <v>38</v>
      </c>
      <c r="B12">
        <v>0.999998419929286</v>
      </c>
      <c r="C12">
        <v>0.985015350060006</v>
      </c>
      <c r="D12">
        <v>0.581221939393216</v>
      </c>
      <c r="E12">
        <v>0.316874432252296</v>
      </c>
      <c r="F12">
        <v>0.17246448539435</v>
      </c>
      <c r="G12">
        <v>0.172444279832392</v>
      </c>
      <c r="H12">
        <v>0.117696216633851</v>
      </c>
      <c r="I12">
        <v>0.102456782884573</v>
      </c>
      <c r="J12">
        <v>0.09278604137224571</v>
      </c>
      <c r="K12">
        <v>0.104624557697012</v>
      </c>
      <c r="L12">
        <v>1016.54879561306</v>
      </c>
      <c r="M12">
        <v>23.2953459479195</v>
      </c>
      <c r="N12">
        <v>44.156490550424</v>
      </c>
      <c r="O12">
        <v>43.3196693737414</v>
      </c>
      <c r="P12">
        <v>-0.118338065494385</v>
      </c>
      <c r="Q12">
        <v>0.119777049261957</v>
      </c>
      <c r="R12">
        <v>0.988974223895735</v>
      </c>
      <c r="S12" t="s">
        <v>1696</v>
      </c>
      <c r="T12" t="s">
        <v>3344</v>
      </c>
      <c r="U12" t="s">
        <v>3344</v>
      </c>
      <c r="V12" t="s">
        <v>3344</v>
      </c>
      <c r="W12" t="s">
        <v>3356</v>
      </c>
      <c r="X12">
        <v>5</v>
      </c>
      <c r="Y12" t="s">
        <v>5011</v>
      </c>
      <c r="Z12" t="s">
        <v>6669</v>
      </c>
      <c r="AA12">
        <v>0.3230123935500069</v>
      </c>
      <c r="AB12">
        <f>HYPERLINK("Melting_Curves/meltCurve_P00550_mtlA.pdf", "Melting_Curves/meltCurve_P00550_mtlA.pdf")</f>
        <v>0</v>
      </c>
    </row>
    <row r="13" spans="1:28">
      <c r="A13" t="s">
        <v>39</v>
      </c>
      <c r="B13">
        <v>0.999998419929286</v>
      </c>
      <c r="C13">
        <v>0.763242003912646</v>
      </c>
      <c r="D13">
        <v>0.422725542424558</v>
      </c>
      <c r="E13">
        <v>0.243787655563898</v>
      </c>
      <c r="F13">
        <v>0.311402136008692</v>
      </c>
      <c r="G13">
        <v>0.346064323005582</v>
      </c>
      <c r="H13">
        <v>0.166192556064568</v>
      </c>
      <c r="I13">
        <v>0.098631856054796</v>
      </c>
      <c r="J13">
        <v>0.168055112555171</v>
      </c>
      <c r="K13">
        <v>0.153795289414575</v>
      </c>
      <c r="L13">
        <v>1000.14090353867</v>
      </c>
      <c r="M13">
        <v>24.1596752189573</v>
      </c>
      <c r="N13">
        <v>42.302937830345</v>
      </c>
      <c r="O13">
        <v>41.1166321643396</v>
      </c>
      <c r="P13">
        <v>-0.117234165998306</v>
      </c>
      <c r="Q13">
        <v>0.201943123056177</v>
      </c>
      <c r="R13">
        <v>0.939307424285191</v>
      </c>
      <c r="S13" t="s">
        <v>1697</v>
      </c>
      <c r="T13" t="s">
        <v>3344</v>
      </c>
      <c r="U13" t="s">
        <v>3344</v>
      </c>
      <c r="V13" t="s">
        <v>3344</v>
      </c>
      <c r="W13" t="s">
        <v>3357</v>
      </c>
      <c r="X13">
        <v>1</v>
      </c>
      <c r="Y13" t="s">
        <v>5012</v>
      </c>
      <c r="Z13" t="s">
        <v>6670</v>
      </c>
      <c r="AA13">
        <v>0.3271338782670334</v>
      </c>
      <c r="AB13">
        <f>HYPERLINK("Melting_Curves/meltCurve_P00561_thrA.pdf", "Melting_Curves/meltCurve_P00561_thrA.pdf")</f>
        <v>0</v>
      </c>
    </row>
    <row r="14" spans="1:28">
      <c r="A14" t="s">
        <v>40</v>
      </c>
      <c r="B14">
        <v>0.999998419929286</v>
      </c>
      <c r="C14">
        <v>0.884462544373152</v>
      </c>
      <c r="D14">
        <v>0.367996657423372</v>
      </c>
      <c r="E14">
        <v>0.0897709086689539</v>
      </c>
      <c r="F14">
        <v>0.060783193784226</v>
      </c>
      <c r="G14">
        <v>0.0559685913632554</v>
      </c>
      <c r="H14">
        <v>0.0364337077654413</v>
      </c>
      <c r="I14">
        <v>0.0310867221255963</v>
      </c>
      <c r="J14">
        <v>0.0266805555651577</v>
      </c>
      <c r="K14">
        <v>0.0236714845730045</v>
      </c>
      <c r="L14">
        <v>1427.83935517853</v>
      </c>
      <c r="M14">
        <v>33.8384517060979</v>
      </c>
      <c r="N14">
        <v>42.2993960415591</v>
      </c>
      <c r="O14">
        <v>42.0492217736103</v>
      </c>
      <c r="P14">
        <v>-0.193181426553502</v>
      </c>
      <c r="Q14">
        <v>0.03977942765786</v>
      </c>
      <c r="R14">
        <v>0.998977619145641</v>
      </c>
      <c r="S14" t="s">
        <v>1698</v>
      </c>
      <c r="T14" t="s">
        <v>3344</v>
      </c>
      <c r="U14" t="s">
        <v>3344</v>
      </c>
      <c r="V14" t="s">
        <v>3344</v>
      </c>
      <c r="W14" t="s">
        <v>3358</v>
      </c>
      <c r="X14">
        <v>15</v>
      </c>
      <c r="Y14" t="s">
        <v>5013</v>
      </c>
      <c r="Z14" t="s">
        <v>6671</v>
      </c>
      <c r="AA14">
        <v>0.2102614241700293</v>
      </c>
      <c r="AB14">
        <f>HYPERLINK("Melting_Curves/meltCurve_P00579_rpoD.pdf", "Melting_Curves/meltCurve_P00579_rpoD.pdf")</f>
        <v>0</v>
      </c>
    </row>
    <row r="15" spans="1:28">
      <c r="A15" t="s">
        <v>41</v>
      </c>
      <c r="B15">
        <v>0.999998419929286</v>
      </c>
      <c r="C15">
        <v>1.02926186330369</v>
      </c>
      <c r="D15">
        <v>0.505532897683511</v>
      </c>
      <c r="E15">
        <v>0.291072591637897</v>
      </c>
      <c r="F15">
        <v>0.212561802966767</v>
      </c>
      <c r="G15">
        <v>0.148421742820517</v>
      </c>
      <c r="H15">
        <v>0.0630483145008697</v>
      </c>
      <c r="I15">
        <v>0.0450931332195933</v>
      </c>
      <c r="J15">
        <v>0.0439798527772504</v>
      </c>
      <c r="K15">
        <v>0.0433478223405219</v>
      </c>
      <c r="L15">
        <v>980.528599643568</v>
      </c>
      <c r="M15">
        <v>22.5264731746934</v>
      </c>
      <c r="N15">
        <v>43.878639293418</v>
      </c>
      <c r="O15">
        <v>43.1891499730268</v>
      </c>
      <c r="P15">
        <v>-0.119651745445193</v>
      </c>
      <c r="Q15">
        <v>0.0824034916673953</v>
      </c>
      <c r="R15">
        <v>0.96621628204975</v>
      </c>
      <c r="S15" t="s">
        <v>1699</v>
      </c>
      <c r="T15" t="s">
        <v>3344</v>
      </c>
      <c r="U15" t="s">
        <v>3344</v>
      </c>
      <c r="V15" t="s">
        <v>3344</v>
      </c>
      <c r="W15" t="s">
        <v>3359</v>
      </c>
      <c r="X15">
        <v>11</v>
      </c>
      <c r="Y15" t="s">
        <v>5014</v>
      </c>
      <c r="Z15" t="s">
        <v>6672</v>
      </c>
      <c r="AA15">
        <v>0.2916296632423003</v>
      </c>
      <c r="AB15">
        <f>HYPERLINK("Melting_Curves/meltCurve_P00582_polA.pdf", "Melting_Curves/meltCurve_P00582_polA.pdf")</f>
        <v>0</v>
      </c>
    </row>
    <row r="16" spans="1:28">
      <c r="A16" t="s">
        <v>42</v>
      </c>
      <c r="B16">
        <v>0.999998419929286</v>
      </c>
      <c r="C16">
        <v>1.37619391321243</v>
      </c>
      <c r="D16">
        <v>1.48285276880259</v>
      </c>
      <c r="E16">
        <v>1.82908313857856</v>
      </c>
      <c r="F16">
        <v>1.99991859611265</v>
      </c>
      <c r="G16">
        <v>3.12181928985037</v>
      </c>
      <c r="H16">
        <v>2.25024681348257</v>
      </c>
      <c r="I16">
        <v>1.89342905777586</v>
      </c>
      <c r="J16">
        <v>1.86126884439316</v>
      </c>
      <c r="K16">
        <v>2.11739625295471</v>
      </c>
      <c r="L16">
        <v>3262.22231010855</v>
      </c>
      <c r="M16">
        <v>82.8698127651744</v>
      </c>
      <c r="O16">
        <v>39.3427223761342</v>
      </c>
      <c r="P16">
        <v>0.263294636235004</v>
      </c>
      <c r="Q16">
        <v>1.5</v>
      </c>
      <c r="R16">
        <v>-0.436082360359323</v>
      </c>
      <c r="S16" t="s">
        <v>1700</v>
      </c>
      <c r="T16" t="s">
        <v>3344</v>
      </c>
      <c r="U16" t="s">
        <v>3344</v>
      </c>
      <c r="V16" t="s">
        <v>3344</v>
      </c>
      <c r="W16" t="s">
        <v>3360</v>
      </c>
      <c r="X16">
        <v>1</v>
      </c>
      <c r="Y16" t="s">
        <v>5015</v>
      </c>
      <c r="Z16" t="s">
        <v>6673</v>
      </c>
      <c r="AA16">
        <v>1.460223792230746</v>
      </c>
      <c r="AB16">
        <f>HYPERLINK("Melting_Curves/meltCurve_P00634_phoA.pdf", "Melting_Curves/meltCurve_P00634_phoA.pdf")</f>
        <v>0</v>
      </c>
    </row>
    <row r="17" spans="1:28">
      <c r="A17" t="s">
        <v>43</v>
      </c>
      <c r="B17">
        <v>0.999998419929286</v>
      </c>
      <c r="C17">
        <v>1.22326376072119</v>
      </c>
      <c r="D17">
        <v>1.20402339099858</v>
      </c>
      <c r="E17">
        <v>1.06264484940372</v>
      </c>
      <c r="F17">
        <v>0.400109976857592</v>
      </c>
      <c r="G17">
        <v>0.154434831797536</v>
      </c>
      <c r="H17">
        <v>0.0670654173342298</v>
      </c>
      <c r="I17">
        <v>0.0711012519532323</v>
      </c>
      <c r="J17">
        <v>0.0296137821802939</v>
      </c>
      <c r="K17">
        <v>0.061777193678388</v>
      </c>
      <c r="L17">
        <v>5682.75777383956</v>
      </c>
      <c r="M17">
        <v>113.819410159848</v>
      </c>
      <c r="N17">
        <v>50.001004526071</v>
      </c>
      <c r="O17">
        <v>49.9124361940981</v>
      </c>
      <c r="P17">
        <v>-0.526355498505263</v>
      </c>
      <c r="Q17">
        <v>0.07672393165608341</v>
      </c>
      <c r="R17">
        <v>0.958265629316831</v>
      </c>
      <c r="S17" t="s">
        <v>1701</v>
      </c>
      <c r="T17" t="s">
        <v>3344</v>
      </c>
      <c r="U17" t="s">
        <v>3344</v>
      </c>
      <c r="V17" t="s">
        <v>3344</v>
      </c>
      <c r="W17" t="s">
        <v>3361</v>
      </c>
      <c r="X17">
        <v>3</v>
      </c>
      <c r="Y17" t="s">
        <v>5016</v>
      </c>
      <c r="Z17" t="s">
        <v>6674</v>
      </c>
      <c r="AA17">
        <v>0.474980197246223</v>
      </c>
      <c r="AB17">
        <f>HYPERLINK("Melting_Curves/meltCurve_P00803_lepB.pdf", "Melting_Curves/meltCurve_P00803_lepB.pdf")</f>
        <v>0</v>
      </c>
    </row>
    <row r="18" spans="1:28">
      <c r="A18" t="s">
        <v>44</v>
      </c>
      <c r="B18">
        <v>0.999998419929286</v>
      </c>
      <c r="C18">
        <v>1.13203820280472</v>
      </c>
      <c r="D18">
        <v>1.12595582309238</v>
      </c>
      <c r="E18">
        <v>1.37141512523991</v>
      </c>
      <c r="F18">
        <v>1.43728608966885</v>
      </c>
      <c r="G18">
        <v>1.26250901644788</v>
      </c>
      <c r="H18">
        <v>0.900397749348029</v>
      </c>
      <c r="I18">
        <v>0.708865956881141</v>
      </c>
      <c r="J18">
        <v>0.551624557719642</v>
      </c>
      <c r="K18">
        <v>0.651704896054197</v>
      </c>
      <c r="L18">
        <v>2951.979683319</v>
      </c>
      <c r="M18">
        <v>49.828170692132</v>
      </c>
      <c r="O18">
        <v>59.1480023048368</v>
      </c>
      <c r="P18">
        <v>-0.0829332572814301</v>
      </c>
      <c r="Q18">
        <v>0.606220179138226</v>
      </c>
      <c r="R18">
        <v>0.479462421766622</v>
      </c>
      <c r="S18" t="s">
        <v>1702</v>
      </c>
      <c r="T18" t="s">
        <v>3344</v>
      </c>
      <c r="U18" t="s">
        <v>3344</v>
      </c>
      <c r="V18" t="s">
        <v>3344</v>
      </c>
      <c r="W18" t="s">
        <v>3362</v>
      </c>
      <c r="X18">
        <v>11</v>
      </c>
      <c r="Y18" t="s">
        <v>5017</v>
      </c>
      <c r="Z18" t="s">
        <v>6675</v>
      </c>
      <c r="AA18">
        <v>0.899155032964265</v>
      </c>
      <c r="AB18">
        <f>HYPERLINK("Melting_Curves/meltCurve_P00805_ansB.pdf", "Melting_Curves/meltCurve_P00805_ansB.pdf")</f>
        <v>0</v>
      </c>
    </row>
    <row r="19" spans="1:28">
      <c r="A19" t="s">
        <v>45</v>
      </c>
      <c r="B19">
        <v>0.999998419929286</v>
      </c>
      <c r="C19">
        <v>1.05656867742432</v>
      </c>
      <c r="D19">
        <v>1.09348369694295</v>
      </c>
      <c r="E19">
        <v>1.18773001763992</v>
      </c>
      <c r="F19">
        <v>1.3791024907835</v>
      </c>
      <c r="G19">
        <v>1.29854227666606</v>
      </c>
      <c r="H19">
        <v>0.562822089384663</v>
      </c>
      <c r="I19">
        <v>0.214937371790433</v>
      </c>
      <c r="J19">
        <v>0.193938473704735</v>
      </c>
      <c r="K19">
        <v>0.21163213027848</v>
      </c>
      <c r="L19">
        <v>14338.2072970682</v>
      </c>
      <c r="M19">
        <v>250</v>
      </c>
      <c r="N19">
        <v>57.4755820349495</v>
      </c>
      <c r="O19">
        <v>57.3491536779935</v>
      </c>
      <c r="P19">
        <v>-0.864402503528245</v>
      </c>
      <c r="Q19">
        <v>0.20683589515683</v>
      </c>
      <c r="R19">
        <v>0.862220519921449</v>
      </c>
      <c r="S19" t="s">
        <v>1703</v>
      </c>
      <c r="T19" t="s">
        <v>3344</v>
      </c>
      <c r="U19" t="s">
        <v>3344</v>
      </c>
      <c r="V19" t="s">
        <v>3344</v>
      </c>
      <c r="W19" t="s">
        <v>3363</v>
      </c>
      <c r="X19">
        <v>3</v>
      </c>
      <c r="Y19" t="s">
        <v>5018</v>
      </c>
      <c r="Z19" t="s">
        <v>6676</v>
      </c>
      <c r="AA19">
        <v>0.7450201812307744</v>
      </c>
      <c r="AB19">
        <f>HYPERLINK("Melting_Curves/meltCurve_P00811_ampC.pdf", "Melting_Curves/meltCurve_P00811_ampC.pdf")</f>
        <v>0</v>
      </c>
    </row>
    <row r="20" spans="1:28">
      <c r="A20" t="s">
        <v>46</v>
      </c>
      <c r="B20">
        <v>0.999998419929286</v>
      </c>
      <c r="C20">
        <v>0.6603313644034851</v>
      </c>
      <c r="D20">
        <v>0.217853159109412</v>
      </c>
      <c r="E20">
        <v>0.126755711482818</v>
      </c>
      <c r="F20">
        <v>0.0997140553436318</v>
      </c>
      <c r="G20">
        <v>0.09542763694089</v>
      </c>
      <c r="H20">
        <v>0.0565465805966448</v>
      </c>
      <c r="I20">
        <v>0.0507658524306062</v>
      </c>
      <c r="J20">
        <v>0.0406792111081076</v>
      </c>
      <c r="K20">
        <v>0.0441186091852775</v>
      </c>
      <c r="L20">
        <v>1263.12413146152</v>
      </c>
      <c r="M20">
        <v>31.0505740286827</v>
      </c>
      <c r="N20">
        <v>40.878542223296</v>
      </c>
      <c r="O20">
        <v>40.511966736276</v>
      </c>
      <c r="P20">
        <v>-0.178176221404001</v>
      </c>
      <c r="Q20">
        <v>0.07013285215797969</v>
      </c>
      <c r="R20">
        <v>0.992934323113447</v>
      </c>
      <c r="S20" t="s">
        <v>1704</v>
      </c>
      <c r="T20" t="s">
        <v>3344</v>
      </c>
      <c r="U20" t="s">
        <v>3344</v>
      </c>
      <c r="V20" t="s">
        <v>3344</v>
      </c>
      <c r="W20" t="s">
        <v>3364</v>
      </c>
      <c r="X20">
        <v>7</v>
      </c>
      <c r="Y20" t="s">
        <v>5019</v>
      </c>
      <c r="Z20" t="s">
        <v>6677</v>
      </c>
      <c r="AA20">
        <v>0.1899651337237869</v>
      </c>
      <c r="AB20">
        <f>HYPERLINK("Melting_Curves/meltCurve_P00864_ppc.pdf", "Melting_Curves/meltCurve_P00864_ppc.pdf")</f>
        <v>0</v>
      </c>
    </row>
    <row r="21" spans="1:28">
      <c r="A21" t="s">
        <v>47</v>
      </c>
      <c r="B21">
        <v>0.999998419929286</v>
      </c>
      <c r="C21">
        <v>1.07823424024136</v>
      </c>
      <c r="D21">
        <v>1.0039368148359</v>
      </c>
      <c r="E21">
        <v>0.895948212231551</v>
      </c>
      <c r="F21">
        <v>0.7275356341058959</v>
      </c>
      <c r="G21">
        <v>0.50584299873345</v>
      </c>
      <c r="H21">
        <v>0.23742304043559</v>
      </c>
      <c r="I21">
        <v>0.159176924148788</v>
      </c>
      <c r="J21">
        <v>0.131845874569867</v>
      </c>
      <c r="K21">
        <v>0.105402563100418</v>
      </c>
      <c r="L21">
        <v>914.807712886487</v>
      </c>
      <c r="M21">
        <v>17.2957921547084</v>
      </c>
      <c r="N21">
        <v>53.4223032035631</v>
      </c>
      <c r="O21">
        <v>52.2000495024392</v>
      </c>
      <c r="P21">
        <v>-0.07630376219106599</v>
      </c>
      <c r="Q21">
        <v>0.07889038914148951</v>
      </c>
      <c r="R21">
        <v>0.9932175290976</v>
      </c>
      <c r="S21" t="s">
        <v>1705</v>
      </c>
      <c r="T21" t="s">
        <v>3344</v>
      </c>
      <c r="U21" t="s">
        <v>3344</v>
      </c>
      <c r="V21" t="s">
        <v>3344</v>
      </c>
      <c r="W21" t="s">
        <v>3365</v>
      </c>
      <c r="X21">
        <v>4</v>
      </c>
      <c r="Y21" t="s">
        <v>5020</v>
      </c>
      <c r="Z21" t="s">
        <v>6678</v>
      </c>
      <c r="AA21">
        <v>0.5809890481283289</v>
      </c>
      <c r="AB21">
        <f>HYPERLINK("Melting_Curves/meltCurve_P00895_trpE.pdf", "Melting_Curves/meltCurve_P00895_trpE.pdf")</f>
        <v>0</v>
      </c>
    </row>
    <row r="22" spans="1:28">
      <c r="A22" t="s">
        <v>48</v>
      </c>
      <c r="B22">
        <v>0.999998419929286</v>
      </c>
      <c r="C22">
        <v>0.862144759482863</v>
      </c>
      <c r="D22">
        <v>0.615046088023241</v>
      </c>
      <c r="E22">
        <v>0.487577769371105</v>
      </c>
      <c r="F22">
        <v>0.38446649329343</v>
      </c>
      <c r="G22">
        <v>0.358684606192241</v>
      </c>
      <c r="H22">
        <v>0.26741447144534</v>
      </c>
      <c r="I22">
        <v>0.0284059616590481</v>
      </c>
      <c r="J22">
        <v>0.0772242037624031</v>
      </c>
      <c r="K22">
        <v>0.0547839980167307</v>
      </c>
      <c r="L22">
        <v>399.570156075045</v>
      </c>
      <c r="M22">
        <v>8.448239892309079</v>
      </c>
      <c r="N22">
        <v>47.296282745504</v>
      </c>
      <c r="O22">
        <v>44.8692846540433</v>
      </c>
      <c r="P22">
        <v>-0.0471147985176054</v>
      </c>
      <c r="Q22">
        <v>0</v>
      </c>
      <c r="R22">
        <v>0.955406722816757</v>
      </c>
      <c r="S22" t="s">
        <v>1706</v>
      </c>
      <c r="T22" t="s">
        <v>3344</v>
      </c>
      <c r="U22" t="s">
        <v>3344</v>
      </c>
      <c r="V22" t="s">
        <v>3344</v>
      </c>
      <c r="W22" t="s">
        <v>3366</v>
      </c>
      <c r="X22">
        <v>1</v>
      </c>
      <c r="Y22" t="s">
        <v>5021</v>
      </c>
      <c r="Z22" t="s">
        <v>6679</v>
      </c>
      <c r="AA22">
        <v>0.3955651520795846</v>
      </c>
      <c r="AB22">
        <f>HYPERLINK("Melting_Curves/meltCurve_P00904_trpGD.pdf", "Melting_Curves/meltCurve_P00904_trpGD.pdf")</f>
        <v>0</v>
      </c>
    </row>
    <row r="23" spans="1:28">
      <c r="A23" t="s">
        <v>49</v>
      </c>
      <c r="B23">
        <v>0.999998419929286</v>
      </c>
      <c r="C23">
        <v>1.04573521442507</v>
      </c>
      <c r="D23">
        <v>1.03001103556553</v>
      </c>
      <c r="E23">
        <v>0.466253025681534</v>
      </c>
      <c r="F23">
        <v>0.140144172750131</v>
      </c>
      <c r="G23">
        <v>0.114849778555084</v>
      </c>
      <c r="H23">
        <v>0.07729150363041259</v>
      </c>
      <c r="I23">
        <v>0.0614462081067171</v>
      </c>
      <c r="J23">
        <v>0.065706407200972</v>
      </c>
      <c r="K23">
        <v>0.0559653208974537</v>
      </c>
      <c r="L23">
        <v>2619.44227304509</v>
      </c>
      <c r="M23">
        <v>56.5237002849401</v>
      </c>
      <c r="N23">
        <v>46.492542745162</v>
      </c>
      <c r="O23">
        <v>46.2844481265502</v>
      </c>
      <c r="P23">
        <v>-0.279832121014088</v>
      </c>
      <c r="Q23">
        <v>0.0834375638045302</v>
      </c>
      <c r="R23">
        <v>0.995273008809472</v>
      </c>
      <c r="S23" t="s">
        <v>1707</v>
      </c>
      <c r="T23" t="s">
        <v>3344</v>
      </c>
      <c r="U23" t="s">
        <v>3344</v>
      </c>
      <c r="V23" t="s">
        <v>3344</v>
      </c>
      <c r="W23" t="s">
        <v>3367</v>
      </c>
      <c r="X23">
        <v>6</v>
      </c>
      <c r="Y23" t="s">
        <v>5022</v>
      </c>
      <c r="Z23" t="s">
        <v>6680</v>
      </c>
      <c r="AA23">
        <v>0.3703307380117672</v>
      </c>
      <c r="AB23">
        <f>HYPERLINK("Melting_Curves/meltCurve_P00909_trpC.pdf", "Melting_Curves/meltCurve_P00909_trpC.pdf")</f>
        <v>0</v>
      </c>
    </row>
    <row r="24" spans="1:28">
      <c r="A24" t="s">
        <v>50</v>
      </c>
      <c r="B24">
        <v>0.999998419929286</v>
      </c>
      <c r="C24">
        <v>1.14327356589226</v>
      </c>
      <c r="D24">
        <v>1.10995607334936</v>
      </c>
      <c r="E24">
        <v>1.00550925318651</v>
      </c>
      <c r="F24">
        <v>0.32877930589905</v>
      </c>
      <c r="G24">
        <v>0.188564663554338</v>
      </c>
      <c r="H24">
        <v>0.140267168453958</v>
      </c>
      <c r="I24">
        <v>0.123967577066599</v>
      </c>
      <c r="J24">
        <v>0.08664683923939349</v>
      </c>
      <c r="K24">
        <v>0.0802147935967652</v>
      </c>
      <c r="L24">
        <v>3965.6243234724</v>
      </c>
      <c r="M24">
        <v>80.17470203820049</v>
      </c>
      <c r="N24">
        <v>49.6379067859485</v>
      </c>
      <c r="O24">
        <v>49.4315396301573</v>
      </c>
      <c r="P24">
        <v>-0.355407458831923</v>
      </c>
      <c r="Q24">
        <v>0.123497261288179</v>
      </c>
      <c r="R24">
        <v>0.980145462383765</v>
      </c>
      <c r="S24" t="s">
        <v>1708</v>
      </c>
      <c r="T24" t="s">
        <v>3344</v>
      </c>
      <c r="U24" t="s">
        <v>3344</v>
      </c>
      <c r="V24" t="s">
        <v>3344</v>
      </c>
      <c r="W24" t="s">
        <v>3368</v>
      </c>
      <c r="X24">
        <v>5</v>
      </c>
      <c r="Y24" t="s">
        <v>5023</v>
      </c>
      <c r="Z24" t="s">
        <v>6681</v>
      </c>
      <c r="AA24">
        <v>0.488346177427393</v>
      </c>
      <c r="AB24">
        <f>HYPERLINK("Melting_Curves/meltCurve_P00926_dsdA.pdf", "Melting_Curves/meltCurve_P00926_dsdA.pdf")</f>
        <v>0</v>
      </c>
    </row>
    <row r="25" spans="1:28">
      <c r="A25" t="s">
        <v>51</v>
      </c>
      <c r="B25">
        <v>0.999998419929286</v>
      </c>
      <c r="C25">
        <v>0.9710367084524</v>
      </c>
      <c r="D25">
        <v>0.818871614605764</v>
      </c>
      <c r="E25">
        <v>0.714980584469937</v>
      </c>
      <c r="F25">
        <v>0.601669697038689</v>
      </c>
      <c r="G25">
        <v>0.429784955012047</v>
      </c>
      <c r="H25">
        <v>0.260746027658813</v>
      </c>
      <c r="I25">
        <v>0.171195832053187</v>
      </c>
      <c r="J25">
        <v>0.131765444895468</v>
      </c>
      <c r="K25">
        <v>0.123804812343362</v>
      </c>
      <c r="L25">
        <v>482.428188010518</v>
      </c>
      <c r="M25">
        <v>9.340108524970921</v>
      </c>
      <c r="N25">
        <v>51.6512400223077</v>
      </c>
      <c r="O25">
        <v>49.4493571611567</v>
      </c>
      <c r="P25">
        <v>-0.0472503689397086</v>
      </c>
      <c r="Q25">
        <v>0</v>
      </c>
      <c r="R25">
        <v>0.9932271547225739</v>
      </c>
      <c r="S25" t="s">
        <v>1709</v>
      </c>
      <c r="T25" t="s">
        <v>3344</v>
      </c>
      <c r="U25" t="s">
        <v>3344</v>
      </c>
      <c r="V25" t="s">
        <v>3344</v>
      </c>
      <c r="W25" t="s">
        <v>3369</v>
      </c>
      <c r="X25">
        <v>9</v>
      </c>
      <c r="Y25" t="s">
        <v>5024</v>
      </c>
      <c r="Z25" t="s">
        <v>6682</v>
      </c>
      <c r="AA25">
        <v>0.5174453598752535</v>
      </c>
      <c r="AB25">
        <f>HYPERLINK("Melting_Curves/meltCurve_P00934_thrC.pdf", "Melting_Curves/meltCurve_P00934_thrC.pdf")</f>
        <v>0</v>
      </c>
    </row>
    <row r="26" spans="1:28">
      <c r="A26" t="s">
        <v>52</v>
      </c>
      <c r="B26">
        <v>0.999998419929286</v>
      </c>
      <c r="C26">
        <v>0.781869007565259</v>
      </c>
      <c r="D26">
        <v>0.620553127238755</v>
      </c>
      <c r="E26">
        <v>0.51870389088794</v>
      </c>
      <c r="F26">
        <v>0.514044181725795</v>
      </c>
      <c r="G26">
        <v>0.593599359094522</v>
      </c>
      <c r="H26">
        <v>0.523921939560327</v>
      </c>
      <c r="I26">
        <v>0.252941720254957</v>
      </c>
      <c r="J26">
        <v>0.14619638255184</v>
      </c>
      <c r="K26">
        <v>0</v>
      </c>
      <c r="L26">
        <v>290.253238670402</v>
      </c>
      <c r="M26">
        <v>5.75179996696154</v>
      </c>
      <c r="N26">
        <v>50.4630271051681</v>
      </c>
      <c r="O26">
        <v>45.3621285274644</v>
      </c>
      <c r="P26">
        <v>-0.0318186249986633</v>
      </c>
      <c r="Q26">
        <v>0</v>
      </c>
      <c r="R26">
        <v>0.810378884892733</v>
      </c>
      <c r="S26" t="s">
        <v>1710</v>
      </c>
      <c r="T26" t="s">
        <v>3344</v>
      </c>
      <c r="U26" t="s">
        <v>3344</v>
      </c>
      <c r="V26" t="s">
        <v>3344</v>
      </c>
      <c r="W26" t="s">
        <v>3370</v>
      </c>
      <c r="X26">
        <v>1</v>
      </c>
      <c r="Y26" t="s">
        <v>5025</v>
      </c>
      <c r="Z26" t="s">
        <v>6683</v>
      </c>
      <c r="AA26">
        <v>0.4928898683188148</v>
      </c>
      <c r="AB26">
        <f>HYPERLINK("Melting_Curves/meltCurve_P00935_metB.pdf", "Melting_Curves/meltCurve_P00935_metB.pdf")</f>
        <v>0</v>
      </c>
    </row>
    <row r="27" spans="1:28">
      <c r="A27" t="s">
        <v>53</v>
      </c>
      <c r="B27">
        <v>0.999998419929286</v>
      </c>
      <c r="C27">
        <v>0.957492179351474</v>
      </c>
      <c r="D27">
        <v>0.957400899598786</v>
      </c>
      <c r="E27">
        <v>1.19678521756568</v>
      </c>
      <c r="F27">
        <v>1.27970263409503</v>
      </c>
      <c r="G27">
        <v>1.2560287075272</v>
      </c>
      <c r="H27">
        <v>0.643987360714522</v>
      </c>
      <c r="I27">
        <v>0.254896629448245</v>
      </c>
      <c r="J27">
        <v>0.167206350545997</v>
      </c>
      <c r="K27">
        <v>0.148449366092217</v>
      </c>
      <c r="L27">
        <v>7406.28662668185</v>
      </c>
      <c r="M27">
        <v>128.784658390361</v>
      </c>
      <c r="N27">
        <v>57.7233008105151</v>
      </c>
      <c r="O27">
        <v>57.4952112325947</v>
      </c>
      <c r="P27">
        <v>-0.453602296989022</v>
      </c>
      <c r="Q27">
        <v>0.189966889108386</v>
      </c>
      <c r="R27">
        <v>0.894742717448918</v>
      </c>
      <c r="S27" t="s">
        <v>1711</v>
      </c>
      <c r="T27" t="s">
        <v>3344</v>
      </c>
      <c r="U27" t="s">
        <v>3344</v>
      </c>
      <c r="V27" t="s">
        <v>3344</v>
      </c>
      <c r="W27" t="s">
        <v>3371</v>
      </c>
      <c r="X27">
        <v>7</v>
      </c>
      <c r="Y27" t="s">
        <v>5026</v>
      </c>
      <c r="Z27" t="s">
        <v>6684</v>
      </c>
      <c r="AA27">
        <v>0.7440428293040531</v>
      </c>
      <c r="AB27">
        <f>HYPERLINK("Melting_Curves/meltCurve_P00946_manA.pdf", "Melting_Curves/meltCurve_P00946_manA.pdf")</f>
        <v>0</v>
      </c>
    </row>
    <row r="28" spans="1:28">
      <c r="A28" t="s">
        <v>54</v>
      </c>
      <c r="B28">
        <v>0.999998419929286</v>
      </c>
      <c r="C28">
        <v>1.06462429857406</v>
      </c>
      <c r="D28">
        <v>0.663087859114905</v>
      </c>
      <c r="E28">
        <v>0.724784022229379</v>
      </c>
      <c r="F28">
        <v>0.502159987251993</v>
      </c>
      <c r="G28">
        <v>0.484127427819272</v>
      </c>
      <c r="H28">
        <v>0.384804506466189</v>
      </c>
      <c r="I28">
        <v>0.413350461605086</v>
      </c>
      <c r="J28">
        <v>0.300538579701182</v>
      </c>
      <c r="K28">
        <v>0.348439692715335</v>
      </c>
      <c r="L28">
        <v>562.069145737651</v>
      </c>
      <c r="M28">
        <v>12.0759207872047</v>
      </c>
      <c r="N28">
        <v>51.1964209148053</v>
      </c>
      <c r="O28">
        <v>45.3233751809988</v>
      </c>
      <c r="P28">
        <v>-0.0444322157364459</v>
      </c>
      <c r="Q28">
        <v>0.333104487928248</v>
      </c>
      <c r="R28">
        <v>0.912005931365177</v>
      </c>
      <c r="S28" t="s">
        <v>1712</v>
      </c>
      <c r="T28" t="s">
        <v>3344</v>
      </c>
      <c r="U28" t="s">
        <v>3344</v>
      </c>
      <c r="V28" t="s">
        <v>3344</v>
      </c>
      <c r="W28" t="s">
        <v>3372</v>
      </c>
      <c r="X28">
        <v>5</v>
      </c>
      <c r="Y28" t="s">
        <v>5027</v>
      </c>
      <c r="Z28" t="s">
        <v>6685</v>
      </c>
      <c r="AA28">
        <v>0.5674472602486574</v>
      </c>
      <c r="AB28">
        <f>HYPERLINK("Melting_Curves/meltCurve_P00954_trpS.pdf", "Melting_Curves/meltCurve_P00954_trpS.pdf")</f>
        <v>0</v>
      </c>
    </row>
    <row r="29" spans="1:28">
      <c r="A29" t="s">
        <v>55</v>
      </c>
      <c r="B29">
        <v>0.999998419929286</v>
      </c>
      <c r="C29">
        <v>1.10052096470801</v>
      </c>
      <c r="D29">
        <v>1.05927423581842</v>
      </c>
      <c r="E29">
        <v>1.09216904979489</v>
      </c>
      <c r="F29">
        <v>0.980040687578464</v>
      </c>
      <c r="G29">
        <v>0.835705393827185</v>
      </c>
      <c r="H29">
        <v>0.173757494424161</v>
      </c>
      <c r="I29">
        <v>0.06486608814204679</v>
      </c>
      <c r="J29">
        <v>0.057123773545185</v>
      </c>
      <c r="K29">
        <v>0.0509094768462085</v>
      </c>
      <c r="L29">
        <v>2986.77349814498</v>
      </c>
      <c r="M29">
        <v>53.9651455676981</v>
      </c>
      <c r="N29">
        <v>55.4662328679429</v>
      </c>
      <c r="O29">
        <v>55.270498543021</v>
      </c>
      <c r="P29">
        <v>-0.230658835773485</v>
      </c>
      <c r="Q29">
        <v>0.0550477964440666</v>
      </c>
      <c r="R29">
        <v>0.989379300225418</v>
      </c>
      <c r="S29" t="s">
        <v>1713</v>
      </c>
      <c r="T29" t="s">
        <v>3344</v>
      </c>
      <c r="U29" t="s">
        <v>3344</v>
      </c>
      <c r="V29" t="s">
        <v>3344</v>
      </c>
      <c r="W29" t="s">
        <v>3373</v>
      </c>
      <c r="X29">
        <v>23</v>
      </c>
      <c r="Y29" t="s">
        <v>5028</v>
      </c>
      <c r="Z29" t="s">
        <v>6686</v>
      </c>
      <c r="AA29">
        <v>0.6349030598279534</v>
      </c>
      <c r="AB29">
        <f>HYPERLINK("Melting_Curves/meltCurve_P00956_ileS.pdf", "Melting_Curves/meltCurve_P00956_ileS.pdf")</f>
        <v>0</v>
      </c>
    </row>
    <row r="30" spans="1:28">
      <c r="A30" t="s">
        <v>56</v>
      </c>
      <c r="B30">
        <v>0.999998419929286</v>
      </c>
      <c r="C30">
        <v>1.38326539147981</v>
      </c>
      <c r="D30">
        <v>1.3955442839145</v>
      </c>
      <c r="E30">
        <v>1.55669437917785</v>
      </c>
      <c r="F30">
        <v>1.07018821720736</v>
      </c>
      <c r="G30">
        <v>0.479439828489888</v>
      </c>
      <c r="H30">
        <v>0.134362791178798</v>
      </c>
      <c r="I30">
        <v>0.0790939094161769</v>
      </c>
      <c r="J30">
        <v>0.0575430475805531</v>
      </c>
      <c r="K30">
        <v>0.0585963289321185</v>
      </c>
      <c r="L30">
        <v>5927.32039956002</v>
      </c>
      <c r="M30">
        <v>110.442226907236</v>
      </c>
      <c r="N30">
        <v>53.7563665338932</v>
      </c>
      <c r="O30">
        <v>53.6513784472801</v>
      </c>
      <c r="P30">
        <v>-0.472336819545249</v>
      </c>
      <c r="Q30">
        <v>0.082180028042574</v>
      </c>
      <c r="R30">
        <v>0.821514033008047</v>
      </c>
      <c r="S30" t="s">
        <v>1714</v>
      </c>
      <c r="T30" t="s">
        <v>3344</v>
      </c>
      <c r="U30" t="s">
        <v>3344</v>
      </c>
      <c r="V30" t="s">
        <v>3344</v>
      </c>
      <c r="W30" t="s">
        <v>3374</v>
      </c>
      <c r="X30">
        <v>33</v>
      </c>
      <c r="Y30" t="s">
        <v>5029</v>
      </c>
      <c r="Z30" t="s">
        <v>6687</v>
      </c>
      <c r="AA30">
        <v>0.5925937996802051</v>
      </c>
      <c r="AB30">
        <f>HYPERLINK("Melting_Curves/meltCurve_P00957_alaS.pdf", "Melting_Curves/meltCurve_P00957_alaS.pdf")</f>
        <v>0</v>
      </c>
    </row>
    <row r="31" spans="1:28">
      <c r="A31" t="s">
        <v>57</v>
      </c>
      <c r="B31">
        <v>0.999998419929286</v>
      </c>
      <c r="C31">
        <v>1.46689616653486</v>
      </c>
      <c r="D31">
        <v>0.999574427310039</v>
      </c>
      <c r="E31">
        <v>0.717143736025218</v>
      </c>
      <c r="F31">
        <v>0.400795210297862</v>
      </c>
      <c r="G31">
        <v>0.395104284566367</v>
      </c>
      <c r="H31">
        <v>0.263186346113631</v>
      </c>
      <c r="I31">
        <v>0.170338461090004</v>
      </c>
      <c r="J31">
        <v>0.163986229968703</v>
      </c>
      <c r="K31">
        <v>0.157048594448701</v>
      </c>
      <c r="L31">
        <v>1101.64737368674</v>
      </c>
      <c r="M31">
        <v>22.800874228107</v>
      </c>
      <c r="N31">
        <v>49.425641972102</v>
      </c>
      <c r="O31">
        <v>47.9489649468862</v>
      </c>
      <c r="P31">
        <v>-0.0950685739397969</v>
      </c>
      <c r="Q31">
        <v>0.200319890865031</v>
      </c>
      <c r="R31">
        <v>0.863797569208712</v>
      </c>
      <c r="S31" t="s">
        <v>1715</v>
      </c>
      <c r="T31" t="s">
        <v>3344</v>
      </c>
      <c r="U31" t="s">
        <v>3344</v>
      </c>
      <c r="V31" t="s">
        <v>3344</v>
      </c>
      <c r="W31" t="s">
        <v>3375</v>
      </c>
      <c r="X31">
        <v>19</v>
      </c>
      <c r="Y31" t="s">
        <v>5030</v>
      </c>
      <c r="Z31" t="s">
        <v>6688</v>
      </c>
      <c r="AA31">
        <v>0.5101536154116804</v>
      </c>
      <c r="AB31">
        <f>HYPERLINK("Melting_Curves/meltCurve_P00959_metG.pdf", "Melting_Curves/meltCurve_P00959_metG.pdf")</f>
        <v>0</v>
      </c>
    </row>
    <row r="32" spans="1:28">
      <c r="A32" t="s">
        <v>58</v>
      </c>
      <c r="B32">
        <v>0.999998419929286</v>
      </c>
      <c r="C32">
        <v>0.795377516933412</v>
      </c>
      <c r="D32">
        <v>0.463568355540284</v>
      </c>
      <c r="E32">
        <v>0.332181683442205</v>
      </c>
      <c r="F32">
        <v>0.243602934103564</v>
      </c>
      <c r="G32">
        <v>0.202154919141891</v>
      </c>
      <c r="H32">
        <v>0.128405443152569</v>
      </c>
      <c r="I32">
        <v>0.0998102390700191</v>
      </c>
      <c r="J32">
        <v>0.07199727968769661</v>
      </c>
      <c r="K32">
        <v>0.0704908134154149</v>
      </c>
      <c r="L32">
        <v>638.796248261182</v>
      </c>
      <c r="M32">
        <v>14.9022858795442</v>
      </c>
      <c r="N32">
        <v>43.5448697267928</v>
      </c>
      <c r="O32">
        <v>42.1159903229113</v>
      </c>
      <c r="P32">
        <v>-0.0792943978725586</v>
      </c>
      <c r="Q32">
        <v>0.103703960452769</v>
      </c>
      <c r="R32">
        <v>0.977030843297077</v>
      </c>
      <c r="S32" t="s">
        <v>1716</v>
      </c>
      <c r="T32" t="s">
        <v>3344</v>
      </c>
      <c r="U32" t="s">
        <v>3344</v>
      </c>
      <c r="V32" t="s">
        <v>3344</v>
      </c>
      <c r="W32" t="s">
        <v>3376</v>
      </c>
      <c r="X32">
        <v>3</v>
      </c>
      <c r="Y32" t="s">
        <v>5031</v>
      </c>
      <c r="Z32" t="s">
        <v>6689</v>
      </c>
      <c r="AA32">
        <v>0.3032106220648944</v>
      </c>
      <c r="AB32">
        <f>HYPERLINK("Melting_Curves/meltCurve_P00960_glyQ.pdf", "Melting_Curves/meltCurve_P00960_glyQ.pdf")</f>
        <v>0</v>
      </c>
    </row>
    <row r="33" spans="1:28">
      <c r="A33" t="s">
        <v>59</v>
      </c>
      <c r="B33">
        <v>0.999998419929286</v>
      </c>
      <c r="C33">
        <v>1.47895348381386</v>
      </c>
      <c r="D33">
        <v>1.32136754523823</v>
      </c>
      <c r="E33">
        <v>0.697786188580425</v>
      </c>
      <c r="F33">
        <v>0.135389905160191</v>
      </c>
      <c r="G33">
        <v>0.0830392401503716</v>
      </c>
      <c r="H33">
        <v>0.0440627013040257</v>
      </c>
      <c r="I33">
        <v>0.0356045106622239</v>
      </c>
      <c r="J33">
        <v>0.0312219986128523</v>
      </c>
      <c r="K33">
        <v>0.0316467671305541</v>
      </c>
      <c r="L33">
        <v>2510.36141384503</v>
      </c>
      <c r="M33">
        <v>53.0318887453474</v>
      </c>
      <c r="N33">
        <v>47.4344439157219</v>
      </c>
      <c r="O33">
        <v>47.2696638634257</v>
      </c>
      <c r="P33">
        <v>-0.265976021034637</v>
      </c>
      <c r="Q33">
        <v>0.0516960085251124</v>
      </c>
      <c r="R33">
        <v>0.890119355993724</v>
      </c>
      <c r="S33" t="s">
        <v>1717</v>
      </c>
      <c r="T33" t="s">
        <v>3344</v>
      </c>
      <c r="U33" t="s">
        <v>3344</v>
      </c>
      <c r="V33" t="s">
        <v>3344</v>
      </c>
      <c r="W33" t="s">
        <v>3377</v>
      </c>
      <c r="X33">
        <v>22</v>
      </c>
      <c r="Y33" t="s">
        <v>5032</v>
      </c>
      <c r="Z33" t="s">
        <v>6690</v>
      </c>
      <c r="AA33">
        <v>0.3802035900933519</v>
      </c>
      <c r="AB33">
        <f>HYPERLINK("Melting_Curves/meltCurve_P00961_glyS.pdf", "Melting_Curves/meltCurve_P00961_glyS.pdf")</f>
        <v>0</v>
      </c>
    </row>
    <row r="34" spans="1:28">
      <c r="A34" t="s">
        <v>60</v>
      </c>
      <c r="B34">
        <v>0.999998419929286</v>
      </c>
      <c r="C34">
        <v>1.1818942117292</v>
      </c>
      <c r="D34">
        <v>1.18944666315443</v>
      </c>
      <c r="E34">
        <v>0.865322092051007</v>
      </c>
      <c r="F34">
        <v>0.190848490630357</v>
      </c>
      <c r="G34">
        <v>0.138425994191384</v>
      </c>
      <c r="H34">
        <v>0.102096456347301</v>
      </c>
      <c r="I34">
        <v>0.08483678065084101</v>
      </c>
      <c r="J34">
        <v>0.08659781816984689</v>
      </c>
      <c r="K34">
        <v>0.07854986994693081</v>
      </c>
      <c r="L34">
        <v>2571.46048983955</v>
      </c>
      <c r="M34">
        <v>53.3997181048609</v>
      </c>
      <c r="N34">
        <v>48.3514093997911</v>
      </c>
      <c r="O34">
        <v>48.0875529272824</v>
      </c>
      <c r="P34">
        <v>-0.250540106260504</v>
      </c>
      <c r="Q34">
        <v>0.0975343566654974</v>
      </c>
      <c r="R34">
        <v>0.967852122986084</v>
      </c>
      <c r="S34" t="s">
        <v>1718</v>
      </c>
      <c r="T34" t="s">
        <v>3344</v>
      </c>
      <c r="U34" t="s">
        <v>3344</v>
      </c>
      <c r="V34" t="s">
        <v>3344</v>
      </c>
      <c r="W34" t="s">
        <v>3378</v>
      </c>
      <c r="X34">
        <v>9</v>
      </c>
      <c r="Y34" t="s">
        <v>5033</v>
      </c>
      <c r="Z34" t="s">
        <v>6691</v>
      </c>
      <c r="AA34">
        <v>0.4347789716054427</v>
      </c>
      <c r="AB34">
        <f>HYPERLINK("Melting_Curves/meltCurve_P00962_glnS.pdf", "Melting_Curves/meltCurve_P00962_glnS.pdf")</f>
        <v>0</v>
      </c>
    </row>
    <row r="35" spans="1:28">
      <c r="A35" t="s">
        <v>61</v>
      </c>
      <c r="B35">
        <v>0.999998419929286</v>
      </c>
      <c r="C35">
        <v>0.9140179537319369</v>
      </c>
      <c r="D35">
        <v>1.10184808289701</v>
      </c>
      <c r="E35">
        <v>1.18878906123018</v>
      </c>
      <c r="F35">
        <v>1.25351030761399</v>
      </c>
      <c r="G35">
        <v>0.910733324288741</v>
      </c>
      <c r="H35">
        <v>0.503955062473024</v>
      </c>
      <c r="I35">
        <v>0.30927736162916</v>
      </c>
      <c r="J35">
        <v>0.219098826049957</v>
      </c>
      <c r="K35">
        <v>0.203960442928892</v>
      </c>
      <c r="L35">
        <v>2345.47700365407</v>
      </c>
      <c r="M35">
        <v>41.3907861128667</v>
      </c>
      <c r="N35">
        <v>57.5024489602078</v>
      </c>
      <c r="O35">
        <v>56.5348500428346</v>
      </c>
      <c r="P35">
        <v>-0.141660433127857</v>
      </c>
      <c r="Q35">
        <v>0.226036721395274</v>
      </c>
      <c r="R35">
        <v>0.919313088134727</v>
      </c>
      <c r="S35" t="s">
        <v>1719</v>
      </c>
      <c r="T35" t="s">
        <v>3344</v>
      </c>
      <c r="U35" t="s">
        <v>3344</v>
      </c>
      <c r="V35" t="s">
        <v>3344</v>
      </c>
      <c r="W35" t="s">
        <v>3379</v>
      </c>
      <c r="X35">
        <v>1</v>
      </c>
      <c r="Y35" t="s">
        <v>5034</v>
      </c>
      <c r="Z35" t="s">
        <v>6692</v>
      </c>
      <c r="AA35">
        <v>0.7361539820214074</v>
      </c>
      <c r="AB35">
        <f>HYPERLINK("Melting_Curves/meltCurve_P00968_carB.pdf", "Melting_Curves/meltCurve_P00968_carB.pdf")</f>
        <v>0</v>
      </c>
    </row>
    <row r="36" spans="1:28">
      <c r="A36" t="s">
        <v>62</v>
      </c>
      <c r="B36">
        <v>0.999998419929286</v>
      </c>
      <c r="C36">
        <v>1.00796356646502</v>
      </c>
      <c r="D36">
        <v>0.7838864409840171</v>
      </c>
      <c r="E36">
        <v>0.977390587304111</v>
      </c>
      <c r="F36">
        <v>0.924156062628125</v>
      </c>
      <c r="G36">
        <v>0.93833320684562</v>
      </c>
      <c r="H36">
        <v>1.0214796579708</v>
      </c>
      <c r="I36">
        <v>1.10394552290522</v>
      </c>
      <c r="J36">
        <v>1.1064912805139</v>
      </c>
      <c r="K36">
        <v>0.974095764376435</v>
      </c>
      <c r="L36">
        <v>14385.7340408238</v>
      </c>
      <c r="M36">
        <v>250</v>
      </c>
      <c r="O36">
        <v>57.5392544075109</v>
      </c>
      <c r="P36">
        <v>0.0668140035111956</v>
      </c>
      <c r="Q36">
        <v>1.06151084641165</v>
      </c>
      <c r="R36">
        <v>0.11847421023044</v>
      </c>
      <c r="S36" t="s">
        <v>1720</v>
      </c>
      <c r="T36" t="s">
        <v>3344</v>
      </c>
      <c r="U36" t="s">
        <v>3344</v>
      </c>
      <c r="V36" t="s">
        <v>3344</v>
      </c>
      <c r="W36" t="s">
        <v>3380</v>
      </c>
      <c r="X36">
        <v>5</v>
      </c>
      <c r="Y36" t="s">
        <v>5035</v>
      </c>
      <c r="Z36" t="s">
        <v>6693</v>
      </c>
      <c r="AA36">
        <v>1.019384188245598</v>
      </c>
      <c r="AB36">
        <f>HYPERLINK("Melting_Curves/meltCurve_P02358_rpsF.pdf", "Melting_Curves/meltCurve_P02358_rpsF.pdf")</f>
        <v>0</v>
      </c>
    </row>
    <row r="37" spans="1:28">
      <c r="A37" t="s">
        <v>63</v>
      </c>
      <c r="B37">
        <v>0.999998419929286</v>
      </c>
      <c r="C37">
        <v>0.510679902337403</v>
      </c>
      <c r="D37">
        <v>0.25803460881346</v>
      </c>
      <c r="E37">
        <v>0.165702689531232</v>
      </c>
      <c r="F37">
        <v>0.113773966166889</v>
      </c>
      <c r="G37">
        <v>0.129904318205227</v>
      </c>
      <c r="H37">
        <v>0.07748762561331859</v>
      </c>
      <c r="I37">
        <v>0.07576143873961989</v>
      </c>
      <c r="J37">
        <v>0.104322916707164</v>
      </c>
      <c r="K37">
        <v>0.142694913918231</v>
      </c>
      <c r="L37">
        <v>1265.46371246557</v>
      </c>
      <c r="M37">
        <v>31.7515282308118</v>
      </c>
      <c r="N37">
        <v>40.2016525434381</v>
      </c>
      <c r="O37">
        <v>39.698113686636</v>
      </c>
      <c r="P37">
        <v>-0.176024311611925</v>
      </c>
      <c r="Q37">
        <v>0.119690018454235</v>
      </c>
      <c r="R37">
        <v>0.978788288907862</v>
      </c>
      <c r="S37" t="s">
        <v>1721</v>
      </c>
      <c r="T37" t="s">
        <v>3344</v>
      </c>
      <c r="U37" t="s">
        <v>3344</v>
      </c>
      <c r="V37" t="s">
        <v>3344</v>
      </c>
      <c r="W37" t="s">
        <v>3381</v>
      </c>
      <c r="X37">
        <v>5</v>
      </c>
      <c r="Y37" t="s">
        <v>5036</v>
      </c>
      <c r="Z37" t="s">
        <v>6694</v>
      </c>
      <c r="AA37">
        <v>0.2098250105631166</v>
      </c>
      <c r="AB37">
        <f>HYPERLINK("Melting_Curves/meltCurve_P02359_rpsG.pdf", "Melting_Curves/meltCurve_P02359_rpsG.pdf")</f>
        <v>0</v>
      </c>
    </row>
    <row r="38" spans="1:28">
      <c r="A38" t="s">
        <v>64</v>
      </c>
      <c r="B38">
        <v>0.999998419929286</v>
      </c>
      <c r="C38">
        <v>0.5306498655719391</v>
      </c>
      <c r="D38">
        <v>0.267037442768248</v>
      </c>
      <c r="E38">
        <v>0.144835836940635</v>
      </c>
      <c r="F38">
        <v>0.102710044744694</v>
      </c>
      <c r="G38">
        <v>0.132162757124037</v>
      </c>
      <c r="H38">
        <v>0.07056640049683729</v>
      </c>
      <c r="I38">
        <v>0.06668804571838741</v>
      </c>
      <c r="J38">
        <v>0.07134905364304769</v>
      </c>
      <c r="K38">
        <v>0.0838241736272025</v>
      </c>
      <c r="L38">
        <v>1110.98886134874</v>
      </c>
      <c r="M38">
        <v>27.6938577395914</v>
      </c>
      <c r="N38">
        <v>40.428848988141</v>
      </c>
      <c r="O38">
        <v>39.909371043507</v>
      </c>
      <c r="P38">
        <v>-0.156787559157209</v>
      </c>
      <c r="Q38">
        <v>0.09622752043566531</v>
      </c>
      <c r="R38">
        <v>0.980501229941661</v>
      </c>
      <c r="S38" t="s">
        <v>1722</v>
      </c>
      <c r="T38" t="s">
        <v>3344</v>
      </c>
      <c r="U38" t="s">
        <v>3344</v>
      </c>
      <c r="V38" t="s">
        <v>3344</v>
      </c>
      <c r="W38" t="s">
        <v>3382</v>
      </c>
      <c r="X38">
        <v>4</v>
      </c>
      <c r="Y38" t="s">
        <v>5037</v>
      </c>
      <c r="Z38" t="s">
        <v>6695</v>
      </c>
      <c r="AA38">
        <v>0.1986268692385445</v>
      </c>
      <c r="AB38">
        <f>HYPERLINK("Melting_Curves/meltCurve_P02413_rplO.pdf", "Melting_Curves/meltCurve_P02413_rplO.pdf")</f>
        <v>0</v>
      </c>
    </row>
    <row r="39" spans="1:28">
      <c r="A39" t="s">
        <v>65</v>
      </c>
      <c r="B39">
        <v>0.999998419929286</v>
      </c>
      <c r="C39">
        <v>0.881323978496763</v>
      </c>
      <c r="D39">
        <v>0.548915420376099</v>
      </c>
      <c r="E39">
        <v>0.267624871385559</v>
      </c>
      <c r="F39">
        <v>0.101076654615842</v>
      </c>
      <c r="G39">
        <v>0.0701045875262859</v>
      </c>
      <c r="H39">
        <v>0.0306486052745177</v>
      </c>
      <c r="I39">
        <v>0.0226658885565866</v>
      </c>
      <c r="J39">
        <v>0.0294289226873681</v>
      </c>
      <c r="K39">
        <v>0.0304542813377259</v>
      </c>
      <c r="L39">
        <v>843.967248486147</v>
      </c>
      <c r="M39">
        <v>19.3621186177649</v>
      </c>
      <c r="N39">
        <v>43.7294333627918</v>
      </c>
      <c r="O39">
        <v>43.1316059797424</v>
      </c>
      <c r="P39">
        <v>-0.108838325840989</v>
      </c>
      <c r="Q39">
        <v>0.0302305046269709</v>
      </c>
      <c r="R39">
        <v>0.997546458185713</v>
      </c>
      <c r="S39" t="s">
        <v>1723</v>
      </c>
      <c r="T39" t="s">
        <v>3344</v>
      </c>
      <c r="U39" t="s">
        <v>3344</v>
      </c>
      <c r="V39" t="s">
        <v>3344</v>
      </c>
      <c r="W39" t="s">
        <v>3383</v>
      </c>
      <c r="X39">
        <v>2</v>
      </c>
      <c r="Y39" t="s">
        <v>5038</v>
      </c>
      <c r="Z39" t="s">
        <v>6696</v>
      </c>
      <c r="AA39">
        <v>0.2573493423561553</v>
      </c>
      <c r="AB39">
        <f>HYPERLINK("Melting_Curves/meltCurve_P02916_malF.pdf", "Melting_Curves/meltCurve_P02916_malF.pdf")</f>
        <v>0</v>
      </c>
    </row>
    <row r="40" spans="1:28">
      <c r="A40" t="s">
        <v>66</v>
      </c>
      <c r="B40">
        <v>0.999998419929286</v>
      </c>
      <c r="C40">
        <v>1.10376428579038</v>
      </c>
      <c r="D40">
        <v>1.03825928627152</v>
      </c>
      <c r="E40">
        <v>1.11349235157754</v>
      </c>
      <c r="F40">
        <v>1.0781891012375</v>
      </c>
      <c r="G40">
        <v>1.00432203127272</v>
      </c>
      <c r="H40">
        <v>0.882077453995195</v>
      </c>
      <c r="I40">
        <v>0.741406330093625</v>
      </c>
      <c r="J40">
        <v>0.547392107802213</v>
      </c>
      <c r="K40">
        <v>0.55527842821718</v>
      </c>
      <c r="L40">
        <v>1779.60962817949</v>
      </c>
      <c r="M40">
        <v>29.5342971048091</v>
      </c>
      <c r="O40">
        <v>59.9814742353001</v>
      </c>
      <c r="P40">
        <v>-0.0600124040590384</v>
      </c>
      <c r="Q40">
        <v>0.512484418250718</v>
      </c>
      <c r="R40">
        <v>0.918124769126718</v>
      </c>
      <c r="S40" t="s">
        <v>1724</v>
      </c>
      <c r="T40" t="s">
        <v>3344</v>
      </c>
      <c r="U40" t="s">
        <v>3344</v>
      </c>
      <c r="V40" t="s">
        <v>3344</v>
      </c>
      <c r="W40" t="s">
        <v>3384</v>
      </c>
      <c r="X40">
        <v>8</v>
      </c>
      <c r="Y40" t="s">
        <v>5039</v>
      </c>
      <c r="Z40" t="s">
        <v>6697</v>
      </c>
      <c r="AA40">
        <v>0.8919335219300493</v>
      </c>
      <c r="AB40">
        <f>HYPERLINK("Melting_Curves/meltCurve_P02919_mrcB.pdf", "Melting_Curves/meltCurve_P02919_mrcB.pdf")</f>
        <v>0</v>
      </c>
    </row>
    <row r="41" spans="1:28">
      <c r="A41" t="s">
        <v>67</v>
      </c>
      <c r="B41">
        <v>0.999998419929286</v>
      </c>
      <c r="C41">
        <v>1.02606160741323</v>
      </c>
      <c r="D41">
        <v>1.05962307503744</v>
      </c>
      <c r="E41">
        <v>1.24009081296125</v>
      </c>
      <c r="F41">
        <v>1.46045609521588</v>
      </c>
      <c r="G41">
        <v>1.60322480529139</v>
      </c>
      <c r="H41">
        <v>1.43521647473903</v>
      </c>
      <c r="I41">
        <v>1.22262693817914</v>
      </c>
      <c r="J41">
        <v>1.24537833469562</v>
      </c>
      <c r="K41">
        <v>1.31911269985515</v>
      </c>
      <c r="L41">
        <v>2128.99218452939</v>
      </c>
      <c r="M41">
        <v>46.4045426418162</v>
      </c>
      <c r="O41">
        <v>45.794001927605</v>
      </c>
      <c r="P41">
        <v>0.09638290971051949</v>
      </c>
      <c r="Q41">
        <v>1.3804587907065</v>
      </c>
      <c r="R41">
        <v>0.691409616496329</v>
      </c>
      <c r="S41" t="s">
        <v>1725</v>
      </c>
      <c r="T41" t="s">
        <v>3344</v>
      </c>
      <c r="U41" t="s">
        <v>3344</v>
      </c>
      <c r="V41" t="s">
        <v>3344</v>
      </c>
      <c r="W41" t="s">
        <v>3385</v>
      </c>
      <c r="X41">
        <v>17</v>
      </c>
      <c r="Y41" t="s">
        <v>5040</v>
      </c>
      <c r="Z41" t="s">
        <v>6698</v>
      </c>
      <c r="AA41">
        <v>1.266961369687488</v>
      </c>
      <c r="AB41">
        <f>HYPERLINK("Melting_Curves/meltCurve_P02924_araF.pdf", "Melting_Curves/meltCurve_P02924_araF.pdf")</f>
        <v>0</v>
      </c>
    </row>
    <row r="42" spans="1:28">
      <c r="A42" t="s">
        <v>68</v>
      </c>
      <c r="B42">
        <v>0.999998419929286</v>
      </c>
      <c r="C42">
        <v>0.876046234952062</v>
      </c>
      <c r="D42">
        <v>0.999996309433098</v>
      </c>
      <c r="E42">
        <v>1.06675643307906</v>
      </c>
      <c r="F42">
        <v>1.19355951714302</v>
      </c>
      <c r="G42">
        <v>1.56751732252778</v>
      </c>
      <c r="H42">
        <v>1.37563468328745</v>
      </c>
      <c r="I42">
        <v>1.29464471146842</v>
      </c>
      <c r="J42">
        <v>1.47918322798182</v>
      </c>
      <c r="K42">
        <v>1.51621748469972</v>
      </c>
      <c r="L42">
        <v>12563.4596330902</v>
      </c>
      <c r="M42">
        <v>250</v>
      </c>
      <c r="O42">
        <v>50.250622637602</v>
      </c>
      <c r="P42">
        <v>0.555514868661049</v>
      </c>
      <c r="Q42">
        <v>1.44663948787483</v>
      </c>
      <c r="R42">
        <v>0.8736352892799359</v>
      </c>
      <c r="S42" t="s">
        <v>1726</v>
      </c>
      <c r="T42" t="s">
        <v>3344</v>
      </c>
      <c r="U42" t="s">
        <v>3344</v>
      </c>
      <c r="V42" t="s">
        <v>3344</v>
      </c>
      <c r="W42" t="s">
        <v>3386</v>
      </c>
      <c r="X42">
        <v>18</v>
      </c>
      <c r="Y42" t="s">
        <v>5041</v>
      </c>
      <c r="Z42" t="s">
        <v>6699</v>
      </c>
      <c r="AA42">
        <v>1.249277174821534</v>
      </c>
      <c r="AB42">
        <f>HYPERLINK("Melting_Curves/meltCurve_P02925_rbsB.pdf", "Melting_Curves/meltCurve_P02925_rbsB.pdf")</f>
        <v>0</v>
      </c>
    </row>
    <row r="43" spans="1:28">
      <c r="A43" t="s">
        <v>69</v>
      </c>
      <c r="B43">
        <v>0.999998419929286</v>
      </c>
      <c r="C43">
        <v>1.30200366911799</v>
      </c>
      <c r="D43">
        <v>1.21474107791282</v>
      </c>
      <c r="E43">
        <v>1.38509092955056</v>
      </c>
      <c r="F43">
        <v>1.28504938343059</v>
      </c>
      <c r="G43">
        <v>1.3398090262007</v>
      </c>
      <c r="H43">
        <v>1.08058927731987</v>
      </c>
      <c r="I43">
        <v>0.835204301248642</v>
      </c>
      <c r="J43">
        <v>0.72425790593212</v>
      </c>
      <c r="K43">
        <v>0.643881516622229</v>
      </c>
      <c r="L43">
        <v>4825.13290464094</v>
      </c>
      <c r="M43">
        <v>79.08664165243781</v>
      </c>
      <c r="O43">
        <v>60.9717437498651</v>
      </c>
      <c r="P43">
        <v>-0.104090657671878</v>
      </c>
      <c r="Q43">
        <v>0.679005815573324</v>
      </c>
      <c r="R43">
        <v>0.246787790906038</v>
      </c>
      <c r="S43" t="s">
        <v>1727</v>
      </c>
      <c r="T43" t="s">
        <v>3344</v>
      </c>
      <c r="U43" t="s">
        <v>3344</v>
      </c>
      <c r="V43" t="s">
        <v>3344</v>
      </c>
      <c r="W43" t="s">
        <v>3387</v>
      </c>
      <c r="X43">
        <v>7</v>
      </c>
      <c r="Y43" t="s">
        <v>5042</v>
      </c>
      <c r="Z43" t="s">
        <v>6700</v>
      </c>
      <c r="AA43">
        <v>0.9362512772467765</v>
      </c>
      <c r="AB43">
        <f>HYPERLINK("Melting_Curves/meltCurve_P02930_tolC.pdf", "Melting_Curves/meltCurve_P02930_tolC.pdf")</f>
        <v>0</v>
      </c>
    </row>
    <row r="44" spans="1:28">
      <c r="A44" t="s">
        <v>70</v>
      </c>
      <c r="B44">
        <v>0.999998419929286</v>
      </c>
      <c r="C44">
        <v>1.63555720877394</v>
      </c>
      <c r="D44">
        <v>1.036905418529</v>
      </c>
      <c r="E44">
        <v>0.739348615298793</v>
      </c>
      <c r="F44">
        <v>0.548634605569605</v>
      </c>
      <c r="G44">
        <v>0.323840702352431</v>
      </c>
      <c r="H44">
        <v>0.151989022710649</v>
      </c>
      <c r="I44">
        <v>0.147182042119055</v>
      </c>
      <c r="J44">
        <v>0.163226933637369</v>
      </c>
      <c r="K44">
        <v>0.179063725640326</v>
      </c>
      <c r="L44">
        <v>1078.18923849788</v>
      </c>
      <c r="M44">
        <v>21.7373861868489</v>
      </c>
      <c r="N44">
        <v>50.4512950997973</v>
      </c>
      <c r="O44">
        <v>49.1866342109558</v>
      </c>
      <c r="P44">
        <v>-0.093535983006495</v>
      </c>
      <c r="Q44">
        <v>0.153419508877901</v>
      </c>
      <c r="R44">
        <v>0.813711157888899</v>
      </c>
      <c r="S44" t="s">
        <v>1728</v>
      </c>
      <c r="T44" t="s">
        <v>3344</v>
      </c>
      <c r="U44" t="s">
        <v>3344</v>
      </c>
      <c r="V44" t="s">
        <v>3344</v>
      </c>
      <c r="W44" t="s">
        <v>3388</v>
      </c>
      <c r="X44">
        <v>1</v>
      </c>
      <c r="Y44" t="s">
        <v>5043</v>
      </c>
      <c r="Z44" t="s">
        <v>6701</v>
      </c>
      <c r="AA44">
        <v>0.5185956979947315</v>
      </c>
      <c r="AB44">
        <f>HYPERLINK("Melting_Curves/meltCurve_P02931_ompF.pdf", "Melting_Curves/meltCurve_P02931_ompF.pdf")</f>
        <v>0</v>
      </c>
    </row>
    <row r="45" spans="1:28">
      <c r="A45" t="s">
        <v>71</v>
      </c>
      <c r="B45">
        <v>0.999998419929286</v>
      </c>
      <c r="C45">
        <v>1.20689486820511</v>
      </c>
      <c r="D45">
        <v>1.27705605377472</v>
      </c>
      <c r="E45">
        <v>1.38038964112089</v>
      </c>
      <c r="F45">
        <v>1.38347627774479</v>
      </c>
      <c r="G45">
        <v>1.37131713924557</v>
      </c>
      <c r="H45">
        <v>1.05117987759314</v>
      </c>
      <c r="I45">
        <v>0.7429765000894361</v>
      </c>
      <c r="J45">
        <v>0.671646610097358</v>
      </c>
      <c r="K45">
        <v>0.61481436867723</v>
      </c>
      <c r="L45">
        <v>11594.3294816517</v>
      </c>
      <c r="M45">
        <v>191.017270591043</v>
      </c>
      <c r="O45">
        <v>60.691137836639</v>
      </c>
      <c r="P45">
        <v>-0.280729482494152</v>
      </c>
      <c r="Q45">
        <v>0.643219772346003</v>
      </c>
      <c r="R45">
        <v>0.329254613947289</v>
      </c>
      <c r="S45" t="s">
        <v>1729</v>
      </c>
      <c r="T45" t="s">
        <v>3344</v>
      </c>
      <c r="U45" t="s">
        <v>3344</v>
      </c>
      <c r="V45" t="s">
        <v>3344</v>
      </c>
      <c r="W45" t="s">
        <v>3389</v>
      </c>
      <c r="X45">
        <v>18</v>
      </c>
      <c r="Y45" t="s">
        <v>5044</v>
      </c>
      <c r="Z45" t="s">
        <v>6702</v>
      </c>
      <c r="AA45">
        <v>0.925115185467262</v>
      </c>
      <c r="AB45">
        <f>HYPERLINK("Melting_Curves/meltCurve_P02942_tsr.pdf", "Melting_Curves/meltCurve_P02942_tsr.pdf")</f>
        <v>0</v>
      </c>
    </row>
    <row r="46" spans="1:28">
      <c r="A46" t="s">
        <v>72</v>
      </c>
      <c r="B46">
        <v>0.999998419929286</v>
      </c>
      <c r="C46">
        <v>1.28410872466154</v>
      </c>
      <c r="D46">
        <v>1.36683012412597</v>
      </c>
      <c r="E46">
        <v>1.63132627049947</v>
      </c>
      <c r="F46">
        <v>1.76698690288824</v>
      </c>
      <c r="G46">
        <v>1.92919470937977</v>
      </c>
      <c r="H46">
        <v>1.83348562919311</v>
      </c>
      <c r="I46">
        <v>1.60158057884759</v>
      </c>
      <c r="J46">
        <v>1.84197793942511</v>
      </c>
      <c r="K46">
        <v>1.96615385844315</v>
      </c>
      <c r="L46">
        <v>1272.87879524048</v>
      </c>
      <c r="M46">
        <v>31.9157452013107</v>
      </c>
      <c r="O46">
        <v>39.7268688847354</v>
      </c>
      <c r="P46">
        <v>0.100422913814831</v>
      </c>
      <c r="Q46">
        <v>1.5</v>
      </c>
      <c r="R46">
        <v>0.171169844338055</v>
      </c>
      <c r="S46" t="s">
        <v>1730</v>
      </c>
      <c r="T46" t="s">
        <v>3344</v>
      </c>
      <c r="U46" t="s">
        <v>3344</v>
      </c>
      <c r="V46" t="s">
        <v>3344</v>
      </c>
      <c r="W46" t="s">
        <v>3390</v>
      </c>
      <c r="X46">
        <v>8</v>
      </c>
      <c r="Y46" t="s">
        <v>5045</v>
      </c>
      <c r="Z46" t="s">
        <v>6703</v>
      </c>
      <c r="AA46">
        <v>1.448427570475822</v>
      </c>
      <c r="AB46">
        <f>HYPERLINK("Melting_Curves/meltCurve_P02943_lamB.pdf", "Melting_Curves/meltCurve_P02943_lamB.pdf")</f>
        <v>0</v>
      </c>
    </row>
    <row r="47" spans="1:28">
      <c r="A47" t="s">
        <v>73</v>
      </c>
      <c r="B47">
        <v>0.999998419929286</v>
      </c>
      <c r="C47">
        <v>0.9881518645335891</v>
      </c>
      <c r="D47">
        <v>0.818799819218978</v>
      </c>
      <c r="E47">
        <v>0.980453986081378</v>
      </c>
      <c r="F47">
        <v>1.02737932070131</v>
      </c>
      <c r="G47">
        <v>1.10624472822464</v>
      </c>
      <c r="H47">
        <v>1.05435999862765</v>
      </c>
      <c r="I47">
        <v>0.837332935805461</v>
      </c>
      <c r="J47">
        <v>0.779235021176139</v>
      </c>
      <c r="K47">
        <v>0.645827795815456</v>
      </c>
      <c r="L47">
        <v>2135.70596323616</v>
      </c>
      <c r="M47">
        <v>34.2077359400187</v>
      </c>
      <c r="O47">
        <v>62.2212084926074</v>
      </c>
      <c r="P47">
        <v>-0.0505757573593594</v>
      </c>
      <c r="Q47">
        <v>0.632027941702933</v>
      </c>
      <c r="R47">
        <v>0.710688370464535</v>
      </c>
      <c r="S47" t="s">
        <v>1731</v>
      </c>
      <c r="T47" t="s">
        <v>3344</v>
      </c>
      <c r="U47" t="s">
        <v>3344</v>
      </c>
      <c r="V47" t="s">
        <v>3344</v>
      </c>
      <c r="W47" t="s">
        <v>3391</v>
      </c>
      <c r="X47">
        <v>1</v>
      </c>
      <c r="Y47" t="s">
        <v>5046</v>
      </c>
      <c r="Z47" t="s">
        <v>6704</v>
      </c>
      <c r="AA47">
        <v>0.9436061057557183</v>
      </c>
      <c r="AB47">
        <f>HYPERLINK("Melting_Curves/meltCurve_P03004_dnaA.pdf", "Melting_Curves/meltCurve_P03004_dnaA.pdf")</f>
        <v>0</v>
      </c>
    </row>
    <row r="48" spans="1:28">
      <c r="A48" t="s">
        <v>74</v>
      </c>
      <c r="B48">
        <v>0.999998419929286</v>
      </c>
      <c r="C48">
        <v>1.22795674840007</v>
      </c>
      <c r="D48">
        <v>1.09719759727793</v>
      </c>
      <c r="E48">
        <v>0.577843451648303</v>
      </c>
      <c r="F48">
        <v>0.5084473323909821</v>
      </c>
      <c r="G48">
        <v>0.437159282020409</v>
      </c>
      <c r="H48">
        <v>0.438910253052522</v>
      </c>
      <c r="I48">
        <v>0.285292919920639</v>
      </c>
      <c r="J48">
        <v>0.279191539238448</v>
      </c>
      <c r="K48">
        <v>0.269098060992671</v>
      </c>
      <c r="L48">
        <v>4691.67143028749</v>
      </c>
      <c r="M48">
        <v>101.383282347597</v>
      </c>
      <c r="N48">
        <v>46.8982848223206</v>
      </c>
      <c r="O48">
        <v>46.2585812942848</v>
      </c>
      <c r="P48">
        <v>-0.345407952719223</v>
      </c>
      <c r="Q48">
        <v>0.369597011319999</v>
      </c>
      <c r="R48">
        <v>0.901581419699457</v>
      </c>
      <c r="S48" t="s">
        <v>1732</v>
      </c>
      <c r="T48" t="s">
        <v>3344</v>
      </c>
      <c r="U48" t="s">
        <v>3344</v>
      </c>
      <c r="V48" t="s">
        <v>3344</v>
      </c>
      <c r="W48" t="s">
        <v>3392</v>
      </c>
      <c r="X48">
        <v>1</v>
      </c>
      <c r="Y48" t="s">
        <v>5047</v>
      </c>
      <c r="Z48" t="s">
        <v>6705</v>
      </c>
      <c r="AA48">
        <v>0.5648414388404753</v>
      </c>
      <c r="AB48">
        <f>HYPERLINK("Melting_Curves/meltCurve_P03018_uvrD.pdf", "Melting_Curves/meltCurve_P03018_uvrD.pdf")</f>
        <v>0</v>
      </c>
    </row>
    <row r="49" spans="1:28">
      <c r="A49" t="s">
        <v>75</v>
      </c>
      <c r="B49">
        <v>0.999998419929286</v>
      </c>
      <c r="C49">
        <v>1.09211503839587</v>
      </c>
      <c r="D49">
        <v>0.9646717380422229</v>
      </c>
      <c r="E49">
        <v>0.981987307719583</v>
      </c>
      <c r="F49">
        <v>0.757731211098964</v>
      </c>
      <c r="G49">
        <v>0.5292130695938549</v>
      </c>
      <c r="H49">
        <v>0.441933392742944</v>
      </c>
      <c r="I49">
        <v>0.515026210515264</v>
      </c>
      <c r="J49">
        <v>0.538827347089248</v>
      </c>
      <c r="K49">
        <v>0.466287004467893</v>
      </c>
      <c r="L49">
        <v>2119.15109351703</v>
      </c>
      <c r="M49">
        <v>42.1171076229062</v>
      </c>
      <c r="N49">
        <v>55.6728808771723</v>
      </c>
      <c r="O49">
        <v>50.2026569639118</v>
      </c>
      <c r="P49">
        <v>-0.106689907897196</v>
      </c>
      <c r="Q49">
        <v>0.491312944588247</v>
      </c>
      <c r="R49">
        <v>0.973451158984675</v>
      </c>
      <c r="S49" t="s">
        <v>1733</v>
      </c>
      <c r="T49" t="s">
        <v>3344</v>
      </c>
      <c r="U49" t="s">
        <v>3344</v>
      </c>
      <c r="V49" t="s">
        <v>3344</v>
      </c>
      <c r="W49" t="s">
        <v>3393</v>
      </c>
      <c r="X49">
        <v>2</v>
      </c>
      <c r="Y49" t="s">
        <v>5048</v>
      </c>
      <c r="Z49" t="s">
        <v>6706</v>
      </c>
      <c r="AA49">
        <v>0.718690621246929</v>
      </c>
      <c r="AB49">
        <f>HYPERLINK("Melting_Curves/meltCurve_P03817_mioC.pdf", "Melting_Curves/meltCurve_P03817_mioC.pdf")</f>
        <v>0</v>
      </c>
    </row>
    <row r="50" spans="1:28">
      <c r="A50" t="s">
        <v>76</v>
      </c>
      <c r="B50">
        <v>0.999998419929286</v>
      </c>
      <c r="C50">
        <v>1.14530736643486</v>
      </c>
      <c r="D50">
        <v>1.12430966762226</v>
      </c>
      <c r="E50">
        <v>1.20808135267771</v>
      </c>
      <c r="F50">
        <v>1.34329658018348</v>
      </c>
      <c r="G50">
        <v>1.49908581447621</v>
      </c>
      <c r="H50">
        <v>1.34003733430438</v>
      </c>
      <c r="I50">
        <v>1.18438813456467</v>
      </c>
      <c r="J50">
        <v>0.681388049012193</v>
      </c>
      <c r="K50">
        <v>0.855242384191195</v>
      </c>
      <c r="L50">
        <v>5025.5171690905</v>
      </c>
      <c r="M50">
        <v>80.02544749614781</v>
      </c>
      <c r="O50">
        <v>62.7598053266374</v>
      </c>
      <c r="P50">
        <v>-0.07431373625766299</v>
      </c>
      <c r="Q50">
        <v>0.766878404881167</v>
      </c>
      <c r="R50">
        <v>-0.187589661356068</v>
      </c>
      <c r="S50" t="s">
        <v>1734</v>
      </c>
      <c r="T50" t="s">
        <v>3344</v>
      </c>
      <c r="U50" t="s">
        <v>3344</v>
      </c>
      <c r="V50" t="s">
        <v>3344</v>
      </c>
      <c r="W50" t="s">
        <v>3394</v>
      </c>
      <c r="X50">
        <v>8</v>
      </c>
      <c r="Y50" t="s">
        <v>5049</v>
      </c>
      <c r="Z50" t="s">
        <v>6707</v>
      </c>
      <c r="AA50">
        <v>0.9675592802547616</v>
      </c>
      <c r="AB50">
        <f>HYPERLINK("Melting_Curves/meltCurve_P03841_malM.pdf", "Melting_Curves/meltCurve_P03841_malM.pdf")</f>
        <v>0</v>
      </c>
    </row>
    <row r="51" spans="1:28">
      <c r="A51" t="s">
        <v>77</v>
      </c>
      <c r="B51">
        <v>0.999998419929286</v>
      </c>
      <c r="C51">
        <v>1.1160308470336</v>
      </c>
      <c r="D51">
        <v>0.595258961876713</v>
      </c>
      <c r="E51">
        <v>0.463377979498262</v>
      </c>
      <c r="F51">
        <v>0.238219355162838</v>
      </c>
      <c r="G51">
        <v>0.255107880979798</v>
      </c>
      <c r="H51">
        <v>0.178901192885031</v>
      </c>
      <c r="I51">
        <v>0.127550951403765</v>
      </c>
      <c r="J51">
        <v>0.0969350566342003</v>
      </c>
      <c r="K51">
        <v>0.114741372045692</v>
      </c>
      <c r="L51">
        <v>847.462600407278</v>
      </c>
      <c r="M51">
        <v>18.9381332364801</v>
      </c>
      <c r="N51">
        <v>45.5631184905968</v>
      </c>
      <c r="O51">
        <v>44.2590055912945</v>
      </c>
      <c r="P51">
        <v>-0.0916222067215397</v>
      </c>
      <c r="Q51">
        <v>0.143538764644061</v>
      </c>
      <c r="R51">
        <v>0.945665951884248</v>
      </c>
      <c r="S51" t="s">
        <v>1735</v>
      </c>
      <c r="T51" t="s">
        <v>3344</v>
      </c>
      <c r="U51" t="s">
        <v>3344</v>
      </c>
      <c r="V51" t="s">
        <v>3344</v>
      </c>
      <c r="W51" t="s">
        <v>3395</v>
      </c>
      <c r="X51">
        <v>5</v>
      </c>
      <c r="Y51" t="s">
        <v>5050</v>
      </c>
      <c r="Z51" t="s">
        <v>6708</v>
      </c>
      <c r="AA51">
        <v>0.3774376432813677</v>
      </c>
      <c r="AB51">
        <f>HYPERLINK("Melting_Curves/meltCurve_P04036_dapB.pdf", "Melting_Curves/meltCurve_P04036_dapB.pdf")</f>
        <v>0</v>
      </c>
    </row>
    <row r="52" spans="1:28">
      <c r="A52" t="s">
        <v>78</v>
      </c>
      <c r="B52">
        <v>0.999998419929286</v>
      </c>
      <c r="C52">
        <v>1.34704024973538</v>
      </c>
      <c r="D52">
        <v>1.51793769008974</v>
      </c>
      <c r="E52">
        <v>1.82966180069172</v>
      </c>
      <c r="F52">
        <v>2.19671287421375</v>
      </c>
      <c r="G52">
        <v>2.11005254598715</v>
      </c>
      <c r="H52">
        <v>0.276585036090159</v>
      </c>
      <c r="I52">
        <v>0.114623919902943</v>
      </c>
      <c r="J52">
        <v>0.0810623280145978</v>
      </c>
      <c r="K52">
        <v>0.06953616421505369</v>
      </c>
      <c r="L52">
        <v>14272.706099982</v>
      </c>
      <c r="M52">
        <v>250</v>
      </c>
      <c r="N52">
        <v>57.1353013587998</v>
      </c>
      <c r="O52">
        <v>57.0871709829426</v>
      </c>
      <c r="P52">
        <v>-0.998027367856239</v>
      </c>
      <c r="Q52">
        <v>0.088407057430143</v>
      </c>
      <c r="R52">
        <v>0.443853885790039</v>
      </c>
      <c r="S52" t="s">
        <v>1736</v>
      </c>
      <c r="T52" t="s">
        <v>3344</v>
      </c>
      <c r="U52" t="s">
        <v>3344</v>
      </c>
      <c r="V52" t="s">
        <v>3344</v>
      </c>
      <c r="W52" t="s">
        <v>3396</v>
      </c>
      <c r="X52">
        <v>10</v>
      </c>
      <c r="Y52" t="s">
        <v>5051</v>
      </c>
      <c r="Z52" t="s">
        <v>6709</v>
      </c>
      <c r="AA52">
        <v>0.6989868509046818</v>
      </c>
      <c r="AB52">
        <f>HYPERLINK("Melting_Curves/meltCurve_P04079_guaA.pdf", "Melting_Curves/meltCurve_P04079_guaA.pdf")</f>
        <v>0</v>
      </c>
    </row>
    <row r="53" spans="1:28">
      <c r="A53" t="s">
        <v>79</v>
      </c>
      <c r="B53">
        <v>0.999998419929286</v>
      </c>
      <c r="C53">
        <v>1.14447333660147</v>
      </c>
      <c r="D53">
        <v>0.9775352444672391</v>
      </c>
      <c r="E53">
        <v>0.687375968503431</v>
      </c>
      <c r="F53">
        <v>0.387857054276</v>
      </c>
      <c r="G53">
        <v>0.316071534663174</v>
      </c>
      <c r="H53">
        <v>0.168495898699225</v>
      </c>
      <c r="I53">
        <v>0.129926374687675</v>
      </c>
      <c r="J53">
        <v>0.0843940986050751</v>
      </c>
      <c r="K53">
        <v>0.103878002266778</v>
      </c>
      <c r="L53">
        <v>926.495656985069</v>
      </c>
      <c r="M53">
        <v>19.0876995438262</v>
      </c>
      <c r="N53">
        <v>49.2069541520317</v>
      </c>
      <c r="O53">
        <v>48.0155383295872</v>
      </c>
      <c r="P53">
        <v>-0.08804223897369751</v>
      </c>
      <c r="Q53">
        <v>0.114145721581023</v>
      </c>
      <c r="R53">
        <v>0.97512821329104</v>
      </c>
      <c r="S53" t="s">
        <v>1737</v>
      </c>
      <c r="T53" t="s">
        <v>3344</v>
      </c>
      <c r="U53" t="s">
        <v>3344</v>
      </c>
      <c r="V53" t="s">
        <v>3344</v>
      </c>
      <c r="W53" t="s">
        <v>3397</v>
      </c>
      <c r="X53">
        <v>4</v>
      </c>
      <c r="Y53" t="s">
        <v>5052</v>
      </c>
      <c r="Z53" t="s">
        <v>6710</v>
      </c>
      <c r="AA53">
        <v>0.4675765167568785</v>
      </c>
      <c r="AB53">
        <f>HYPERLINK("Melting_Curves/meltCurve_P04335_frsA.pdf", "Melting_Curves/meltCurve_P04335_frsA.pdf")</f>
        <v>0</v>
      </c>
    </row>
    <row r="54" spans="1:28">
      <c r="A54" t="s">
        <v>80</v>
      </c>
      <c r="B54">
        <v>0.999998419929286</v>
      </c>
      <c r="C54">
        <v>0.993919709328578</v>
      </c>
      <c r="D54">
        <v>1.02052666308965</v>
      </c>
      <c r="E54">
        <v>1.2088067962964</v>
      </c>
      <c r="F54">
        <v>1.30569484808401</v>
      </c>
      <c r="G54">
        <v>1.4227578274151</v>
      </c>
      <c r="H54">
        <v>1.01082490064266</v>
      </c>
      <c r="I54">
        <v>0.352950356284751</v>
      </c>
      <c r="J54">
        <v>0.094255408511994</v>
      </c>
      <c r="K54">
        <v>0.0622945528839219</v>
      </c>
      <c r="L54">
        <v>7370.24137730421</v>
      </c>
      <c r="M54">
        <v>121.67734558669</v>
      </c>
      <c r="N54">
        <v>60.656135851688</v>
      </c>
      <c r="O54">
        <v>60.5556526164232</v>
      </c>
      <c r="P54">
        <v>-0.463333142295223</v>
      </c>
      <c r="Q54">
        <v>0.07764457302428319</v>
      </c>
      <c r="R54">
        <v>0.856056970521927</v>
      </c>
      <c r="S54" t="s">
        <v>1738</v>
      </c>
      <c r="T54" t="s">
        <v>3344</v>
      </c>
      <c r="U54" t="s">
        <v>3344</v>
      </c>
      <c r="V54" t="s">
        <v>3344</v>
      </c>
      <c r="W54" t="s">
        <v>3398</v>
      </c>
      <c r="X54">
        <v>10</v>
      </c>
      <c r="Y54" t="s">
        <v>5053</v>
      </c>
      <c r="Z54" t="s">
        <v>6711</v>
      </c>
      <c r="AA54">
        <v>0.8027843218583707</v>
      </c>
      <c r="AB54">
        <f>HYPERLINK("Melting_Curves/meltCurve_P04425_gshB.pdf", "Melting_Curves/meltCurve_P04425_gshB.pdf")</f>
        <v>0</v>
      </c>
    </row>
    <row r="55" spans="1:28">
      <c r="A55" t="s">
        <v>81</v>
      </c>
      <c r="B55">
        <v>0.999998419929286</v>
      </c>
      <c r="C55">
        <v>0.902677656382005</v>
      </c>
      <c r="D55">
        <v>0.574734727266956</v>
      </c>
      <c r="E55">
        <v>0.296856347789659</v>
      </c>
      <c r="F55">
        <v>0.146027851415318</v>
      </c>
      <c r="G55">
        <v>0.094213752825827</v>
      </c>
      <c r="H55">
        <v>0.0490831732826748</v>
      </c>
      <c r="I55">
        <v>0.0389891338864234</v>
      </c>
      <c r="J55">
        <v>0.0208000111998463</v>
      </c>
      <c r="K55">
        <v>0.0301195519557182</v>
      </c>
      <c r="L55">
        <v>801.323704064269</v>
      </c>
      <c r="M55">
        <v>18.2438271134211</v>
      </c>
      <c r="N55">
        <v>44.1147213655266</v>
      </c>
      <c r="O55">
        <v>43.4054778755532</v>
      </c>
      <c r="P55">
        <v>-0.101077829952606</v>
      </c>
      <c r="Q55">
        <v>0.0381127366502357</v>
      </c>
      <c r="R55">
        <v>0.9960361671724181</v>
      </c>
      <c r="S55" t="s">
        <v>1739</v>
      </c>
      <c r="T55" t="s">
        <v>3344</v>
      </c>
      <c r="U55" t="s">
        <v>3344</v>
      </c>
      <c r="V55" t="s">
        <v>3344</v>
      </c>
      <c r="W55" t="s">
        <v>3399</v>
      </c>
      <c r="X55">
        <v>4</v>
      </c>
      <c r="Y55" t="s">
        <v>5054</v>
      </c>
      <c r="Z55" t="s">
        <v>6712</v>
      </c>
      <c r="AA55">
        <v>0.2758646902856382</v>
      </c>
      <c r="AB55">
        <f>HYPERLINK("Melting_Curves/meltCurve_P04693_tyrB.pdf", "Melting_Curves/meltCurve_P04693_tyrB.pdf")</f>
        <v>0</v>
      </c>
    </row>
    <row r="56" spans="1:28">
      <c r="A56" t="s">
        <v>82</v>
      </c>
      <c r="B56">
        <v>0.999998419929286</v>
      </c>
      <c r="C56">
        <v>1.3218957742462</v>
      </c>
      <c r="D56">
        <v>1.43925697249492</v>
      </c>
      <c r="E56">
        <v>1.8683805918928</v>
      </c>
      <c r="F56">
        <v>1.85468598098538</v>
      </c>
      <c r="G56">
        <v>0.464833805978515</v>
      </c>
      <c r="H56">
        <v>0.123672315551276</v>
      </c>
      <c r="I56">
        <v>0.09083403153013871</v>
      </c>
      <c r="J56">
        <v>0.0712185079481891</v>
      </c>
      <c r="K56">
        <v>0.0685021173024225</v>
      </c>
      <c r="L56">
        <v>13431.0488954799</v>
      </c>
      <c r="M56">
        <v>250</v>
      </c>
      <c r="N56">
        <v>53.7661196795862</v>
      </c>
      <c r="O56">
        <v>53.7207576470274</v>
      </c>
      <c r="P56">
        <v>-1.06039469064674</v>
      </c>
      <c r="Q56">
        <v>0.0885567030573135</v>
      </c>
      <c r="R56">
        <v>0.650685785888909</v>
      </c>
      <c r="S56" t="s">
        <v>1740</v>
      </c>
      <c r="T56" t="s">
        <v>3344</v>
      </c>
      <c r="U56" t="s">
        <v>3344</v>
      </c>
      <c r="V56" t="s">
        <v>3344</v>
      </c>
      <c r="W56" t="s">
        <v>3400</v>
      </c>
      <c r="X56">
        <v>7</v>
      </c>
      <c r="Y56" t="s">
        <v>5055</v>
      </c>
      <c r="Z56" t="s">
        <v>6713</v>
      </c>
      <c r="AA56">
        <v>0.5967478372677264</v>
      </c>
      <c r="AB56">
        <f>HYPERLINK("Melting_Curves/meltCurve_P04805_gltX.pdf", "Melting_Curves/meltCurve_P04805_gltX.pdf")</f>
        <v>0</v>
      </c>
    </row>
    <row r="57" spans="1:28">
      <c r="A57" t="s">
        <v>83</v>
      </c>
      <c r="B57">
        <v>0.999998419929286</v>
      </c>
      <c r="C57">
        <v>1.11381194313737</v>
      </c>
      <c r="D57">
        <v>0.895583391107966</v>
      </c>
      <c r="E57">
        <v>1.0051995605579</v>
      </c>
      <c r="F57">
        <v>1.14869387883651</v>
      </c>
      <c r="G57">
        <v>0.897307502565723</v>
      </c>
      <c r="H57">
        <v>0.767524021083078</v>
      </c>
      <c r="I57">
        <v>0.572750707040947</v>
      </c>
      <c r="J57">
        <v>0.680826955446671</v>
      </c>
      <c r="K57">
        <v>0.494307016709597</v>
      </c>
      <c r="L57">
        <v>1794.33841387585</v>
      </c>
      <c r="M57">
        <v>31.5523492777999</v>
      </c>
      <c r="O57">
        <v>56.6416440740985</v>
      </c>
      <c r="P57">
        <v>-0.0606229105042585</v>
      </c>
      <c r="Q57">
        <v>0.564690045636094</v>
      </c>
      <c r="R57">
        <v>0.84892561712668</v>
      </c>
      <c r="S57" t="s">
        <v>1741</v>
      </c>
      <c r="T57" t="s">
        <v>3344</v>
      </c>
      <c r="U57" t="s">
        <v>3344</v>
      </c>
      <c r="V57" t="s">
        <v>3344</v>
      </c>
      <c r="W57" t="s">
        <v>3401</v>
      </c>
      <c r="X57">
        <v>1</v>
      </c>
      <c r="Y57" t="s">
        <v>5056</v>
      </c>
      <c r="Z57" t="s">
        <v>6714</v>
      </c>
      <c r="AA57">
        <v>0.8554240762426761</v>
      </c>
      <c r="AB57">
        <f>HYPERLINK("Melting_Curves/meltCurve_P04816_livK.pdf", "Melting_Curves/meltCurve_P04816_livK.pdf")</f>
        <v>0</v>
      </c>
    </row>
    <row r="58" spans="1:28">
      <c r="A58" t="s">
        <v>84</v>
      </c>
      <c r="B58">
        <v>0.999998419929286</v>
      </c>
      <c r="C58">
        <v>1.4969328352977</v>
      </c>
      <c r="D58">
        <v>1.20134576877307</v>
      </c>
      <c r="E58">
        <v>1.06441638809833</v>
      </c>
      <c r="F58">
        <v>0.65495221802237</v>
      </c>
      <c r="G58">
        <v>0.253965450378918</v>
      </c>
      <c r="H58">
        <v>0.0784833765747348</v>
      </c>
      <c r="I58">
        <v>0.0383537650952367</v>
      </c>
      <c r="J58">
        <v>0.0278594571132873</v>
      </c>
      <c r="K58">
        <v>0.0298672456881969</v>
      </c>
      <c r="L58">
        <v>1645.61726364362</v>
      </c>
      <c r="M58">
        <v>32.0110779356734</v>
      </c>
      <c r="N58">
        <v>51.5317331043949</v>
      </c>
      <c r="O58">
        <v>51.2083899813289</v>
      </c>
      <c r="P58">
        <v>-0.150486829840954</v>
      </c>
      <c r="Q58">
        <v>0.0370651150364694</v>
      </c>
      <c r="R58">
        <v>0.896334025271033</v>
      </c>
      <c r="S58" t="s">
        <v>1742</v>
      </c>
      <c r="T58" t="s">
        <v>3344</v>
      </c>
      <c r="U58" t="s">
        <v>3344</v>
      </c>
      <c r="V58" t="s">
        <v>3344</v>
      </c>
      <c r="W58" t="s">
        <v>3402</v>
      </c>
      <c r="X58">
        <v>16</v>
      </c>
      <c r="Y58" t="s">
        <v>5057</v>
      </c>
      <c r="Z58" t="s">
        <v>6715</v>
      </c>
      <c r="AA58">
        <v>0.5048381950796681</v>
      </c>
      <c r="AB58">
        <f>HYPERLINK("Melting_Curves/meltCurve_P04825_pepN.pdf", "Melting_Curves/meltCurve_P04825_pepN.pdf")</f>
        <v>0</v>
      </c>
    </row>
    <row r="59" spans="1:28">
      <c r="A59" t="s">
        <v>85</v>
      </c>
      <c r="B59">
        <v>0.999998419929286</v>
      </c>
      <c r="C59">
        <v>1.00049677988927</v>
      </c>
      <c r="D59">
        <v>0.959257976743773</v>
      </c>
      <c r="E59">
        <v>0.826530615399065</v>
      </c>
      <c r="F59">
        <v>0.529050876177717</v>
      </c>
      <c r="G59">
        <v>0.411343253845546</v>
      </c>
      <c r="H59">
        <v>0.229865468829028</v>
      </c>
      <c r="I59">
        <v>0.165883548569506</v>
      </c>
      <c r="J59">
        <v>0.197358683937405</v>
      </c>
      <c r="K59">
        <v>0.216411671530934</v>
      </c>
      <c r="L59">
        <v>881.414902548318</v>
      </c>
      <c r="M59">
        <v>17.6750651197021</v>
      </c>
      <c r="N59">
        <v>51.1388406178537</v>
      </c>
      <c r="O59">
        <v>49.2425077589599</v>
      </c>
      <c r="P59">
        <v>-0.07378656943510779</v>
      </c>
      <c r="Q59">
        <v>0.177769800583359</v>
      </c>
      <c r="R59">
        <v>0.993105927717587</v>
      </c>
      <c r="S59" t="s">
        <v>1743</v>
      </c>
      <c r="T59" t="s">
        <v>3344</v>
      </c>
      <c r="U59" t="s">
        <v>3344</v>
      </c>
      <c r="V59" t="s">
        <v>3344</v>
      </c>
      <c r="W59" t="s">
        <v>3403</v>
      </c>
      <c r="X59">
        <v>5</v>
      </c>
      <c r="Y59" t="s">
        <v>5058</v>
      </c>
      <c r="Z59" t="s">
        <v>6716</v>
      </c>
      <c r="AA59">
        <v>0.5438140237147774</v>
      </c>
      <c r="AB59">
        <f>HYPERLINK("Melting_Curves/meltCurve_P04846_nlpA.pdf", "Melting_Curves/meltCurve_P04846_nlpA.pdf")</f>
        <v>0</v>
      </c>
    </row>
    <row r="60" spans="1:28">
      <c r="A60" t="s">
        <v>86</v>
      </c>
      <c r="B60">
        <v>0.999998419929286</v>
      </c>
      <c r="C60">
        <v>1.47925703191696</v>
      </c>
      <c r="D60">
        <v>1.56642250967213</v>
      </c>
      <c r="E60">
        <v>2.5178797021584</v>
      </c>
      <c r="F60">
        <v>2.81298000968246</v>
      </c>
      <c r="G60">
        <v>3.35328225166894</v>
      </c>
      <c r="H60">
        <v>2.44759195969325</v>
      </c>
      <c r="I60">
        <v>2.99259976255533</v>
      </c>
      <c r="J60">
        <v>3.21669351089669</v>
      </c>
      <c r="K60">
        <v>3.11058556313332</v>
      </c>
      <c r="S60" t="s">
        <v>1744</v>
      </c>
      <c r="T60" t="s">
        <v>3344</v>
      </c>
      <c r="U60" t="s">
        <v>3345</v>
      </c>
      <c r="V60" t="s">
        <v>3344</v>
      </c>
      <c r="W60" t="s">
        <v>3404</v>
      </c>
      <c r="X60">
        <v>12</v>
      </c>
      <c r="Y60" t="s">
        <v>5059</v>
      </c>
      <c r="Z60" t="s">
        <v>6717</v>
      </c>
      <c r="AB60">
        <f>HYPERLINK("Melting_Curves/meltCurve_P04949_fliC.pdf", "Melting_Curves/meltCurve_P04949_fliC.pdf")</f>
        <v>0</v>
      </c>
    </row>
    <row r="61" spans="1:28">
      <c r="A61" t="s">
        <v>87</v>
      </c>
      <c r="B61">
        <v>0.999998419929286</v>
      </c>
      <c r="C61">
        <v>0.826959552908233</v>
      </c>
      <c r="D61">
        <v>0.752621004715315</v>
      </c>
      <c r="E61">
        <v>0.660221153154509</v>
      </c>
      <c r="F61">
        <v>0.642889308356942</v>
      </c>
      <c r="G61">
        <v>0.639591035406972</v>
      </c>
      <c r="H61">
        <v>0.542628703980556</v>
      </c>
      <c r="I61">
        <v>0.44996067118955</v>
      </c>
      <c r="J61">
        <v>0.384402585831972</v>
      </c>
      <c r="K61">
        <v>0.332853599259997</v>
      </c>
      <c r="L61">
        <v>231.842273545859</v>
      </c>
      <c r="M61">
        <v>4.01875953797962</v>
      </c>
      <c r="N61">
        <v>57.6900315381454</v>
      </c>
      <c r="O61">
        <v>47.431095873103</v>
      </c>
      <c r="P61">
        <v>-0.0214503043777301</v>
      </c>
      <c r="Q61">
        <v>0</v>
      </c>
      <c r="R61">
        <v>0.9390130755430039</v>
      </c>
      <c r="S61" t="s">
        <v>1745</v>
      </c>
      <c r="T61" t="s">
        <v>3344</v>
      </c>
      <c r="U61" t="s">
        <v>3344</v>
      </c>
      <c r="V61" t="s">
        <v>3344</v>
      </c>
      <c r="W61" t="s">
        <v>3405</v>
      </c>
      <c r="X61">
        <v>7</v>
      </c>
      <c r="Y61" t="s">
        <v>5060</v>
      </c>
      <c r="Z61" t="s">
        <v>6718</v>
      </c>
      <c r="AA61">
        <v>0.6192655353235065</v>
      </c>
      <c r="AB61">
        <f>HYPERLINK("Melting_Curves/meltCurve_P04951_kdsB.pdf", "Melting_Curves/meltCurve_P04951_kdsB.pdf")</f>
        <v>0</v>
      </c>
    </row>
    <row r="62" spans="1:28">
      <c r="A62" t="s">
        <v>88</v>
      </c>
      <c r="B62">
        <v>0.999998419929286</v>
      </c>
      <c r="C62">
        <v>0.820220141399037</v>
      </c>
      <c r="D62">
        <v>0.791272020578844</v>
      </c>
      <c r="E62">
        <v>0.779298297259106</v>
      </c>
      <c r="F62">
        <v>0.7510139716936171</v>
      </c>
      <c r="G62">
        <v>0.747147239327804</v>
      </c>
      <c r="H62">
        <v>0.619702816921034</v>
      </c>
      <c r="I62">
        <v>0.494630792200924</v>
      </c>
      <c r="J62">
        <v>0.474114286477391</v>
      </c>
      <c r="K62">
        <v>0.431013677093655</v>
      </c>
      <c r="L62">
        <v>233.786830244575</v>
      </c>
      <c r="M62">
        <v>3.68916707978484</v>
      </c>
      <c r="N62">
        <v>63.3711690052884</v>
      </c>
      <c r="O62">
        <v>50.638055121888</v>
      </c>
      <c r="P62">
        <v>-0.0185158450579323</v>
      </c>
      <c r="Q62">
        <v>0</v>
      </c>
      <c r="R62">
        <v>0.912700912928299</v>
      </c>
      <c r="S62" t="s">
        <v>1746</v>
      </c>
      <c r="T62" t="s">
        <v>3344</v>
      </c>
      <c r="U62" t="s">
        <v>3344</v>
      </c>
      <c r="V62" t="s">
        <v>3344</v>
      </c>
      <c r="W62" t="s">
        <v>3406</v>
      </c>
      <c r="X62">
        <v>3</v>
      </c>
      <c r="Y62" t="s">
        <v>5061</v>
      </c>
      <c r="Z62" t="s">
        <v>6719</v>
      </c>
      <c r="AA62">
        <v>0.6927360425280585</v>
      </c>
      <c r="AB62">
        <f>HYPERLINK("Melting_Curves/meltCurve_P04982_rbsD.pdf", "Melting_Curves/meltCurve_P04982_rbsD.pdf")</f>
        <v>0</v>
      </c>
    </row>
    <row r="63" spans="1:28">
      <c r="A63" t="s">
        <v>89</v>
      </c>
      <c r="B63">
        <v>0.999998419929286</v>
      </c>
      <c r="C63">
        <v>0.88019825414677</v>
      </c>
      <c r="D63">
        <v>0.272000323951488</v>
      </c>
      <c r="E63">
        <v>0.14296318885947</v>
      </c>
      <c r="F63">
        <v>0.122814953218193</v>
      </c>
      <c r="G63">
        <v>0.0947722146444875</v>
      </c>
      <c r="H63">
        <v>0.0725894111998413</v>
      </c>
      <c r="I63">
        <v>0.0491004611753835</v>
      </c>
      <c r="J63">
        <v>0.0598270192537479</v>
      </c>
      <c r="K63">
        <v>0.0572688396413068</v>
      </c>
      <c r="L63">
        <v>1744.21251155591</v>
      </c>
      <c r="M63">
        <v>41.8657070641393</v>
      </c>
      <c r="N63">
        <v>41.8439424607791</v>
      </c>
      <c r="O63">
        <v>41.5673553866855</v>
      </c>
      <c r="P63">
        <v>-0.230850391932432</v>
      </c>
      <c r="Q63">
        <v>0.08318037508937449</v>
      </c>
      <c r="R63">
        <v>0.994230398718828</v>
      </c>
      <c r="S63" t="s">
        <v>1747</v>
      </c>
      <c r="T63" t="s">
        <v>3344</v>
      </c>
      <c r="U63" t="s">
        <v>3344</v>
      </c>
      <c r="V63" t="s">
        <v>3344</v>
      </c>
      <c r="W63" t="s">
        <v>3407</v>
      </c>
      <c r="X63">
        <v>4</v>
      </c>
      <c r="Y63" t="s">
        <v>5062</v>
      </c>
      <c r="Z63" t="s">
        <v>6720</v>
      </c>
      <c r="AA63">
        <v>0.2281831725751022</v>
      </c>
      <c r="AB63">
        <f>HYPERLINK("Melting_Curves/meltCurve_P04983_rbsA.pdf", "Melting_Curves/meltCurve_P04983_rbsA.pdf")</f>
        <v>0</v>
      </c>
    </row>
    <row r="64" spans="1:28">
      <c r="A64" t="s">
        <v>90</v>
      </c>
      <c r="B64">
        <v>0.999998419929286</v>
      </c>
      <c r="C64">
        <v>0.986828976581003</v>
      </c>
      <c r="D64">
        <v>0.65252408830591</v>
      </c>
      <c r="E64">
        <v>0.495636722347466</v>
      </c>
      <c r="F64">
        <v>0.301883148953</v>
      </c>
      <c r="G64">
        <v>0.261428904443359</v>
      </c>
      <c r="H64">
        <v>0.164635427547726</v>
      </c>
      <c r="I64">
        <v>0.160464071859616</v>
      </c>
      <c r="J64">
        <v>0.137902908133319</v>
      </c>
      <c r="K64">
        <v>0.156263151158001</v>
      </c>
      <c r="L64">
        <v>695.7205392564809</v>
      </c>
      <c r="M64">
        <v>15.4073850318</v>
      </c>
      <c r="N64">
        <v>46.2289903039727</v>
      </c>
      <c r="O64">
        <v>44.4148347781663</v>
      </c>
      <c r="P64">
        <v>-0.07368408300202139</v>
      </c>
      <c r="Q64">
        <v>0.150441432129706</v>
      </c>
      <c r="R64">
        <v>0.983115471616557</v>
      </c>
      <c r="S64" t="s">
        <v>1748</v>
      </c>
      <c r="T64" t="s">
        <v>3344</v>
      </c>
      <c r="U64" t="s">
        <v>3344</v>
      </c>
      <c r="V64" t="s">
        <v>3344</v>
      </c>
      <c r="W64" t="s">
        <v>3408</v>
      </c>
      <c r="X64">
        <v>2</v>
      </c>
      <c r="Y64" t="s">
        <v>5063</v>
      </c>
      <c r="Z64" t="s">
        <v>6721</v>
      </c>
      <c r="AA64">
        <v>0.4004360914891097</v>
      </c>
      <c r="AB64">
        <f>HYPERLINK("Melting_Curves/meltCurve_P04995_sbcB.pdf", "Melting_Curves/meltCurve_P04995_sbcB.pdf")</f>
        <v>0</v>
      </c>
    </row>
    <row r="65" spans="1:28">
      <c r="A65" t="s">
        <v>91</v>
      </c>
      <c r="B65">
        <v>0.999998419929286</v>
      </c>
      <c r="C65">
        <v>1.07564796914407</v>
      </c>
      <c r="D65">
        <v>0.977874072103381</v>
      </c>
      <c r="E65">
        <v>1.09197736125734</v>
      </c>
      <c r="F65">
        <v>1.24575400637191</v>
      </c>
      <c r="G65">
        <v>1.33879977992491</v>
      </c>
      <c r="H65">
        <v>1.14981613754243</v>
      </c>
      <c r="I65">
        <v>0.95846030013025</v>
      </c>
      <c r="J65">
        <v>0.8748270166798759</v>
      </c>
      <c r="K65">
        <v>0.914560213185001</v>
      </c>
      <c r="L65">
        <v>15000</v>
      </c>
      <c r="M65">
        <v>245.473085104489</v>
      </c>
      <c r="O65">
        <v>61.1024396805134</v>
      </c>
      <c r="P65">
        <v>-0.105764813805051</v>
      </c>
      <c r="Q65">
        <v>0.894693332369064</v>
      </c>
      <c r="R65">
        <v>-0.07843721423247781</v>
      </c>
      <c r="S65" t="s">
        <v>1749</v>
      </c>
      <c r="T65" t="s">
        <v>3344</v>
      </c>
      <c r="U65" t="s">
        <v>3344</v>
      </c>
      <c r="V65" t="s">
        <v>3344</v>
      </c>
      <c r="W65" t="s">
        <v>3409</v>
      </c>
      <c r="X65">
        <v>9</v>
      </c>
      <c r="Y65" t="s">
        <v>5064</v>
      </c>
      <c r="Z65" t="s">
        <v>6722</v>
      </c>
      <c r="AA65">
        <v>0.9793242034249189</v>
      </c>
      <c r="AB65">
        <f>HYPERLINK("Melting_Curves/meltCurve_P05020_pyrC.pdf", "Melting_Curves/meltCurve_P05020_pyrC.pdf")</f>
        <v>0</v>
      </c>
    </row>
    <row r="66" spans="1:28">
      <c r="A66" t="s">
        <v>92</v>
      </c>
      <c r="B66">
        <v>0.999998419929286</v>
      </c>
      <c r="C66">
        <v>1.47518838760249</v>
      </c>
      <c r="D66">
        <v>1.08503801060581</v>
      </c>
      <c r="E66">
        <v>0.6347361855934039</v>
      </c>
      <c r="F66">
        <v>0.142877419758132</v>
      </c>
      <c r="G66">
        <v>0.128685485685164</v>
      </c>
      <c r="H66">
        <v>0.12457295713788</v>
      </c>
      <c r="I66">
        <v>0.112375215826893</v>
      </c>
      <c r="J66">
        <v>0</v>
      </c>
      <c r="K66">
        <v>0</v>
      </c>
      <c r="L66">
        <v>2293.69184386725</v>
      </c>
      <c r="M66">
        <v>48.7552999752563</v>
      </c>
      <c r="N66">
        <v>47.2066681729198</v>
      </c>
      <c r="O66">
        <v>46.9660359643013</v>
      </c>
      <c r="P66">
        <v>-0.239567331234842</v>
      </c>
      <c r="Q66">
        <v>0.0768990246357274</v>
      </c>
      <c r="R66">
        <v>0.902895048820746</v>
      </c>
      <c r="S66" t="s">
        <v>1750</v>
      </c>
      <c r="T66" t="s">
        <v>3344</v>
      </c>
      <c r="U66" t="s">
        <v>3344</v>
      </c>
      <c r="V66" t="s">
        <v>3344</v>
      </c>
      <c r="W66" t="s">
        <v>3410</v>
      </c>
      <c r="X66">
        <v>1</v>
      </c>
      <c r="Y66" t="s">
        <v>5065</v>
      </c>
      <c r="Z66" t="s">
        <v>6723</v>
      </c>
      <c r="AA66">
        <v>0.3879984573710499</v>
      </c>
      <c r="AB66">
        <f>HYPERLINK("Melting_Curves/meltCurve_P05041_pabB.pdf", "Melting_Curves/meltCurve_P05041_pabB.pdf")</f>
        <v>0</v>
      </c>
    </row>
    <row r="67" spans="1:28">
      <c r="A67" t="s">
        <v>93</v>
      </c>
      <c r="B67">
        <v>0.999998419929286</v>
      </c>
      <c r="C67">
        <v>1.39577607554869</v>
      </c>
      <c r="D67">
        <v>1.41444604323962</v>
      </c>
      <c r="E67">
        <v>1.58372631619382</v>
      </c>
      <c r="F67">
        <v>1.60319306901012</v>
      </c>
      <c r="G67">
        <v>0.703340639051367</v>
      </c>
      <c r="H67">
        <v>0.272474633163103</v>
      </c>
      <c r="I67">
        <v>0.107059795873982</v>
      </c>
      <c r="J67">
        <v>0.08285133725201189</v>
      </c>
      <c r="K67">
        <v>0.0615635578641887</v>
      </c>
      <c r="L67">
        <v>2638.43415987594</v>
      </c>
      <c r="M67">
        <v>47.9472808896972</v>
      </c>
      <c r="N67">
        <v>55.2747240081396</v>
      </c>
      <c r="O67">
        <v>54.9323485295148</v>
      </c>
      <c r="P67">
        <v>-0.197176106056323</v>
      </c>
      <c r="Q67">
        <v>0.0963962542220006</v>
      </c>
      <c r="R67">
        <v>0.726335233295765</v>
      </c>
      <c r="S67" t="s">
        <v>1751</v>
      </c>
      <c r="T67" t="s">
        <v>3344</v>
      </c>
      <c r="U67" t="s">
        <v>3344</v>
      </c>
      <c r="V67" t="s">
        <v>3344</v>
      </c>
      <c r="W67" t="s">
        <v>3411</v>
      </c>
      <c r="X67">
        <v>9</v>
      </c>
      <c r="Y67" t="s">
        <v>5066</v>
      </c>
      <c r="Z67" t="s">
        <v>6724</v>
      </c>
      <c r="AA67">
        <v>0.6417723652968788</v>
      </c>
      <c r="AB67">
        <f>HYPERLINK("Melting_Curves/meltCurve_P05042_fumC.pdf", "Melting_Curves/meltCurve_P05042_fumC.pdf")</f>
        <v>0</v>
      </c>
    </row>
    <row r="68" spans="1:28">
      <c r="A68" t="s">
        <v>94</v>
      </c>
      <c r="B68">
        <v>0.999998419929286</v>
      </c>
      <c r="C68">
        <v>1.56504207802565</v>
      </c>
      <c r="D68">
        <v>1.42337416401707</v>
      </c>
      <c r="E68">
        <v>1.54109450010269</v>
      </c>
      <c r="F68">
        <v>1.30190842016702</v>
      </c>
      <c r="G68">
        <v>1.45677918975287</v>
      </c>
      <c r="H68">
        <v>1.11912026474408</v>
      </c>
      <c r="I68">
        <v>0.578336177238705</v>
      </c>
      <c r="J68">
        <v>0.592609904503977</v>
      </c>
      <c r="K68">
        <v>0.160443639037085</v>
      </c>
      <c r="L68">
        <v>1759.70827011464</v>
      </c>
      <c r="M68">
        <v>27.6010359928536</v>
      </c>
      <c r="N68">
        <v>63.7551520468153</v>
      </c>
      <c r="O68">
        <v>63.4233055103619</v>
      </c>
      <c r="P68">
        <v>-0.108797896197181</v>
      </c>
      <c r="Q68">
        <v>0</v>
      </c>
      <c r="R68">
        <v>0.436784632912168</v>
      </c>
      <c r="S68" t="s">
        <v>1752</v>
      </c>
      <c r="T68" t="s">
        <v>3344</v>
      </c>
      <c r="U68" t="s">
        <v>3344</v>
      </c>
      <c r="V68" t="s">
        <v>3344</v>
      </c>
      <c r="W68" t="s">
        <v>3412</v>
      </c>
      <c r="X68">
        <v>20</v>
      </c>
      <c r="Y68" t="s">
        <v>5067</v>
      </c>
      <c r="Z68" t="s">
        <v>6725</v>
      </c>
      <c r="AA68">
        <v>0.8795298297471945</v>
      </c>
      <c r="AB68">
        <f>HYPERLINK("Melting_Curves/meltCurve_P05055_pnp.pdf", "Melting_Curves/meltCurve_P05055_pnp.pdf")</f>
        <v>0</v>
      </c>
    </row>
    <row r="69" spans="1:28">
      <c r="A69" t="s">
        <v>95</v>
      </c>
      <c r="B69">
        <v>0.999998419929286</v>
      </c>
      <c r="C69">
        <v>0.861562453286324</v>
      </c>
      <c r="D69">
        <v>0.9441007111485</v>
      </c>
      <c r="E69">
        <v>0.819732954446631</v>
      </c>
      <c r="F69">
        <v>0.519420246855957</v>
      </c>
      <c r="G69">
        <v>0.141415109446535</v>
      </c>
      <c r="H69">
        <v>0.06642802017084171</v>
      </c>
      <c r="I69">
        <v>0.0474004847219618</v>
      </c>
      <c r="J69">
        <v>0.051051239679347</v>
      </c>
      <c r="K69">
        <v>0.0456776779196668</v>
      </c>
      <c r="L69">
        <v>1129.40916241961</v>
      </c>
      <c r="M69">
        <v>22.6431906311915</v>
      </c>
      <c r="N69">
        <v>50.0136093698096</v>
      </c>
      <c r="O69">
        <v>49.4943857609267</v>
      </c>
      <c r="P69">
        <v>-0.110982350419331</v>
      </c>
      <c r="Q69">
        <v>0.0296607902703422</v>
      </c>
      <c r="R69">
        <v>0.985152788860846</v>
      </c>
      <c r="S69" t="s">
        <v>1753</v>
      </c>
      <c r="T69" t="s">
        <v>3344</v>
      </c>
      <c r="U69" t="s">
        <v>3344</v>
      </c>
      <c r="V69" t="s">
        <v>3344</v>
      </c>
      <c r="W69" t="s">
        <v>3413</v>
      </c>
      <c r="X69">
        <v>5</v>
      </c>
      <c r="Y69" t="s">
        <v>5068</v>
      </c>
      <c r="Z69" t="s">
        <v>6726</v>
      </c>
      <c r="AA69">
        <v>0.4564244351156075</v>
      </c>
      <c r="AB69">
        <f>HYPERLINK("Melting_Curves/meltCurve_P05194_aroD.pdf", "Melting_Curves/meltCurve_P05194_aroD.pdf")</f>
        <v>0</v>
      </c>
    </row>
    <row r="70" spans="1:28">
      <c r="A70" t="s">
        <v>96</v>
      </c>
      <c r="B70">
        <v>0.999998419929286</v>
      </c>
      <c r="C70">
        <v>1.27151687090723</v>
      </c>
      <c r="D70">
        <v>1.07823215168093</v>
      </c>
      <c r="E70">
        <v>1.08280300206781</v>
      </c>
      <c r="F70">
        <v>0.461911192479301</v>
      </c>
      <c r="G70">
        <v>0.350368233984836</v>
      </c>
      <c r="H70">
        <v>0.142997448678292</v>
      </c>
      <c r="I70">
        <v>0.0827213998065071</v>
      </c>
      <c r="J70">
        <v>0.07600253751135221</v>
      </c>
      <c r="K70">
        <v>0.0732625900479375</v>
      </c>
      <c r="L70">
        <v>1564.01352645879</v>
      </c>
      <c r="M70">
        <v>31.1052457558714</v>
      </c>
      <c r="N70">
        <v>50.6816028706275</v>
      </c>
      <c r="O70">
        <v>50.0748900980455</v>
      </c>
      <c r="P70">
        <v>-0.138382318776829</v>
      </c>
      <c r="Q70">
        <v>0.108903960403031</v>
      </c>
      <c r="R70">
        <v>0.936492552916385</v>
      </c>
      <c r="S70" t="s">
        <v>1754</v>
      </c>
      <c r="T70" t="s">
        <v>3344</v>
      </c>
      <c r="U70" t="s">
        <v>3344</v>
      </c>
      <c r="V70" t="s">
        <v>3344</v>
      </c>
      <c r="W70" t="s">
        <v>3414</v>
      </c>
      <c r="X70">
        <v>8</v>
      </c>
      <c r="Y70" t="s">
        <v>5069</v>
      </c>
      <c r="Z70" t="s">
        <v>6727</v>
      </c>
      <c r="AA70">
        <v>0.5085161811383432</v>
      </c>
      <c r="AB70">
        <f>HYPERLINK("Melting_Curves/meltCurve_P05458_ptrA.pdf", "Melting_Curves/meltCurve_P05458_ptrA.pdf")</f>
        <v>0</v>
      </c>
    </row>
    <row r="71" spans="1:28">
      <c r="A71" t="s">
        <v>97</v>
      </c>
      <c r="B71">
        <v>0.999998419929286</v>
      </c>
      <c r="C71">
        <v>1.09193107069533</v>
      </c>
      <c r="D71">
        <v>1.1392286956184</v>
      </c>
      <c r="E71">
        <v>1.16775095479943</v>
      </c>
      <c r="F71">
        <v>0.479128542698635</v>
      </c>
      <c r="G71">
        <v>0.128451286007227</v>
      </c>
      <c r="H71">
        <v>0.0635591180699433</v>
      </c>
      <c r="I71">
        <v>0.0508170561088725</v>
      </c>
      <c r="J71">
        <v>0.044050731824901</v>
      </c>
      <c r="K71">
        <v>0.0347111893062606</v>
      </c>
      <c r="L71">
        <v>7578.90439206714</v>
      </c>
      <c r="M71">
        <v>151.201784554232</v>
      </c>
      <c r="N71">
        <v>50.1701243849668</v>
      </c>
      <c r="O71">
        <v>50.115670136658</v>
      </c>
      <c r="P71">
        <v>-0.70575733176174</v>
      </c>
      <c r="Q71">
        <v>0.0643099526376408</v>
      </c>
      <c r="R71">
        <v>0.974414500757928</v>
      </c>
      <c r="S71" t="s">
        <v>1755</v>
      </c>
      <c r="T71" t="s">
        <v>3344</v>
      </c>
      <c r="U71" t="s">
        <v>3344</v>
      </c>
      <c r="V71" t="s">
        <v>3344</v>
      </c>
      <c r="W71" t="s">
        <v>3415</v>
      </c>
      <c r="X71">
        <v>14</v>
      </c>
      <c r="Y71" t="s">
        <v>5070</v>
      </c>
      <c r="Z71" t="s">
        <v>6728</v>
      </c>
      <c r="AA71">
        <v>0.4738819088980513</v>
      </c>
      <c r="AB71">
        <f>HYPERLINK("Melting_Curves/meltCurve_P05459_pdxB.pdf", "Melting_Curves/meltCurve_P05459_pdxB.pdf")</f>
        <v>0</v>
      </c>
    </row>
    <row r="72" spans="1:28">
      <c r="A72" t="s">
        <v>98</v>
      </c>
      <c r="B72">
        <v>0.999998419929286</v>
      </c>
      <c r="C72">
        <v>0.867332494787313</v>
      </c>
      <c r="D72">
        <v>0.825787776732815</v>
      </c>
      <c r="E72">
        <v>0.699666616117679</v>
      </c>
      <c r="F72">
        <v>0.630810370373974</v>
      </c>
      <c r="G72">
        <v>0.510893146253583</v>
      </c>
      <c r="H72">
        <v>0.237765565675342</v>
      </c>
      <c r="I72">
        <v>0.119956823127071</v>
      </c>
      <c r="J72">
        <v>0.0429333913089629</v>
      </c>
      <c r="K72">
        <v>0.0402142827199026</v>
      </c>
      <c r="L72">
        <v>529.158046483337</v>
      </c>
      <c r="M72">
        <v>10.2577774606528</v>
      </c>
      <c r="N72">
        <v>51.5860329041918</v>
      </c>
      <c r="O72">
        <v>49.7408291904777</v>
      </c>
      <c r="P72">
        <v>-0.0515788715314342</v>
      </c>
      <c r="Q72">
        <v>0</v>
      </c>
      <c r="R72">
        <v>0.964829735953898</v>
      </c>
      <c r="S72" t="s">
        <v>1756</v>
      </c>
      <c r="T72" t="s">
        <v>3344</v>
      </c>
      <c r="U72" t="s">
        <v>3344</v>
      </c>
      <c r="V72" t="s">
        <v>3344</v>
      </c>
      <c r="W72" t="s">
        <v>3416</v>
      </c>
      <c r="X72">
        <v>2</v>
      </c>
      <c r="Y72" t="s">
        <v>5071</v>
      </c>
      <c r="Z72" t="s">
        <v>6729</v>
      </c>
      <c r="AA72">
        <v>0.5140521864302673</v>
      </c>
      <c r="AB72">
        <f>HYPERLINK("Melting_Curves/meltCurve_P05637_apaH.pdf", "Melting_Curves/meltCurve_P05637_apaH.pdf")</f>
        <v>0</v>
      </c>
    </row>
    <row r="73" spans="1:28">
      <c r="A73" t="s">
        <v>99</v>
      </c>
      <c r="B73">
        <v>0.999998419929286</v>
      </c>
      <c r="C73">
        <v>0.8870471607617419</v>
      </c>
      <c r="D73">
        <v>0.732675059624025</v>
      </c>
      <c r="E73">
        <v>0.479266350268449</v>
      </c>
      <c r="F73">
        <v>0.310427837362941</v>
      </c>
      <c r="G73">
        <v>0.278023774671464</v>
      </c>
      <c r="H73">
        <v>0.201316307029952</v>
      </c>
      <c r="I73">
        <v>0.170894965776392</v>
      </c>
      <c r="J73">
        <v>0.183649118867974</v>
      </c>
      <c r="K73">
        <v>0.205916506457214</v>
      </c>
      <c r="L73">
        <v>693.989243247301</v>
      </c>
      <c r="M73">
        <v>15.4355971887481</v>
      </c>
      <c r="N73">
        <v>46.3266239066344</v>
      </c>
      <c r="O73">
        <v>44.2259520146964</v>
      </c>
      <c r="P73">
        <v>-0.0713058764632833</v>
      </c>
      <c r="Q73">
        <v>0.182853591994999</v>
      </c>
      <c r="R73">
        <v>0.996171518103753</v>
      </c>
      <c r="S73" t="s">
        <v>1757</v>
      </c>
      <c r="T73" t="s">
        <v>3344</v>
      </c>
      <c r="U73" t="s">
        <v>3344</v>
      </c>
      <c r="V73" t="s">
        <v>3344</v>
      </c>
      <c r="W73" t="s">
        <v>3417</v>
      </c>
      <c r="X73">
        <v>3</v>
      </c>
      <c r="Y73" t="s">
        <v>5072</v>
      </c>
      <c r="Z73" t="s">
        <v>6730</v>
      </c>
      <c r="AA73">
        <v>0.4180574160579739</v>
      </c>
      <c r="AB73">
        <f>HYPERLINK("Melting_Curves/meltCurve_P05704_trg.pdf", "Melting_Curves/meltCurve_P05704_trg.pdf")</f>
        <v>0</v>
      </c>
    </row>
    <row r="74" spans="1:28">
      <c r="A74" t="s">
        <v>100</v>
      </c>
      <c r="B74">
        <v>0.999998419929286</v>
      </c>
      <c r="C74">
        <v>0.967166193532184</v>
      </c>
      <c r="D74">
        <v>0.898801838855762</v>
      </c>
      <c r="E74">
        <v>0.311305514426967</v>
      </c>
      <c r="F74">
        <v>0.143362966278011</v>
      </c>
      <c r="G74">
        <v>0.07427495173197129</v>
      </c>
      <c r="H74">
        <v>0.0344671417561161</v>
      </c>
      <c r="I74">
        <v>0.0388399185550697</v>
      </c>
      <c r="J74">
        <v>0.0222113579957458</v>
      </c>
      <c r="K74">
        <v>0.020044621937022</v>
      </c>
      <c r="L74">
        <v>1525.24255250258</v>
      </c>
      <c r="M74">
        <v>33.5684320032302</v>
      </c>
      <c r="N74">
        <v>45.566596456022</v>
      </c>
      <c r="O74">
        <v>45.2764714892072</v>
      </c>
      <c r="P74">
        <v>-0.176902832712147</v>
      </c>
      <c r="Q74">
        <v>0.0455910947894456</v>
      </c>
      <c r="R74">
        <v>0.995649536548306</v>
      </c>
      <c r="S74" t="s">
        <v>1758</v>
      </c>
      <c r="T74" t="s">
        <v>3344</v>
      </c>
      <c r="U74" t="s">
        <v>3344</v>
      </c>
      <c r="V74" t="s">
        <v>3344</v>
      </c>
      <c r="W74" t="s">
        <v>3418</v>
      </c>
      <c r="X74">
        <v>2</v>
      </c>
      <c r="Y74" t="s">
        <v>5073</v>
      </c>
      <c r="Z74" t="s">
        <v>6731</v>
      </c>
      <c r="AA74">
        <v>0.3182810545377325</v>
      </c>
      <c r="AB74">
        <f>HYPERLINK("Melting_Curves/meltCurve_P05707_srlD.pdf", "Melting_Curves/meltCurve_P05707_srlD.pdf")</f>
        <v>0</v>
      </c>
    </row>
    <row r="75" spans="1:28">
      <c r="A75" t="s">
        <v>101</v>
      </c>
      <c r="B75">
        <v>0.999998419929286</v>
      </c>
      <c r="C75">
        <v>1.16581563342025</v>
      </c>
      <c r="D75">
        <v>1.03159609175817</v>
      </c>
      <c r="E75">
        <v>1.09033445507595</v>
      </c>
      <c r="F75">
        <v>0.816800572046113</v>
      </c>
      <c r="G75">
        <v>0.788415097269658</v>
      </c>
      <c r="H75">
        <v>0.551478455733467</v>
      </c>
      <c r="I75">
        <v>0.346318585051663</v>
      </c>
      <c r="J75">
        <v>0.233266545248139</v>
      </c>
      <c r="K75">
        <v>0.335331564605246</v>
      </c>
      <c r="L75">
        <v>1069.01370326214</v>
      </c>
      <c r="M75">
        <v>19.1185147579612</v>
      </c>
      <c r="N75">
        <v>57.8871131519909</v>
      </c>
      <c r="O75">
        <v>55.3141341032696</v>
      </c>
      <c r="P75">
        <v>-0.065732322744363</v>
      </c>
      <c r="Q75">
        <v>0.239316433270049</v>
      </c>
      <c r="R75">
        <v>0.942262683135779</v>
      </c>
      <c r="S75" t="s">
        <v>1759</v>
      </c>
      <c r="T75" t="s">
        <v>3344</v>
      </c>
      <c r="U75" t="s">
        <v>3344</v>
      </c>
      <c r="V75" t="s">
        <v>3344</v>
      </c>
      <c r="W75" t="s">
        <v>3419</v>
      </c>
      <c r="X75">
        <v>3</v>
      </c>
      <c r="Y75" t="s">
        <v>5074</v>
      </c>
      <c r="Z75" t="s">
        <v>6732</v>
      </c>
      <c r="AA75">
        <v>0.7271091561405996</v>
      </c>
      <c r="AB75">
        <f>HYPERLINK("Melting_Curves/meltCurve_P05791_ilvD.pdf", "Melting_Curves/meltCurve_P05791_ilvD.pdf")</f>
        <v>0</v>
      </c>
    </row>
    <row r="76" spans="1:28">
      <c r="A76" t="s">
        <v>102</v>
      </c>
      <c r="B76">
        <v>0.999998419929286</v>
      </c>
      <c r="C76">
        <v>1.10170664245578</v>
      </c>
      <c r="D76">
        <v>1.03067343112206</v>
      </c>
      <c r="E76">
        <v>0.498000896068665</v>
      </c>
      <c r="F76">
        <v>0.233219213735575</v>
      </c>
      <c r="G76">
        <v>0.186220785538959</v>
      </c>
      <c r="H76">
        <v>0.131678477144635</v>
      </c>
      <c r="I76">
        <v>0.083643040708946</v>
      </c>
      <c r="J76">
        <v>0.0479574391606126</v>
      </c>
      <c r="K76">
        <v>0.0427823875352615</v>
      </c>
      <c r="L76">
        <v>1646.09936160616</v>
      </c>
      <c r="M76">
        <v>35.4075993060842</v>
      </c>
      <c r="N76">
        <v>46.8052514512841</v>
      </c>
      <c r="O76">
        <v>46.342440027677</v>
      </c>
      <c r="P76">
        <v>-0.170747118108536</v>
      </c>
      <c r="Q76">
        <v>0.10608858599798</v>
      </c>
      <c r="R76">
        <v>0.979031291112417</v>
      </c>
      <c r="S76" t="s">
        <v>1760</v>
      </c>
      <c r="T76" t="s">
        <v>3344</v>
      </c>
      <c r="U76" t="s">
        <v>3344</v>
      </c>
      <c r="V76" t="s">
        <v>3344</v>
      </c>
      <c r="W76" t="s">
        <v>3420</v>
      </c>
      <c r="X76">
        <v>4</v>
      </c>
      <c r="Y76" t="s">
        <v>5075</v>
      </c>
      <c r="Z76" t="s">
        <v>6733</v>
      </c>
      <c r="AA76">
        <v>0.3925398051929454</v>
      </c>
      <c r="AB76">
        <f>HYPERLINK("Melting_Curves/meltCurve_P05793_ilvC.pdf", "Melting_Curves/meltCurve_P05793_ilvC.pdf")</f>
        <v>0</v>
      </c>
    </row>
    <row r="77" spans="1:28">
      <c r="A77" t="s">
        <v>103</v>
      </c>
      <c r="B77">
        <v>0.999998419929286</v>
      </c>
      <c r="C77">
        <v>1.22057950010717</v>
      </c>
      <c r="D77">
        <v>0.734653407065064</v>
      </c>
      <c r="E77">
        <v>0.5599567155352499</v>
      </c>
      <c r="F77">
        <v>0.229322449123095</v>
      </c>
      <c r="G77">
        <v>0.231942135342933</v>
      </c>
      <c r="H77">
        <v>0.130344607806349</v>
      </c>
      <c r="I77">
        <v>0.0998601439257982</v>
      </c>
      <c r="J77">
        <v>0.0699995466525524</v>
      </c>
      <c r="K77">
        <v>0.0636573922641748</v>
      </c>
      <c r="L77">
        <v>915.968740473403</v>
      </c>
      <c r="M77">
        <v>19.7210583299807</v>
      </c>
      <c r="N77">
        <v>46.94855818061</v>
      </c>
      <c r="O77">
        <v>45.9765463338996</v>
      </c>
      <c r="P77">
        <v>-0.0970379802938547</v>
      </c>
      <c r="Q77">
        <v>0.0951156566067254</v>
      </c>
      <c r="R77">
        <v>0.945231906875115</v>
      </c>
      <c r="S77" t="s">
        <v>1761</v>
      </c>
      <c r="T77" t="s">
        <v>3344</v>
      </c>
      <c r="U77" t="s">
        <v>3344</v>
      </c>
      <c r="V77" t="s">
        <v>3344</v>
      </c>
      <c r="W77" t="s">
        <v>3421</v>
      </c>
      <c r="X77">
        <v>1</v>
      </c>
      <c r="Y77" t="s">
        <v>5076</v>
      </c>
      <c r="Z77" t="s">
        <v>6734</v>
      </c>
      <c r="AA77">
        <v>0.3922078065346277</v>
      </c>
      <c r="AB77">
        <f>HYPERLINK("Melting_Curves/meltCurve_P05804_uidA.pdf", "Melting_Curves/meltCurve_P05804_uidA.pdf")</f>
        <v>0</v>
      </c>
    </row>
    <row r="78" spans="1:28">
      <c r="A78" t="s">
        <v>104</v>
      </c>
      <c r="B78">
        <v>0.999998419929286</v>
      </c>
      <c r="C78">
        <v>1.11593010230145</v>
      </c>
      <c r="D78">
        <v>0.930431924093999</v>
      </c>
      <c r="E78">
        <v>0.744167539619076</v>
      </c>
      <c r="F78">
        <v>0.625341103701019</v>
      </c>
      <c r="G78">
        <v>0.611308071436216</v>
      </c>
      <c r="H78">
        <v>0.518911398042766</v>
      </c>
      <c r="I78">
        <v>0.380958257624302</v>
      </c>
      <c r="J78">
        <v>0.294540185145144</v>
      </c>
      <c r="K78">
        <v>0.177491129024075</v>
      </c>
      <c r="L78">
        <v>420.105353052235</v>
      </c>
      <c r="M78">
        <v>7.47611133781338</v>
      </c>
      <c r="N78">
        <v>56.193031759461</v>
      </c>
      <c r="O78">
        <v>52.5936719316005</v>
      </c>
      <c r="P78">
        <v>-0.0355888254959287</v>
      </c>
      <c r="Q78">
        <v>0</v>
      </c>
      <c r="R78">
        <v>0.94481971569199</v>
      </c>
      <c r="S78" t="s">
        <v>1762</v>
      </c>
      <c r="T78" t="s">
        <v>3344</v>
      </c>
      <c r="U78" t="s">
        <v>3344</v>
      </c>
      <c r="V78" t="s">
        <v>3344</v>
      </c>
      <c r="W78" t="s">
        <v>3422</v>
      </c>
      <c r="X78">
        <v>15</v>
      </c>
      <c r="Y78" t="s">
        <v>5077</v>
      </c>
      <c r="Z78" t="s">
        <v>6735</v>
      </c>
      <c r="AA78">
        <v>0.6331619707608177</v>
      </c>
      <c r="AB78">
        <f>HYPERLINK("Melting_Curves/meltCurve_P06149_dld.pdf", "Melting_Curves/meltCurve_P06149_dld.pdf")</f>
        <v>0</v>
      </c>
    </row>
    <row r="79" spans="1:28">
      <c r="A79" t="s">
        <v>105</v>
      </c>
      <c r="B79">
        <v>0.999998419929286</v>
      </c>
      <c r="C79">
        <v>0.976249723571276</v>
      </c>
      <c r="D79">
        <v>0.9587905991740669</v>
      </c>
      <c r="E79">
        <v>0.973764036824176</v>
      </c>
      <c r="F79">
        <v>0.375657443528826</v>
      </c>
      <c r="G79">
        <v>0.288275902267638</v>
      </c>
      <c r="H79">
        <v>0.191404005778624</v>
      </c>
      <c r="I79">
        <v>0.104761542722903</v>
      </c>
      <c r="J79">
        <v>0.0775166641886868</v>
      </c>
      <c r="K79">
        <v>0.137672721335936</v>
      </c>
      <c r="L79">
        <v>2280.22680895279</v>
      </c>
      <c r="M79">
        <v>46.3321462925336</v>
      </c>
      <c r="N79">
        <v>49.607347416342</v>
      </c>
      <c r="O79">
        <v>49.1233701423794</v>
      </c>
      <c r="P79">
        <v>-0.199607570171794</v>
      </c>
      <c r="Q79">
        <v>0.153470263300682</v>
      </c>
      <c r="R79">
        <v>0.982038667328204</v>
      </c>
      <c r="S79" t="s">
        <v>1763</v>
      </c>
      <c r="T79" t="s">
        <v>3344</v>
      </c>
      <c r="U79" t="s">
        <v>3344</v>
      </c>
      <c r="V79" t="s">
        <v>3344</v>
      </c>
      <c r="W79" t="s">
        <v>3423</v>
      </c>
      <c r="X79">
        <v>2</v>
      </c>
      <c r="Y79" t="s">
        <v>5078</v>
      </c>
      <c r="Z79" t="s">
        <v>6736</v>
      </c>
      <c r="AA79">
        <v>0.5002849290547718</v>
      </c>
      <c r="AB79">
        <f>HYPERLINK("Melting_Curves/meltCurve_P06282_cdh.pdf", "Melting_Curves/meltCurve_P06282_cdh.pdf")</f>
        <v>0</v>
      </c>
    </row>
    <row r="80" spans="1:28">
      <c r="A80" t="s">
        <v>106</v>
      </c>
      <c r="B80">
        <v>0.999998419929286</v>
      </c>
      <c r="C80">
        <v>0.760907298189762</v>
      </c>
      <c r="D80">
        <v>0.660850789663133</v>
      </c>
      <c r="E80">
        <v>0.527148726922036</v>
      </c>
      <c r="F80">
        <v>0.387045293903502</v>
      </c>
      <c r="G80">
        <v>0.373639228636211</v>
      </c>
      <c r="H80">
        <v>0.323262786400882</v>
      </c>
      <c r="I80">
        <v>0.279831885957037</v>
      </c>
      <c r="J80">
        <v>0.311601654852723</v>
      </c>
      <c r="K80">
        <v>0.278919758137699</v>
      </c>
      <c r="L80">
        <v>522.7260678259209</v>
      </c>
      <c r="M80">
        <v>12.0193864664005</v>
      </c>
      <c r="N80">
        <v>46.7194596813676</v>
      </c>
      <c r="O80">
        <v>42.3388504232945</v>
      </c>
      <c r="P80">
        <v>-0.0509594788444088</v>
      </c>
      <c r="Q80">
        <v>0.282143395407661</v>
      </c>
      <c r="R80">
        <v>0.978006317579758</v>
      </c>
      <c r="S80" t="s">
        <v>1764</v>
      </c>
      <c r="T80" t="s">
        <v>3344</v>
      </c>
      <c r="U80" t="s">
        <v>3344</v>
      </c>
      <c r="V80" t="s">
        <v>3344</v>
      </c>
      <c r="W80" t="s">
        <v>3424</v>
      </c>
      <c r="X80">
        <v>4</v>
      </c>
      <c r="Y80" t="s">
        <v>5079</v>
      </c>
      <c r="Z80" t="s">
        <v>6737</v>
      </c>
      <c r="AA80">
        <v>0.4661004815714171</v>
      </c>
      <c r="AB80">
        <f>HYPERLINK("Melting_Curves/meltCurve_P06610_btuE.pdf", "Melting_Curves/meltCurve_P06610_btuE.pdf")</f>
        <v>0</v>
      </c>
    </row>
    <row r="81" spans="1:28">
      <c r="A81" t="s">
        <v>107</v>
      </c>
      <c r="B81">
        <v>0.999998419929286</v>
      </c>
      <c r="C81">
        <v>1.33521096105105</v>
      </c>
      <c r="D81">
        <v>1.19944738637994</v>
      </c>
      <c r="E81">
        <v>1.21285651727721</v>
      </c>
      <c r="F81">
        <v>0.7787574234747739</v>
      </c>
      <c r="G81">
        <v>0.433265367113819</v>
      </c>
      <c r="H81">
        <v>0.0972251547342578</v>
      </c>
      <c r="I81">
        <v>0.0711595847555558</v>
      </c>
      <c r="J81">
        <v>0.0627313717144825</v>
      </c>
      <c r="K81">
        <v>0.0601445664106505</v>
      </c>
      <c r="L81">
        <v>1657.21520484223</v>
      </c>
      <c r="M81">
        <v>31.3574745357145</v>
      </c>
      <c r="N81">
        <v>53.0420805274743</v>
      </c>
      <c r="O81">
        <v>52.635586328033</v>
      </c>
      <c r="P81">
        <v>-0.140910270277336</v>
      </c>
      <c r="Q81">
        <v>0.0538964920785032</v>
      </c>
      <c r="R81">
        <v>0.91897420434671</v>
      </c>
      <c r="S81" t="s">
        <v>1765</v>
      </c>
      <c r="T81" t="s">
        <v>3344</v>
      </c>
      <c r="U81" t="s">
        <v>3344</v>
      </c>
      <c r="V81" t="s">
        <v>3344</v>
      </c>
      <c r="W81" t="s">
        <v>3425</v>
      </c>
      <c r="X81">
        <v>18</v>
      </c>
      <c r="Y81" t="s">
        <v>5080</v>
      </c>
      <c r="Z81" t="s">
        <v>6738</v>
      </c>
      <c r="AA81">
        <v>0.5592604197709512</v>
      </c>
      <c r="AB81">
        <f>HYPERLINK("Melting_Curves/meltCurve_P06612_topA.pdf", "Melting_Curves/meltCurve_P06612_topA.pdf")</f>
        <v>0</v>
      </c>
    </row>
    <row r="82" spans="1:28">
      <c r="A82" t="s">
        <v>108</v>
      </c>
      <c r="B82">
        <v>0.999998419929286</v>
      </c>
      <c r="C82">
        <v>1.35843486909735</v>
      </c>
      <c r="D82">
        <v>1.74329831464074</v>
      </c>
      <c r="E82">
        <v>1.23307133551626</v>
      </c>
      <c r="F82">
        <v>1.02192495292641</v>
      </c>
      <c r="G82">
        <v>0.433676251379934</v>
      </c>
      <c r="H82">
        <v>0.077629289054143</v>
      </c>
      <c r="I82">
        <v>0.0288934936425311</v>
      </c>
      <c r="J82">
        <v>0.0420303561735113</v>
      </c>
      <c r="K82">
        <v>0.0209480774541738</v>
      </c>
      <c r="L82">
        <v>4253.27526784012</v>
      </c>
      <c r="M82">
        <v>79.41826952665291</v>
      </c>
      <c r="N82">
        <v>53.6131514604353</v>
      </c>
      <c r="O82">
        <v>53.5214487919955</v>
      </c>
      <c r="P82">
        <v>-0.355750701680513</v>
      </c>
      <c r="Q82">
        <v>0.0410120986103249</v>
      </c>
      <c r="R82">
        <v>0.806020156395997</v>
      </c>
      <c r="S82" t="s">
        <v>1766</v>
      </c>
      <c r="T82" t="s">
        <v>3344</v>
      </c>
      <c r="U82" t="s">
        <v>3344</v>
      </c>
      <c r="V82" t="s">
        <v>3344</v>
      </c>
      <c r="W82" t="s">
        <v>3426</v>
      </c>
      <c r="X82">
        <v>1</v>
      </c>
      <c r="Y82" t="s">
        <v>5081</v>
      </c>
      <c r="Z82" t="s">
        <v>6739</v>
      </c>
      <c r="AA82">
        <v>0.5711205239926983</v>
      </c>
      <c r="AB82">
        <f>HYPERLINK("Melting_Curves/meltCurve_P06616_era.pdf", "Melting_Curves/meltCurve_P06616_era.pdf")</f>
        <v>0</v>
      </c>
    </row>
    <row r="83" spans="1:28">
      <c r="A83" t="s">
        <v>109</v>
      </c>
      <c r="B83">
        <v>0.999998419929286</v>
      </c>
      <c r="C83">
        <v>0.883175386837598</v>
      </c>
      <c r="D83">
        <v>0.511093188451621</v>
      </c>
      <c r="E83">
        <v>0.324301909187613</v>
      </c>
      <c r="F83">
        <v>0.288235719457044</v>
      </c>
      <c r="G83">
        <v>0.259941633923179</v>
      </c>
      <c r="H83">
        <v>0.182670060578374</v>
      </c>
      <c r="I83">
        <v>0.176505801217188</v>
      </c>
      <c r="J83">
        <v>0.174995991550782</v>
      </c>
      <c r="K83">
        <v>0.160802624129366</v>
      </c>
      <c r="L83">
        <v>944.135986876811</v>
      </c>
      <c r="M83">
        <v>22.1900781097583</v>
      </c>
      <c r="N83">
        <v>43.5558515135913</v>
      </c>
      <c r="O83">
        <v>42.2066359709641</v>
      </c>
      <c r="P83">
        <v>-0.105041735786606</v>
      </c>
      <c r="Q83">
        <v>0.200838737816451</v>
      </c>
      <c r="R83">
        <v>0.9836055909910491</v>
      </c>
      <c r="S83" t="s">
        <v>1767</v>
      </c>
      <c r="T83" t="s">
        <v>3344</v>
      </c>
      <c r="U83" t="s">
        <v>3344</v>
      </c>
      <c r="V83" t="s">
        <v>3344</v>
      </c>
      <c r="W83" t="s">
        <v>3427</v>
      </c>
      <c r="X83">
        <v>3</v>
      </c>
      <c r="Y83" t="s">
        <v>5082</v>
      </c>
      <c r="Z83" t="s">
        <v>6740</v>
      </c>
      <c r="AA83">
        <v>0.3576418476281352</v>
      </c>
      <c r="AB83">
        <f>HYPERLINK("Melting_Curves/meltCurve_P06710_dnaX.pdf", "Melting_Curves/meltCurve_P06710_dnaX.pdf")</f>
        <v>0</v>
      </c>
    </row>
    <row r="84" spans="1:28">
      <c r="A84" t="s">
        <v>110</v>
      </c>
      <c r="B84">
        <v>0.999998419929286</v>
      </c>
      <c r="C84">
        <v>1.18254882806503</v>
      </c>
      <c r="D84">
        <v>1.2714030964604</v>
      </c>
      <c r="E84">
        <v>1.56950402620977</v>
      </c>
      <c r="F84">
        <v>1.73682016537832</v>
      </c>
      <c r="G84">
        <v>2.11214877275596</v>
      </c>
      <c r="H84">
        <v>1.86202617581543</v>
      </c>
      <c r="I84">
        <v>1.39829093500375</v>
      </c>
      <c r="J84">
        <v>0.68640846738155</v>
      </c>
      <c r="K84">
        <v>0.437611934255838</v>
      </c>
      <c r="L84">
        <v>15000</v>
      </c>
      <c r="M84">
        <v>234.240626850998</v>
      </c>
      <c r="N84">
        <v>64.61068340899401</v>
      </c>
      <c r="O84">
        <v>64.032046113905</v>
      </c>
      <c r="P84">
        <v>-0.514349177239475</v>
      </c>
      <c r="Q84">
        <v>0.43758978784614</v>
      </c>
      <c r="R84">
        <v>-0.261891841779928</v>
      </c>
      <c r="S84" t="s">
        <v>1768</v>
      </c>
      <c r="T84" t="s">
        <v>3344</v>
      </c>
      <c r="U84" t="s">
        <v>3344</v>
      </c>
      <c r="V84" t="s">
        <v>3344</v>
      </c>
      <c r="W84" t="s">
        <v>3428</v>
      </c>
      <c r="X84">
        <v>10</v>
      </c>
      <c r="Y84" t="s">
        <v>5083</v>
      </c>
      <c r="Z84" t="s">
        <v>6741</v>
      </c>
      <c r="AA84">
        <v>0.9445190734533745</v>
      </c>
      <c r="AB84">
        <f>HYPERLINK("Melting_Curves/meltCurve_P06715_gor.pdf", "Melting_Curves/meltCurve_P06715_gor.pdf")</f>
        <v>0</v>
      </c>
    </row>
    <row r="85" spans="1:28">
      <c r="A85" t="s">
        <v>111</v>
      </c>
      <c r="B85">
        <v>0.999998419929286</v>
      </c>
      <c r="C85">
        <v>0.885286361955419</v>
      </c>
      <c r="D85">
        <v>0.574304797678955</v>
      </c>
      <c r="E85">
        <v>0.38451133223912</v>
      </c>
      <c r="F85">
        <v>0.292255913663849</v>
      </c>
      <c r="G85">
        <v>0.309314049296781</v>
      </c>
      <c r="H85">
        <v>0.263272989737557</v>
      </c>
      <c r="I85">
        <v>0.234365562521049</v>
      </c>
      <c r="J85">
        <v>0.212786917469061</v>
      </c>
      <c r="K85">
        <v>0.170513133796361</v>
      </c>
      <c r="L85">
        <v>846.113790802052</v>
      </c>
      <c r="M85">
        <v>19.713972775534</v>
      </c>
      <c r="N85">
        <v>44.3566758860445</v>
      </c>
      <c r="O85">
        <v>42.4851873267907</v>
      </c>
      <c r="P85">
        <v>-0.0886284377596743</v>
      </c>
      <c r="Q85">
        <v>0.236020837553045</v>
      </c>
      <c r="R85">
        <v>0.983839589000817</v>
      </c>
      <c r="S85" t="s">
        <v>1769</v>
      </c>
      <c r="T85" t="s">
        <v>3344</v>
      </c>
      <c r="U85" t="s">
        <v>3344</v>
      </c>
      <c r="V85" t="s">
        <v>3344</v>
      </c>
      <c r="W85" t="s">
        <v>3429</v>
      </c>
      <c r="X85">
        <v>2</v>
      </c>
      <c r="Y85" t="s">
        <v>5084</v>
      </c>
      <c r="Z85" t="s">
        <v>6742</v>
      </c>
      <c r="AA85">
        <v>0.3978288592477848</v>
      </c>
      <c r="AB85">
        <f>HYPERLINK("Melting_Curves/meltCurve_P06720_melA.pdf", "Melting_Curves/meltCurve_P06720_melA.pdf")</f>
        <v>0</v>
      </c>
    </row>
    <row r="86" spans="1:28">
      <c r="A86" t="s">
        <v>112</v>
      </c>
      <c r="B86">
        <v>0.999998419929286</v>
      </c>
      <c r="C86">
        <v>1.04234239418157</v>
      </c>
      <c r="D86">
        <v>1.03689260885108</v>
      </c>
      <c r="E86">
        <v>1.14608692475296</v>
      </c>
      <c r="F86">
        <v>1.09575483157985</v>
      </c>
      <c r="G86">
        <v>1.1709955521231</v>
      </c>
      <c r="H86">
        <v>0.870271029394189</v>
      </c>
      <c r="I86">
        <v>0.400051023774588</v>
      </c>
      <c r="J86">
        <v>0.24631226866602</v>
      </c>
      <c r="K86">
        <v>0.190539648078252</v>
      </c>
      <c r="L86">
        <v>2848.69987935731</v>
      </c>
      <c r="M86">
        <v>47.8345792468116</v>
      </c>
      <c r="N86">
        <v>60.2116515868341</v>
      </c>
      <c r="O86">
        <v>59.4493450733793</v>
      </c>
      <c r="P86">
        <v>-0.160187176583423</v>
      </c>
      <c r="Q86">
        <v>0.203671214283698</v>
      </c>
      <c r="R86">
        <v>0.95113582063714</v>
      </c>
      <c r="S86" t="s">
        <v>1770</v>
      </c>
      <c r="T86" t="s">
        <v>3344</v>
      </c>
      <c r="U86" t="s">
        <v>3344</v>
      </c>
      <c r="V86" t="s">
        <v>3344</v>
      </c>
      <c r="W86" t="s">
        <v>3430</v>
      </c>
      <c r="X86">
        <v>2</v>
      </c>
      <c r="Y86" t="s">
        <v>5085</v>
      </c>
      <c r="Z86" t="s">
        <v>6743</v>
      </c>
      <c r="AA86">
        <v>0.8044001630878456</v>
      </c>
      <c r="AB86">
        <f>HYPERLINK("Melting_Curves/meltCurve_P06846_ebgR.pdf", "Melting_Curves/meltCurve_P06846_ebgR.pdf")</f>
        <v>0</v>
      </c>
    </row>
    <row r="87" spans="1:28">
      <c r="A87" t="s">
        <v>113</v>
      </c>
      <c r="B87">
        <v>0.999998419929286</v>
      </c>
      <c r="C87">
        <v>3.61976969796405</v>
      </c>
      <c r="D87">
        <v>2.74458833617019</v>
      </c>
      <c r="E87">
        <v>2.72349364031252</v>
      </c>
      <c r="F87">
        <v>2.30847320320142</v>
      </c>
      <c r="G87">
        <v>1.46535739148248</v>
      </c>
      <c r="H87">
        <v>1.87399061572045</v>
      </c>
      <c r="I87">
        <v>1.88008775930094</v>
      </c>
      <c r="J87">
        <v>1.00275615907424</v>
      </c>
      <c r="K87">
        <v>1.5639228704515</v>
      </c>
      <c r="L87">
        <v>9462.08367581811</v>
      </c>
      <c r="M87">
        <v>250</v>
      </c>
      <c r="O87">
        <v>37.8459125555055</v>
      </c>
      <c r="P87">
        <v>0.8257166451931151</v>
      </c>
      <c r="Q87">
        <v>1.5</v>
      </c>
      <c r="R87">
        <v>-0.386993197642517</v>
      </c>
      <c r="S87" t="s">
        <v>1771</v>
      </c>
      <c r="T87" t="s">
        <v>3344</v>
      </c>
      <c r="U87" t="s">
        <v>3344</v>
      </c>
      <c r="V87" t="s">
        <v>3344</v>
      </c>
      <c r="W87" t="s">
        <v>3431</v>
      </c>
      <c r="X87">
        <v>28</v>
      </c>
      <c r="Y87" t="s">
        <v>5086</v>
      </c>
      <c r="Z87" t="s">
        <v>6744</v>
      </c>
      <c r="AA87">
        <v>1.485820135295563</v>
      </c>
      <c r="AB87">
        <f>HYPERLINK("Melting_Curves/meltCurve_P06959_aceF.pdf", "Melting_Curves/meltCurve_P06959_aceF.pdf")</f>
        <v>0</v>
      </c>
    </row>
    <row r="88" spans="1:28">
      <c r="A88" t="s">
        <v>114</v>
      </c>
      <c r="B88">
        <v>0.999998419929286</v>
      </c>
      <c r="C88">
        <v>1.10296562842783</v>
      </c>
      <c r="D88">
        <v>0.7725145362058951</v>
      </c>
      <c r="E88">
        <v>0.678566814372224</v>
      </c>
      <c r="F88">
        <v>0.603432774506903</v>
      </c>
      <c r="G88">
        <v>0.446755081301121</v>
      </c>
      <c r="H88">
        <v>0.233582450668658</v>
      </c>
      <c r="I88">
        <v>0.162514310650985</v>
      </c>
      <c r="J88">
        <v>0.152089656550249</v>
      </c>
      <c r="K88">
        <v>0.166173243201638</v>
      </c>
      <c r="L88">
        <v>526.332994296808</v>
      </c>
      <c r="M88">
        <v>10.3825385306992</v>
      </c>
      <c r="N88">
        <v>51.3441984652596</v>
      </c>
      <c r="O88">
        <v>48.9215970405644</v>
      </c>
      <c r="P88">
        <v>-0.0498098547856394</v>
      </c>
      <c r="Q88">
        <v>0.0615969132439862</v>
      </c>
      <c r="R88">
        <v>0.958433095237552</v>
      </c>
      <c r="S88" t="s">
        <v>1772</v>
      </c>
      <c r="T88" t="s">
        <v>3344</v>
      </c>
      <c r="U88" t="s">
        <v>3344</v>
      </c>
      <c r="V88" t="s">
        <v>3344</v>
      </c>
      <c r="W88" t="s">
        <v>3432</v>
      </c>
      <c r="X88">
        <v>3</v>
      </c>
      <c r="Y88" t="s">
        <v>5087</v>
      </c>
      <c r="Z88" t="s">
        <v>6745</v>
      </c>
      <c r="AA88">
        <v>0.5186645771012531</v>
      </c>
      <c r="AB88">
        <f>HYPERLINK("Melting_Curves/meltCurve_P06961_cca.pdf", "Melting_Curves/meltCurve_P06961_cca.pdf")</f>
        <v>0</v>
      </c>
    </row>
    <row r="89" spans="1:28">
      <c r="A89" t="s">
        <v>115</v>
      </c>
      <c r="B89">
        <v>0.999998419929286</v>
      </c>
      <c r="C89">
        <v>1.19242103704615</v>
      </c>
      <c r="D89">
        <v>1.18090443040109</v>
      </c>
      <c r="E89">
        <v>1.13417587314331</v>
      </c>
      <c r="F89">
        <v>0.97553722634744</v>
      </c>
      <c r="G89">
        <v>0.416557304643624</v>
      </c>
      <c r="H89">
        <v>0.155196296368423</v>
      </c>
      <c r="I89">
        <v>0.0875144912204615</v>
      </c>
      <c r="J89">
        <v>0.110244680546854</v>
      </c>
      <c r="K89">
        <v>0.09047741925087691</v>
      </c>
      <c r="L89">
        <v>2876.33111281702</v>
      </c>
      <c r="M89">
        <v>54.0713500876431</v>
      </c>
      <c r="N89">
        <v>53.429745498173</v>
      </c>
      <c r="O89">
        <v>53.1224925432976</v>
      </c>
      <c r="P89">
        <v>-0.227573217827806</v>
      </c>
      <c r="Q89">
        <v>0.105681733817616</v>
      </c>
      <c r="R89">
        <v>0.960261924339981</v>
      </c>
      <c r="S89" t="s">
        <v>1773</v>
      </c>
      <c r="T89" t="s">
        <v>3344</v>
      </c>
      <c r="U89" t="s">
        <v>3344</v>
      </c>
      <c r="V89" t="s">
        <v>3344</v>
      </c>
      <c r="W89" t="s">
        <v>3433</v>
      </c>
      <c r="X89">
        <v>1</v>
      </c>
      <c r="Y89" t="s">
        <v>5088</v>
      </c>
      <c r="Z89" t="s">
        <v>6746</v>
      </c>
      <c r="AA89">
        <v>0.5902598496113277</v>
      </c>
      <c r="AB89">
        <f>HYPERLINK("Melting_Curves/meltCurve_P06966_dicA.pdf", "Melting_Curves/meltCurve_P06966_dicA.pdf")</f>
        <v>0</v>
      </c>
    </row>
    <row r="90" spans="1:28">
      <c r="A90" t="s">
        <v>116</v>
      </c>
      <c r="B90">
        <v>0.999998419929286</v>
      </c>
      <c r="C90">
        <v>0.821957722323052</v>
      </c>
      <c r="D90">
        <v>0.740820156519006</v>
      </c>
      <c r="E90">
        <v>0.921783982831429</v>
      </c>
      <c r="F90">
        <v>0.90158518096535</v>
      </c>
      <c r="G90">
        <v>1.04402616443517</v>
      </c>
      <c r="H90">
        <v>1.04916934616504</v>
      </c>
      <c r="I90">
        <v>1.04626255160193</v>
      </c>
      <c r="J90">
        <v>0.968142453607602</v>
      </c>
      <c r="K90">
        <v>0.694781207952709</v>
      </c>
      <c r="L90">
        <v>15000</v>
      </c>
      <c r="M90">
        <v>231.85944416347</v>
      </c>
      <c r="O90">
        <v>64.6895540416501</v>
      </c>
      <c r="P90">
        <v>-0.273584000797257</v>
      </c>
      <c r="Q90">
        <v>0.694676625585926</v>
      </c>
      <c r="R90">
        <v>0.189465591716318</v>
      </c>
      <c r="S90" t="s">
        <v>1774</v>
      </c>
      <c r="T90" t="s">
        <v>3344</v>
      </c>
      <c r="U90" t="s">
        <v>3344</v>
      </c>
      <c r="V90" t="s">
        <v>3344</v>
      </c>
      <c r="W90" t="s">
        <v>3434</v>
      </c>
      <c r="X90">
        <v>1</v>
      </c>
      <c r="Y90" t="s">
        <v>5089</v>
      </c>
      <c r="Z90" t="s">
        <v>6747</v>
      </c>
      <c r="AA90">
        <v>0.976573797186958</v>
      </c>
      <c r="AB90">
        <f>HYPERLINK("Melting_Curves/meltCurve_P06968_dut.pdf", "Melting_Curves/meltCurve_P06968_dut.pdf")</f>
        <v>0</v>
      </c>
    </row>
    <row r="91" spans="1:28">
      <c r="A91" t="s">
        <v>117</v>
      </c>
      <c r="B91">
        <v>0.999998419929286</v>
      </c>
      <c r="C91">
        <v>1.31379584660181</v>
      </c>
      <c r="D91">
        <v>0.983122274298715</v>
      </c>
      <c r="E91">
        <v>1.11840911905461</v>
      </c>
      <c r="F91">
        <v>1.15686873882351</v>
      </c>
      <c r="G91">
        <v>1.3144769984181</v>
      </c>
      <c r="H91">
        <v>1.07870570335188</v>
      </c>
      <c r="I91">
        <v>0.728672134030111</v>
      </c>
      <c r="J91">
        <v>0.861010191243061</v>
      </c>
      <c r="K91">
        <v>0.654548922731893</v>
      </c>
      <c r="L91">
        <v>7806.41284810456</v>
      </c>
      <c r="M91">
        <v>131.366165097452</v>
      </c>
      <c r="O91">
        <v>59.4110697524837</v>
      </c>
      <c r="P91">
        <v>-0.140563643360926</v>
      </c>
      <c r="Q91">
        <v>0.745717294792034</v>
      </c>
      <c r="R91">
        <v>0.41133961376719</v>
      </c>
      <c r="S91" t="s">
        <v>1775</v>
      </c>
      <c r="T91" t="s">
        <v>3344</v>
      </c>
      <c r="U91" t="s">
        <v>3344</v>
      </c>
      <c r="V91" t="s">
        <v>3344</v>
      </c>
      <c r="W91" t="s">
        <v>3435</v>
      </c>
      <c r="X91">
        <v>1</v>
      </c>
      <c r="Y91" t="s">
        <v>5090</v>
      </c>
      <c r="Z91" t="s">
        <v>6748</v>
      </c>
      <c r="AA91">
        <v>0.9358883270791736</v>
      </c>
      <c r="AB91">
        <f>HYPERLINK("Melting_Curves/meltCurve_P06971_fhuA.pdf", "Melting_Curves/meltCurve_P06971_fhuA.pdf")</f>
        <v>0</v>
      </c>
    </row>
    <row r="92" spans="1:28">
      <c r="A92" t="s">
        <v>118</v>
      </c>
      <c r="B92">
        <v>0.999998419929286</v>
      </c>
      <c r="C92">
        <v>0.853447794820491</v>
      </c>
      <c r="D92">
        <v>0.458149868667049</v>
      </c>
      <c r="E92">
        <v>0.331330378347834</v>
      </c>
      <c r="F92">
        <v>0.272513792284196</v>
      </c>
      <c r="G92">
        <v>0.129499663165515</v>
      </c>
      <c r="H92">
        <v>0.0655074947246479</v>
      </c>
      <c r="I92">
        <v>0.07782483255269319</v>
      </c>
      <c r="J92">
        <v>0.0863900678680901</v>
      </c>
      <c r="K92">
        <v>0.0413765302926106</v>
      </c>
      <c r="L92">
        <v>651.1419046482951</v>
      </c>
      <c r="M92">
        <v>15.035032205149</v>
      </c>
      <c r="N92">
        <v>43.7789481965574</v>
      </c>
      <c r="O92">
        <v>42.5638327095427</v>
      </c>
      <c r="P92">
        <v>-0.08172713456254339</v>
      </c>
      <c r="Q92">
        <v>0.0746220399594736</v>
      </c>
      <c r="R92">
        <v>0.9718066922406779</v>
      </c>
      <c r="S92" t="s">
        <v>1776</v>
      </c>
      <c r="T92" t="s">
        <v>3344</v>
      </c>
      <c r="U92" t="s">
        <v>3344</v>
      </c>
      <c r="V92" t="s">
        <v>3344</v>
      </c>
      <c r="W92" t="s">
        <v>3436</v>
      </c>
      <c r="X92">
        <v>1</v>
      </c>
      <c r="Y92" t="s">
        <v>5091</v>
      </c>
      <c r="Z92" t="s">
        <v>6749</v>
      </c>
      <c r="AA92">
        <v>0.2930231182857099</v>
      </c>
      <c r="AB92">
        <f>HYPERLINK("Melting_Curves/meltCurve_P06974_fliM.pdf", "Melting_Curves/meltCurve_P06974_fliM.pdf")</f>
        <v>0</v>
      </c>
    </row>
    <row r="93" spans="1:28">
      <c r="A93" t="s">
        <v>119</v>
      </c>
      <c r="B93">
        <v>0.999998419929286</v>
      </c>
      <c r="C93">
        <v>0.9663650311734731</v>
      </c>
      <c r="D93">
        <v>1.03475143828216</v>
      </c>
      <c r="E93">
        <v>1.10361183371332</v>
      </c>
      <c r="F93">
        <v>1.32555260436451</v>
      </c>
      <c r="G93">
        <v>1.60551673907414</v>
      </c>
      <c r="H93">
        <v>1.57359017260295</v>
      </c>
      <c r="I93">
        <v>1.15647548830148</v>
      </c>
      <c r="J93">
        <v>1.5289243460077</v>
      </c>
      <c r="K93">
        <v>1.48643398486069</v>
      </c>
      <c r="L93">
        <v>1809.37071175432</v>
      </c>
      <c r="M93">
        <v>37.3270899528565</v>
      </c>
      <c r="O93">
        <v>48.3348961273924</v>
      </c>
      <c r="P93">
        <v>0.090068311967532</v>
      </c>
      <c r="Q93">
        <v>1.46651700440252</v>
      </c>
      <c r="R93">
        <v>0.761776535711832</v>
      </c>
      <c r="S93" t="s">
        <v>1777</v>
      </c>
      <c r="T93" t="s">
        <v>3344</v>
      </c>
      <c r="U93" t="s">
        <v>3344</v>
      </c>
      <c r="V93" t="s">
        <v>3344</v>
      </c>
      <c r="W93" t="s">
        <v>3437</v>
      </c>
      <c r="X93">
        <v>2</v>
      </c>
      <c r="Y93" t="s">
        <v>5092</v>
      </c>
      <c r="Z93" t="s">
        <v>6750</v>
      </c>
      <c r="AA93">
        <v>1.286302606562707</v>
      </c>
      <c r="AB93">
        <f>HYPERLINK("Melting_Curves/meltCurve_P06983_hemC.pdf", "Melting_Curves/meltCurve_P06983_hemC.pdf")</f>
        <v>0</v>
      </c>
    </row>
    <row r="94" spans="1:28">
      <c r="A94" t="s">
        <v>120</v>
      </c>
      <c r="B94">
        <v>0.999998419929286</v>
      </c>
      <c r="C94">
        <v>1.02357417219477</v>
      </c>
      <c r="D94">
        <v>1.12471564353997</v>
      </c>
      <c r="E94">
        <v>0.923634096948584</v>
      </c>
      <c r="F94">
        <v>0.218708369596766</v>
      </c>
      <c r="G94">
        <v>0.130527241641599</v>
      </c>
      <c r="H94">
        <v>0.07346525093466259</v>
      </c>
      <c r="I94">
        <v>0.0381006168894133</v>
      </c>
      <c r="J94">
        <v>0.0283504311454896</v>
      </c>
      <c r="K94">
        <v>0.0255608023708089</v>
      </c>
      <c r="L94">
        <v>2557.10795189492</v>
      </c>
      <c r="M94">
        <v>52.474763512508</v>
      </c>
      <c r="N94">
        <v>48.8427006578887</v>
      </c>
      <c r="O94">
        <v>48.6596305898526</v>
      </c>
      <c r="P94">
        <v>-0.254260045790328</v>
      </c>
      <c r="Q94">
        <v>0.0569036106049263</v>
      </c>
      <c r="R94">
        <v>0.989108054785376</v>
      </c>
      <c r="S94" t="s">
        <v>1778</v>
      </c>
      <c r="T94" t="s">
        <v>3344</v>
      </c>
      <c r="U94" t="s">
        <v>3344</v>
      </c>
      <c r="V94" t="s">
        <v>3344</v>
      </c>
      <c r="W94" t="s">
        <v>3438</v>
      </c>
      <c r="X94">
        <v>11</v>
      </c>
      <c r="Y94" t="s">
        <v>5093</v>
      </c>
      <c r="Z94" t="s">
        <v>6751</v>
      </c>
      <c r="AA94">
        <v>0.427501430615905</v>
      </c>
      <c r="AB94">
        <f>HYPERLINK("Melting_Curves/meltCurve_P06986_hisC.pdf", "Melting_Curves/meltCurve_P06986_hisC.pdf")</f>
        <v>0</v>
      </c>
    </row>
    <row r="95" spans="1:28">
      <c r="A95" t="s">
        <v>121</v>
      </c>
      <c r="B95">
        <v>0.999998419929286</v>
      </c>
      <c r="C95">
        <v>1.10054278822435</v>
      </c>
      <c r="D95">
        <v>0.788472470484048</v>
      </c>
      <c r="E95">
        <v>0.568522525264092</v>
      </c>
      <c r="F95">
        <v>0.365377737412033</v>
      </c>
      <c r="G95">
        <v>0.290668057160682</v>
      </c>
      <c r="H95">
        <v>0.168389321691205</v>
      </c>
      <c r="I95">
        <v>0.101857770206324</v>
      </c>
      <c r="J95">
        <v>0.0906632812963019</v>
      </c>
      <c r="K95">
        <v>0.0857933820935568</v>
      </c>
      <c r="L95">
        <v>696.190451105787</v>
      </c>
      <c r="M95">
        <v>14.6736074976669</v>
      </c>
      <c r="N95">
        <v>48.0806928803652</v>
      </c>
      <c r="O95">
        <v>46.5900221745091</v>
      </c>
      <c r="P95">
        <v>-0.07180403749365361</v>
      </c>
      <c r="Q95">
        <v>0.0881633317444198</v>
      </c>
      <c r="R95">
        <v>0.9756025029963989</v>
      </c>
      <c r="S95" t="s">
        <v>1779</v>
      </c>
      <c r="T95" t="s">
        <v>3344</v>
      </c>
      <c r="U95" t="s">
        <v>3344</v>
      </c>
      <c r="V95" t="s">
        <v>3344</v>
      </c>
      <c r="W95" t="s">
        <v>3439</v>
      </c>
      <c r="X95">
        <v>5</v>
      </c>
      <c r="Y95" t="s">
        <v>5094</v>
      </c>
      <c r="Z95" t="s">
        <v>6752</v>
      </c>
      <c r="AA95">
        <v>0.4267551780207561</v>
      </c>
      <c r="AB95">
        <f>HYPERLINK("Melting_Curves/meltCurve_P06987_hisB.pdf", "Melting_Curves/meltCurve_P06987_hisB.pdf")</f>
        <v>0</v>
      </c>
    </row>
    <row r="96" spans="1:28">
      <c r="A96" t="s">
        <v>122</v>
      </c>
      <c r="B96">
        <v>0.999998419929286</v>
      </c>
      <c r="C96">
        <v>1.26300071982573</v>
      </c>
      <c r="D96">
        <v>1.42931767955559</v>
      </c>
      <c r="E96">
        <v>1.70396574621937</v>
      </c>
      <c r="F96">
        <v>1.95141092515248</v>
      </c>
      <c r="G96">
        <v>2.27146446188596</v>
      </c>
      <c r="H96">
        <v>2.03842535771673</v>
      </c>
      <c r="I96">
        <v>1.59890379590419</v>
      </c>
      <c r="J96">
        <v>1.482518045297</v>
      </c>
      <c r="K96">
        <v>1.11778891964784</v>
      </c>
      <c r="L96">
        <v>1655.72038828211</v>
      </c>
      <c r="M96">
        <v>41.530382603322</v>
      </c>
      <c r="O96">
        <v>39.775589577668</v>
      </c>
      <c r="P96">
        <v>0.130514911197256</v>
      </c>
      <c r="Q96">
        <v>1.5</v>
      </c>
      <c r="R96">
        <v>0.153794283952501</v>
      </c>
      <c r="S96" t="s">
        <v>1780</v>
      </c>
      <c r="T96" t="s">
        <v>3344</v>
      </c>
      <c r="U96" t="s">
        <v>3344</v>
      </c>
      <c r="V96" t="s">
        <v>3344</v>
      </c>
      <c r="W96" t="s">
        <v>3440</v>
      </c>
      <c r="X96">
        <v>17</v>
      </c>
      <c r="Y96" t="s">
        <v>5095</v>
      </c>
      <c r="Z96" t="s">
        <v>6753</v>
      </c>
      <c r="AA96">
        <v>1.450409802006927</v>
      </c>
      <c r="AB96">
        <f>HYPERLINK("Melting_Curves/meltCurve_P06988_hisD.pdf", "Melting_Curves/meltCurve_P06988_hisD.pdf")</f>
        <v>0</v>
      </c>
    </row>
    <row r="97" spans="1:28">
      <c r="A97" t="s">
        <v>123</v>
      </c>
      <c r="B97">
        <v>0.999998419929286</v>
      </c>
      <c r="C97">
        <v>0.880974706304428</v>
      </c>
      <c r="D97">
        <v>0.761697154134646</v>
      </c>
      <c r="E97">
        <v>0.637604277617963</v>
      </c>
      <c r="F97">
        <v>0.520608230997928</v>
      </c>
      <c r="G97">
        <v>0.432642827262172</v>
      </c>
      <c r="H97">
        <v>0.335690882518803</v>
      </c>
      <c r="I97">
        <v>0.259048861120476</v>
      </c>
      <c r="J97">
        <v>0.235895823467598</v>
      </c>
      <c r="K97">
        <v>0.209119322286606</v>
      </c>
      <c r="L97">
        <v>403.277417796932</v>
      </c>
      <c r="M97">
        <v>8.244761677810621</v>
      </c>
      <c r="N97">
        <v>50.7461140191853</v>
      </c>
      <c r="O97">
        <v>46.2887256932151</v>
      </c>
      <c r="P97">
        <v>-0.0388339677807951</v>
      </c>
      <c r="Q97">
        <v>0.128775085663561</v>
      </c>
      <c r="R97">
        <v>0.993045598368036</v>
      </c>
      <c r="S97" t="s">
        <v>1781</v>
      </c>
      <c r="T97" t="s">
        <v>3344</v>
      </c>
      <c r="U97" t="s">
        <v>3344</v>
      </c>
      <c r="V97" t="s">
        <v>3344</v>
      </c>
      <c r="W97" t="s">
        <v>3441</v>
      </c>
      <c r="X97">
        <v>2</v>
      </c>
      <c r="Y97" t="s">
        <v>5096</v>
      </c>
      <c r="Z97" t="s">
        <v>6754</v>
      </c>
      <c r="AA97">
        <v>0.5144813365863821</v>
      </c>
      <c r="AB97">
        <f>HYPERLINK("Melting_Curves/meltCurve_P06989_hisI.pdf", "Melting_Curves/meltCurve_P06989_hisI.pdf")</f>
        <v>0</v>
      </c>
    </row>
    <row r="98" spans="1:28">
      <c r="A98" t="s">
        <v>124</v>
      </c>
      <c r="B98">
        <v>0.999998419929286</v>
      </c>
      <c r="C98">
        <v>0.875127107078259</v>
      </c>
      <c r="D98">
        <v>0.6622044162520569</v>
      </c>
      <c r="E98">
        <v>0.320994809523185</v>
      </c>
      <c r="F98">
        <v>0.149641986402448</v>
      </c>
      <c r="G98">
        <v>0.104181413672342</v>
      </c>
      <c r="H98">
        <v>0.07707976210329349</v>
      </c>
      <c r="I98">
        <v>0.0612575136551179</v>
      </c>
      <c r="J98">
        <v>0.0557570994385526</v>
      </c>
      <c r="K98">
        <v>0.0548971239956889</v>
      </c>
      <c r="L98">
        <v>819.331725235133</v>
      </c>
      <c r="M98">
        <v>18.506889459176</v>
      </c>
      <c r="N98">
        <v>44.5681566058506</v>
      </c>
      <c r="O98">
        <v>43.7645233889989</v>
      </c>
      <c r="P98">
        <v>-0.09960082419724101</v>
      </c>
      <c r="Q98">
        <v>0.0579097896222275</v>
      </c>
      <c r="R98">
        <v>0.999071600520801</v>
      </c>
      <c r="S98" t="s">
        <v>1782</v>
      </c>
      <c r="T98" t="s">
        <v>3344</v>
      </c>
      <c r="U98" t="s">
        <v>3344</v>
      </c>
      <c r="V98" t="s">
        <v>3344</v>
      </c>
      <c r="W98" t="s">
        <v>3442</v>
      </c>
      <c r="X98">
        <v>3</v>
      </c>
      <c r="Y98" t="s">
        <v>5097</v>
      </c>
      <c r="Z98" t="s">
        <v>6755</v>
      </c>
      <c r="AA98">
        <v>0.3010744229551591</v>
      </c>
      <c r="AB98">
        <f>HYPERLINK("Melting_Curves/meltCurve_P06992_rsmA.pdf", "Melting_Curves/meltCurve_P06992_rsmA.pdf")</f>
        <v>0</v>
      </c>
    </row>
    <row r="99" spans="1:28">
      <c r="A99" t="s">
        <v>125</v>
      </c>
      <c r="B99">
        <v>0.999998419929286</v>
      </c>
      <c r="C99">
        <v>1.87942538941009</v>
      </c>
      <c r="D99">
        <v>1.0200102695352</v>
      </c>
      <c r="E99">
        <v>0.912301494656565</v>
      </c>
      <c r="F99">
        <v>0.889261215698737</v>
      </c>
      <c r="G99">
        <v>0.812890190648428</v>
      </c>
      <c r="H99">
        <v>0.491348218747583</v>
      </c>
      <c r="I99">
        <v>0.405934181883467</v>
      </c>
      <c r="J99">
        <v>0.231654708070729</v>
      </c>
      <c r="K99">
        <v>0.232593480404184</v>
      </c>
      <c r="L99">
        <v>981.72636222535</v>
      </c>
      <c r="M99">
        <v>17.3183153032899</v>
      </c>
      <c r="N99">
        <v>58.0591515627027</v>
      </c>
      <c r="O99">
        <v>55.9475354212501</v>
      </c>
      <c r="P99">
        <v>-0.0643951487754727</v>
      </c>
      <c r="Q99">
        <v>0.167922943574442</v>
      </c>
      <c r="R99">
        <v>0.636128975581674</v>
      </c>
      <c r="S99" t="s">
        <v>1783</v>
      </c>
      <c r="T99" t="s">
        <v>3344</v>
      </c>
      <c r="U99" t="s">
        <v>3344</v>
      </c>
      <c r="V99" t="s">
        <v>3344</v>
      </c>
      <c r="W99" t="s">
        <v>3443</v>
      </c>
      <c r="X99">
        <v>6</v>
      </c>
      <c r="Y99" t="s">
        <v>5098</v>
      </c>
      <c r="Z99" t="s">
        <v>6756</v>
      </c>
      <c r="AA99">
        <v>0.7220493068492259</v>
      </c>
      <c r="AB99">
        <f>HYPERLINK("Melting_Curves/meltCurve_P06996_ompC.pdf", "Melting_Curves/meltCurve_P06996_ompC.pdf")</f>
        <v>0</v>
      </c>
    </row>
    <row r="100" spans="1:28">
      <c r="A100" t="s">
        <v>126</v>
      </c>
      <c r="B100">
        <v>0.999998419929286</v>
      </c>
      <c r="C100">
        <v>0.9378701371520149</v>
      </c>
      <c r="D100">
        <v>1.07474888618012</v>
      </c>
      <c r="E100">
        <v>1.14201146700213</v>
      </c>
      <c r="F100">
        <v>1.20520004201088</v>
      </c>
      <c r="G100">
        <v>1.20409200750668</v>
      </c>
      <c r="H100">
        <v>1.05062760454852</v>
      </c>
      <c r="I100">
        <v>0.7885545473299</v>
      </c>
      <c r="J100">
        <v>0.84018120245171</v>
      </c>
      <c r="K100">
        <v>0.766750428725324</v>
      </c>
      <c r="L100">
        <v>9327.0227249816</v>
      </c>
      <c r="M100">
        <v>156.969814357367</v>
      </c>
      <c r="O100">
        <v>59.4095687578327</v>
      </c>
      <c r="P100">
        <v>-0.133762656493964</v>
      </c>
      <c r="Q100">
        <v>0.797495290409858</v>
      </c>
      <c r="R100">
        <v>0.505619829882369</v>
      </c>
      <c r="S100" t="s">
        <v>1784</v>
      </c>
      <c r="T100" t="s">
        <v>3344</v>
      </c>
      <c r="U100" t="s">
        <v>3344</v>
      </c>
      <c r="V100" t="s">
        <v>3344</v>
      </c>
      <c r="W100" t="s">
        <v>3444</v>
      </c>
      <c r="X100">
        <v>8</v>
      </c>
      <c r="Y100" t="s">
        <v>5099</v>
      </c>
      <c r="Z100" t="s">
        <v>6757</v>
      </c>
      <c r="AA100">
        <v>0.9488820763826917</v>
      </c>
      <c r="AB100">
        <f>HYPERLINK("Melting_Curves/meltCurve_P06999_pfkB.pdf", "Melting_Curves/meltCurve_P06999_pfkB.pdf")</f>
        <v>0</v>
      </c>
    </row>
    <row r="101" spans="1:28">
      <c r="A101" t="s">
        <v>127</v>
      </c>
      <c r="B101">
        <v>0.999998419929286</v>
      </c>
      <c r="C101">
        <v>1.32341558331107</v>
      </c>
      <c r="D101">
        <v>1.11627797012836</v>
      </c>
      <c r="E101">
        <v>1.25323024307444</v>
      </c>
      <c r="F101">
        <v>0.959128445407339</v>
      </c>
      <c r="G101">
        <v>0.352164732036067</v>
      </c>
      <c r="H101">
        <v>0.115946540837058</v>
      </c>
      <c r="I101">
        <v>0.06487785700930079</v>
      </c>
      <c r="J101">
        <v>0.0597166884973618</v>
      </c>
      <c r="K101">
        <v>0.0558385226583517</v>
      </c>
      <c r="L101">
        <v>2880.50858067738</v>
      </c>
      <c r="M101">
        <v>54.35412297379</v>
      </c>
      <c r="N101">
        <v>53.1420190666484</v>
      </c>
      <c r="O101">
        <v>52.9236306425303</v>
      </c>
      <c r="P101">
        <v>-0.238858850566209</v>
      </c>
      <c r="Q101">
        <v>0.0697103761086587</v>
      </c>
      <c r="R101">
        <v>0.9310411664220331</v>
      </c>
      <c r="S101" t="s">
        <v>1785</v>
      </c>
      <c r="T101" t="s">
        <v>3344</v>
      </c>
      <c r="U101" t="s">
        <v>3344</v>
      </c>
      <c r="V101" t="s">
        <v>3344</v>
      </c>
      <c r="W101" t="s">
        <v>3445</v>
      </c>
      <c r="X101">
        <v>7</v>
      </c>
      <c r="Y101" t="s">
        <v>5100</v>
      </c>
      <c r="Z101" t="s">
        <v>6758</v>
      </c>
      <c r="AA101">
        <v>0.5675545889033852</v>
      </c>
      <c r="AB101">
        <f>HYPERLINK("Melting_Curves/meltCurve_P07001_pntA.pdf", "Melting_Curves/meltCurve_P07001_pntA.pdf")</f>
        <v>0</v>
      </c>
    </row>
    <row r="102" spans="1:28">
      <c r="A102" t="s">
        <v>128</v>
      </c>
      <c r="B102">
        <v>0.999998419929286</v>
      </c>
      <c r="C102">
        <v>0.8903011493224871</v>
      </c>
      <c r="D102">
        <v>0.492008197267114</v>
      </c>
      <c r="E102">
        <v>0.280061859311418</v>
      </c>
      <c r="F102">
        <v>0.182432925015255</v>
      </c>
      <c r="G102">
        <v>0.148904042386389</v>
      </c>
      <c r="H102">
        <v>0.0972847184509098</v>
      </c>
      <c r="I102">
        <v>0.0789417600251371</v>
      </c>
      <c r="J102">
        <v>0.06967299303105499</v>
      </c>
      <c r="K102">
        <v>0.073975573075723</v>
      </c>
      <c r="L102">
        <v>877.970613240345</v>
      </c>
      <c r="M102">
        <v>20.4241091849167</v>
      </c>
      <c r="N102">
        <v>43.4478879303762</v>
      </c>
      <c r="O102">
        <v>42.5812330333225</v>
      </c>
      <c r="P102">
        <v>-0.108236162292565</v>
      </c>
      <c r="Q102">
        <v>0.09740166011310999</v>
      </c>
      <c r="R102">
        <v>0.98935730375401</v>
      </c>
      <c r="S102" t="s">
        <v>1786</v>
      </c>
      <c r="T102" t="s">
        <v>3344</v>
      </c>
      <c r="U102" t="s">
        <v>3344</v>
      </c>
      <c r="V102" t="s">
        <v>3344</v>
      </c>
      <c r="W102" t="s">
        <v>3446</v>
      </c>
      <c r="X102">
        <v>11</v>
      </c>
      <c r="Y102" t="s">
        <v>5101</v>
      </c>
      <c r="Z102" t="s">
        <v>6759</v>
      </c>
      <c r="AA102">
        <v>0.2895373061747062</v>
      </c>
      <c r="AB102">
        <f>HYPERLINK("Melting_Curves/meltCurve_P07003_poxB.pdf", "Melting_Curves/meltCurve_P07003_poxB.pdf")</f>
        <v>0</v>
      </c>
    </row>
    <row r="103" spans="1:28">
      <c r="A103" t="s">
        <v>129</v>
      </c>
      <c r="B103">
        <v>0.999998419929286</v>
      </c>
      <c r="C103">
        <v>1.21610049889016</v>
      </c>
      <c r="D103">
        <v>1.22685845534852</v>
      </c>
      <c r="E103">
        <v>1.39935364347417</v>
      </c>
      <c r="F103">
        <v>1.35373671354007</v>
      </c>
      <c r="G103">
        <v>1.40438721051593</v>
      </c>
      <c r="H103">
        <v>1.23246821496541</v>
      </c>
      <c r="I103">
        <v>1.03241554519533</v>
      </c>
      <c r="J103">
        <v>0.742968692535684</v>
      </c>
      <c r="K103">
        <v>0.470965865527957</v>
      </c>
      <c r="L103">
        <v>15000</v>
      </c>
      <c r="M103">
        <v>233.952656577355</v>
      </c>
      <c r="N103">
        <v>64.9049180426814</v>
      </c>
      <c r="O103">
        <v>64.1108467212063</v>
      </c>
      <c r="P103">
        <v>-0.482657046264636</v>
      </c>
      <c r="Q103">
        <v>0.470943319848683</v>
      </c>
      <c r="R103">
        <v>0.276174935424412</v>
      </c>
      <c r="S103" t="s">
        <v>1787</v>
      </c>
      <c r="T103" t="s">
        <v>3344</v>
      </c>
      <c r="U103" t="s">
        <v>3344</v>
      </c>
      <c r="V103" t="s">
        <v>3344</v>
      </c>
      <c r="W103" t="s">
        <v>3447</v>
      </c>
      <c r="X103">
        <v>16</v>
      </c>
      <c r="Y103" t="s">
        <v>5102</v>
      </c>
      <c r="Z103" t="s">
        <v>6760</v>
      </c>
      <c r="AA103">
        <v>0.9491995912509952</v>
      </c>
      <c r="AB103">
        <f>HYPERLINK("Melting_Curves/meltCurve_P07004_proA.pdf", "Melting_Curves/meltCurve_P07004_proA.pdf")</f>
        <v>0</v>
      </c>
    </row>
    <row r="104" spans="1:28">
      <c r="A104" t="s">
        <v>130</v>
      </c>
      <c r="B104">
        <v>0.999998419929286</v>
      </c>
      <c r="C104">
        <v>1.12353138467735</v>
      </c>
      <c r="D104">
        <v>1.10274035453426</v>
      </c>
      <c r="E104">
        <v>0.910489100952835</v>
      </c>
      <c r="F104">
        <v>0.658621706814807</v>
      </c>
      <c r="G104">
        <v>0.633071622070967</v>
      </c>
      <c r="H104">
        <v>0.5453028290212369</v>
      </c>
      <c r="I104">
        <v>0.473681226755367</v>
      </c>
      <c r="J104">
        <v>0.539355549710831</v>
      </c>
      <c r="K104">
        <v>0.589089625108455</v>
      </c>
      <c r="L104">
        <v>1610.43518879262</v>
      </c>
      <c r="M104">
        <v>33.0554232695744</v>
      </c>
      <c r="O104">
        <v>48.5419725406377</v>
      </c>
      <c r="P104">
        <v>-0.0767795643349482</v>
      </c>
      <c r="Q104">
        <v>0.548998061306061</v>
      </c>
      <c r="R104">
        <v>0.930571449762199</v>
      </c>
      <c r="S104" t="s">
        <v>1788</v>
      </c>
      <c r="T104" t="s">
        <v>3344</v>
      </c>
      <c r="U104" t="s">
        <v>3344</v>
      </c>
      <c r="V104" t="s">
        <v>3344</v>
      </c>
      <c r="W104" t="s">
        <v>3448</v>
      </c>
      <c r="X104">
        <v>11</v>
      </c>
      <c r="Y104" t="s">
        <v>5103</v>
      </c>
      <c r="Z104" t="s">
        <v>6761</v>
      </c>
      <c r="AA104">
        <v>0.7274068304283164</v>
      </c>
      <c r="AB104">
        <f>HYPERLINK("Melting_Curves/meltCurve_P07012_prfB.pdf", "Melting_Curves/meltCurve_P07012_prfB.pdf")</f>
        <v>0</v>
      </c>
    </row>
    <row r="105" spans="1:28">
      <c r="A105" t="s">
        <v>131</v>
      </c>
      <c r="B105">
        <v>0.999998419929286</v>
      </c>
      <c r="C105">
        <v>0.852594485721733</v>
      </c>
      <c r="D105">
        <v>0.661600960591045</v>
      </c>
      <c r="E105">
        <v>0.572065382275078</v>
      </c>
      <c r="F105">
        <v>0.333245746226209</v>
      </c>
      <c r="G105">
        <v>0.222834424214579</v>
      </c>
      <c r="H105">
        <v>0.12147258110849</v>
      </c>
      <c r="I105">
        <v>0.0896056380432584</v>
      </c>
      <c r="J105">
        <v>0.0649889286747705</v>
      </c>
      <c r="K105">
        <v>0.0539813271419193</v>
      </c>
      <c r="L105">
        <v>480.894889204807</v>
      </c>
      <c r="M105">
        <v>10.2381594910685</v>
      </c>
      <c r="N105">
        <v>47.0026338993555</v>
      </c>
      <c r="O105">
        <v>45.2846504070519</v>
      </c>
      <c r="P105">
        <v>-0.0563510988066598</v>
      </c>
      <c r="Q105">
        <v>0.00345138306705555</v>
      </c>
      <c r="R105">
        <v>0.990880161203222</v>
      </c>
      <c r="S105" t="s">
        <v>1789</v>
      </c>
      <c r="T105" t="s">
        <v>3344</v>
      </c>
      <c r="U105" t="s">
        <v>3344</v>
      </c>
      <c r="V105" t="s">
        <v>3344</v>
      </c>
      <c r="W105" t="s">
        <v>3449</v>
      </c>
      <c r="X105">
        <v>7</v>
      </c>
      <c r="Y105" t="s">
        <v>5104</v>
      </c>
      <c r="Z105" t="s">
        <v>6762</v>
      </c>
      <c r="AA105">
        <v>0.3763488906669262</v>
      </c>
      <c r="AB105">
        <f>HYPERLINK("Melting_Curves/meltCurve_P07014_sdhB.pdf", "Melting_Curves/meltCurve_P07014_sdhB.pdf")</f>
        <v>0</v>
      </c>
    </row>
    <row r="106" spans="1:28">
      <c r="A106" t="s">
        <v>132</v>
      </c>
      <c r="B106">
        <v>0.999998419929286</v>
      </c>
      <c r="C106">
        <v>1.21904762823796</v>
      </c>
      <c r="D106">
        <v>1.22044733934545</v>
      </c>
      <c r="E106">
        <v>1.15678662261032</v>
      </c>
      <c r="F106">
        <v>1.01104743248953</v>
      </c>
      <c r="G106">
        <v>0.802409460979715</v>
      </c>
      <c r="H106">
        <v>0.479850557733794</v>
      </c>
      <c r="I106">
        <v>0.292696697864707</v>
      </c>
      <c r="J106">
        <v>0.237876739327159</v>
      </c>
      <c r="K106">
        <v>0.227551415917793</v>
      </c>
      <c r="L106">
        <v>1686.65761325689</v>
      </c>
      <c r="M106">
        <v>30.145824261337</v>
      </c>
      <c r="N106">
        <v>57.0914568486203</v>
      </c>
      <c r="O106">
        <v>55.7054856070679</v>
      </c>
      <c r="P106">
        <v>-0.104669154872395</v>
      </c>
      <c r="Q106">
        <v>0.226346103658758</v>
      </c>
      <c r="R106">
        <v>0.920595220028373</v>
      </c>
      <c r="S106" t="s">
        <v>1790</v>
      </c>
      <c r="T106" t="s">
        <v>3344</v>
      </c>
      <c r="U106" t="s">
        <v>3344</v>
      </c>
      <c r="V106" t="s">
        <v>3344</v>
      </c>
      <c r="W106" t="s">
        <v>3450</v>
      </c>
      <c r="X106">
        <v>17</v>
      </c>
      <c r="Y106" t="s">
        <v>5105</v>
      </c>
      <c r="Z106" t="s">
        <v>6763</v>
      </c>
      <c r="AA106">
        <v>0.7198249383203332</v>
      </c>
      <c r="AB106">
        <f>HYPERLINK("Melting_Curves/meltCurve_P07017_tar.pdf", "Melting_Curves/meltCurve_P07017_tar.pdf")</f>
        <v>0</v>
      </c>
    </row>
    <row r="107" spans="1:28">
      <c r="A107" t="s">
        <v>133</v>
      </c>
      <c r="B107">
        <v>0.999998419929286</v>
      </c>
      <c r="C107">
        <v>0.9281478936245789</v>
      </c>
      <c r="D107">
        <v>0.9302494962982371</v>
      </c>
      <c r="E107">
        <v>0.82469819811375</v>
      </c>
      <c r="F107">
        <v>0.47062663898797</v>
      </c>
      <c r="G107">
        <v>0.335452585209554</v>
      </c>
      <c r="H107">
        <v>0.199067859530082</v>
      </c>
      <c r="I107">
        <v>0.116151454240736</v>
      </c>
      <c r="J107">
        <v>0.124264690065119</v>
      </c>
      <c r="K107">
        <v>0.0980575070627953</v>
      </c>
      <c r="L107">
        <v>801.280822326243</v>
      </c>
      <c r="M107">
        <v>16.0601945920334</v>
      </c>
      <c r="N107">
        <v>50.5109596477562</v>
      </c>
      <c r="O107">
        <v>49.1380346280774</v>
      </c>
      <c r="P107">
        <v>-0.0744205146043715</v>
      </c>
      <c r="Q107">
        <v>0.08927747936958411</v>
      </c>
      <c r="R107">
        <v>0.992665381413731</v>
      </c>
      <c r="S107" t="s">
        <v>1791</v>
      </c>
      <c r="T107" t="s">
        <v>3344</v>
      </c>
      <c r="U107" t="s">
        <v>3344</v>
      </c>
      <c r="V107" t="s">
        <v>3344</v>
      </c>
      <c r="W107" t="s">
        <v>3451</v>
      </c>
      <c r="X107">
        <v>1</v>
      </c>
      <c r="Y107" t="s">
        <v>5106</v>
      </c>
      <c r="Z107" t="s">
        <v>6764</v>
      </c>
      <c r="AA107">
        <v>0.4978987984601279</v>
      </c>
      <c r="AB107">
        <f>HYPERLINK("Melting_Curves/meltCurve_P07023_tyrA.pdf", "Melting_Curves/meltCurve_P07023_tyrA.pdf")</f>
        <v>0</v>
      </c>
    </row>
    <row r="108" spans="1:28">
      <c r="A108" t="s">
        <v>134</v>
      </c>
      <c r="B108">
        <v>0.999998419929286</v>
      </c>
      <c r="C108">
        <v>1.35954313463642</v>
      </c>
      <c r="D108">
        <v>1.34531127368639</v>
      </c>
      <c r="E108">
        <v>1.61869594006703</v>
      </c>
      <c r="F108">
        <v>1.68581389838738</v>
      </c>
      <c r="G108">
        <v>1.93065024317461</v>
      </c>
      <c r="H108">
        <v>1.70494490182584</v>
      </c>
      <c r="I108">
        <v>1.1610318979686</v>
      </c>
      <c r="J108">
        <v>0.473266861023458</v>
      </c>
      <c r="K108">
        <v>0.24873187137581</v>
      </c>
      <c r="L108">
        <v>15000</v>
      </c>
      <c r="M108">
        <v>234.861860567741</v>
      </c>
      <c r="N108">
        <v>64.05497549917941</v>
      </c>
      <c r="O108">
        <v>63.8626993375636</v>
      </c>
      <c r="P108">
        <v>-0.690734419677403</v>
      </c>
      <c r="Q108">
        <v>0.248713019888398</v>
      </c>
      <c r="R108">
        <v>0.0752858313491386</v>
      </c>
      <c r="S108" t="s">
        <v>1792</v>
      </c>
      <c r="T108" t="s">
        <v>3344</v>
      </c>
      <c r="U108" t="s">
        <v>3344</v>
      </c>
      <c r="V108" t="s">
        <v>3344</v>
      </c>
      <c r="W108" t="s">
        <v>3452</v>
      </c>
      <c r="X108">
        <v>17</v>
      </c>
      <c r="Y108" t="s">
        <v>5107</v>
      </c>
      <c r="Z108" t="s">
        <v>6765</v>
      </c>
      <c r="AA108">
        <v>0.9216441538100081</v>
      </c>
      <c r="AB108">
        <f>HYPERLINK("Melting_Curves/meltCurve_P07024_ushA.pdf", "Melting_Curves/meltCurve_P07024_ushA.pdf")</f>
        <v>0</v>
      </c>
    </row>
    <row r="109" spans="1:28">
      <c r="A109" t="s">
        <v>135</v>
      </c>
      <c r="B109">
        <v>0.999998419929286</v>
      </c>
      <c r="C109">
        <v>1.13908554827172</v>
      </c>
      <c r="D109">
        <v>1.21633017113564</v>
      </c>
      <c r="E109">
        <v>1.35896667603839</v>
      </c>
      <c r="F109">
        <v>1.48693399024891</v>
      </c>
      <c r="G109">
        <v>0.279002653972461</v>
      </c>
      <c r="H109">
        <v>0.160808157998394</v>
      </c>
      <c r="I109">
        <v>0.121622918550253</v>
      </c>
      <c r="J109">
        <v>0.0868267687190324</v>
      </c>
      <c r="K109">
        <v>0.064755530840214</v>
      </c>
      <c r="L109">
        <v>13372.4256772489</v>
      </c>
      <c r="M109">
        <v>250</v>
      </c>
      <c r="N109">
        <v>53.5420761557497</v>
      </c>
      <c r="O109">
        <v>53.4862799020046</v>
      </c>
      <c r="P109">
        <v>-1.04173527966429</v>
      </c>
      <c r="Q109">
        <v>0.108503288000888</v>
      </c>
      <c r="R109">
        <v>0.86263362731757</v>
      </c>
      <c r="S109" t="s">
        <v>1793</v>
      </c>
      <c r="T109" t="s">
        <v>3344</v>
      </c>
      <c r="U109" t="s">
        <v>3344</v>
      </c>
      <c r="V109" t="s">
        <v>3344</v>
      </c>
      <c r="W109" t="s">
        <v>3453</v>
      </c>
      <c r="X109">
        <v>8</v>
      </c>
      <c r="Y109" t="s">
        <v>5108</v>
      </c>
      <c r="Z109" t="s">
        <v>6766</v>
      </c>
      <c r="AA109">
        <v>0.5986041675666088</v>
      </c>
      <c r="AB109">
        <f>HYPERLINK("Melting_Curves/meltCurve_P07102_appA.pdf", "Melting_Curves/meltCurve_P07102_appA.pdf")</f>
        <v>0</v>
      </c>
    </row>
    <row r="110" spans="1:28">
      <c r="A110" t="s">
        <v>136</v>
      </c>
      <c r="B110">
        <v>0.999998419929286</v>
      </c>
      <c r="C110">
        <v>0.878395248610894</v>
      </c>
      <c r="D110">
        <v>0.672957535001053</v>
      </c>
      <c r="E110">
        <v>0.304167786359011</v>
      </c>
      <c r="F110">
        <v>0.220057698092938</v>
      </c>
      <c r="G110">
        <v>0.190182852409984</v>
      </c>
      <c r="H110">
        <v>0.143744725267005</v>
      </c>
      <c r="I110">
        <v>0.123099287458019</v>
      </c>
      <c r="J110">
        <v>0.0877212604354327</v>
      </c>
      <c r="K110">
        <v>0.07106056320048609</v>
      </c>
      <c r="L110">
        <v>826.357170258335</v>
      </c>
      <c r="M110">
        <v>18.7721573304344</v>
      </c>
      <c r="N110">
        <v>44.6320292645685</v>
      </c>
      <c r="O110">
        <v>43.5299417782519</v>
      </c>
      <c r="P110">
        <v>-0.0955878771955396</v>
      </c>
      <c r="Q110">
        <v>0.113418727708367</v>
      </c>
      <c r="R110">
        <v>0.991809866083358</v>
      </c>
      <c r="S110" t="s">
        <v>1794</v>
      </c>
      <c r="T110" t="s">
        <v>3344</v>
      </c>
      <c r="U110" t="s">
        <v>3344</v>
      </c>
      <c r="V110" t="s">
        <v>3344</v>
      </c>
      <c r="W110" t="s">
        <v>3454</v>
      </c>
      <c r="X110">
        <v>1</v>
      </c>
      <c r="Y110" t="s">
        <v>5109</v>
      </c>
      <c r="Z110" t="s">
        <v>6767</v>
      </c>
      <c r="AA110">
        <v>0.3345093341749527</v>
      </c>
      <c r="AB110">
        <f>HYPERLINK("Melting_Curves/meltCurve_P07117_putP.pdf", "Melting_Curves/meltCurve_P07117_putP.pdf")</f>
        <v>0</v>
      </c>
    </row>
    <row r="111" spans="1:28">
      <c r="A111" t="s">
        <v>137</v>
      </c>
      <c r="B111">
        <v>0.999998419929286</v>
      </c>
      <c r="C111">
        <v>1.22277288496152</v>
      </c>
      <c r="D111">
        <v>1.14983297642005</v>
      </c>
      <c r="E111">
        <v>0.9964632106229649</v>
      </c>
      <c r="F111">
        <v>0.359505288219448</v>
      </c>
      <c r="G111">
        <v>0.148820335262541</v>
      </c>
      <c r="H111">
        <v>0.08087694007811</v>
      </c>
      <c r="I111">
        <v>0.0485101912326365</v>
      </c>
      <c r="J111">
        <v>0.0362578835749382</v>
      </c>
      <c r="K111">
        <v>0.0351321530925969</v>
      </c>
      <c r="L111">
        <v>2774.56169574066</v>
      </c>
      <c r="M111">
        <v>56.0188437284097</v>
      </c>
      <c r="N111">
        <v>49.6559807747075</v>
      </c>
      <c r="O111">
        <v>49.4660797583221</v>
      </c>
      <c r="P111">
        <v>-0.264232198784539</v>
      </c>
      <c r="Q111">
        <v>0.0667051955304153</v>
      </c>
      <c r="R111">
        <v>0.966481114088097</v>
      </c>
      <c r="S111" t="s">
        <v>1795</v>
      </c>
      <c r="T111" t="s">
        <v>3344</v>
      </c>
      <c r="U111" t="s">
        <v>3344</v>
      </c>
      <c r="V111" t="s">
        <v>3344</v>
      </c>
      <c r="W111" t="s">
        <v>3455</v>
      </c>
      <c r="X111">
        <v>26</v>
      </c>
      <c r="Y111" t="s">
        <v>5110</v>
      </c>
      <c r="Z111" t="s">
        <v>6768</v>
      </c>
      <c r="AA111">
        <v>0.4581051667540605</v>
      </c>
      <c r="AB111">
        <f>HYPERLINK("Melting_Curves/meltCurve_P07118_valS.pdf", "Melting_Curves/meltCurve_P07118_valS.pdf")</f>
        <v>0</v>
      </c>
    </row>
    <row r="112" spans="1:28">
      <c r="A112" t="s">
        <v>138</v>
      </c>
      <c r="B112">
        <v>0.999998419929286</v>
      </c>
      <c r="C112">
        <v>0.980850485176991</v>
      </c>
      <c r="D112">
        <v>0.952199392452957</v>
      </c>
      <c r="E112">
        <v>0.859853972394744</v>
      </c>
      <c r="F112">
        <v>0.550815440856108</v>
      </c>
      <c r="G112">
        <v>0.360608669097792</v>
      </c>
      <c r="H112">
        <v>0.289046917473926</v>
      </c>
      <c r="I112">
        <v>0.270447036363352</v>
      </c>
      <c r="J112">
        <v>0.13782939711111</v>
      </c>
      <c r="K112">
        <v>0.250480189332217</v>
      </c>
      <c r="L112">
        <v>978.951124892493</v>
      </c>
      <c r="M112">
        <v>19.6781002706451</v>
      </c>
      <c r="N112">
        <v>51.1938322947537</v>
      </c>
      <c r="O112">
        <v>49.2430499625823</v>
      </c>
      <c r="P112">
        <v>-0.07861110862047729</v>
      </c>
      <c r="Q112">
        <v>0.213152614726714</v>
      </c>
      <c r="R112">
        <v>0.989383811088672</v>
      </c>
      <c r="S112" t="s">
        <v>1796</v>
      </c>
      <c r="T112" t="s">
        <v>3344</v>
      </c>
      <c r="U112" t="s">
        <v>3344</v>
      </c>
      <c r="V112" t="s">
        <v>3344</v>
      </c>
      <c r="W112" t="s">
        <v>3456</v>
      </c>
      <c r="X112">
        <v>1</v>
      </c>
      <c r="Y112" t="s">
        <v>5111</v>
      </c>
      <c r="Z112" t="s">
        <v>6769</v>
      </c>
      <c r="AA112">
        <v>0.5581852120977456</v>
      </c>
      <c r="AB112">
        <f>HYPERLINK("Melting_Curves/meltCurve_P07330_cheB.pdf", "Melting_Curves/meltCurve_P07330_cheB.pdf")</f>
        <v>0</v>
      </c>
    </row>
    <row r="113" spans="1:28">
      <c r="A113" t="s">
        <v>139</v>
      </c>
      <c r="B113">
        <v>0.999998419929286</v>
      </c>
      <c r="C113">
        <v>0.996478452033938</v>
      </c>
      <c r="D113">
        <v>0.78914954127709</v>
      </c>
      <c r="E113">
        <v>0.688684614440873</v>
      </c>
      <c r="F113">
        <v>0.516279406052755</v>
      </c>
      <c r="G113">
        <v>0.43221811965199</v>
      </c>
      <c r="H113">
        <v>0.326527193179677</v>
      </c>
      <c r="I113">
        <v>0.229821872909315</v>
      </c>
      <c r="J113">
        <v>0.206289091873238</v>
      </c>
      <c r="K113">
        <v>0.200600536126545</v>
      </c>
      <c r="L113">
        <v>498.324558950865</v>
      </c>
      <c r="M113">
        <v>10.1035765439468</v>
      </c>
      <c r="N113">
        <v>50.99515210996</v>
      </c>
      <c r="O113">
        <v>47.5064203458748</v>
      </c>
      <c r="P113">
        <v>-0.0456884330487623</v>
      </c>
      <c r="Q113">
        <v>0.141104703122328</v>
      </c>
      <c r="R113">
        <v>0.988127531312778</v>
      </c>
      <c r="S113" t="s">
        <v>1797</v>
      </c>
      <c r="T113" t="s">
        <v>3344</v>
      </c>
      <c r="U113" t="s">
        <v>3344</v>
      </c>
      <c r="V113" t="s">
        <v>3344</v>
      </c>
      <c r="W113" t="s">
        <v>3457</v>
      </c>
      <c r="X113">
        <v>4</v>
      </c>
      <c r="Y113" t="s">
        <v>5112</v>
      </c>
      <c r="Z113" t="s">
        <v>6770</v>
      </c>
      <c r="AA113">
        <v>0.5245568296676831</v>
      </c>
      <c r="AB113">
        <f>HYPERLINK("Melting_Curves/meltCurve_P07363_cheA.pdf", "Melting_Curves/meltCurve_P07363_cheA.pdf")</f>
        <v>0</v>
      </c>
    </row>
    <row r="114" spans="1:28">
      <c r="A114" t="s">
        <v>140</v>
      </c>
      <c r="B114">
        <v>0.999998419929286</v>
      </c>
      <c r="C114">
        <v>1.4059757873395</v>
      </c>
      <c r="D114">
        <v>1.2876316216427</v>
      </c>
      <c r="E114">
        <v>1.20092824629494</v>
      </c>
      <c r="F114">
        <v>0.8341166721690449</v>
      </c>
      <c r="G114">
        <v>0.406081754479055</v>
      </c>
      <c r="H114">
        <v>0.07133687299314841</v>
      </c>
      <c r="I114">
        <v>0.0512679175357859</v>
      </c>
      <c r="J114">
        <v>0.0378122521884607</v>
      </c>
      <c r="K114">
        <v>0.0357402869332609</v>
      </c>
      <c r="L114">
        <v>1864.99404425832</v>
      </c>
      <c r="M114">
        <v>35.2126531049152</v>
      </c>
      <c r="N114">
        <v>53.0679793692975</v>
      </c>
      <c r="O114">
        <v>52.7938022275499</v>
      </c>
      <c r="P114">
        <v>-0.161175294715103</v>
      </c>
      <c r="Q114">
        <v>0.033412576946693</v>
      </c>
      <c r="R114">
        <v>0.899951567487024</v>
      </c>
      <c r="S114" t="s">
        <v>1798</v>
      </c>
      <c r="T114" t="s">
        <v>3344</v>
      </c>
      <c r="U114" t="s">
        <v>3344</v>
      </c>
      <c r="V114" t="s">
        <v>3344</v>
      </c>
      <c r="W114" t="s">
        <v>3458</v>
      </c>
      <c r="X114">
        <v>24</v>
      </c>
      <c r="Y114" t="s">
        <v>5113</v>
      </c>
      <c r="Z114" t="s">
        <v>6771</v>
      </c>
      <c r="AA114">
        <v>0.5522848996359486</v>
      </c>
      <c r="AB114">
        <f>HYPERLINK("Melting_Curves/meltCurve_P07395_pheT.pdf", "Melting_Curves/meltCurve_P07395_pheT.pdf")</f>
        <v>0</v>
      </c>
    </row>
    <row r="115" spans="1:28">
      <c r="A115" t="s">
        <v>141</v>
      </c>
      <c r="B115">
        <v>0.999998419929286</v>
      </c>
      <c r="C115">
        <v>0.8136193930986521</v>
      </c>
      <c r="D115">
        <v>0.939768036171486</v>
      </c>
      <c r="E115">
        <v>0.8133685813773039</v>
      </c>
      <c r="F115">
        <v>0.378528349182847</v>
      </c>
      <c r="G115">
        <v>0.211663939782856</v>
      </c>
      <c r="H115">
        <v>0.164305398684573</v>
      </c>
      <c r="I115">
        <v>0.118056221208918</v>
      </c>
      <c r="J115">
        <v>0.106798629904847</v>
      </c>
      <c r="K115">
        <v>0.0997153482908387</v>
      </c>
      <c r="L115">
        <v>1146.67069981964</v>
      </c>
      <c r="M115">
        <v>23.5248800130933</v>
      </c>
      <c r="N115">
        <v>49.2746012100724</v>
      </c>
      <c r="O115">
        <v>48.3947754477141</v>
      </c>
      <c r="P115">
        <v>-0.107905191541691</v>
      </c>
      <c r="Q115">
        <v>0.112096108075477</v>
      </c>
      <c r="R115">
        <v>0.971409920460789</v>
      </c>
      <c r="S115" t="s">
        <v>1799</v>
      </c>
      <c r="T115" t="s">
        <v>3344</v>
      </c>
      <c r="U115" t="s">
        <v>3344</v>
      </c>
      <c r="V115" t="s">
        <v>3344</v>
      </c>
      <c r="W115" t="s">
        <v>3459</v>
      </c>
      <c r="X115">
        <v>3</v>
      </c>
      <c r="Y115" t="s">
        <v>5114</v>
      </c>
      <c r="Z115" t="s">
        <v>6772</v>
      </c>
      <c r="AA115">
        <v>0.4682528544425452</v>
      </c>
      <c r="AB115">
        <f>HYPERLINK("Melting_Curves/meltCurve_P07639_aroB.pdf", "Melting_Curves/meltCurve_P07639_aroB.pdf")</f>
        <v>0</v>
      </c>
    </row>
    <row r="116" spans="1:28">
      <c r="A116" t="s">
        <v>142</v>
      </c>
      <c r="B116">
        <v>0.999998419929286</v>
      </c>
      <c r="C116">
        <v>1.21553028154502</v>
      </c>
      <c r="D116">
        <v>1.07374588002353</v>
      </c>
      <c r="E116">
        <v>1.121239511989</v>
      </c>
      <c r="F116">
        <v>0.303696613787421</v>
      </c>
      <c r="G116">
        <v>0.118122710938057</v>
      </c>
      <c r="H116">
        <v>0.0709007737263159</v>
      </c>
      <c r="I116">
        <v>0.0536912716858393</v>
      </c>
      <c r="J116">
        <v>0.049932340795154</v>
      </c>
      <c r="K116">
        <v>0.0445856170140485</v>
      </c>
      <c r="L116">
        <v>12495.7390964059</v>
      </c>
      <c r="M116">
        <v>250</v>
      </c>
      <c r="N116">
        <v>50.011946167907</v>
      </c>
      <c r="O116">
        <v>49.9797779742683</v>
      </c>
      <c r="P116">
        <v>-1.16616394156</v>
      </c>
      <c r="Q116">
        <v>0.0674465369063794</v>
      </c>
      <c r="R116">
        <v>0.971403645649291</v>
      </c>
      <c r="S116" t="s">
        <v>1800</v>
      </c>
      <c r="T116" t="s">
        <v>3344</v>
      </c>
      <c r="U116" t="s">
        <v>3344</v>
      </c>
      <c r="V116" t="s">
        <v>3344</v>
      </c>
      <c r="W116" t="s">
        <v>3460</v>
      </c>
      <c r="X116">
        <v>15</v>
      </c>
      <c r="Y116" t="s">
        <v>5115</v>
      </c>
      <c r="Z116" t="s">
        <v>6773</v>
      </c>
      <c r="AA116">
        <v>0.4711050378067705</v>
      </c>
      <c r="AB116">
        <f>HYPERLINK("Melting_Curves/meltCurve_P07650_deoA.pdf", "Melting_Curves/meltCurve_P07650_deoA.pdf")</f>
        <v>0</v>
      </c>
    </row>
    <row r="117" spans="1:28">
      <c r="A117" t="s">
        <v>143</v>
      </c>
      <c r="B117">
        <v>0.999998419929286</v>
      </c>
      <c r="C117">
        <v>1.60448660099429</v>
      </c>
      <c r="D117">
        <v>1.59727789950201</v>
      </c>
      <c r="E117">
        <v>1.68693119912329</v>
      </c>
      <c r="F117">
        <v>1.71688854614122</v>
      </c>
      <c r="G117">
        <v>1.66955692663504</v>
      </c>
      <c r="H117">
        <v>1.17916878099292</v>
      </c>
      <c r="I117">
        <v>0.448547713742113</v>
      </c>
      <c r="J117">
        <v>0.118908398353256</v>
      </c>
      <c r="K117">
        <v>0.081294486283903</v>
      </c>
      <c r="L117">
        <v>14497.1001487634</v>
      </c>
      <c r="M117">
        <v>238.116436585065</v>
      </c>
      <c r="N117">
        <v>60.939570734</v>
      </c>
      <c r="O117">
        <v>60.8781054578931</v>
      </c>
      <c r="P117">
        <v>-0.879960803298438</v>
      </c>
      <c r="Q117">
        <v>0.100098300575329</v>
      </c>
      <c r="R117">
        <v>0.451517009810871</v>
      </c>
      <c r="S117" t="s">
        <v>1801</v>
      </c>
      <c r="T117" t="s">
        <v>3344</v>
      </c>
      <c r="U117" t="s">
        <v>3344</v>
      </c>
      <c r="V117" t="s">
        <v>3344</v>
      </c>
      <c r="W117" t="s">
        <v>3461</v>
      </c>
      <c r="X117">
        <v>14</v>
      </c>
      <c r="Y117" t="s">
        <v>5116</v>
      </c>
      <c r="Z117" t="s">
        <v>6774</v>
      </c>
      <c r="AA117">
        <v>0.8165980382523048</v>
      </c>
      <c r="AB117">
        <f>HYPERLINK("Melting_Curves/meltCurve_P07762_glgB.pdf", "Melting_Curves/meltCurve_P07762_glgB.pdf")</f>
        <v>0</v>
      </c>
    </row>
    <row r="118" spans="1:28">
      <c r="A118" t="s">
        <v>144</v>
      </c>
      <c r="B118">
        <v>0.999998419929286</v>
      </c>
      <c r="C118">
        <v>1.24684712368631</v>
      </c>
      <c r="D118">
        <v>1.12153780788212</v>
      </c>
      <c r="E118">
        <v>0.909010459972263</v>
      </c>
      <c r="F118">
        <v>0.318024771278882</v>
      </c>
      <c r="G118">
        <v>0.124057869547721</v>
      </c>
      <c r="H118">
        <v>0.0723078603306706</v>
      </c>
      <c r="I118">
        <v>0.0491470755644912</v>
      </c>
      <c r="J118">
        <v>0.0398338224571009</v>
      </c>
      <c r="K118">
        <v>0.0371056948002518</v>
      </c>
      <c r="L118">
        <v>2040.41396917935</v>
      </c>
      <c r="M118">
        <v>41.5689910743545</v>
      </c>
      <c r="N118">
        <v>49.2308563603567</v>
      </c>
      <c r="O118">
        <v>48.971820043147</v>
      </c>
      <c r="P118">
        <v>-0.199914431154769</v>
      </c>
      <c r="Q118">
        <v>0.0579367362396499</v>
      </c>
      <c r="R118">
        <v>0.966256700465058</v>
      </c>
      <c r="S118" t="s">
        <v>1802</v>
      </c>
      <c r="T118" t="s">
        <v>3344</v>
      </c>
      <c r="U118" t="s">
        <v>3344</v>
      </c>
      <c r="V118" t="s">
        <v>3344</v>
      </c>
      <c r="W118" t="s">
        <v>3462</v>
      </c>
      <c r="X118">
        <v>28</v>
      </c>
      <c r="Y118" t="s">
        <v>5117</v>
      </c>
      <c r="Z118" t="s">
        <v>6775</v>
      </c>
      <c r="AA118">
        <v>0.4403886675628754</v>
      </c>
      <c r="AB118">
        <f>HYPERLINK("Melting_Curves/meltCurve_P07813_leuS.pdf", "Melting_Curves/meltCurve_P07813_leuS.pdf")</f>
        <v>0</v>
      </c>
    </row>
    <row r="119" spans="1:28">
      <c r="A119" t="s">
        <v>145</v>
      </c>
      <c r="B119">
        <v>0.999998419929286</v>
      </c>
      <c r="C119">
        <v>0.810617599286735</v>
      </c>
      <c r="D119">
        <v>0.934747442985234</v>
      </c>
      <c r="E119">
        <v>1.20214757235017</v>
      </c>
      <c r="F119">
        <v>1.35493344286727</v>
      </c>
      <c r="G119">
        <v>2.32272761809544</v>
      </c>
      <c r="H119">
        <v>2.01781299438698</v>
      </c>
      <c r="I119">
        <v>1.37096259856962</v>
      </c>
      <c r="J119">
        <v>1.35137704534075</v>
      </c>
      <c r="K119">
        <v>1.59775096844479</v>
      </c>
      <c r="L119">
        <v>2193.9696406496</v>
      </c>
      <c r="M119">
        <v>46.538357393654</v>
      </c>
      <c r="O119">
        <v>47.0564644014264</v>
      </c>
      <c r="P119">
        <v>0.123623876305127</v>
      </c>
      <c r="Q119">
        <v>1.5</v>
      </c>
      <c r="R119">
        <v>0.484861244988774</v>
      </c>
      <c r="S119" t="s">
        <v>1803</v>
      </c>
      <c r="T119" t="s">
        <v>3344</v>
      </c>
      <c r="U119" t="s">
        <v>3344</v>
      </c>
      <c r="V119" t="s">
        <v>3344</v>
      </c>
      <c r="W119" t="s">
        <v>3463</v>
      </c>
      <c r="X119">
        <v>1</v>
      </c>
      <c r="Y119" t="s">
        <v>5118</v>
      </c>
      <c r="Z119" t="s">
        <v>6776</v>
      </c>
      <c r="AA119">
        <v>1.329744528253408</v>
      </c>
      <c r="AB119">
        <f>HYPERLINK("Melting_Curves/meltCurve_P07822_fhuD.pdf", "Melting_Curves/meltCurve_P07822_fhuD.pdf")</f>
        <v>0</v>
      </c>
    </row>
    <row r="120" spans="1:28">
      <c r="A120" t="s">
        <v>146</v>
      </c>
      <c r="B120">
        <v>0.999998419929286</v>
      </c>
      <c r="C120">
        <v>0.818653324179334</v>
      </c>
      <c r="D120">
        <v>0.628687426009915</v>
      </c>
      <c r="E120">
        <v>0.362726939556695</v>
      </c>
      <c r="F120">
        <v>0.151075131030158</v>
      </c>
      <c r="G120">
        <v>0.0728587918050474</v>
      </c>
      <c r="H120">
        <v>0.0392715805341514</v>
      </c>
      <c r="I120">
        <v>0.0283603096647975</v>
      </c>
      <c r="J120">
        <v>0.0276472029515571</v>
      </c>
      <c r="K120">
        <v>0.0240218146892068</v>
      </c>
      <c r="L120">
        <v>666.754376536117</v>
      </c>
      <c r="M120">
        <v>14.9924137143834</v>
      </c>
      <c r="N120">
        <v>44.5431923156837</v>
      </c>
      <c r="O120">
        <v>43.7040784642819</v>
      </c>
      <c r="P120">
        <v>-0.0847654705607553</v>
      </c>
      <c r="Q120">
        <v>0.0117081960297123</v>
      </c>
      <c r="R120">
        <v>0.996981689978277</v>
      </c>
      <c r="S120" t="s">
        <v>1804</v>
      </c>
      <c r="T120" t="s">
        <v>3344</v>
      </c>
      <c r="U120" t="s">
        <v>3344</v>
      </c>
      <c r="V120" t="s">
        <v>3344</v>
      </c>
      <c r="W120" t="s">
        <v>3464</v>
      </c>
      <c r="X120">
        <v>4</v>
      </c>
      <c r="Y120" t="s">
        <v>5119</v>
      </c>
      <c r="Z120" t="s">
        <v>6777</v>
      </c>
      <c r="AA120">
        <v>0.2819136991524643</v>
      </c>
      <c r="AB120">
        <f>HYPERLINK("Melting_Curves/meltCurve_P07862_ddlB.pdf", "Melting_Curves/meltCurve_P07862_ddlB.pdf")</f>
        <v>0</v>
      </c>
    </row>
    <row r="121" spans="1:28">
      <c r="A121" t="s">
        <v>147</v>
      </c>
      <c r="B121">
        <v>0.999998419929286</v>
      </c>
      <c r="C121">
        <v>1.11230357718751</v>
      </c>
      <c r="D121">
        <v>0.42699003235848</v>
      </c>
      <c r="E121">
        <v>0.705526456051296</v>
      </c>
      <c r="F121">
        <v>0.510263358525572</v>
      </c>
      <c r="G121">
        <v>0.464566227506917</v>
      </c>
      <c r="H121">
        <v>0.249895575647122</v>
      </c>
      <c r="I121">
        <v>0.130106060961394</v>
      </c>
      <c r="J121">
        <v>0.0419223199641904</v>
      </c>
      <c r="K121">
        <v>0.0420400769337654</v>
      </c>
      <c r="L121">
        <v>422.686306413528</v>
      </c>
      <c r="M121">
        <v>8.521397465334291</v>
      </c>
      <c r="N121">
        <v>49.602929863715</v>
      </c>
      <c r="O121">
        <v>47.0975215124555</v>
      </c>
      <c r="P121">
        <v>-0.0452730855689559</v>
      </c>
      <c r="Q121">
        <v>0</v>
      </c>
      <c r="R121">
        <v>0.830980153527332</v>
      </c>
      <c r="S121" t="s">
        <v>1805</v>
      </c>
      <c r="T121" t="s">
        <v>3344</v>
      </c>
      <c r="U121" t="s">
        <v>3344</v>
      </c>
      <c r="V121" t="s">
        <v>3344</v>
      </c>
      <c r="W121" t="s">
        <v>3465</v>
      </c>
      <c r="X121">
        <v>4</v>
      </c>
      <c r="Y121" t="s">
        <v>5120</v>
      </c>
      <c r="Z121" t="s">
        <v>6778</v>
      </c>
      <c r="AA121">
        <v>0.4609698447402822</v>
      </c>
      <c r="AB121">
        <f>HYPERLINK("Melting_Curves/meltCurve_P07913_tdh.pdf", "Melting_Curves/meltCurve_P07913_tdh.pdf")</f>
        <v>0</v>
      </c>
    </row>
    <row r="122" spans="1:28">
      <c r="A122" t="s">
        <v>148</v>
      </c>
      <c r="B122">
        <v>0.999998419929286</v>
      </c>
      <c r="C122">
        <v>0.682465757591499</v>
      </c>
      <c r="D122">
        <v>0.868938069102247</v>
      </c>
      <c r="E122">
        <v>0.464150291447976</v>
      </c>
      <c r="F122">
        <v>0.560690686430973</v>
      </c>
      <c r="G122">
        <v>0.68143130948382</v>
      </c>
      <c r="H122">
        <v>0.389133154592124</v>
      </c>
      <c r="I122">
        <v>0.496365887830585</v>
      </c>
      <c r="J122">
        <v>0.168698922318642</v>
      </c>
      <c r="K122">
        <v>0.144678265212417</v>
      </c>
      <c r="L122">
        <v>263.379227274794</v>
      </c>
      <c r="M122">
        <v>4.98627494299865</v>
      </c>
      <c r="N122">
        <v>52.8208392515769</v>
      </c>
      <c r="O122">
        <v>46.0710112687251</v>
      </c>
      <c r="P122">
        <v>-0.0272249250992746</v>
      </c>
      <c r="Q122">
        <v>0</v>
      </c>
      <c r="R122">
        <v>0.736565785462801</v>
      </c>
      <c r="S122" t="s">
        <v>1806</v>
      </c>
      <c r="T122" t="s">
        <v>3344</v>
      </c>
      <c r="U122" t="s">
        <v>3344</v>
      </c>
      <c r="V122" t="s">
        <v>3344</v>
      </c>
      <c r="W122" t="s">
        <v>3466</v>
      </c>
      <c r="X122">
        <v>1</v>
      </c>
      <c r="Y122" t="s">
        <v>5121</v>
      </c>
      <c r="Z122" t="s">
        <v>6779</v>
      </c>
      <c r="AA122">
        <v>0.5431224021353313</v>
      </c>
      <c r="AB122">
        <f>HYPERLINK("Melting_Curves/meltCurve_P08178_purM.pdf", "Melting_Curves/meltCurve_P08178_purM.pdf")</f>
        <v>0</v>
      </c>
    </row>
    <row r="123" spans="1:28">
      <c r="A123" t="s">
        <v>149</v>
      </c>
      <c r="B123">
        <v>0.999998419929286</v>
      </c>
      <c r="C123">
        <v>1.10375084341199</v>
      </c>
      <c r="D123">
        <v>1.09742995394854</v>
      </c>
      <c r="E123">
        <v>1.16605154283784</v>
      </c>
      <c r="F123">
        <v>0.519854163546545</v>
      </c>
      <c r="G123">
        <v>0.207212916470788</v>
      </c>
      <c r="H123">
        <v>0.107663551678398</v>
      </c>
      <c r="I123">
        <v>0.100152691451952</v>
      </c>
      <c r="J123">
        <v>0.07689948268325961</v>
      </c>
      <c r="K123">
        <v>0.0633569235256287</v>
      </c>
      <c r="L123">
        <v>4928.5897573098</v>
      </c>
      <c r="M123">
        <v>98.33531647868</v>
      </c>
      <c r="N123">
        <v>50.2482009276474</v>
      </c>
      <c r="O123">
        <v>50.0995207538782</v>
      </c>
      <c r="P123">
        <v>-0.436355895583505</v>
      </c>
      <c r="Q123">
        <v>0.110747934577088</v>
      </c>
      <c r="R123">
        <v>0.972000739843865</v>
      </c>
      <c r="S123" t="s">
        <v>1807</v>
      </c>
      <c r="T123" t="s">
        <v>3344</v>
      </c>
      <c r="U123" t="s">
        <v>3344</v>
      </c>
      <c r="V123" t="s">
        <v>3344</v>
      </c>
      <c r="W123" t="s">
        <v>3467</v>
      </c>
      <c r="X123">
        <v>5</v>
      </c>
      <c r="Y123" t="s">
        <v>5122</v>
      </c>
      <c r="Z123" t="s">
        <v>6780</v>
      </c>
      <c r="AA123">
        <v>0.5001608194476098</v>
      </c>
      <c r="AB123">
        <f>HYPERLINK("Melting_Curves/meltCurve_P08192_folC.pdf", "Melting_Curves/meltCurve_P08192_folC.pdf")</f>
        <v>0</v>
      </c>
    </row>
    <row r="124" spans="1:28">
      <c r="A124" t="s">
        <v>150</v>
      </c>
      <c r="B124">
        <v>0.999998419929286</v>
      </c>
      <c r="C124">
        <v>1.26253074073383</v>
      </c>
      <c r="D124">
        <v>1.22187234235732</v>
      </c>
      <c r="E124">
        <v>1.44194359856456</v>
      </c>
      <c r="F124">
        <v>0.534432836712266</v>
      </c>
      <c r="G124">
        <v>0.114566247759378</v>
      </c>
      <c r="H124">
        <v>0.0375919384802936</v>
      </c>
      <c r="I124">
        <v>0.0266723158867725</v>
      </c>
      <c r="J124">
        <v>0.0231272854867184</v>
      </c>
      <c r="K124">
        <v>0.0227369755714924</v>
      </c>
      <c r="L124">
        <v>9220.47199241361</v>
      </c>
      <c r="M124">
        <v>183.624611791135</v>
      </c>
      <c r="N124">
        <v>50.2394678022361</v>
      </c>
      <c r="O124">
        <v>50.2077521942845</v>
      </c>
      <c r="P124">
        <v>-0.873236382367492</v>
      </c>
      <c r="Q124">
        <v>0.0449377725226399</v>
      </c>
      <c r="R124">
        <v>0.90120328682688</v>
      </c>
      <c r="S124" t="s">
        <v>1808</v>
      </c>
      <c r="T124" t="s">
        <v>3344</v>
      </c>
      <c r="U124" t="s">
        <v>3344</v>
      </c>
      <c r="V124" t="s">
        <v>3344</v>
      </c>
      <c r="W124" t="s">
        <v>3468</v>
      </c>
      <c r="X124">
        <v>25</v>
      </c>
      <c r="Y124" t="s">
        <v>5123</v>
      </c>
      <c r="Z124" t="s">
        <v>6781</v>
      </c>
      <c r="AA124">
        <v>0.4657574773988868</v>
      </c>
      <c r="AB124">
        <f>HYPERLINK("Melting_Curves/meltCurve_P08200_icd.pdf", "Melting_Curves/meltCurve_P08200_icd.pdf")</f>
        <v>0</v>
      </c>
    </row>
    <row r="125" spans="1:28">
      <c r="A125" t="s">
        <v>151</v>
      </c>
      <c r="B125">
        <v>0.999998419929286</v>
      </c>
      <c r="C125">
        <v>1.55148111201623</v>
      </c>
      <c r="D125">
        <v>1.3031280103193</v>
      </c>
      <c r="E125">
        <v>1.29792418109155</v>
      </c>
      <c r="F125">
        <v>0.90634347637472</v>
      </c>
      <c r="G125">
        <v>0.249021344976609</v>
      </c>
      <c r="H125">
        <v>0.107385575009886</v>
      </c>
      <c r="I125">
        <v>0.0767652571313161</v>
      </c>
      <c r="J125">
        <v>0.0679844202767073</v>
      </c>
      <c r="K125">
        <v>0.0568269348251946</v>
      </c>
      <c r="L125">
        <v>2814.27041460894</v>
      </c>
      <c r="M125">
        <v>53.776250631832</v>
      </c>
      <c r="N125">
        <v>52.4918088285356</v>
      </c>
      <c r="O125">
        <v>52.2607412560992</v>
      </c>
      <c r="P125">
        <v>-0.237932857799188</v>
      </c>
      <c r="Q125">
        <v>0.0750906233166609</v>
      </c>
      <c r="R125">
        <v>0.853457168531647</v>
      </c>
      <c r="S125" t="s">
        <v>1809</v>
      </c>
      <c r="T125" t="s">
        <v>3344</v>
      </c>
      <c r="U125" t="s">
        <v>3344</v>
      </c>
      <c r="V125" t="s">
        <v>3344</v>
      </c>
      <c r="W125" t="s">
        <v>3469</v>
      </c>
      <c r="X125">
        <v>3</v>
      </c>
      <c r="Y125" t="s">
        <v>5124</v>
      </c>
      <c r="Z125" t="s">
        <v>6782</v>
      </c>
      <c r="AA125">
        <v>0.5496545481849769</v>
      </c>
      <c r="AB125">
        <f>HYPERLINK("Melting_Curves/meltCurve_P08202_araA.pdf", "Melting_Curves/meltCurve_P08202_araA.pdf")</f>
        <v>0</v>
      </c>
    </row>
    <row r="126" spans="1:28">
      <c r="A126" t="s">
        <v>152</v>
      </c>
      <c r="B126">
        <v>0.999998419929286</v>
      </c>
      <c r="C126">
        <v>0.8232650513726329</v>
      </c>
      <c r="D126">
        <v>0.900000739599116</v>
      </c>
      <c r="E126">
        <v>0.862923256836564</v>
      </c>
      <c r="F126">
        <v>0.729844481416514</v>
      </c>
      <c r="G126">
        <v>0.527290625797348</v>
      </c>
      <c r="H126">
        <v>0.367618730812523</v>
      </c>
      <c r="I126">
        <v>0.139298347264797</v>
      </c>
      <c r="J126">
        <v>0.112732923617125</v>
      </c>
      <c r="K126">
        <v>0.0782350806554697</v>
      </c>
      <c r="L126">
        <v>641.412130786505</v>
      </c>
      <c r="M126">
        <v>11.8922930091011</v>
      </c>
      <c r="N126">
        <v>53.9351068775913</v>
      </c>
      <c r="O126">
        <v>52.4778686532189</v>
      </c>
      <c r="P126">
        <v>-0.0566679919537886</v>
      </c>
      <c r="Q126">
        <v>0</v>
      </c>
      <c r="R126">
        <v>0.968698056020353</v>
      </c>
      <c r="S126" t="s">
        <v>1810</v>
      </c>
      <c r="T126" t="s">
        <v>3344</v>
      </c>
      <c r="U126" t="s">
        <v>3344</v>
      </c>
      <c r="V126" t="s">
        <v>3344</v>
      </c>
      <c r="W126" t="s">
        <v>3470</v>
      </c>
      <c r="X126">
        <v>8</v>
      </c>
      <c r="Y126" t="s">
        <v>5125</v>
      </c>
      <c r="Z126" t="s">
        <v>6783</v>
      </c>
      <c r="AA126">
        <v>0.5826711818146676</v>
      </c>
      <c r="AB126">
        <f>HYPERLINK("Melting_Curves/meltCurve_P08244_pyrF.pdf", "Melting_Curves/meltCurve_P08244_pyrF.pdf")</f>
        <v>0</v>
      </c>
    </row>
    <row r="127" spans="1:28">
      <c r="A127" t="s">
        <v>153</v>
      </c>
      <c r="B127">
        <v>0.999998419929286</v>
      </c>
      <c r="C127">
        <v>0.8901240761010391</v>
      </c>
      <c r="D127">
        <v>0.930869999703417</v>
      </c>
      <c r="E127">
        <v>0.793600794905497</v>
      </c>
      <c r="F127">
        <v>0.816355464461872</v>
      </c>
      <c r="G127">
        <v>0.701139236070152</v>
      </c>
      <c r="H127">
        <v>0.670211847806647</v>
      </c>
      <c r="I127">
        <v>0.809627351355224</v>
      </c>
      <c r="J127">
        <v>0.816074159591443</v>
      </c>
      <c r="K127">
        <v>0.827164128286243</v>
      </c>
      <c r="L127">
        <v>704.193561980631</v>
      </c>
      <c r="M127">
        <v>16.4831521989077</v>
      </c>
      <c r="O127">
        <v>42.1080582245721</v>
      </c>
      <c r="P127">
        <v>-0.0227035047684507</v>
      </c>
      <c r="Q127">
        <v>0.768021605495078</v>
      </c>
      <c r="R127">
        <v>0.6487745852439269</v>
      </c>
      <c r="S127" t="s">
        <v>1811</v>
      </c>
      <c r="T127" t="s">
        <v>3344</v>
      </c>
      <c r="U127" t="s">
        <v>3344</v>
      </c>
      <c r="V127" t="s">
        <v>3344</v>
      </c>
      <c r="W127" t="s">
        <v>3471</v>
      </c>
      <c r="X127">
        <v>1</v>
      </c>
      <c r="Y127" t="s">
        <v>5126</v>
      </c>
      <c r="Z127" t="s">
        <v>6784</v>
      </c>
      <c r="AA127">
        <v>0.8173669631981049</v>
      </c>
      <c r="AB127">
        <f>HYPERLINK("Melting_Curves/meltCurve_P08245_yciH.pdf", "Melting_Curves/meltCurve_P08245_yciH.pdf")</f>
        <v>0</v>
      </c>
    </row>
    <row r="128" spans="1:28">
      <c r="A128" t="s">
        <v>154</v>
      </c>
      <c r="B128">
        <v>0.999998419929286</v>
      </c>
      <c r="C128">
        <v>1.03159453428221</v>
      </c>
      <c r="D128">
        <v>0.9534991527568349</v>
      </c>
      <c r="E128">
        <v>0.988262553949466</v>
      </c>
      <c r="F128">
        <v>0.8737886412838271</v>
      </c>
      <c r="G128">
        <v>0.295360136373225</v>
      </c>
      <c r="H128">
        <v>0.09116910235179369</v>
      </c>
      <c r="I128">
        <v>0.06651171326702859</v>
      </c>
      <c r="J128">
        <v>0.0674565276785272</v>
      </c>
      <c r="K128">
        <v>0.059268625881976</v>
      </c>
      <c r="L128">
        <v>2215.83603515488</v>
      </c>
      <c r="M128">
        <v>42.2953563223067</v>
      </c>
      <c r="N128">
        <v>52.5611663576053</v>
      </c>
      <c r="O128">
        <v>52.2728928880977</v>
      </c>
      <c r="P128">
        <v>-0.189238753503781</v>
      </c>
      <c r="Q128">
        <v>0.06448009946230571</v>
      </c>
      <c r="R128">
        <v>0.998266129511494</v>
      </c>
      <c r="S128" t="s">
        <v>1812</v>
      </c>
      <c r="T128" t="s">
        <v>3344</v>
      </c>
      <c r="U128" t="s">
        <v>3344</v>
      </c>
      <c r="V128" t="s">
        <v>3344</v>
      </c>
      <c r="W128" t="s">
        <v>3472</v>
      </c>
      <c r="X128">
        <v>14</v>
      </c>
      <c r="Y128" t="s">
        <v>5127</v>
      </c>
      <c r="Z128" t="s">
        <v>6785</v>
      </c>
      <c r="AA128">
        <v>0.5474102274403996</v>
      </c>
      <c r="AB128">
        <f>HYPERLINK("Melting_Curves/meltCurve_P08312_pheS.pdf", "Melting_Curves/meltCurve_P08312_pheS.pdf")</f>
        <v>0</v>
      </c>
    </row>
    <row r="129" spans="1:28">
      <c r="A129" t="s">
        <v>155</v>
      </c>
      <c r="B129">
        <v>0.999998419929286</v>
      </c>
      <c r="C129">
        <v>1.29812130527112</v>
      </c>
      <c r="D129">
        <v>1.34990035939159</v>
      </c>
      <c r="E129">
        <v>1.63444261057559</v>
      </c>
      <c r="F129">
        <v>1.66544941513519</v>
      </c>
      <c r="G129">
        <v>1.78432708221694</v>
      </c>
      <c r="H129">
        <v>1.2110423440647</v>
      </c>
      <c r="I129">
        <v>0.816011705195048</v>
      </c>
      <c r="J129">
        <v>0.729629723598359</v>
      </c>
      <c r="K129">
        <v>0.617213571865432</v>
      </c>
      <c r="L129">
        <v>8878.20963308124</v>
      </c>
      <c r="M129">
        <v>145.794589335612</v>
      </c>
      <c r="O129">
        <v>60.883874245719</v>
      </c>
      <c r="P129">
        <v>-0.19562426680827</v>
      </c>
      <c r="Q129">
        <v>0.673228940217</v>
      </c>
      <c r="R129">
        <v>-0.128692413382211</v>
      </c>
      <c r="S129" t="s">
        <v>1813</v>
      </c>
      <c r="T129" t="s">
        <v>3344</v>
      </c>
      <c r="U129" t="s">
        <v>3344</v>
      </c>
      <c r="V129" t="s">
        <v>3344</v>
      </c>
      <c r="W129" t="s">
        <v>3473</v>
      </c>
      <c r="X129">
        <v>22</v>
      </c>
      <c r="Y129" t="s">
        <v>5128</v>
      </c>
      <c r="Z129" t="s">
        <v>6786</v>
      </c>
      <c r="AA129">
        <v>0.9336084015513975</v>
      </c>
      <c r="AB129">
        <f>HYPERLINK("Melting_Curves/meltCurve_P08331_cpdB.pdf", "Melting_Curves/meltCurve_P08331_cpdB.pdf")</f>
        <v>0</v>
      </c>
    </row>
    <row r="130" spans="1:28">
      <c r="A130" t="s">
        <v>156</v>
      </c>
      <c r="B130">
        <v>0.999998419929286</v>
      </c>
      <c r="C130">
        <v>0.896829465888872</v>
      </c>
      <c r="D130">
        <v>0.911544500516231</v>
      </c>
      <c r="E130">
        <v>1.00397492679224</v>
      </c>
      <c r="F130">
        <v>1.04865856243862</v>
      </c>
      <c r="G130">
        <v>1.00797863002883</v>
      </c>
      <c r="H130">
        <v>0.95548427039404</v>
      </c>
      <c r="I130">
        <v>0.801603862339263</v>
      </c>
      <c r="J130">
        <v>0.729476467360026</v>
      </c>
      <c r="K130">
        <v>0.567167766960446</v>
      </c>
      <c r="L130">
        <v>1247.82328539894</v>
      </c>
      <c r="M130">
        <v>19.4448214212989</v>
      </c>
      <c r="O130">
        <v>63.5053648217283</v>
      </c>
      <c r="P130">
        <v>-0.0465818350051402</v>
      </c>
      <c r="Q130">
        <v>0.391490676667752</v>
      </c>
      <c r="R130">
        <v>0.883625997376843</v>
      </c>
      <c r="S130" t="s">
        <v>1814</v>
      </c>
      <c r="T130" t="s">
        <v>3344</v>
      </c>
      <c r="U130" t="s">
        <v>3344</v>
      </c>
      <c r="V130" t="s">
        <v>3344</v>
      </c>
      <c r="W130" t="s">
        <v>3474</v>
      </c>
      <c r="X130">
        <v>2</v>
      </c>
      <c r="Y130" t="s">
        <v>5129</v>
      </c>
      <c r="Z130" t="s">
        <v>6787</v>
      </c>
      <c r="AA130">
        <v>0.9239893269416343</v>
      </c>
      <c r="AB130">
        <f>HYPERLINK("Melting_Curves/meltCurve_P08337_mutT.pdf", "Melting_Curves/meltCurve_P08337_mutT.pdf")</f>
        <v>0</v>
      </c>
    </row>
    <row r="131" spans="1:28">
      <c r="A131" t="s">
        <v>157</v>
      </c>
      <c r="B131">
        <v>0.999998419929286</v>
      </c>
      <c r="C131">
        <v>1.46070916704682</v>
      </c>
      <c r="D131">
        <v>0.844674278162336</v>
      </c>
      <c r="E131">
        <v>0.954605533424165</v>
      </c>
      <c r="F131">
        <v>0.922250581267502</v>
      </c>
      <c r="G131">
        <v>0.808878718407019</v>
      </c>
      <c r="H131">
        <v>0.742688988759369</v>
      </c>
      <c r="I131">
        <v>0.687749018044899</v>
      </c>
      <c r="J131">
        <v>0.288243261564416</v>
      </c>
      <c r="K131">
        <v>0.644518271479902</v>
      </c>
      <c r="L131">
        <v>808.596995816676</v>
      </c>
      <c r="M131">
        <v>14.1999964994947</v>
      </c>
      <c r="O131">
        <v>55.8498366136456</v>
      </c>
      <c r="P131">
        <v>-0.0355438235989636</v>
      </c>
      <c r="Q131">
        <v>0.440882035518293</v>
      </c>
      <c r="R131">
        <v>0.592667399439644</v>
      </c>
      <c r="S131" t="s">
        <v>1815</v>
      </c>
      <c r="T131" t="s">
        <v>3344</v>
      </c>
      <c r="U131" t="s">
        <v>3344</v>
      </c>
      <c r="V131" t="s">
        <v>3344</v>
      </c>
      <c r="W131" t="s">
        <v>3475</v>
      </c>
      <c r="X131">
        <v>1</v>
      </c>
      <c r="Y131" t="s">
        <v>5130</v>
      </c>
      <c r="Z131" t="s">
        <v>6788</v>
      </c>
      <c r="AA131">
        <v>0.8169591109924516</v>
      </c>
      <c r="AB131">
        <f>HYPERLINK("Melting_Curves/meltCurve_P08368_creB.pdf", "Melting_Curves/meltCurve_P08368_creB.pdf")</f>
        <v>0</v>
      </c>
    </row>
    <row r="132" spans="1:28">
      <c r="A132" t="s">
        <v>158</v>
      </c>
      <c r="B132">
        <v>0.999998419929286</v>
      </c>
      <c r="C132">
        <v>0.866659082740579</v>
      </c>
      <c r="D132">
        <v>1.11946579759802</v>
      </c>
      <c r="E132">
        <v>0.972356439874496</v>
      </c>
      <c r="F132">
        <v>0.605880307932237</v>
      </c>
      <c r="G132">
        <v>0.126437667093628</v>
      </c>
      <c r="H132">
        <v>0.0483871202594643</v>
      </c>
      <c r="I132">
        <v>0.0102366831072295</v>
      </c>
      <c r="J132">
        <v>0.0303363633414697</v>
      </c>
      <c r="K132">
        <v>0.0360630827272212</v>
      </c>
      <c r="L132">
        <v>1964.62959135573</v>
      </c>
      <c r="M132">
        <v>38.7445453796404</v>
      </c>
      <c r="N132">
        <v>50.7847704151789</v>
      </c>
      <c r="O132">
        <v>50.5727553812267</v>
      </c>
      <c r="P132">
        <v>-0.186030530649411</v>
      </c>
      <c r="Q132">
        <v>0.0287096356046901</v>
      </c>
      <c r="R132">
        <v>0.983734017493977</v>
      </c>
      <c r="S132" t="s">
        <v>1816</v>
      </c>
      <c r="T132" t="s">
        <v>3344</v>
      </c>
      <c r="U132" t="s">
        <v>3344</v>
      </c>
      <c r="V132" t="s">
        <v>3344</v>
      </c>
      <c r="W132" t="s">
        <v>3476</v>
      </c>
      <c r="X132">
        <v>3</v>
      </c>
      <c r="Y132" t="s">
        <v>5131</v>
      </c>
      <c r="Z132" t="s">
        <v>6789</v>
      </c>
      <c r="AA132">
        <v>0.4761258532035349</v>
      </c>
      <c r="AB132">
        <f>HYPERLINK("Melting_Curves/meltCurve_P08373_murB.pdf", "Melting_Curves/meltCurve_P08373_murB.pdf")</f>
        <v>0</v>
      </c>
    </row>
    <row r="133" spans="1:28">
      <c r="A133" t="s">
        <v>159</v>
      </c>
      <c r="B133">
        <v>0.999998419929286</v>
      </c>
      <c r="C133">
        <v>0.893357956428917</v>
      </c>
      <c r="D133">
        <v>0.367328183859793</v>
      </c>
      <c r="E133">
        <v>0.317894181244063</v>
      </c>
      <c r="F133">
        <v>0.264570085763807</v>
      </c>
      <c r="G133">
        <v>0.26796671141412</v>
      </c>
      <c r="H133">
        <v>0.213812377252586</v>
      </c>
      <c r="I133">
        <v>0.236903334804447</v>
      </c>
      <c r="J133">
        <v>0.204309557120381</v>
      </c>
      <c r="K133">
        <v>0.171215323504947</v>
      </c>
      <c r="L133">
        <v>1810.34590978559</v>
      </c>
      <c r="M133">
        <v>43.6079943160452</v>
      </c>
      <c r="N133">
        <v>42.1368908522745</v>
      </c>
      <c r="O133">
        <v>41.4270675163301</v>
      </c>
      <c r="P133">
        <v>-0.200647297588419</v>
      </c>
      <c r="Q133">
        <v>0.237551110896892</v>
      </c>
      <c r="R133">
        <v>0.983384777371933</v>
      </c>
      <c r="S133" t="s">
        <v>1817</v>
      </c>
      <c r="T133" t="s">
        <v>3344</v>
      </c>
      <c r="U133" t="s">
        <v>3344</v>
      </c>
      <c r="V133" t="s">
        <v>3344</v>
      </c>
      <c r="W133" t="s">
        <v>3477</v>
      </c>
      <c r="X133">
        <v>3</v>
      </c>
      <c r="Y133" t="s">
        <v>5132</v>
      </c>
      <c r="Z133" t="s">
        <v>6790</v>
      </c>
      <c r="AA133">
        <v>0.3542053005307172</v>
      </c>
      <c r="AB133">
        <f>HYPERLINK("Melting_Curves/meltCurve_P08390_usg.pdf", "Melting_Curves/meltCurve_P08390_usg.pdf")</f>
        <v>0</v>
      </c>
    </row>
    <row r="134" spans="1:28">
      <c r="A134" t="s">
        <v>160</v>
      </c>
      <c r="B134">
        <v>0.999998419929286</v>
      </c>
      <c r="C134">
        <v>1.82823699380737</v>
      </c>
      <c r="D134">
        <v>1.58135134525385</v>
      </c>
      <c r="E134">
        <v>1.66253136788899</v>
      </c>
      <c r="F134">
        <v>1.41430887417996</v>
      </c>
      <c r="G134">
        <v>1.63671811835225</v>
      </c>
      <c r="H134">
        <v>1.09797910849216</v>
      </c>
      <c r="I134">
        <v>0.733748770384658</v>
      </c>
      <c r="J134">
        <v>0.219977291368514</v>
      </c>
      <c r="K134">
        <v>0.135238860776414</v>
      </c>
      <c r="L134">
        <v>4211.56776619826</v>
      </c>
      <c r="M134">
        <v>68.2048210819399</v>
      </c>
      <c r="N134">
        <v>62.0523888370868</v>
      </c>
      <c r="O134">
        <v>61.6958093575568</v>
      </c>
      <c r="P134">
        <v>-0.237171388904003</v>
      </c>
      <c r="Q134">
        <v>0.141850870392147</v>
      </c>
      <c r="R134">
        <v>0.379462322011089</v>
      </c>
      <c r="S134" t="s">
        <v>1818</v>
      </c>
      <c r="T134" t="s">
        <v>3344</v>
      </c>
      <c r="U134" t="s">
        <v>3344</v>
      </c>
      <c r="V134" t="s">
        <v>3344</v>
      </c>
      <c r="W134" t="s">
        <v>3478</v>
      </c>
      <c r="X134">
        <v>4</v>
      </c>
      <c r="Y134" t="s">
        <v>5133</v>
      </c>
      <c r="Z134" t="s">
        <v>6791</v>
      </c>
      <c r="AA134">
        <v>0.850893357240023</v>
      </c>
      <c r="AB134">
        <f>HYPERLINK("Melting_Curves/meltCurve_P08395_sppA.pdf", "Melting_Curves/meltCurve_P08395_sppA.pdf")</f>
        <v>0</v>
      </c>
    </row>
    <row r="135" spans="1:28">
      <c r="A135" t="s">
        <v>161</v>
      </c>
      <c r="B135">
        <v>0.999998419929286</v>
      </c>
      <c r="C135">
        <v>1.06907505405444</v>
      </c>
      <c r="D135">
        <v>1.29581308107055</v>
      </c>
      <c r="E135">
        <v>1.14907902416952</v>
      </c>
      <c r="F135">
        <v>0.618658439399202</v>
      </c>
      <c r="G135">
        <v>0.102063579769171</v>
      </c>
      <c r="H135">
        <v>0.0516273650547834</v>
      </c>
      <c r="I135">
        <v>0.0327107982707915</v>
      </c>
      <c r="J135">
        <v>0.0267461897784543</v>
      </c>
      <c r="K135">
        <v>0.0264199422286822</v>
      </c>
      <c r="L135">
        <v>3238.57941821477</v>
      </c>
      <c r="M135">
        <v>64.0757410314325</v>
      </c>
      <c r="N135">
        <v>50.6147859149564</v>
      </c>
      <c r="O135">
        <v>50.4938292291697</v>
      </c>
      <c r="P135">
        <v>-0.303463916076373</v>
      </c>
      <c r="Q135">
        <v>0.0434414558017447</v>
      </c>
      <c r="R135">
        <v>0.955511491408836</v>
      </c>
      <c r="S135" t="s">
        <v>1819</v>
      </c>
      <c r="T135" t="s">
        <v>3344</v>
      </c>
      <c r="U135" t="s">
        <v>3344</v>
      </c>
      <c r="V135" t="s">
        <v>3344</v>
      </c>
      <c r="W135" t="s">
        <v>3479</v>
      </c>
      <c r="X135">
        <v>14</v>
      </c>
      <c r="Y135" t="s">
        <v>5134</v>
      </c>
      <c r="Z135" t="s">
        <v>6792</v>
      </c>
      <c r="AA135">
        <v>0.4765592075138619</v>
      </c>
      <c r="AB135">
        <f>HYPERLINK("Melting_Curves/meltCurve_P08506_dacC.pdf", "Melting_Curves/meltCurve_P08506_dacC.pdf")</f>
        <v>0</v>
      </c>
    </row>
    <row r="136" spans="1:28">
      <c r="A136" t="s">
        <v>162</v>
      </c>
      <c r="B136">
        <v>0.999998419929286</v>
      </c>
      <c r="C136">
        <v>1.09085338816738</v>
      </c>
      <c r="D136">
        <v>1.09211169460959</v>
      </c>
      <c r="E136">
        <v>0.553197458158439</v>
      </c>
      <c r="F136">
        <v>0.5585285004628689</v>
      </c>
      <c r="G136">
        <v>0.52972849853985</v>
      </c>
      <c r="H136">
        <v>0.593470931960899</v>
      </c>
      <c r="I136">
        <v>0.400336074488302</v>
      </c>
      <c r="J136">
        <v>0.5786988699961511</v>
      </c>
      <c r="K136">
        <v>0.675117881732691</v>
      </c>
      <c r="L136">
        <v>11264.3667885966</v>
      </c>
      <c r="M136">
        <v>250</v>
      </c>
      <c r="O136">
        <v>45.0545998869388</v>
      </c>
      <c r="P136">
        <v>-0.616520774947096</v>
      </c>
      <c r="Q136">
        <v>0.555566609168215</v>
      </c>
      <c r="R136">
        <v>0.900893123640861</v>
      </c>
      <c r="S136" t="s">
        <v>1820</v>
      </c>
      <c r="T136" t="s">
        <v>3344</v>
      </c>
      <c r="U136" t="s">
        <v>3344</v>
      </c>
      <c r="V136" t="s">
        <v>3344</v>
      </c>
      <c r="W136" t="s">
        <v>3480</v>
      </c>
      <c r="X136">
        <v>1</v>
      </c>
      <c r="Y136" t="s">
        <v>5135</v>
      </c>
      <c r="Z136" t="s">
        <v>6793</v>
      </c>
      <c r="AA136">
        <v>0.6749686677715192</v>
      </c>
      <c r="AB136">
        <f>HYPERLINK("Melting_Curves/meltCurve_P08550_cvpA.pdf", "Melting_Curves/meltCurve_P08550_cvpA.pdf")</f>
        <v>0</v>
      </c>
    </row>
    <row r="137" spans="1:28">
      <c r="A137" t="s">
        <v>163</v>
      </c>
      <c r="B137">
        <v>0.999998419929286</v>
      </c>
      <c r="C137">
        <v>1.22015937224659</v>
      </c>
      <c r="D137">
        <v>0.814482670376231</v>
      </c>
      <c r="E137">
        <v>0.609072915018204</v>
      </c>
      <c r="F137">
        <v>0.487679873671346</v>
      </c>
      <c r="G137">
        <v>0.37992037325529</v>
      </c>
      <c r="H137">
        <v>0.310308209447833</v>
      </c>
      <c r="I137">
        <v>0.241148618810425</v>
      </c>
      <c r="J137">
        <v>0.212815447621063</v>
      </c>
      <c r="K137">
        <v>0.188303612319843</v>
      </c>
      <c r="L137">
        <v>736.8554855837471</v>
      </c>
      <c r="M137">
        <v>15.4764663667936</v>
      </c>
      <c r="N137">
        <v>49.4740132422134</v>
      </c>
      <c r="O137">
        <v>46.837689806927</v>
      </c>
      <c r="P137">
        <v>-0.06437309867811911</v>
      </c>
      <c r="Q137">
        <v>0.220799496459596</v>
      </c>
      <c r="R137">
        <v>0.929974004315118</v>
      </c>
      <c r="S137" t="s">
        <v>1821</v>
      </c>
      <c r="T137" t="s">
        <v>3344</v>
      </c>
      <c r="U137" t="s">
        <v>3344</v>
      </c>
      <c r="V137" t="s">
        <v>3344</v>
      </c>
      <c r="W137" t="s">
        <v>3481</v>
      </c>
      <c r="X137">
        <v>5</v>
      </c>
      <c r="Y137" t="s">
        <v>5136</v>
      </c>
      <c r="Z137" t="s">
        <v>6794</v>
      </c>
      <c r="AA137">
        <v>0.5128042017295624</v>
      </c>
      <c r="AB137">
        <f>HYPERLINK("Melting_Curves/meltCurve_P08622_dnaJ.pdf", "Melting_Curves/meltCurve_P08622_dnaJ.pdf")</f>
        <v>0</v>
      </c>
    </row>
    <row r="138" spans="1:28">
      <c r="A138" t="s">
        <v>164</v>
      </c>
      <c r="B138">
        <v>0.999998419929286</v>
      </c>
      <c r="C138">
        <v>0.639487632906518</v>
      </c>
      <c r="D138">
        <v>0.720746784421447</v>
      </c>
      <c r="E138">
        <v>0.54730311756559</v>
      </c>
      <c r="F138">
        <v>0.441114938449973</v>
      </c>
      <c r="G138">
        <v>0.252658871991453</v>
      </c>
      <c r="H138">
        <v>0.264172437279376</v>
      </c>
      <c r="I138">
        <v>0.136046372147901</v>
      </c>
      <c r="J138">
        <v>0.128493325241472</v>
      </c>
      <c r="K138">
        <v>0.121915300647965</v>
      </c>
      <c r="L138">
        <v>340.40435926812</v>
      </c>
      <c r="M138">
        <v>7.16827734293564</v>
      </c>
      <c r="N138">
        <v>47.4876101494241</v>
      </c>
      <c r="O138">
        <v>44.2086954319308</v>
      </c>
      <c r="P138">
        <v>-0.0406054553378656</v>
      </c>
      <c r="Q138">
        <v>0</v>
      </c>
      <c r="R138">
        <v>0.941706369765418</v>
      </c>
      <c r="S138" t="s">
        <v>1822</v>
      </c>
      <c r="T138" t="s">
        <v>3344</v>
      </c>
      <c r="U138" t="s">
        <v>3344</v>
      </c>
      <c r="V138" t="s">
        <v>3344</v>
      </c>
      <c r="W138" t="s">
        <v>3482</v>
      </c>
      <c r="X138">
        <v>1</v>
      </c>
      <c r="Y138" t="s">
        <v>5137</v>
      </c>
      <c r="Z138" t="s">
        <v>6795</v>
      </c>
      <c r="AA138">
        <v>0.41091526591194</v>
      </c>
      <c r="AB138">
        <f>HYPERLINK("Melting_Curves/meltCurve_P08660_lysC.pdf", "Melting_Curves/meltCurve_P08660_lysC.pdf")</f>
        <v>0</v>
      </c>
    </row>
    <row r="139" spans="1:28">
      <c r="A139" t="s">
        <v>165</v>
      </c>
      <c r="B139">
        <v>0.999998419929286</v>
      </c>
      <c r="C139">
        <v>1.28648039885774</v>
      </c>
      <c r="D139">
        <v>1.41225986529547</v>
      </c>
      <c r="E139">
        <v>1.27042399380445</v>
      </c>
      <c r="F139">
        <v>0.778904345127054</v>
      </c>
      <c r="G139">
        <v>0.694408400927419</v>
      </c>
      <c r="H139">
        <v>0.465248342434417</v>
      </c>
      <c r="I139">
        <v>0.240987780008895</v>
      </c>
      <c r="J139">
        <v>0.205080730320772</v>
      </c>
      <c r="K139">
        <v>0.17180099258164</v>
      </c>
      <c r="L139">
        <v>1147.90427996469</v>
      </c>
      <c r="M139">
        <v>20.7486865668803</v>
      </c>
      <c r="N139">
        <v>56.3264492168638</v>
      </c>
      <c r="O139">
        <v>54.8179747463081</v>
      </c>
      <c r="P139">
        <v>-0.0800216462652464</v>
      </c>
      <c r="Q139">
        <v>0.154355899429999</v>
      </c>
      <c r="R139">
        <v>0.825227280062154</v>
      </c>
      <c r="S139" t="s">
        <v>1823</v>
      </c>
      <c r="T139" t="s">
        <v>3344</v>
      </c>
      <c r="U139" t="s">
        <v>3344</v>
      </c>
      <c r="V139" t="s">
        <v>3344</v>
      </c>
      <c r="W139" t="s">
        <v>3483</v>
      </c>
      <c r="X139">
        <v>17</v>
      </c>
      <c r="Y139" t="s">
        <v>5138</v>
      </c>
      <c r="Z139" t="s">
        <v>6796</v>
      </c>
      <c r="AA139">
        <v>0.6798633897956381</v>
      </c>
      <c r="AB139">
        <f>HYPERLINK("Melting_Curves/meltCurve_P08839_ptsI.pdf", "Melting_Curves/meltCurve_P08839_ptsI.pdf")</f>
        <v>0</v>
      </c>
    </row>
    <row r="140" spans="1:28">
      <c r="A140" t="s">
        <v>166</v>
      </c>
      <c r="B140">
        <v>0.999998419929286</v>
      </c>
      <c r="C140">
        <v>1.11190094240514</v>
      </c>
      <c r="D140">
        <v>0.633270080465327</v>
      </c>
      <c r="E140">
        <v>0.10925970201674</v>
      </c>
      <c r="F140">
        <v>0.0774491309078004</v>
      </c>
      <c r="G140">
        <v>0.075613865144811</v>
      </c>
      <c r="H140">
        <v>0.0462398203867284</v>
      </c>
      <c r="I140">
        <v>0.0386336941128443</v>
      </c>
      <c r="J140">
        <v>0.0368045999289193</v>
      </c>
      <c r="K140">
        <v>0.0383357722791458</v>
      </c>
      <c r="L140">
        <v>3135.61366219813</v>
      </c>
      <c r="M140">
        <v>72.46417654564181</v>
      </c>
      <c r="N140">
        <v>43.3469522884706</v>
      </c>
      <c r="O140">
        <v>43.2383242999707</v>
      </c>
      <c r="P140">
        <v>-0.394070317920097</v>
      </c>
      <c r="Q140">
        <v>0.0594564136433051</v>
      </c>
      <c r="R140">
        <v>0.989710212488832</v>
      </c>
      <c r="S140" t="s">
        <v>1824</v>
      </c>
      <c r="T140" t="s">
        <v>3344</v>
      </c>
      <c r="U140" t="s">
        <v>3344</v>
      </c>
      <c r="V140" t="s">
        <v>3344</v>
      </c>
      <c r="W140" t="s">
        <v>3484</v>
      </c>
      <c r="X140">
        <v>14</v>
      </c>
      <c r="Y140" t="s">
        <v>5139</v>
      </c>
      <c r="Z140" t="s">
        <v>6797</v>
      </c>
      <c r="AA140">
        <v>0.2569206702951402</v>
      </c>
      <c r="AB140">
        <f>HYPERLINK("Melting_Curves/meltCurve_P08956_hsdR.pdf", "Melting_Curves/meltCurve_P08956_hsdR.pdf")</f>
        <v>0</v>
      </c>
    </row>
    <row r="141" spans="1:28">
      <c r="A141" t="s">
        <v>167</v>
      </c>
      <c r="B141">
        <v>0.999998419929286</v>
      </c>
      <c r="C141">
        <v>1.11034576082367</v>
      </c>
      <c r="D141">
        <v>0.902584590063788</v>
      </c>
      <c r="E141">
        <v>0.260535915376324</v>
      </c>
      <c r="F141">
        <v>0.123538472298231</v>
      </c>
      <c r="G141">
        <v>0.108312917755567</v>
      </c>
      <c r="H141">
        <v>0.07113411945548349</v>
      </c>
      <c r="I141">
        <v>0.06839994930279621</v>
      </c>
      <c r="J141">
        <v>0.0575934524667207</v>
      </c>
      <c r="K141">
        <v>0.0565958938095465</v>
      </c>
      <c r="L141">
        <v>1982.25298422756</v>
      </c>
      <c r="M141">
        <v>43.9208966160318</v>
      </c>
      <c r="N141">
        <v>45.3086349242616</v>
      </c>
      <c r="O141">
        <v>45.0390813434287</v>
      </c>
      <c r="P141">
        <v>-0.224645146183983</v>
      </c>
      <c r="Q141">
        <v>0.0785437276847973</v>
      </c>
      <c r="R141">
        <v>0.990872224993848</v>
      </c>
      <c r="S141" t="s">
        <v>1825</v>
      </c>
      <c r="T141" t="s">
        <v>3344</v>
      </c>
      <c r="U141" t="s">
        <v>3344</v>
      </c>
      <c r="V141" t="s">
        <v>3344</v>
      </c>
      <c r="W141" t="s">
        <v>3485</v>
      </c>
      <c r="X141">
        <v>5</v>
      </c>
      <c r="Y141" t="s">
        <v>5140</v>
      </c>
      <c r="Z141" t="s">
        <v>6798</v>
      </c>
      <c r="AA141">
        <v>0.3307130014888526</v>
      </c>
      <c r="AB141">
        <f>HYPERLINK("Melting_Curves/meltCurve_P08957_hsdM.pdf", "Melting_Curves/meltCurve_P08957_hsdM.pdf")</f>
        <v>0</v>
      </c>
    </row>
    <row r="142" spans="1:28">
      <c r="A142" t="s">
        <v>168</v>
      </c>
      <c r="B142">
        <v>0.999998419929286</v>
      </c>
      <c r="C142">
        <v>0.910815876709454</v>
      </c>
      <c r="D142">
        <v>0.595296534074115</v>
      </c>
      <c r="E142">
        <v>0.427319232282058</v>
      </c>
      <c r="F142">
        <v>0.299591532692205</v>
      </c>
      <c r="G142">
        <v>0.30007528041451</v>
      </c>
      <c r="H142">
        <v>0.239092785248175</v>
      </c>
      <c r="I142">
        <v>0.235245289968658</v>
      </c>
      <c r="J142">
        <v>0.226387553250499</v>
      </c>
      <c r="K142">
        <v>0.210178441508388</v>
      </c>
      <c r="L142">
        <v>810.926470785765</v>
      </c>
      <c r="M142">
        <v>18.7184755648465</v>
      </c>
      <c r="N142">
        <v>44.8713692803806</v>
      </c>
      <c r="O142">
        <v>42.8368831218945</v>
      </c>
      <c r="P142">
        <v>-0.0832475256260308</v>
      </c>
      <c r="Q142">
        <v>0.237990519200435</v>
      </c>
      <c r="R142">
        <v>0.98889444510535</v>
      </c>
      <c r="S142" t="s">
        <v>1826</v>
      </c>
      <c r="T142" t="s">
        <v>3344</v>
      </c>
      <c r="U142" t="s">
        <v>3344</v>
      </c>
      <c r="V142" t="s">
        <v>3344</v>
      </c>
      <c r="W142" t="s">
        <v>3486</v>
      </c>
      <c r="X142">
        <v>11</v>
      </c>
      <c r="Y142" t="s">
        <v>5141</v>
      </c>
      <c r="Z142" t="s">
        <v>6799</v>
      </c>
      <c r="AA142">
        <v>0.4107060693566166</v>
      </c>
      <c r="AB142">
        <f>HYPERLINK("Melting_Curves/meltCurve_P08997_aceB.pdf", "Melting_Curves/meltCurve_P08997_aceB.pdf")</f>
        <v>0</v>
      </c>
    </row>
    <row r="143" spans="1:28">
      <c r="A143" t="s">
        <v>169</v>
      </c>
      <c r="B143">
        <v>0.999998419929286</v>
      </c>
      <c r="C143">
        <v>2.21629011434232</v>
      </c>
      <c r="D143">
        <v>1.72588534816711</v>
      </c>
      <c r="E143">
        <v>1.83931083301393</v>
      </c>
      <c r="F143">
        <v>2.48891803555739</v>
      </c>
      <c r="G143">
        <v>1.81284973243653</v>
      </c>
      <c r="H143">
        <v>1.07717290259935</v>
      </c>
      <c r="I143">
        <v>0.713113951038335</v>
      </c>
      <c r="J143">
        <v>0.328996682176749</v>
      </c>
      <c r="K143">
        <v>0.192727788725034</v>
      </c>
      <c r="L143">
        <v>3344.29897628808</v>
      </c>
      <c r="M143">
        <v>54.1345902130419</v>
      </c>
      <c r="N143">
        <v>62.3726103463851</v>
      </c>
      <c r="O143">
        <v>61.6933570376092</v>
      </c>
      <c r="P143">
        <v>-0.175123202514653</v>
      </c>
      <c r="Q143">
        <v>0.201698468739627</v>
      </c>
      <c r="R143">
        <v>0.00484313218110688</v>
      </c>
      <c r="S143" t="s">
        <v>1827</v>
      </c>
      <c r="T143" t="s">
        <v>3344</v>
      </c>
      <c r="U143" t="s">
        <v>3344</v>
      </c>
      <c r="V143" t="s">
        <v>3344</v>
      </c>
      <c r="W143" t="s">
        <v>3487</v>
      </c>
      <c r="X143">
        <v>2</v>
      </c>
      <c r="Y143" t="s">
        <v>5142</v>
      </c>
      <c r="Z143" t="s">
        <v>6800</v>
      </c>
      <c r="AA143">
        <v>0.8623392393312703</v>
      </c>
      <c r="AB143">
        <f>HYPERLINK("Melting_Curves/meltCurve_P09029_purK.pdf", "Melting_Curves/meltCurve_P09029_purK.pdf")</f>
        <v>0</v>
      </c>
    </row>
    <row r="144" spans="1:28">
      <c r="A144" t="s">
        <v>170</v>
      </c>
      <c r="B144">
        <v>0.999998419929286</v>
      </c>
      <c r="C144">
        <v>0.946815782395295</v>
      </c>
      <c r="D144">
        <v>0.338786679886743</v>
      </c>
      <c r="E144">
        <v>0.11082474777778</v>
      </c>
      <c r="F144">
        <v>0.0814290056810137</v>
      </c>
      <c r="G144">
        <v>0.091020476021357</v>
      </c>
      <c r="H144">
        <v>0.0479333349617281</v>
      </c>
      <c r="I144">
        <v>0.0476836125611741</v>
      </c>
      <c r="J144">
        <v>0.0424593721694235</v>
      </c>
      <c r="K144">
        <v>0.0392651244882517</v>
      </c>
      <c r="L144">
        <v>1949.51015953838</v>
      </c>
      <c r="M144">
        <v>46.1916204278524</v>
      </c>
      <c r="N144">
        <v>42.3294830446373</v>
      </c>
      <c r="O144">
        <v>42.1259690739384</v>
      </c>
      <c r="P144">
        <v>-0.25669836608062</v>
      </c>
      <c r="Q144">
        <v>0.06358298477836349</v>
      </c>
      <c r="R144">
        <v>0.996971090969577</v>
      </c>
      <c r="S144" t="s">
        <v>1828</v>
      </c>
      <c r="T144" t="s">
        <v>3344</v>
      </c>
      <c r="U144" t="s">
        <v>3344</v>
      </c>
      <c r="V144" t="s">
        <v>3344</v>
      </c>
      <c r="W144" t="s">
        <v>3488</v>
      </c>
      <c r="X144">
        <v>3</v>
      </c>
      <c r="Y144" t="s">
        <v>5143</v>
      </c>
      <c r="Z144" t="s">
        <v>6801</v>
      </c>
      <c r="AA144">
        <v>0.2281228931925419</v>
      </c>
      <c r="AB144">
        <f>HYPERLINK("Melting_Curves/meltCurve_P09030_xthA.pdf", "Melting_Curves/meltCurve_P09030_xthA.pdf")</f>
        <v>0</v>
      </c>
    </row>
    <row r="145" spans="1:28">
      <c r="A145" t="s">
        <v>171</v>
      </c>
      <c r="B145">
        <v>0.999998419929286</v>
      </c>
      <c r="C145">
        <v>0.554150237841986</v>
      </c>
      <c r="D145">
        <v>0.287757584710453</v>
      </c>
      <c r="E145">
        <v>0.200556864858949</v>
      </c>
      <c r="F145">
        <v>0.190079618805493</v>
      </c>
      <c r="G145">
        <v>0.09567460941116331</v>
      </c>
      <c r="H145">
        <v>0.0732851981272049</v>
      </c>
      <c r="I145">
        <v>0.112161132462189</v>
      </c>
      <c r="J145">
        <v>0.0772295594218632</v>
      </c>
      <c r="K145">
        <v>0</v>
      </c>
      <c r="L145">
        <v>949.420008480227</v>
      </c>
      <c r="M145">
        <v>23.5101629626582</v>
      </c>
      <c r="N145">
        <v>40.7651638936316</v>
      </c>
      <c r="O145">
        <v>40.0946164657884</v>
      </c>
      <c r="P145">
        <v>-0.132108983476017</v>
      </c>
      <c r="Q145">
        <v>0.0988121958727564</v>
      </c>
      <c r="R145">
        <v>0.958223649811462</v>
      </c>
      <c r="S145" t="s">
        <v>1829</v>
      </c>
      <c r="T145" t="s">
        <v>3344</v>
      </c>
      <c r="U145" t="s">
        <v>3344</v>
      </c>
      <c r="V145" t="s">
        <v>3344</v>
      </c>
      <c r="W145" t="s">
        <v>3489</v>
      </c>
      <c r="X145">
        <v>1</v>
      </c>
      <c r="Y145" t="s">
        <v>5144</v>
      </c>
      <c r="Z145" t="s">
        <v>6802</v>
      </c>
      <c r="AA145">
        <v>0.2122757164413633</v>
      </c>
      <c r="AB145">
        <f>HYPERLINK("Melting_Curves/meltCurve_P09126_hemD.pdf", "Melting_Curves/meltCurve_P09126_hemD.pdf")</f>
        <v>0</v>
      </c>
    </row>
    <row r="146" spans="1:28">
      <c r="A146" t="s">
        <v>172</v>
      </c>
      <c r="B146">
        <v>0.999998419929286</v>
      </c>
      <c r="C146">
        <v>0.9611665944898929</v>
      </c>
      <c r="D146">
        <v>1.11381724955196</v>
      </c>
      <c r="E146">
        <v>1.21605774571529</v>
      </c>
      <c r="F146">
        <v>1.48312277061071</v>
      </c>
      <c r="G146">
        <v>1.56022871554275</v>
      </c>
      <c r="H146">
        <v>1.48401741599421</v>
      </c>
      <c r="I146">
        <v>1.39007620188934</v>
      </c>
      <c r="J146">
        <v>1.66910473724579</v>
      </c>
      <c r="K146">
        <v>1.38830118430981</v>
      </c>
      <c r="L146">
        <v>1345.85227474176</v>
      </c>
      <c r="M146">
        <v>28.928087043489</v>
      </c>
      <c r="O146">
        <v>46.3034473316609</v>
      </c>
      <c r="P146">
        <v>0.0780943699061975</v>
      </c>
      <c r="Q146">
        <v>1.5</v>
      </c>
      <c r="R146">
        <v>0.870857744773719</v>
      </c>
      <c r="S146" t="s">
        <v>1830</v>
      </c>
      <c r="T146" t="s">
        <v>3344</v>
      </c>
      <c r="U146" t="s">
        <v>3344</v>
      </c>
      <c r="V146" t="s">
        <v>3344</v>
      </c>
      <c r="W146" t="s">
        <v>3490</v>
      </c>
      <c r="X146">
        <v>11</v>
      </c>
      <c r="Y146" t="s">
        <v>5145</v>
      </c>
      <c r="Z146" t="s">
        <v>6803</v>
      </c>
      <c r="AA146">
        <v>1.338164442101054</v>
      </c>
      <c r="AB146">
        <f>HYPERLINK("Melting_Curves/meltCurve_P09127_hemX.pdf", "Melting_Curves/meltCurve_P09127_hemX.pdf")</f>
        <v>0</v>
      </c>
    </row>
    <row r="147" spans="1:28">
      <c r="A147" t="s">
        <v>173</v>
      </c>
      <c r="B147">
        <v>0.999998419929286</v>
      </c>
      <c r="C147">
        <v>0.99000513296846</v>
      </c>
      <c r="D147">
        <v>1.05199108203769</v>
      </c>
      <c r="E147">
        <v>0.656212489661578</v>
      </c>
      <c r="F147">
        <v>0.141093932055426</v>
      </c>
      <c r="G147">
        <v>0.0790040108452231</v>
      </c>
      <c r="H147">
        <v>0.0344896994548279</v>
      </c>
      <c r="I147">
        <v>0.0259985741133952</v>
      </c>
      <c r="J147">
        <v>0.0165626596235282</v>
      </c>
      <c r="K147">
        <v>0.0102529927425862</v>
      </c>
      <c r="L147">
        <v>1827.68954586702</v>
      </c>
      <c r="M147">
        <v>38.5731467361338</v>
      </c>
      <c r="N147">
        <v>47.4642061288455</v>
      </c>
      <c r="O147">
        <v>47.2556199553011</v>
      </c>
      <c r="P147">
        <v>-0.197505944451082</v>
      </c>
      <c r="Q147">
        <v>0.0321512088183585</v>
      </c>
      <c r="R147">
        <v>0.996167748470681</v>
      </c>
      <c r="S147" t="s">
        <v>1831</v>
      </c>
      <c r="T147" t="s">
        <v>3344</v>
      </c>
      <c r="U147" t="s">
        <v>3344</v>
      </c>
      <c r="V147" t="s">
        <v>3344</v>
      </c>
      <c r="W147" t="s">
        <v>3491</v>
      </c>
      <c r="X147">
        <v>5</v>
      </c>
      <c r="Y147" t="s">
        <v>5146</v>
      </c>
      <c r="Z147" t="s">
        <v>6804</v>
      </c>
      <c r="AA147">
        <v>0.3705168194063174</v>
      </c>
      <c r="AB147">
        <f>HYPERLINK("Melting_Curves/meltCurve_P09147_galE.pdf", "Melting_Curves/meltCurve_P09147_galE.pdf")</f>
        <v>0</v>
      </c>
    </row>
    <row r="148" spans="1:28">
      <c r="A148" t="s">
        <v>174</v>
      </c>
      <c r="B148">
        <v>0.999998419929286</v>
      </c>
      <c r="C148">
        <v>1.09530429457891</v>
      </c>
      <c r="D148">
        <v>1.14808992988588</v>
      </c>
      <c r="E148">
        <v>1.42952431172847</v>
      </c>
      <c r="F148">
        <v>1.83957114531667</v>
      </c>
      <c r="G148">
        <v>2.07691663288083</v>
      </c>
      <c r="H148">
        <v>1.94574891865892</v>
      </c>
      <c r="I148">
        <v>1.24681737952166</v>
      </c>
      <c r="J148">
        <v>0.5405437907144089</v>
      </c>
      <c r="K148">
        <v>0.288361456222361</v>
      </c>
      <c r="L148">
        <v>15000</v>
      </c>
      <c r="M148">
        <v>234.609085077794</v>
      </c>
      <c r="N148">
        <v>64.1712689049251</v>
      </c>
      <c r="O148">
        <v>63.9314900468071</v>
      </c>
      <c r="P148">
        <v>-0.652893502031186</v>
      </c>
      <c r="Q148">
        <v>0.288340279645239</v>
      </c>
      <c r="R148">
        <v>0.0116748290236171</v>
      </c>
      <c r="S148" t="s">
        <v>1832</v>
      </c>
      <c r="T148" t="s">
        <v>3344</v>
      </c>
      <c r="U148" t="s">
        <v>3344</v>
      </c>
      <c r="V148" t="s">
        <v>3344</v>
      </c>
      <c r="W148" t="s">
        <v>3492</v>
      </c>
      <c r="X148">
        <v>7</v>
      </c>
      <c r="Y148" t="s">
        <v>5147</v>
      </c>
      <c r="Z148" t="s">
        <v>6805</v>
      </c>
      <c r="AA148">
        <v>0.9274097312174351</v>
      </c>
      <c r="AB148">
        <f>HYPERLINK("Melting_Curves/meltCurve_P09148_galT.pdf", "Melting_Curves/meltCurve_P09148_galT.pdf")</f>
        <v>0</v>
      </c>
    </row>
    <row r="149" spans="1:28">
      <c r="A149" t="s">
        <v>175</v>
      </c>
      <c r="B149">
        <v>0.999998419929286</v>
      </c>
      <c r="C149">
        <v>1.12685010133789</v>
      </c>
      <c r="D149">
        <v>0.814170889517557</v>
      </c>
      <c r="E149">
        <v>0.70426732396255</v>
      </c>
      <c r="F149">
        <v>0.529341779917091</v>
      </c>
      <c r="G149">
        <v>0.505559094990134</v>
      </c>
      <c r="H149">
        <v>0.39162780288659</v>
      </c>
      <c r="I149">
        <v>0.349565856259013</v>
      </c>
      <c r="J149">
        <v>0.273944365512912</v>
      </c>
      <c r="K149">
        <v>0.274706828830682</v>
      </c>
      <c r="L149">
        <v>603.718732322876</v>
      </c>
      <c r="M149">
        <v>12.4381002671294</v>
      </c>
      <c r="N149">
        <v>51.8928044879227</v>
      </c>
      <c r="O149">
        <v>47.3344190762323</v>
      </c>
      <c r="P149">
        <v>-0.0475541262125835</v>
      </c>
      <c r="Q149">
        <v>0.276264116139337</v>
      </c>
      <c r="R149">
        <v>0.947954681986975</v>
      </c>
      <c r="S149" t="s">
        <v>1833</v>
      </c>
      <c r="T149" t="s">
        <v>3344</v>
      </c>
      <c r="U149" t="s">
        <v>3344</v>
      </c>
      <c r="V149" t="s">
        <v>3344</v>
      </c>
      <c r="W149" t="s">
        <v>3493</v>
      </c>
      <c r="X149">
        <v>19</v>
      </c>
      <c r="Y149" t="s">
        <v>5148</v>
      </c>
      <c r="Z149" t="s">
        <v>6806</v>
      </c>
      <c r="AA149">
        <v>0.5755711960417303</v>
      </c>
      <c r="AB149">
        <f>HYPERLINK("Melting_Curves/meltCurve_P09152_narG.pdf", "Melting_Curves/meltCurve_P09152_narG.pdf")</f>
        <v>0</v>
      </c>
    </row>
    <row r="150" spans="1:28">
      <c r="A150" t="s">
        <v>176</v>
      </c>
      <c r="B150">
        <v>0.999998419929286</v>
      </c>
      <c r="C150">
        <v>0.975840776241929</v>
      </c>
      <c r="D150">
        <v>0.501973528343393</v>
      </c>
      <c r="E150">
        <v>0.186889097839964</v>
      </c>
      <c r="F150">
        <v>0.112847665688821</v>
      </c>
      <c r="G150">
        <v>0.182270946165093</v>
      </c>
      <c r="H150">
        <v>0</v>
      </c>
      <c r="I150">
        <v>0.07789211934201171</v>
      </c>
      <c r="J150">
        <v>0</v>
      </c>
      <c r="K150">
        <v>0</v>
      </c>
      <c r="L150">
        <v>1289.63658903196</v>
      </c>
      <c r="M150">
        <v>29.9723527596382</v>
      </c>
      <c r="N150">
        <v>43.2224510644479</v>
      </c>
      <c r="O150">
        <v>42.8373633742011</v>
      </c>
      <c r="P150">
        <v>-0.163863408377477</v>
      </c>
      <c r="Q150">
        <v>0.063212633489079</v>
      </c>
      <c r="R150">
        <v>0.975715201933249</v>
      </c>
      <c r="S150" t="s">
        <v>1834</v>
      </c>
      <c r="T150" t="s">
        <v>3344</v>
      </c>
      <c r="U150" t="s">
        <v>3344</v>
      </c>
      <c r="V150" t="s">
        <v>3344</v>
      </c>
      <c r="W150" t="s">
        <v>3494</v>
      </c>
      <c r="X150">
        <v>1</v>
      </c>
      <c r="Y150" t="s">
        <v>5149</v>
      </c>
      <c r="Z150" t="s">
        <v>6807</v>
      </c>
      <c r="AA150">
        <v>0.2566632277946084</v>
      </c>
      <c r="AB150">
        <f>HYPERLINK("Melting_Curves/meltCurve_P09155_rnd.pdf", "Melting_Curves/meltCurve_P09155_rnd.pdf")</f>
        <v>0</v>
      </c>
    </row>
    <row r="151" spans="1:28">
      <c r="A151" t="s">
        <v>177</v>
      </c>
      <c r="B151">
        <v>0.999998419929286</v>
      </c>
      <c r="C151">
        <v>0.926190023470989</v>
      </c>
      <c r="D151">
        <v>0.865934743222448</v>
      </c>
      <c r="E151">
        <v>0.998424055750366</v>
      </c>
      <c r="F151">
        <v>1.3057240594239</v>
      </c>
      <c r="G151">
        <v>1.34277373299955</v>
      </c>
      <c r="H151">
        <v>0.417334751864781</v>
      </c>
      <c r="I151">
        <v>0.0478485629957879</v>
      </c>
      <c r="J151">
        <v>0.0350641571792361</v>
      </c>
      <c r="K151">
        <v>0.0274374934288975</v>
      </c>
      <c r="L151">
        <v>14325.5481280259</v>
      </c>
      <c r="M151">
        <v>250</v>
      </c>
      <c r="N151">
        <v>57.3197126996121</v>
      </c>
      <c r="O151">
        <v>57.2985242396198</v>
      </c>
      <c r="P151">
        <v>-1.05065608264966</v>
      </c>
      <c r="Q151">
        <v>0.0367832907543004</v>
      </c>
      <c r="R151">
        <v>0.903750140711154</v>
      </c>
      <c r="S151" t="s">
        <v>1835</v>
      </c>
      <c r="T151" t="s">
        <v>3344</v>
      </c>
      <c r="U151" t="s">
        <v>3344</v>
      </c>
      <c r="V151" t="s">
        <v>3344</v>
      </c>
      <c r="W151" t="s">
        <v>3495</v>
      </c>
      <c r="X151">
        <v>3</v>
      </c>
      <c r="Y151" t="s">
        <v>5150</v>
      </c>
      <c r="Z151" t="s">
        <v>6808</v>
      </c>
      <c r="AA151">
        <v>0.6887271915180838</v>
      </c>
      <c r="AB151">
        <f>HYPERLINK("Melting_Curves/meltCurve_P09158_speE.pdf", "Melting_Curves/meltCurve_P09158_speE.pdf")</f>
        <v>0</v>
      </c>
    </row>
    <row r="152" spans="1:28">
      <c r="A152" t="s">
        <v>178</v>
      </c>
      <c r="B152">
        <v>0.999998419929286</v>
      </c>
      <c r="C152">
        <v>1.22464319467916</v>
      </c>
      <c r="D152">
        <v>1.40735419258279</v>
      </c>
      <c r="E152">
        <v>1.58368645718134</v>
      </c>
      <c r="F152">
        <v>2.15494762889618</v>
      </c>
      <c r="G152">
        <v>2.82474727077875</v>
      </c>
      <c r="H152">
        <v>2.69483628498348</v>
      </c>
      <c r="I152">
        <v>1.90228946391389</v>
      </c>
      <c r="J152">
        <v>2.42776209478599</v>
      </c>
      <c r="K152">
        <v>2.20255402735102</v>
      </c>
      <c r="L152">
        <v>1469.34407064643</v>
      </c>
      <c r="M152">
        <v>36.5081440799858</v>
      </c>
      <c r="O152">
        <v>40.1268384616385</v>
      </c>
      <c r="P152">
        <v>0.113727667990596</v>
      </c>
      <c r="Q152">
        <v>1.5</v>
      </c>
      <c r="R152">
        <v>-0.462820356576244</v>
      </c>
      <c r="S152" t="s">
        <v>1836</v>
      </c>
      <c r="T152" t="s">
        <v>3344</v>
      </c>
      <c r="U152" t="s">
        <v>3344</v>
      </c>
      <c r="V152" t="s">
        <v>3344</v>
      </c>
      <c r="W152" t="s">
        <v>3496</v>
      </c>
      <c r="X152">
        <v>3</v>
      </c>
      <c r="Y152" t="s">
        <v>5151</v>
      </c>
      <c r="Z152" t="s">
        <v>6809</v>
      </c>
      <c r="AA152">
        <v>1.443620906341503</v>
      </c>
      <c r="AB152">
        <f>HYPERLINK("Melting_Curves/meltCurve_P09169_ompT.pdf", "Melting_Curves/meltCurve_P09169_ompT.pdf")</f>
        <v>0</v>
      </c>
    </row>
    <row r="153" spans="1:28">
      <c r="A153" t="s">
        <v>179</v>
      </c>
      <c r="B153">
        <v>0.999998419929286</v>
      </c>
      <c r="C153">
        <v>1.11279371333467</v>
      </c>
      <c r="D153">
        <v>0.867463968790291</v>
      </c>
      <c r="E153">
        <v>0.739332245776503</v>
      </c>
      <c r="F153">
        <v>0.441664741809106</v>
      </c>
      <c r="G153">
        <v>0.319520147705809</v>
      </c>
      <c r="H153">
        <v>0.142336471803286</v>
      </c>
      <c r="I153">
        <v>0.103923063908235</v>
      </c>
      <c r="J153">
        <v>0.0866503781966573</v>
      </c>
      <c r="K153">
        <v>0.08555602799318519</v>
      </c>
      <c r="L153">
        <v>766.947422756996</v>
      </c>
      <c r="M153">
        <v>15.5429946409517</v>
      </c>
      <c r="N153">
        <v>49.7975162353403</v>
      </c>
      <c r="O153">
        <v>48.5484606294935</v>
      </c>
      <c r="P153">
        <v>-0.0747586840678756</v>
      </c>
      <c r="Q153">
        <v>0.0660486775041994</v>
      </c>
      <c r="R153">
        <v>0.983322725444655</v>
      </c>
      <c r="S153" t="s">
        <v>1837</v>
      </c>
      <c r="T153" t="s">
        <v>3344</v>
      </c>
      <c r="U153" t="s">
        <v>3344</v>
      </c>
      <c r="V153" t="s">
        <v>3344</v>
      </c>
      <c r="W153" t="s">
        <v>3497</v>
      </c>
      <c r="X153">
        <v>9</v>
      </c>
      <c r="Y153" t="s">
        <v>5152</v>
      </c>
      <c r="Z153" t="s">
        <v>6810</v>
      </c>
      <c r="AA153">
        <v>0.4691697316601232</v>
      </c>
      <c r="AB153">
        <f>HYPERLINK("Melting_Curves/meltCurve_P09323_nagE.pdf", "Melting_Curves/meltCurve_P09323_nagE.pdf")</f>
        <v>0</v>
      </c>
    </row>
    <row r="154" spans="1:28">
      <c r="A154" t="s">
        <v>180</v>
      </c>
      <c r="B154">
        <v>0.999998419929286</v>
      </c>
      <c r="C154">
        <v>1.0767340218621</v>
      </c>
      <c r="D154">
        <v>0.900104882162673</v>
      </c>
      <c r="E154">
        <v>1.14687037043323</v>
      </c>
      <c r="F154">
        <v>1.25967152196523</v>
      </c>
      <c r="G154">
        <v>1.34111142376807</v>
      </c>
      <c r="H154">
        <v>1.23047516318592</v>
      </c>
      <c r="I154">
        <v>1.01556165446503</v>
      </c>
      <c r="J154">
        <v>0.924640000423933</v>
      </c>
      <c r="K154">
        <v>0.771884239300215</v>
      </c>
      <c r="L154">
        <v>15000</v>
      </c>
      <c r="M154">
        <v>233.302670980018</v>
      </c>
      <c r="O154">
        <v>64.28943918760839</v>
      </c>
      <c r="P154">
        <v>-0.206971509588642</v>
      </c>
      <c r="Q154">
        <v>0.771865754747456</v>
      </c>
      <c r="R154">
        <v>0.0459341858710216</v>
      </c>
      <c r="S154" t="s">
        <v>1838</v>
      </c>
      <c r="T154" t="s">
        <v>3344</v>
      </c>
      <c r="U154" t="s">
        <v>3344</v>
      </c>
      <c r="V154" t="s">
        <v>3344</v>
      </c>
      <c r="W154" t="s">
        <v>3498</v>
      </c>
      <c r="X154">
        <v>8</v>
      </c>
      <c r="Y154" t="s">
        <v>5153</v>
      </c>
      <c r="Z154" t="s">
        <v>6811</v>
      </c>
      <c r="AA154">
        <v>0.9794529052482513</v>
      </c>
      <c r="AB154">
        <f>HYPERLINK("Melting_Curves/meltCurve_P09372_grpE.pdf", "Melting_Curves/meltCurve_P09372_grpE.pdf")</f>
        <v>0</v>
      </c>
    </row>
    <row r="155" spans="1:28">
      <c r="A155" t="s">
        <v>181</v>
      </c>
      <c r="B155">
        <v>0.999998419929286</v>
      </c>
      <c r="C155">
        <v>1.38669823016363</v>
      </c>
      <c r="D155">
        <v>1.15439710952218</v>
      </c>
      <c r="E155">
        <v>1.30730676601128</v>
      </c>
      <c r="F155">
        <v>0.948657012134743</v>
      </c>
      <c r="G155">
        <v>0.437705204273948</v>
      </c>
      <c r="H155">
        <v>0.13387882311383</v>
      </c>
      <c r="I155">
        <v>0.07679341863137031</v>
      </c>
      <c r="J155">
        <v>0.0701369072050458</v>
      </c>
      <c r="K155">
        <v>0.0654463200325904</v>
      </c>
      <c r="L155">
        <v>2479.2445248085</v>
      </c>
      <c r="M155">
        <v>46.5055783727439</v>
      </c>
      <c r="N155">
        <v>53.5027074193281</v>
      </c>
      <c r="O155">
        <v>53.2123970630626</v>
      </c>
      <c r="P155">
        <v>-0.20169745581059</v>
      </c>
      <c r="Q155">
        <v>0.0768597438340813</v>
      </c>
      <c r="R155">
        <v>0.902350153813308</v>
      </c>
      <c r="S155" t="s">
        <v>1839</v>
      </c>
      <c r="T155" t="s">
        <v>3344</v>
      </c>
      <c r="U155" t="s">
        <v>3344</v>
      </c>
      <c r="V155" t="s">
        <v>3344</v>
      </c>
      <c r="W155" t="s">
        <v>3499</v>
      </c>
      <c r="X155">
        <v>33</v>
      </c>
      <c r="Y155" t="s">
        <v>5154</v>
      </c>
      <c r="Z155" t="s">
        <v>6812</v>
      </c>
      <c r="AA155">
        <v>0.5812687044869028</v>
      </c>
      <c r="AB155">
        <f>HYPERLINK("Melting_Curves/meltCurve_P09373_pflB.pdf", "Melting_Curves/meltCurve_P09373_pflB.pdf")</f>
        <v>0</v>
      </c>
    </row>
    <row r="156" spans="1:28">
      <c r="A156" t="s">
        <v>182</v>
      </c>
      <c r="B156">
        <v>0.999998419929286</v>
      </c>
      <c r="C156">
        <v>0.8308839133192401</v>
      </c>
      <c r="D156">
        <v>1.0140141270296</v>
      </c>
      <c r="E156">
        <v>1.05913207901297</v>
      </c>
      <c r="F156">
        <v>1.21385321558228</v>
      </c>
      <c r="G156">
        <v>0.884251424193834</v>
      </c>
      <c r="H156">
        <v>0.465898792184241</v>
      </c>
      <c r="I156">
        <v>0.179153047282698</v>
      </c>
      <c r="J156">
        <v>0.109374766825599</v>
      </c>
      <c r="K156">
        <v>0</v>
      </c>
      <c r="L156">
        <v>1954.60261474787</v>
      </c>
      <c r="M156">
        <v>34.2311779809256</v>
      </c>
      <c r="N156">
        <v>57.2792962658706</v>
      </c>
      <c r="O156">
        <v>56.9062444578398</v>
      </c>
      <c r="P156">
        <v>-0.142747155766318</v>
      </c>
      <c r="Q156">
        <v>0.0507864697103089</v>
      </c>
      <c r="R156">
        <v>0.950962631046168</v>
      </c>
      <c r="S156" t="s">
        <v>1840</v>
      </c>
      <c r="T156" t="s">
        <v>3344</v>
      </c>
      <c r="U156" t="s">
        <v>3344</v>
      </c>
      <c r="V156" t="s">
        <v>3344</v>
      </c>
      <c r="W156" t="s">
        <v>3500</v>
      </c>
      <c r="X156">
        <v>1</v>
      </c>
      <c r="Y156" t="s">
        <v>5155</v>
      </c>
      <c r="Z156" t="s">
        <v>6813</v>
      </c>
      <c r="AA156">
        <v>0.6913996159989894</v>
      </c>
      <c r="AB156">
        <f>HYPERLINK("Melting_Curves/meltCurve_P09391_glpG.pdf", "Melting_Curves/meltCurve_P09391_glpG.pdf")</f>
        <v>0</v>
      </c>
    </row>
    <row r="157" spans="1:28">
      <c r="A157" t="s">
        <v>183</v>
      </c>
      <c r="B157">
        <v>0.999998419929286</v>
      </c>
      <c r="C157">
        <v>1.07501434682364</v>
      </c>
      <c r="D157">
        <v>1.05152020681184</v>
      </c>
      <c r="E157">
        <v>1.16547925648544</v>
      </c>
      <c r="F157">
        <v>1.2780513906919</v>
      </c>
      <c r="G157">
        <v>1.33715598354361</v>
      </c>
      <c r="H157">
        <v>1.1603483603256</v>
      </c>
      <c r="I157">
        <v>1.08914917683774</v>
      </c>
      <c r="J157">
        <v>1.1485065967071</v>
      </c>
      <c r="K157">
        <v>1.09208098718633</v>
      </c>
      <c r="L157">
        <v>1564.84436407904</v>
      </c>
      <c r="M157">
        <v>35.7984347368324</v>
      </c>
      <c r="O157">
        <v>43.5769305091809</v>
      </c>
      <c r="P157">
        <v>0.0377607171582914</v>
      </c>
      <c r="Q157">
        <v>1.18386169495553</v>
      </c>
      <c r="R157">
        <v>0.404236895839881</v>
      </c>
      <c r="S157" t="s">
        <v>1841</v>
      </c>
      <c r="T157" t="s">
        <v>3344</v>
      </c>
      <c r="U157" t="s">
        <v>3344</v>
      </c>
      <c r="V157" t="s">
        <v>3344</v>
      </c>
      <c r="W157" t="s">
        <v>3501</v>
      </c>
      <c r="X157">
        <v>9</v>
      </c>
      <c r="Y157" t="s">
        <v>5156</v>
      </c>
      <c r="Z157" t="s">
        <v>6814</v>
      </c>
      <c r="AA157">
        <v>1.142018722553926</v>
      </c>
      <c r="AB157">
        <f>HYPERLINK("Melting_Curves/meltCurve_P09394_glpQ.pdf", "Melting_Curves/meltCurve_P09394_glpQ.pdf")</f>
        <v>0</v>
      </c>
    </row>
    <row r="158" spans="1:28">
      <c r="A158" t="s">
        <v>184</v>
      </c>
      <c r="B158">
        <v>0.999998419929286</v>
      </c>
      <c r="C158">
        <v>1.03450773380036</v>
      </c>
      <c r="D158">
        <v>1.09139986232101</v>
      </c>
      <c r="E158">
        <v>1.08155336843709</v>
      </c>
      <c r="F158">
        <v>0.459899737335216</v>
      </c>
      <c r="G158">
        <v>0.171313282178704</v>
      </c>
      <c r="H158">
        <v>0.105390368174311</v>
      </c>
      <c r="I158">
        <v>0.06659877972424209</v>
      </c>
      <c r="J158">
        <v>0.055667371046579</v>
      </c>
      <c r="K158">
        <v>0.0527585911604165</v>
      </c>
      <c r="L158">
        <v>4500.46214933005</v>
      </c>
      <c r="M158">
        <v>90.0241191221109</v>
      </c>
      <c r="N158">
        <v>50.1020544586976</v>
      </c>
      <c r="O158">
        <v>49.967083982576</v>
      </c>
      <c r="P158">
        <v>-0.40992221342804</v>
      </c>
      <c r="Q158">
        <v>0.08990540855411509</v>
      </c>
      <c r="R158">
        <v>0.987398326770454</v>
      </c>
      <c r="S158" t="s">
        <v>1842</v>
      </c>
      <c r="T158" t="s">
        <v>3344</v>
      </c>
      <c r="U158" t="s">
        <v>3344</v>
      </c>
      <c r="V158" t="s">
        <v>3344</v>
      </c>
      <c r="W158" t="s">
        <v>3502</v>
      </c>
      <c r="X158">
        <v>7</v>
      </c>
      <c r="Y158" t="s">
        <v>5157</v>
      </c>
      <c r="Z158" t="s">
        <v>6815</v>
      </c>
      <c r="AA158">
        <v>0.4846457722199186</v>
      </c>
      <c r="AB158">
        <f>HYPERLINK("Melting_Curves/meltCurve_P09424_mtlD.pdf", "Melting_Curves/meltCurve_P09424_mtlD.pdf")</f>
        <v>0</v>
      </c>
    </row>
    <row r="159" spans="1:28">
      <c r="A159" t="s">
        <v>185</v>
      </c>
      <c r="B159">
        <v>0.999998419929286</v>
      </c>
      <c r="C159">
        <v>0.7478972554183621</v>
      </c>
      <c r="D159">
        <v>0.370631471129529</v>
      </c>
      <c r="E159">
        <v>0.259743044071143</v>
      </c>
      <c r="F159">
        <v>0.234632632032817</v>
      </c>
      <c r="G159">
        <v>0.231161912494312</v>
      </c>
      <c r="H159">
        <v>0.166008751708767</v>
      </c>
      <c r="I159">
        <v>0.132688781945197</v>
      </c>
      <c r="J159">
        <v>0.100385808025485</v>
      </c>
      <c r="K159">
        <v>0.08605392678286131</v>
      </c>
      <c r="L159">
        <v>979.307555760413</v>
      </c>
      <c r="M159">
        <v>23.6829757267393</v>
      </c>
      <c r="N159">
        <v>42.0310830700982</v>
      </c>
      <c r="O159">
        <v>41.0592563098321</v>
      </c>
      <c r="P159">
        <v>-0.121242402022255</v>
      </c>
      <c r="Q159">
        <v>0.15922050516201</v>
      </c>
      <c r="R159">
        <v>0.971411899064217</v>
      </c>
      <c r="S159" t="s">
        <v>1843</v>
      </c>
      <c r="T159" t="s">
        <v>3344</v>
      </c>
      <c r="U159" t="s">
        <v>3344</v>
      </c>
      <c r="V159" t="s">
        <v>3344</v>
      </c>
      <c r="W159" t="s">
        <v>3503</v>
      </c>
      <c r="X159">
        <v>11</v>
      </c>
      <c r="Y159" t="s">
        <v>5158</v>
      </c>
      <c r="Z159" t="s">
        <v>6816</v>
      </c>
      <c r="AA159">
        <v>0.2902961192303643</v>
      </c>
      <c r="AB159">
        <f>HYPERLINK("Melting_Curves/meltCurve_P09546_putA.pdf", "Melting_Curves/meltCurve_P09546_putA.pdf")</f>
        <v>0</v>
      </c>
    </row>
    <row r="160" spans="1:28">
      <c r="A160" t="s">
        <v>186</v>
      </c>
      <c r="B160">
        <v>0.999998419929286</v>
      </c>
      <c r="C160">
        <v>1.00292866066486</v>
      </c>
      <c r="D160">
        <v>0.896980985146751</v>
      </c>
      <c r="E160">
        <v>0.86325478645856</v>
      </c>
      <c r="F160">
        <v>0.902964263033893</v>
      </c>
      <c r="G160">
        <v>0.8444526925499219</v>
      </c>
      <c r="H160">
        <v>0.5150310798916899</v>
      </c>
      <c r="I160">
        <v>0.305509073330295</v>
      </c>
      <c r="J160">
        <v>0.220855184794226</v>
      </c>
      <c r="K160">
        <v>0.167304921273967</v>
      </c>
      <c r="L160">
        <v>1002.56990402268</v>
      </c>
      <c r="M160">
        <v>17.5035719676997</v>
      </c>
      <c r="N160">
        <v>57.9524440177481</v>
      </c>
      <c r="O160">
        <v>56.5460814519351</v>
      </c>
      <c r="P160">
        <v>-0.07025945287386071</v>
      </c>
      <c r="Q160">
        <v>0.09214471535964119</v>
      </c>
      <c r="R160">
        <v>0.9695177440854</v>
      </c>
      <c r="S160" t="s">
        <v>1844</v>
      </c>
      <c r="T160" t="s">
        <v>3344</v>
      </c>
      <c r="U160" t="s">
        <v>3344</v>
      </c>
      <c r="V160" t="s">
        <v>3344</v>
      </c>
      <c r="W160" t="s">
        <v>3504</v>
      </c>
      <c r="X160">
        <v>2</v>
      </c>
      <c r="Y160" t="s">
        <v>5159</v>
      </c>
      <c r="Z160" t="s">
        <v>6817</v>
      </c>
      <c r="AA160">
        <v>0.7132633279138236</v>
      </c>
      <c r="AB160">
        <f>HYPERLINK("Melting_Curves/meltCurve_P09549_dedD.pdf", "Melting_Curves/meltCurve_P09549_dedD.pdf")</f>
        <v>0</v>
      </c>
    </row>
    <row r="161" spans="1:28">
      <c r="A161" t="s">
        <v>187</v>
      </c>
      <c r="B161">
        <v>0.999998419929286</v>
      </c>
      <c r="C161">
        <v>0.925691427067146</v>
      </c>
      <c r="D161">
        <v>1.02838073195724</v>
      </c>
      <c r="E161">
        <v>1.13256284280766</v>
      </c>
      <c r="F161">
        <v>1.2662566694828</v>
      </c>
      <c r="G161">
        <v>1.53857172932949</v>
      </c>
      <c r="H161">
        <v>1.38380997685498</v>
      </c>
      <c r="I161">
        <v>1.17068110282412</v>
      </c>
      <c r="J161">
        <v>1.26936849228425</v>
      </c>
      <c r="K161">
        <v>1.35863443876205</v>
      </c>
      <c r="L161">
        <v>1771.15008906858</v>
      </c>
      <c r="M161">
        <v>37.5188603637859</v>
      </c>
      <c r="O161">
        <v>47.0734174395813</v>
      </c>
      <c r="P161">
        <v>0.06733252794990929</v>
      </c>
      <c r="Q161">
        <v>1.33791683365799</v>
      </c>
      <c r="R161">
        <v>0.746170984029938</v>
      </c>
      <c r="S161" t="s">
        <v>1845</v>
      </c>
      <c r="T161" t="s">
        <v>3344</v>
      </c>
      <c r="U161" t="s">
        <v>3344</v>
      </c>
      <c r="V161" t="s">
        <v>3344</v>
      </c>
      <c r="W161" t="s">
        <v>3505</v>
      </c>
      <c r="X161">
        <v>17</v>
      </c>
      <c r="Y161" t="s">
        <v>5160</v>
      </c>
      <c r="Z161" t="s">
        <v>6818</v>
      </c>
      <c r="AA161">
        <v>1.221692096552588</v>
      </c>
      <c r="AB161">
        <f>HYPERLINK("Melting_Curves/meltCurve_P09551_argT.pdf", "Melting_Curves/meltCurve_P09551_argT.pdf")</f>
        <v>0</v>
      </c>
    </row>
    <row r="162" spans="1:28">
      <c r="A162" t="s">
        <v>188</v>
      </c>
      <c r="B162">
        <v>0.999998419929286</v>
      </c>
      <c r="C162">
        <v>1.2144736801185</v>
      </c>
      <c r="D162">
        <v>0.868088732164449</v>
      </c>
      <c r="E162">
        <v>0.781075547619926</v>
      </c>
      <c r="F162">
        <v>0.698683766318839</v>
      </c>
      <c r="G162">
        <v>0.753617957625119</v>
      </c>
      <c r="H162">
        <v>0.208597690153175</v>
      </c>
      <c r="I162">
        <v>0.0494555639473781</v>
      </c>
      <c r="J162">
        <v>0.0365038886884085</v>
      </c>
      <c r="K162">
        <v>0.0189891075702496</v>
      </c>
      <c r="L162">
        <v>908.710932915061</v>
      </c>
      <c r="M162">
        <v>16.7494902828261</v>
      </c>
      <c r="N162">
        <v>54.2530505523412</v>
      </c>
      <c r="O162">
        <v>53.497420391587</v>
      </c>
      <c r="P162">
        <v>-0.0782775694319393</v>
      </c>
      <c r="Q162">
        <v>0</v>
      </c>
      <c r="R162">
        <v>0.910683764358906</v>
      </c>
      <c r="S162" t="s">
        <v>1846</v>
      </c>
      <c r="T162" t="s">
        <v>3344</v>
      </c>
      <c r="U162" t="s">
        <v>3344</v>
      </c>
      <c r="V162" t="s">
        <v>3344</v>
      </c>
      <c r="W162" t="s">
        <v>3506</v>
      </c>
      <c r="X162">
        <v>2</v>
      </c>
      <c r="Y162" t="s">
        <v>5161</v>
      </c>
      <c r="Z162" t="s">
        <v>6819</v>
      </c>
      <c r="AA162">
        <v>0.5895314581408281</v>
      </c>
      <c r="AB162">
        <f>HYPERLINK("Melting_Curves/meltCurve_P09831_gltB.pdf", "Melting_Curves/meltCurve_P09831_gltB.pdf")</f>
        <v>0</v>
      </c>
    </row>
    <row r="163" spans="1:28">
      <c r="A163" t="s">
        <v>189</v>
      </c>
      <c r="B163">
        <v>0.999998419929286</v>
      </c>
      <c r="C163">
        <v>0.931337575645072</v>
      </c>
      <c r="D163">
        <v>0.658459742769069</v>
      </c>
      <c r="E163">
        <v>0.46004406373412</v>
      </c>
      <c r="F163">
        <v>0.325287090845748</v>
      </c>
      <c r="G163">
        <v>0.255899263142915</v>
      </c>
      <c r="H163">
        <v>0.13675910587587</v>
      </c>
      <c r="I163">
        <v>0.0926260799968969</v>
      </c>
      <c r="J163">
        <v>0.0668056146622736</v>
      </c>
      <c r="K163">
        <v>0.0673956094006298</v>
      </c>
      <c r="L163">
        <v>552.86016359712</v>
      </c>
      <c r="M163">
        <v>12.0276016785639</v>
      </c>
      <c r="N163">
        <v>46.4364343381891</v>
      </c>
      <c r="O163">
        <v>44.7506022443124</v>
      </c>
      <c r="P163">
        <v>-0.0633531014481218</v>
      </c>
      <c r="Q163">
        <v>0.0573641134766492</v>
      </c>
      <c r="R163">
        <v>0.987013046106106</v>
      </c>
      <c r="S163" t="s">
        <v>1847</v>
      </c>
      <c r="T163" t="s">
        <v>3344</v>
      </c>
      <c r="U163" t="s">
        <v>3344</v>
      </c>
      <c r="V163" t="s">
        <v>3344</v>
      </c>
      <c r="W163" t="s">
        <v>3507</v>
      </c>
      <c r="X163">
        <v>1</v>
      </c>
      <c r="Y163" t="s">
        <v>5162</v>
      </c>
      <c r="Z163" t="s">
        <v>6820</v>
      </c>
      <c r="AA163">
        <v>0.3715313297030207</v>
      </c>
      <c r="AB163">
        <f>HYPERLINK("Melting_Curves/meltCurve_P09832_gltD.pdf", "Melting_Curves/meltCurve_P09832_gltD.pdf")</f>
        <v>0</v>
      </c>
    </row>
    <row r="164" spans="1:28">
      <c r="A164" t="s">
        <v>190</v>
      </c>
      <c r="B164">
        <v>0.999998419929286</v>
      </c>
      <c r="C164">
        <v>1.72382126856496</v>
      </c>
      <c r="D164">
        <v>1.17731323315387</v>
      </c>
      <c r="E164">
        <v>1.18979695344197</v>
      </c>
      <c r="F164">
        <v>1.15161976848038</v>
      </c>
      <c r="G164">
        <v>0.7805466587475201</v>
      </c>
      <c r="H164">
        <v>0.675251096929104</v>
      </c>
      <c r="I164">
        <v>0.684973981298001</v>
      </c>
      <c r="J164">
        <v>0.356693184206872</v>
      </c>
      <c r="K164">
        <v>0.417062978193193</v>
      </c>
      <c r="L164">
        <v>1101.18833150668</v>
      </c>
      <c r="M164">
        <v>18.8750051874626</v>
      </c>
      <c r="N164">
        <v>62.3128980635864</v>
      </c>
      <c r="O164">
        <v>57.6980578990786</v>
      </c>
      <c r="P164">
        <v>-0.0531723216736815</v>
      </c>
      <c r="Q164">
        <v>0.349867373469185</v>
      </c>
      <c r="R164">
        <v>0.5684617074249519</v>
      </c>
      <c r="S164" t="s">
        <v>1848</v>
      </c>
      <c r="T164" t="s">
        <v>3344</v>
      </c>
      <c r="U164" t="s">
        <v>3344</v>
      </c>
      <c r="V164" t="s">
        <v>3344</v>
      </c>
      <c r="W164" t="s">
        <v>3508</v>
      </c>
      <c r="X164">
        <v>1</v>
      </c>
      <c r="Y164" t="s">
        <v>5163</v>
      </c>
      <c r="Z164" t="s">
        <v>6821</v>
      </c>
      <c r="AA164">
        <v>0.815991424482671</v>
      </c>
      <c r="AB164">
        <f>HYPERLINK("Melting_Curves/meltCurve_P09833_modC.pdf", "Melting_Curves/meltCurve_P09833_modC.pdf")</f>
        <v>0</v>
      </c>
    </row>
    <row r="165" spans="1:28">
      <c r="A165" t="s">
        <v>191</v>
      </c>
      <c r="B165">
        <v>0.999998419929286</v>
      </c>
      <c r="C165">
        <v>0.869496306529152</v>
      </c>
      <c r="D165">
        <v>0.592763439414261</v>
      </c>
      <c r="E165">
        <v>0.428657723369371</v>
      </c>
      <c r="F165">
        <v>0.299563530062713</v>
      </c>
      <c r="G165">
        <v>0.219279659575818</v>
      </c>
      <c r="H165">
        <v>0.123791519201779</v>
      </c>
      <c r="I165">
        <v>0.08492312716900351</v>
      </c>
      <c r="J165">
        <v>0.0736956443100226</v>
      </c>
      <c r="K165">
        <v>0.0731222606254454</v>
      </c>
      <c r="L165">
        <v>543.8046770064529</v>
      </c>
      <c r="M165">
        <v>12.0869739368474</v>
      </c>
      <c r="N165">
        <v>45.5025523185434</v>
      </c>
      <c r="O165">
        <v>43.8125546463897</v>
      </c>
      <c r="P165">
        <v>-0.0646030351005802</v>
      </c>
      <c r="Q165">
        <v>0.0635337925332676</v>
      </c>
      <c r="R165">
        <v>0.987637216709801</v>
      </c>
      <c r="S165" t="s">
        <v>1849</v>
      </c>
      <c r="T165" t="s">
        <v>3344</v>
      </c>
      <c r="U165" t="s">
        <v>3344</v>
      </c>
      <c r="V165" t="s">
        <v>3344</v>
      </c>
      <c r="W165" t="s">
        <v>3509</v>
      </c>
      <c r="X165">
        <v>6</v>
      </c>
      <c r="Y165" t="s">
        <v>5164</v>
      </c>
      <c r="Z165" t="s">
        <v>6822</v>
      </c>
      <c r="AA165">
        <v>0.3466091435889361</v>
      </c>
      <c r="AB165">
        <f>HYPERLINK("Melting_Curves/meltCurve_P0A698_uvrA.pdf", "Melting_Curves/meltCurve_P0A698_uvrA.pdf")</f>
        <v>0</v>
      </c>
    </row>
    <row r="166" spans="1:28">
      <c r="A166" t="s">
        <v>192</v>
      </c>
      <c r="B166">
        <v>0.999998419929286</v>
      </c>
      <c r="C166">
        <v>1.19208778307656</v>
      </c>
      <c r="D166">
        <v>1.35413641882531</v>
      </c>
      <c r="E166">
        <v>1.52073049937633</v>
      </c>
      <c r="F166">
        <v>1.18124975842418</v>
      </c>
      <c r="G166">
        <v>0.952760244274691</v>
      </c>
      <c r="H166">
        <v>0.520444680806368</v>
      </c>
      <c r="I166">
        <v>0.251696074216427</v>
      </c>
      <c r="J166">
        <v>0.185516664490098</v>
      </c>
      <c r="K166">
        <v>0.217881545044978</v>
      </c>
      <c r="L166">
        <v>2805.38545636241</v>
      </c>
      <c r="M166">
        <v>49.288768480218</v>
      </c>
      <c r="N166">
        <v>57.5419074459645</v>
      </c>
      <c r="O166">
        <v>56.8238917920423</v>
      </c>
      <c r="P166">
        <v>-0.171926143341692</v>
      </c>
      <c r="Q166">
        <v>0.207162051849613</v>
      </c>
      <c r="R166">
        <v>0.793948405492939</v>
      </c>
      <c r="S166" t="s">
        <v>1850</v>
      </c>
      <c r="T166" t="s">
        <v>3344</v>
      </c>
      <c r="U166" t="s">
        <v>3344</v>
      </c>
      <c r="V166" t="s">
        <v>3344</v>
      </c>
      <c r="W166" t="s">
        <v>3510</v>
      </c>
      <c r="X166">
        <v>7</v>
      </c>
      <c r="Y166" t="s">
        <v>5165</v>
      </c>
      <c r="Z166" t="s">
        <v>6823</v>
      </c>
      <c r="AA166">
        <v>0.7355581058106734</v>
      </c>
      <c r="AB166">
        <f>HYPERLINK("Melting_Curves/meltCurve_P0A6A3_ackA.pdf", "Melting_Curves/meltCurve_P0A6A3_ackA.pdf")</f>
        <v>0</v>
      </c>
    </row>
    <row r="167" spans="1:28">
      <c r="A167" t="s">
        <v>193</v>
      </c>
      <c r="B167">
        <v>0.999998419929286</v>
      </c>
      <c r="C167">
        <v>1.06416036669063</v>
      </c>
      <c r="D167">
        <v>0.733107872280398</v>
      </c>
      <c r="E167">
        <v>0.982625107298184</v>
      </c>
      <c r="F167">
        <v>0.96815762781489</v>
      </c>
      <c r="G167">
        <v>1.09371937494869</v>
      </c>
      <c r="H167">
        <v>1.06591019001665</v>
      </c>
      <c r="I167">
        <v>1.30202623802667</v>
      </c>
      <c r="J167">
        <v>1.29206476168298</v>
      </c>
      <c r="K167">
        <v>1.10296608059807</v>
      </c>
      <c r="L167">
        <v>14403.1723979714</v>
      </c>
      <c r="M167">
        <v>250</v>
      </c>
      <c r="O167">
        <v>57.6090121456815</v>
      </c>
      <c r="P167">
        <v>0.252079071026489</v>
      </c>
      <c r="Q167">
        <v>1.23235238220743</v>
      </c>
      <c r="R167">
        <v>0.539793836100088</v>
      </c>
      <c r="S167" t="s">
        <v>1851</v>
      </c>
      <c r="T167" t="s">
        <v>3344</v>
      </c>
      <c r="U167" t="s">
        <v>3344</v>
      </c>
      <c r="V167" t="s">
        <v>3344</v>
      </c>
      <c r="W167" t="s">
        <v>3511</v>
      </c>
      <c r="X167">
        <v>2</v>
      </c>
      <c r="Y167" t="s">
        <v>5166</v>
      </c>
      <c r="Z167" t="s">
        <v>6824</v>
      </c>
      <c r="AA167">
        <v>1.072681971524384</v>
      </c>
      <c r="AB167">
        <f>HYPERLINK("Melting_Curves/meltCurve_P0A6A8_acpP.pdf", "Melting_Curves/meltCurve_P0A6A8_acpP.pdf")</f>
        <v>0</v>
      </c>
    </row>
    <row r="168" spans="1:28">
      <c r="A168" t="s">
        <v>194</v>
      </c>
      <c r="B168">
        <v>0.999998419929286</v>
      </c>
      <c r="C168">
        <v>1.10348631070032</v>
      </c>
      <c r="D168">
        <v>0.998678248433388</v>
      </c>
      <c r="E168">
        <v>0.7758515376087149</v>
      </c>
      <c r="F168">
        <v>0.35262005016389</v>
      </c>
      <c r="G168">
        <v>0.182604753274682</v>
      </c>
      <c r="H168">
        <v>0.09335454945192589</v>
      </c>
      <c r="I168">
        <v>0.0614634578422835</v>
      </c>
      <c r="J168">
        <v>0.0450218278972676</v>
      </c>
      <c r="K168">
        <v>0.0386221999123016</v>
      </c>
      <c r="L168">
        <v>1211.90941614219</v>
      </c>
      <c r="M168">
        <v>24.8282636189738</v>
      </c>
      <c r="N168">
        <v>49.0519794730427</v>
      </c>
      <c r="O168">
        <v>48.4983529593437</v>
      </c>
      <c r="P168">
        <v>-0.120658381168103</v>
      </c>
      <c r="Q168">
        <v>0.0572598713842033</v>
      </c>
      <c r="R168">
        <v>0.99168307201668</v>
      </c>
      <c r="S168" t="s">
        <v>1852</v>
      </c>
      <c r="T168" t="s">
        <v>3344</v>
      </c>
      <c r="U168" t="s">
        <v>3344</v>
      </c>
      <c r="V168" t="s">
        <v>3344</v>
      </c>
      <c r="W168" t="s">
        <v>3512</v>
      </c>
      <c r="X168">
        <v>14</v>
      </c>
      <c r="Y168" t="s">
        <v>5167</v>
      </c>
      <c r="Z168" t="s">
        <v>6825</v>
      </c>
      <c r="AA168">
        <v>0.436674183007311</v>
      </c>
      <c r="AB168">
        <f>HYPERLINK("Melting_Curves/meltCurve_P0A6B7_iscS.pdf", "Melting_Curves/meltCurve_P0A6B7_iscS.pdf")</f>
        <v>0</v>
      </c>
    </row>
    <row r="169" spans="1:28">
      <c r="A169" t="s">
        <v>195</v>
      </c>
      <c r="B169">
        <v>0.999998419929286</v>
      </c>
      <c r="C169">
        <v>0.916468502038871</v>
      </c>
      <c r="D169">
        <v>1.13508331017296</v>
      </c>
      <c r="E169">
        <v>1.08437272389932</v>
      </c>
      <c r="F169">
        <v>1.66397508017698</v>
      </c>
      <c r="G169">
        <v>2.02481519169792</v>
      </c>
      <c r="H169">
        <v>1.80137099934577</v>
      </c>
      <c r="I169">
        <v>1.0133638137317</v>
      </c>
      <c r="J169">
        <v>0.981861200580901</v>
      </c>
      <c r="K169">
        <v>0.873345973016441</v>
      </c>
      <c r="L169">
        <v>973.6001125820831</v>
      </c>
      <c r="M169">
        <v>10.1601141708834</v>
      </c>
      <c r="Q169">
        <v>4.18713418760528e-13</v>
      </c>
      <c r="R169">
        <v>-0.398668511600592</v>
      </c>
      <c r="S169" t="s">
        <v>1853</v>
      </c>
      <c r="T169" t="s">
        <v>3344</v>
      </c>
      <c r="U169" t="s">
        <v>3344</v>
      </c>
      <c r="V169" t="s">
        <v>3344</v>
      </c>
      <c r="W169" t="s">
        <v>3513</v>
      </c>
      <c r="X169">
        <v>1</v>
      </c>
      <c r="Y169" t="s">
        <v>5168</v>
      </c>
      <c r="Z169" t="s">
        <v>6826</v>
      </c>
      <c r="AA169">
        <v>0.9982929632571866</v>
      </c>
      <c r="AB169">
        <f>HYPERLINK("Melting_Curves/meltCurve_P0A6C1_nfo.pdf", "Melting_Curves/meltCurve_P0A6C1_nfo.pdf")</f>
        <v>0</v>
      </c>
    </row>
    <row r="170" spans="1:28">
      <c r="A170" t="s">
        <v>196</v>
      </c>
      <c r="B170">
        <v>0.999998419929286</v>
      </c>
      <c r="C170">
        <v>0.889180828029518</v>
      </c>
      <c r="D170">
        <v>1.02557005735141</v>
      </c>
      <c r="E170">
        <v>1.08615036687107</v>
      </c>
      <c r="F170">
        <v>0.845681700026641</v>
      </c>
      <c r="G170">
        <v>0.571605669168166</v>
      </c>
      <c r="H170">
        <v>0.238997543745807</v>
      </c>
      <c r="I170">
        <v>0.0862156251301729</v>
      </c>
      <c r="J170">
        <v>0.056548484071928</v>
      </c>
      <c r="K170">
        <v>0.0406065182215964</v>
      </c>
      <c r="L170">
        <v>1320.41923052916</v>
      </c>
      <c r="M170">
        <v>24.3359516176173</v>
      </c>
      <c r="N170">
        <v>54.4035605157104</v>
      </c>
      <c r="O170">
        <v>53.8955914758884</v>
      </c>
      <c r="P170">
        <v>-0.109327589415138</v>
      </c>
      <c r="Q170">
        <v>0.0315257776273396</v>
      </c>
      <c r="R170">
        <v>0.985429960133005</v>
      </c>
      <c r="S170" t="s">
        <v>1854</v>
      </c>
      <c r="T170" t="s">
        <v>3344</v>
      </c>
      <c r="U170" t="s">
        <v>3344</v>
      </c>
      <c r="V170" t="s">
        <v>3344</v>
      </c>
      <c r="W170" t="s">
        <v>3514</v>
      </c>
      <c r="X170">
        <v>2</v>
      </c>
      <c r="Y170" t="s">
        <v>5169</v>
      </c>
      <c r="Z170" t="s">
        <v>6827</v>
      </c>
      <c r="AA170">
        <v>0.5974292504426586</v>
      </c>
      <c r="AB170">
        <f>HYPERLINK("Melting_Curves/meltCurve_P0A6D0_argR.pdf", "Melting_Curves/meltCurve_P0A6D0_argR.pdf")</f>
        <v>0</v>
      </c>
    </row>
    <row r="171" spans="1:28">
      <c r="A171" t="s">
        <v>197</v>
      </c>
      <c r="B171">
        <v>0.999998419929286</v>
      </c>
      <c r="C171">
        <v>1.09346704320307</v>
      </c>
      <c r="D171">
        <v>0.980337279995498</v>
      </c>
      <c r="E171">
        <v>1.1938135140895</v>
      </c>
      <c r="F171">
        <v>1.35818207668136</v>
      </c>
      <c r="G171">
        <v>1.18830397041448</v>
      </c>
      <c r="H171">
        <v>0.250284571181569</v>
      </c>
      <c r="I171">
        <v>0.107328872850207</v>
      </c>
      <c r="J171">
        <v>0.144352679907863</v>
      </c>
      <c r="K171">
        <v>0.0857147709146289</v>
      </c>
      <c r="L171">
        <v>14252.7789705489</v>
      </c>
      <c r="M171">
        <v>250</v>
      </c>
      <c r="N171">
        <v>57.0693063612053</v>
      </c>
      <c r="O171">
        <v>57.0074770380747</v>
      </c>
      <c r="P171">
        <v>-0.97304653893316</v>
      </c>
      <c r="Q171">
        <v>0.1124652967877</v>
      </c>
      <c r="R171">
        <v>0.913822979435527</v>
      </c>
      <c r="S171" t="s">
        <v>1855</v>
      </c>
      <c r="T171" t="s">
        <v>3344</v>
      </c>
      <c r="U171" t="s">
        <v>3344</v>
      </c>
      <c r="V171" t="s">
        <v>3344</v>
      </c>
      <c r="W171" t="s">
        <v>3515</v>
      </c>
      <c r="X171">
        <v>5</v>
      </c>
      <c r="Y171" t="s">
        <v>5170</v>
      </c>
      <c r="Z171" t="s">
        <v>6828</v>
      </c>
      <c r="AA171">
        <v>0.7045727576969747</v>
      </c>
      <c r="AB171">
        <f>HYPERLINK("Melting_Curves/meltCurve_P0A6D3_aroA.pdf", "Melting_Curves/meltCurve_P0A6D3_aroA.pdf")</f>
        <v>0</v>
      </c>
    </row>
    <row r="172" spans="1:28">
      <c r="A172" t="s">
        <v>198</v>
      </c>
      <c r="B172">
        <v>0.999998419929286</v>
      </c>
      <c r="C172">
        <v>0.948662440588539</v>
      </c>
      <c r="D172">
        <v>0.956279439520045</v>
      </c>
      <c r="E172">
        <v>0.979225945557625</v>
      </c>
      <c r="F172">
        <v>0.756271263377902</v>
      </c>
      <c r="G172">
        <v>0.724137754789842</v>
      </c>
      <c r="H172">
        <v>0.643497096049931</v>
      </c>
      <c r="I172">
        <v>0.607138146250462</v>
      </c>
      <c r="J172">
        <v>0.684467253714409</v>
      </c>
      <c r="K172">
        <v>0.761043722885784</v>
      </c>
      <c r="L172">
        <v>2221.5280732047</v>
      </c>
      <c r="M172">
        <v>45.3438418530117</v>
      </c>
      <c r="O172">
        <v>48.8979327763895</v>
      </c>
      <c r="P172">
        <v>-0.07371704685090739</v>
      </c>
      <c r="Q172">
        <v>0.682020179456734</v>
      </c>
      <c r="R172">
        <v>0.9046379783733089</v>
      </c>
      <c r="S172" t="s">
        <v>1856</v>
      </c>
      <c r="T172" t="s">
        <v>3344</v>
      </c>
      <c r="U172" t="s">
        <v>3344</v>
      </c>
      <c r="V172" t="s">
        <v>3344</v>
      </c>
      <c r="W172" t="s">
        <v>3516</v>
      </c>
      <c r="X172">
        <v>4</v>
      </c>
      <c r="Y172" t="s">
        <v>5171</v>
      </c>
      <c r="Z172" t="s">
        <v>6829</v>
      </c>
      <c r="AA172">
        <v>0.8099737314900824</v>
      </c>
      <c r="AB172">
        <f>HYPERLINK("Melting_Curves/meltCurve_P0A6D7_aroK.pdf", "Melting_Curves/meltCurve_P0A6D7_aroK.pdf")</f>
        <v>0</v>
      </c>
    </row>
    <row r="173" spans="1:28">
      <c r="A173" t="s">
        <v>199</v>
      </c>
      <c r="B173">
        <v>0.999998419929286</v>
      </c>
      <c r="C173">
        <v>0.875098303514701</v>
      </c>
      <c r="D173">
        <v>0.774708831384843</v>
      </c>
      <c r="E173">
        <v>0.724120861650426</v>
      </c>
      <c r="F173">
        <v>0.5102603601575399</v>
      </c>
      <c r="G173">
        <v>0.206640463738906</v>
      </c>
      <c r="H173">
        <v>0.124096568144136</v>
      </c>
      <c r="I173">
        <v>0.0600664888273995</v>
      </c>
      <c r="J173">
        <v>0.0735624604279793</v>
      </c>
      <c r="K173">
        <v>0.0330847878378925</v>
      </c>
      <c r="L173">
        <v>596.325707562796</v>
      </c>
      <c r="M173">
        <v>12.107872164686</v>
      </c>
      <c r="N173">
        <v>49.2510598353216</v>
      </c>
      <c r="O173">
        <v>47.9653354008549</v>
      </c>
      <c r="P173">
        <v>-0.0631221037099982</v>
      </c>
      <c r="Q173">
        <v>0</v>
      </c>
      <c r="R173">
        <v>0.981158957038059</v>
      </c>
      <c r="S173" t="s">
        <v>1857</v>
      </c>
      <c r="T173" t="s">
        <v>3344</v>
      </c>
      <c r="U173" t="s">
        <v>3344</v>
      </c>
      <c r="V173" t="s">
        <v>3344</v>
      </c>
      <c r="W173" t="s">
        <v>3517</v>
      </c>
      <c r="X173">
        <v>1</v>
      </c>
      <c r="Y173" t="s">
        <v>5172</v>
      </c>
      <c r="Z173" t="s">
        <v>6830</v>
      </c>
      <c r="AA173">
        <v>0.4373351033958541</v>
      </c>
      <c r="AB173">
        <f>HYPERLINK("Melting_Curves/meltCurve_P0A6E1_aroL.pdf", "Melting_Curves/meltCurve_P0A6E1_aroL.pdf")</f>
        <v>0</v>
      </c>
    </row>
    <row r="174" spans="1:28">
      <c r="A174" t="s">
        <v>200</v>
      </c>
      <c r="B174">
        <v>0.999998419929286</v>
      </c>
      <c r="C174">
        <v>0.580460746501212</v>
      </c>
      <c r="D174">
        <v>0.244566606890532</v>
      </c>
      <c r="E174">
        <v>0.114655741944348</v>
      </c>
      <c r="F174">
        <v>0.0932516452245928</v>
      </c>
      <c r="G174">
        <v>0.0766622736828798</v>
      </c>
      <c r="H174">
        <v>0.0455555737972583</v>
      </c>
      <c r="I174">
        <v>0.0264149869388874</v>
      </c>
      <c r="J174">
        <v>0.0249611832078191</v>
      </c>
      <c r="K174">
        <v>0.0226834365618383</v>
      </c>
      <c r="L174">
        <v>1058.73207464438</v>
      </c>
      <c r="M174">
        <v>26.1348387106598</v>
      </c>
      <c r="N174">
        <v>40.6849624976968</v>
      </c>
      <c r="O174">
        <v>40.275430992132</v>
      </c>
      <c r="P174">
        <v>-0.153622402742328</v>
      </c>
      <c r="Q174">
        <v>0.0530436836950299</v>
      </c>
      <c r="R174">
        <v>0.9865972532992759</v>
      </c>
      <c r="S174" t="s">
        <v>1858</v>
      </c>
      <c r="T174" t="s">
        <v>3344</v>
      </c>
      <c r="U174" t="s">
        <v>3344</v>
      </c>
      <c r="V174" t="s">
        <v>3344</v>
      </c>
      <c r="W174" t="s">
        <v>3518</v>
      </c>
      <c r="X174">
        <v>2</v>
      </c>
      <c r="Y174" t="s">
        <v>5173</v>
      </c>
      <c r="Z174" t="s">
        <v>6831</v>
      </c>
      <c r="AA174">
        <v>0.173205715302789</v>
      </c>
      <c r="AB174">
        <f>HYPERLINK("Melting_Curves/meltCurve_P0A6E4_argG.pdf", "Melting_Curves/meltCurve_P0A6E4_argG.pdf")</f>
        <v>0</v>
      </c>
    </row>
    <row r="175" spans="1:28">
      <c r="A175" t="s">
        <v>201</v>
      </c>
      <c r="B175">
        <v>0.999998419929286</v>
      </c>
      <c r="C175">
        <v>0.903307516424561</v>
      </c>
      <c r="D175">
        <v>1.0152831410777</v>
      </c>
      <c r="E175">
        <v>0.930283522606294</v>
      </c>
      <c r="F175">
        <v>0.845597873168807</v>
      </c>
      <c r="G175">
        <v>0.524095542646372</v>
      </c>
      <c r="H175">
        <v>0.247015983714764</v>
      </c>
      <c r="I175">
        <v>0.175468340712154</v>
      </c>
      <c r="J175">
        <v>0.139904612084556</v>
      </c>
      <c r="K175">
        <v>0.129742434906481</v>
      </c>
      <c r="L175">
        <v>1246.72659746934</v>
      </c>
      <c r="M175">
        <v>23.3689609776771</v>
      </c>
      <c r="N175">
        <v>53.9953058758543</v>
      </c>
      <c r="O175">
        <v>52.9636208846599</v>
      </c>
      <c r="P175">
        <v>-0.0968628392662884</v>
      </c>
      <c r="Q175">
        <v>0.121892215506122</v>
      </c>
      <c r="R175">
        <v>0.991173241715935</v>
      </c>
      <c r="S175" t="s">
        <v>1859</v>
      </c>
      <c r="T175" t="s">
        <v>3344</v>
      </c>
      <c r="U175" t="s">
        <v>3344</v>
      </c>
      <c r="V175" t="s">
        <v>3344</v>
      </c>
      <c r="W175" t="s">
        <v>3519</v>
      </c>
      <c r="X175">
        <v>3</v>
      </c>
      <c r="Y175" t="s">
        <v>5174</v>
      </c>
      <c r="Z175" t="s">
        <v>6832</v>
      </c>
      <c r="AA175">
        <v>0.6090981062032949</v>
      </c>
      <c r="AB175">
        <f>HYPERLINK("Melting_Curves/meltCurve_P0A6E9_bioD2.pdf", "Melting_Curves/meltCurve_P0A6E9_bioD2.pdf")</f>
        <v>0</v>
      </c>
    </row>
    <row r="176" spans="1:28">
      <c r="A176" t="s">
        <v>202</v>
      </c>
      <c r="B176">
        <v>0.999998419929286</v>
      </c>
      <c r="C176">
        <v>1.02936311906342</v>
      </c>
      <c r="D176">
        <v>0.636771685126387</v>
      </c>
      <c r="E176">
        <v>0.478922025602696</v>
      </c>
      <c r="F176">
        <v>0.411613494302007</v>
      </c>
      <c r="G176">
        <v>0.555744634560393</v>
      </c>
      <c r="H176">
        <v>0.297131030799781</v>
      </c>
      <c r="I176">
        <v>0.14776650376824</v>
      </c>
      <c r="J176">
        <v>0.09579137374364829</v>
      </c>
      <c r="K176">
        <v>0.13365923785338</v>
      </c>
      <c r="L176">
        <v>381.945714785098</v>
      </c>
      <c r="M176">
        <v>7.80306903289543</v>
      </c>
      <c r="N176">
        <v>49.2561241645596</v>
      </c>
      <c r="O176">
        <v>46.0454444683367</v>
      </c>
      <c r="P176">
        <v>-0.0414087164643994</v>
      </c>
      <c r="Q176">
        <v>0.023810168459738</v>
      </c>
      <c r="R176">
        <v>0.883800348288913</v>
      </c>
      <c r="S176" t="s">
        <v>1860</v>
      </c>
      <c r="T176" t="s">
        <v>3344</v>
      </c>
      <c r="U176" t="s">
        <v>3344</v>
      </c>
      <c r="V176" t="s">
        <v>3344</v>
      </c>
      <c r="W176" t="s">
        <v>3520</v>
      </c>
      <c r="X176">
        <v>1</v>
      </c>
      <c r="Y176" t="s">
        <v>5175</v>
      </c>
      <c r="Z176" t="s">
        <v>6833</v>
      </c>
      <c r="AA176">
        <v>0.4591894052707376</v>
      </c>
      <c r="AB176">
        <f>HYPERLINK("Melting_Curves/meltCurve_P0A6F1_carA.pdf", "Melting_Curves/meltCurve_P0A6F1_carA.pdf")</f>
        <v>0</v>
      </c>
    </row>
    <row r="177" spans="1:28">
      <c r="A177" t="s">
        <v>203</v>
      </c>
      <c r="B177">
        <v>0.999998419929286</v>
      </c>
      <c r="C177">
        <v>0.741135315528981</v>
      </c>
      <c r="D177">
        <v>0.418749196561179</v>
      </c>
      <c r="E177">
        <v>0.244411492117339</v>
      </c>
      <c r="F177">
        <v>0.193705617900262</v>
      </c>
      <c r="G177">
        <v>0.146863899554695</v>
      </c>
      <c r="H177">
        <v>0.08568045982878381</v>
      </c>
      <c r="I177">
        <v>0.0702189802405859</v>
      </c>
      <c r="J177">
        <v>0.079733123019202</v>
      </c>
      <c r="K177">
        <v>0.06963316748376</v>
      </c>
      <c r="L177">
        <v>775.398803193748</v>
      </c>
      <c r="M177">
        <v>18.4590328612073</v>
      </c>
      <c r="N177">
        <v>42.4956017295939</v>
      </c>
      <c r="O177">
        <v>41.5227797760152</v>
      </c>
      <c r="P177">
        <v>-0.100506135391418</v>
      </c>
      <c r="Q177">
        <v>0.0957039515709923</v>
      </c>
      <c r="R177">
        <v>0.986125193040811</v>
      </c>
      <c r="S177" t="s">
        <v>1861</v>
      </c>
      <c r="T177" t="s">
        <v>3344</v>
      </c>
      <c r="U177" t="s">
        <v>3344</v>
      </c>
      <c r="V177" t="s">
        <v>3344</v>
      </c>
      <c r="W177" t="s">
        <v>3521</v>
      </c>
      <c r="X177">
        <v>6</v>
      </c>
      <c r="Y177" t="s">
        <v>5176</v>
      </c>
      <c r="Z177" t="s">
        <v>6834</v>
      </c>
      <c r="AA177">
        <v>0.2630182492890895</v>
      </c>
      <c r="AB177">
        <f>HYPERLINK("Melting_Curves/meltCurve_P0A6F3_glpK.pdf", "Melting_Curves/meltCurve_P0A6F3_glpK.pdf")</f>
        <v>0</v>
      </c>
    </row>
    <row r="178" spans="1:28">
      <c r="A178" t="s">
        <v>204</v>
      </c>
      <c r="B178">
        <v>0.999998419929286</v>
      </c>
      <c r="C178">
        <v>2.6526785636536</v>
      </c>
      <c r="D178">
        <v>2.39784602794009</v>
      </c>
      <c r="E178">
        <v>2.17690348707054</v>
      </c>
      <c r="F178">
        <v>2.77994162520356</v>
      </c>
      <c r="G178">
        <v>1.79433987125746</v>
      </c>
      <c r="H178">
        <v>1.618884431879</v>
      </c>
      <c r="I178">
        <v>1.854724046905</v>
      </c>
      <c r="J178">
        <v>1.43823265890184</v>
      </c>
      <c r="K178">
        <v>2.49494367568552</v>
      </c>
      <c r="L178">
        <v>9469.976614927809</v>
      </c>
      <c r="M178">
        <v>250</v>
      </c>
      <c r="O178">
        <v>37.8774821673504</v>
      </c>
      <c r="P178">
        <v>0.82502843534096</v>
      </c>
      <c r="Q178">
        <v>1.5</v>
      </c>
      <c r="R178">
        <v>-0.82404271749666</v>
      </c>
      <c r="S178" t="s">
        <v>1862</v>
      </c>
      <c r="T178" t="s">
        <v>3344</v>
      </c>
      <c r="U178" t="s">
        <v>3344</v>
      </c>
      <c r="V178" t="s">
        <v>3344</v>
      </c>
      <c r="W178" t="s">
        <v>3522</v>
      </c>
      <c r="X178">
        <v>27</v>
      </c>
      <c r="Y178" t="s">
        <v>5177</v>
      </c>
      <c r="Z178" t="s">
        <v>6835</v>
      </c>
      <c r="AA178">
        <v>1.485295402026902</v>
      </c>
      <c r="AB178">
        <f>HYPERLINK("Melting_Curves/meltCurve_P0A6F5_groL.pdf", "Melting_Curves/meltCurve_P0A6F5_groL.pdf")</f>
        <v>0</v>
      </c>
    </row>
    <row r="179" spans="1:28">
      <c r="A179" t="s">
        <v>205</v>
      </c>
      <c r="B179">
        <v>0.999998419929286</v>
      </c>
      <c r="C179">
        <v>0.955060799694894</v>
      </c>
      <c r="D179">
        <v>0.8945179871108661</v>
      </c>
      <c r="E179">
        <v>0.891111963194265</v>
      </c>
      <c r="F179">
        <v>0.8845429466539469</v>
      </c>
      <c r="G179">
        <v>0.943095329578978</v>
      </c>
      <c r="H179">
        <v>0.882669573360217</v>
      </c>
      <c r="I179">
        <v>1.03651694717596</v>
      </c>
      <c r="J179">
        <v>1.03467216313355</v>
      </c>
      <c r="K179">
        <v>0.93015289665888</v>
      </c>
      <c r="L179">
        <v>9938.273492998749</v>
      </c>
      <c r="M179">
        <v>250</v>
      </c>
      <c r="O179">
        <v>39.7505501045135</v>
      </c>
      <c r="P179">
        <v>-0.0988037021756311</v>
      </c>
      <c r="Q179">
        <v>0.9371599759578439</v>
      </c>
      <c r="R179">
        <v>0.110420997307143</v>
      </c>
      <c r="S179" t="s">
        <v>1863</v>
      </c>
      <c r="T179" t="s">
        <v>3344</v>
      </c>
      <c r="U179" t="s">
        <v>3344</v>
      </c>
      <c r="V179" t="s">
        <v>3344</v>
      </c>
      <c r="W179" t="s">
        <v>3523</v>
      </c>
      <c r="X179">
        <v>4</v>
      </c>
      <c r="Y179" t="s">
        <v>5178</v>
      </c>
      <c r="Z179" t="s">
        <v>6836</v>
      </c>
      <c r="AA179">
        <v>0.9429311764408805</v>
      </c>
      <c r="AB179">
        <f>HYPERLINK("Melting_Curves/meltCurve_P0A6F9_groS.pdf", "Melting_Curves/meltCurve_P0A6F9_groS.pdf")</f>
        <v>0</v>
      </c>
    </row>
    <row r="180" spans="1:28">
      <c r="A180" t="s">
        <v>206</v>
      </c>
      <c r="B180">
        <v>0.999998419929286</v>
      </c>
      <c r="C180">
        <v>0.948220924145512</v>
      </c>
      <c r="D180">
        <v>1.03571787472873</v>
      </c>
      <c r="E180">
        <v>1.1521617061027</v>
      </c>
      <c r="F180">
        <v>1.3435413662989</v>
      </c>
      <c r="G180">
        <v>1.44871046980771</v>
      </c>
      <c r="H180">
        <v>1.3323137187706</v>
      </c>
      <c r="I180">
        <v>1.25241606241603</v>
      </c>
      <c r="J180">
        <v>1.3274312719861</v>
      </c>
      <c r="K180">
        <v>1.48545785895271</v>
      </c>
      <c r="L180">
        <v>1938.28667283592</v>
      </c>
      <c r="M180">
        <v>41.2782751986801</v>
      </c>
      <c r="O180">
        <v>46.8467822078031</v>
      </c>
      <c r="P180">
        <v>0.081314596426176</v>
      </c>
      <c r="Q180">
        <v>1.3691355592946</v>
      </c>
      <c r="R180">
        <v>0.8748613047467499</v>
      </c>
      <c r="S180" t="s">
        <v>1864</v>
      </c>
      <c r="T180" t="s">
        <v>3344</v>
      </c>
      <c r="U180" t="s">
        <v>3344</v>
      </c>
      <c r="V180" t="s">
        <v>3344</v>
      </c>
      <c r="W180" t="s">
        <v>3524</v>
      </c>
      <c r="X180">
        <v>3</v>
      </c>
      <c r="Y180" t="s">
        <v>5179</v>
      </c>
      <c r="Z180" t="s">
        <v>6837</v>
      </c>
      <c r="AA180">
        <v>1.24549984305092</v>
      </c>
      <c r="AB180">
        <f>HYPERLINK("Melting_Curves/meltCurve_P0A6G3_pncC.pdf", "Melting_Curves/meltCurve_P0A6G3_pncC.pdf")</f>
        <v>0</v>
      </c>
    </row>
    <row r="181" spans="1:28">
      <c r="A181" t="s">
        <v>207</v>
      </c>
      <c r="B181">
        <v>0.999998419929286</v>
      </c>
      <c r="C181">
        <v>0.864074199515102</v>
      </c>
      <c r="D181">
        <v>0.983270594544674</v>
      </c>
      <c r="E181">
        <v>0.955083908427517</v>
      </c>
      <c r="F181">
        <v>0.885398532683734</v>
      </c>
      <c r="G181">
        <v>0.36994365634085</v>
      </c>
      <c r="H181">
        <v>0.0727819898094727</v>
      </c>
      <c r="I181">
        <v>0.0546569300925742</v>
      </c>
      <c r="J181">
        <v>0.0411322768247716</v>
      </c>
      <c r="K181">
        <v>0.0463565331553456</v>
      </c>
      <c r="L181">
        <v>1994.15620872368</v>
      </c>
      <c r="M181">
        <v>37.7323094770927</v>
      </c>
      <c r="N181">
        <v>52.9702378626545</v>
      </c>
      <c r="O181">
        <v>52.7023130336641</v>
      </c>
      <c r="P181">
        <v>-0.171648060256681</v>
      </c>
      <c r="Q181">
        <v>0.0410102284880112</v>
      </c>
      <c r="R181">
        <v>0.988442485318454</v>
      </c>
      <c r="S181" t="s">
        <v>1865</v>
      </c>
      <c r="T181" t="s">
        <v>3344</v>
      </c>
      <c r="U181" t="s">
        <v>3344</v>
      </c>
      <c r="V181" t="s">
        <v>3344</v>
      </c>
      <c r="W181" t="s">
        <v>3525</v>
      </c>
      <c r="X181">
        <v>4</v>
      </c>
      <c r="Y181" t="s">
        <v>5180</v>
      </c>
      <c r="Z181" t="s">
        <v>6838</v>
      </c>
      <c r="AA181">
        <v>0.551595394861501</v>
      </c>
      <c r="AB181">
        <f>HYPERLINK("Melting_Curves/meltCurve_P0A6G7_clpP.pdf", "Melting_Curves/meltCurve_P0A6G7_clpP.pdf")</f>
        <v>0</v>
      </c>
    </row>
    <row r="182" spans="1:28">
      <c r="A182" t="s">
        <v>208</v>
      </c>
      <c r="B182">
        <v>0.999998419929286</v>
      </c>
      <c r="C182">
        <v>0.916035577926128</v>
      </c>
      <c r="D182">
        <v>0.848348177324124</v>
      </c>
      <c r="E182">
        <v>0.782924734994295</v>
      </c>
      <c r="F182">
        <v>0.825310368517441</v>
      </c>
      <c r="G182">
        <v>0.789945286780031</v>
      </c>
      <c r="H182">
        <v>0.754958177115436</v>
      </c>
      <c r="I182">
        <v>0.634783501139047</v>
      </c>
      <c r="J182">
        <v>0.715404260577399</v>
      </c>
      <c r="K182">
        <v>0.722002440476424</v>
      </c>
      <c r="L182">
        <v>364.603769271176</v>
      </c>
      <c r="M182">
        <v>8.02895324021628</v>
      </c>
      <c r="O182">
        <v>42.8539528229504</v>
      </c>
      <c r="P182">
        <v>-0.0149533136398676</v>
      </c>
      <c r="Q182">
        <v>0.681106941218223</v>
      </c>
      <c r="R182">
        <v>0.843959655884493</v>
      </c>
      <c r="S182" t="s">
        <v>1866</v>
      </c>
      <c r="T182" t="s">
        <v>3344</v>
      </c>
      <c r="U182" t="s">
        <v>3344</v>
      </c>
      <c r="V182" t="s">
        <v>3344</v>
      </c>
      <c r="W182" t="s">
        <v>3526</v>
      </c>
      <c r="X182">
        <v>11</v>
      </c>
      <c r="Y182" t="s">
        <v>5181</v>
      </c>
      <c r="Z182" t="s">
        <v>6839</v>
      </c>
      <c r="AA182">
        <v>0.79155301542973</v>
      </c>
      <c r="AB182">
        <f>HYPERLINK("Melting_Curves/meltCurve_P0A6H1_clpX.pdf", "Melting_Curves/meltCurve_P0A6H1_clpX.pdf")</f>
        <v>0</v>
      </c>
    </row>
    <row r="183" spans="1:28">
      <c r="A183" t="s">
        <v>209</v>
      </c>
      <c r="B183">
        <v>0.999998419929286</v>
      </c>
      <c r="C183">
        <v>1.28396071823019</v>
      </c>
      <c r="D183">
        <v>0.965148670427543</v>
      </c>
      <c r="E183">
        <v>0.551055830175352</v>
      </c>
      <c r="F183">
        <v>0.177923191189259</v>
      </c>
      <c r="G183">
        <v>0.16227946678087</v>
      </c>
      <c r="H183">
        <v>0.125697879738279</v>
      </c>
      <c r="I183">
        <v>0.0865834916801194</v>
      </c>
      <c r="J183">
        <v>0.0891971151067775</v>
      </c>
      <c r="K183">
        <v>0.102350003656531</v>
      </c>
      <c r="L183">
        <v>1779.15376898118</v>
      </c>
      <c r="M183">
        <v>38.1807846769549</v>
      </c>
      <c r="N183">
        <v>46.9145273973447</v>
      </c>
      <c r="O183">
        <v>46.4708778558372</v>
      </c>
      <c r="P183">
        <v>-0.182089494945347</v>
      </c>
      <c r="Q183">
        <v>0.113498004333752</v>
      </c>
      <c r="R183">
        <v>0.955655645433928</v>
      </c>
      <c r="S183" t="s">
        <v>1867</v>
      </c>
      <c r="T183" t="s">
        <v>3344</v>
      </c>
      <c r="U183" t="s">
        <v>3344</v>
      </c>
      <c r="V183" t="s">
        <v>3344</v>
      </c>
      <c r="W183" t="s">
        <v>3527</v>
      </c>
      <c r="X183">
        <v>13</v>
      </c>
      <c r="Y183" t="s">
        <v>5182</v>
      </c>
      <c r="Z183" t="s">
        <v>6840</v>
      </c>
      <c r="AA183">
        <v>0.4002618638769864</v>
      </c>
      <c r="AB183">
        <f>HYPERLINK("Melting_Curves/meltCurve_P0A6H5_hslU.pdf", "Melting_Curves/meltCurve_P0A6H5_hslU.pdf")</f>
        <v>0</v>
      </c>
    </row>
    <row r="184" spans="1:28">
      <c r="A184" t="s">
        <v>210</v>
      </c>
      <c r="B184">
        <v>0.999998419929286</v>
      </c>
      <c r="C184">
        <v>0.952792528892319</v>
      </c>
      <c r="D184">
        <v>0.904342725740947</v>
      </c>
      <c r="E184">
        <v>0.810900336069577</v>
      </c>
      <c r="F184">
        <v>0.340753039292726</v>
      </c>
      <c r="G184">
        <v>0.149146563852562</v>
      </c>
      <c r="H184">
        <v>0.0782826863331875</v>
      </c>
      <c r="I184">
        <v>0.0459139949972261</v>
      </c>
      <c r="J184">
        <v>0.0397140992336493</v>
      </c>
      <c r="K184">
        <v>0.035234139653708</v>
      </c>
      <c r="L184">
        <v>1191.7266574326</v>
      </c>
      <c r="M184">
        <v>24.4001451148994</v>
      </c>
      <c r="N184">
        <v>49.0149986172778</v>
      </c>
      <c r="O184">
        <v>48.5164532682457</v>
      </c>
      <c r="P184">
        <v>-0.120515973138615</v>
      </c>
      <c r="Q184">
        <v>0.041494058027039</v>
      </c>
      <c r="R184">
        <v>0.994892622081622</v>
      </c>
      <c r="S184" t="s">
        <v>1868</v>
      </c>
      <c r="T184" t="s">
        <v>3344</v>
      </c>
      <c r="U184" t="s">
        <v>3344</v>
      </c>
      <c r="V184" t="s">
        <v>3344</v>
      </c>
      <c r="W184" t="s">
        <v>3528</v>
      </c>
      <c r="X184">
        <v>7</v>
      </c>
      <c r="Y184" t="s">
        <v>5183</v>
      </c>
      <c r="Z184" t="s">
        <v>6841</v>
      </c>
      <c r="AA184">
        <v>0.4284803081610133</v>
      </c>
      <c r="AB184">
        <f>HYPERLINK("Melting_Curves/meltCurve_P0A6I0_cmk.pdf", "Melting_Curves/meltCurve_P0A6I0_cmk.pdf")</f>
        <v>0</v>
      </c>
    </row>
    <row r="185" spans="1:28">
      <c r="A185" t="s">
        <v>211</v>
      </c>
      <c r="B185">
        <v>0.999998419929286</v>
      </c>
      <c r="C185">
        <v>0.760816037516297</v>
      </c>
      <c r="D185">
        <v>0.5313076212996209</v>
      </c>
      <c r="E185">
        <v>0.323188371538254</v>
      </c>
      <c r="F185">
        <v>0.253203080662968</v>
      </c>
      <c r="G185">
        <v>0.113698614856679</v>
      </c>
      <c r="H185">
        <v>0.114739431029147</v>
      </c>
      <c r="I185">
        <v>0.115879442967164</v>
      </c>
      <c r="J185">
        <v>0.0472190448636909</v>
      </c>
      <c r="K185">
        <v>0.0429441624468081</v>
      </c>
      <c r="L185">
        <v>589.3744670124011</v>
      </c>
      <c r="M185">
        <v>13.5836669272511</v>
      </c>
      <c r="N185">
        <v>43.8541014222809</v>
      </c>
      <c r="O185">
        <v>42.4805058854127</v>
      </c>
      <c r="P185">
        <v>-0.0745832557357716</v>
      </c>
      <c r="Q185">
        <v>0.0671553410031412</v>
      </c>
      <c r="R185">
        <v>0.984778121678362</v>
      </c>
      <c r="S185" t="s">
        <v>1869</v>
      </c>
      <c r="T185" t="s">
        <v>3344</v>
      </c>
      <c r="U185" t="s">
        <v>3344</v>
      </c>
      <c r="V185" t="s">
        <v>3344</v>
      </c>
      <c r="W185" t="s">
        <v>3529</v>
      </c>
      <c r="X185">
        <v>1</v>
      </c>
      <c r="Y185" t="s">
        <v>5184</v>
      </c>
      <c r="Z185" t="s">
        <v>6842</v>
      </c>
      <c r="AA185">
        <v>0.2952886933990534</v>
      </c>
      <c r="AB185">
        <f>HYPERLINK("Melting_Curves/meltCurve_P0A6I3_coaA.pdf", "Melting_Curves/meltCurve_P0A6I3_coaA.pdf")</f>
        <v>0</v>
      </c>
    </row>
    <row r="186" spans="1:28">
      <c r="A186" t="s">
        <v>212</v>
      </c>
      <c r="B186">
        <v>0.999998419929286</v>
      </c>
      <c r="C186">
        <v>0.875240461017193</v>
      </c>
      <c r="D186">
        <v>0.651218292534394</v>
      </c>
      <c r="E186">
        <v>1.29451014582046</v>
      </c>
      <c r="F186">
        <v>1.27265686087974</v>
      </c>
      <c r="G186">
        <v>1.81761504832957</v>
      </c>
      <c r="H186">
        <v>1.57617945059885</v>
      </c>
      <c r="I186">
        <v>1.25462510092276</v>
      </c>
      <c r="J186">
        <v>0.865257843883209</v>
      </c>
      <c r="K186">
        <v>1.43309917681407</v>
      </c>
      <c r="L186">
        <v>11586.5043998135</v>
      </c>
      <c r="M186">
        <v>250</v>
      </c>
      <c r="O186">
        <v>46.3430427757166</v>
      </c>
      <c r="P186">
        <v>0.498868719422556</v>
      </c>
      <c r="Q186">
        <v>1.36990558196673</v>
      </c>
      <c r="R186">
        <v>0.426183409198282</v>
      </c>
      <c r="S186" t="s">
        <v>1870</v>
      </c>
      <c r="T186" t="s">
        <v>3344</v>
      </c>
      <c r="U186" t="s">
        <v>3344</v>
      </c>
      <c r="V186" t="s">
        <v>3344</v>
      </c>
      <c r="W186" t="s">
        <v>3530</v>
      </c>
      <c r="X186">
        <v>2</v>
      </c>
      <c r="Y186" t="s">
        <v>5185</v>
      </c>
      <c r="Z186" t="s">
        <v>6843</v>
      </c>
      <c r="AA186">
        <v>1.254637359155942</v>
      </c>
      <c r="AB186">
        <f>HYPERLINK("Melting_Curves/meltCurve_P0A6I6_coaD.pdf", "Melting_Curves/meltCurve_P0A6I6_coaD.pdf")</f>
        <v>0</v>
      </c>
    </row>
    <row r="187" spans="1:28">
      <c r="A187" t="s">
        <v>213</v>
      </c>
      <c r="B187">
        <v>0.999998419929286</v>
      </c>
      <c r="C187">
        <v>0.954848675494389</v>
      </c>
      <c r="D187">
        <v>0.88653560597332</v>
      </c>
      <c r="E187">
        <v>0.577115384780349</v>
      </c>
      <c r="F187">
        <v>0.402421207621553</v>
      </c>
      <c r="G187">
        <v>0.322538069944135</v>
      </c>
      <c r="H187">
        <v>0.206345393936971</v>
      </c>
      <c r="I187">
        <v>0.199992309793276</v>
      </c>
      <c r="J187">
        <v>0.183594013632059</v>
      </c>
      <c r="K187">
        <v>0.213475221515568</v>
      </c>
      <c r="L187">
        <v>780.715867157992</v>
      </c>
      <c r="M187">
        <v>16.6587153653405</v>
      </c>
      <c r="N187">
        <v>48.2794976953454</v>
      </c>
      <c r="O187">
        <v>46.2055962329244</v>
      </c>
      <c r="P187">
        <v>-0.07273702761347881</v>
      </c>
      <c r="Q187">
        <v>0.193063144171807</v>
      </c>
      <c r="R187">
        <v>0.994023833820295</v>
      </c>
      <c r="S187" t="s">
        <v>1871</v>
      </c>
      <c r="T187" t="s">
        <v>3344</v>
      </c>
      <c r="U187" t="s">
        <v>3344</v>
      </c>
      <c r="V187" t="s">
        <v>3344</v>
      </c>
      <c r="W187" t="s">
        <v>3531</v>
      </c>
      <c r="X187">
        <v>1</v>
      </c>
      <c r="Y187" t="s">
        <v>5186</v>
      </c>
      <c r="Z187" t="s">
        <v>6844</v>
      </c>
      <c r="AA187">
        <v>0.4734374766482278</v>
      </c>
      <c r="AB187">
        <f>HYPERLINK("Melting_Curves/meltCurve_P0A6I9_coaE.pdf", "Melting_Curves/meltCurve_P0A6I9_coaE.pdf")</f>
        <v>0</v>
      </c>
    </row>
    <row r="188" spans="1:28">
      <c r="A188" t="s">
        <v>214</v>
      </c>
      <c r="B188">
        <v>0.999998419929286</v>
      </c>
      <c r="C188">
        <v>0.6307981261886449</v>
      </c>
      <c r="D188">
        <v>0.736463977956536</v>
      </c>
      <c r="E188">
        <v>0.564771535965063</v>
      </c>
      <c r="F188">
        <v>0.518047291464503</v>
      </c>
      <c r="G188">
        <v>0.525993193241256</v>
      </c>
      <c r="H188">
        <v>0.489182852380352</v>
      </c>
      <c r="I188">
        <v>0.284548324480859</v>
      </c>
      <c r="J188">
        <v>0.353697558805999</v>
      </c>
      <c r="K188">
        <v>0.270999858332926</v>
      </c>
      <c r="L188">
        <v>238.153477428755</v>
      </c>
      <c r="M188">
        <v>4.8264459000719</v>
      </c>
      <c r="N188">
        <v>51.9044606869268</v>
      </c>
      <c r="O188">
        <v>42.7025342875808</v>
      </c>
      <c r="P188">
        <v>-0.0254369505937648</v>
      </c>
      <c r="Q188">
        <v>0.105954343745042</v>
      </c>
      <c r="R188">
        <v>0.845199599511721</v>
      </c>
      <c r="S188" t="s">
        <v>1872</v>
      </c>
      <c r="T188" t="s">
        <v>3344</v>
      </c>
      <c r="U188" t="s">
        <v>3344</v>
      </c>
      <c r="V188" t="s">
        <v>3344</v>
      </c>
      <c r="W188" t="s">
        <v>3532</v>
      </c>
      <c r="X188">
        <v>1</v>
      </c>
      <c r="Y188" t="s">
        <v>5187</v>
      </c>
      <c r="Z188" t="s">
        <v>6845</v>
      </c>
      <c r="AA188">
        <v>0.528076665815184</v>
      </c>
      <c r="AB188">
        <f>HYPERLINK("Melting_Curves/meltCurve_P0A6J3_cysZ.pdf", "Melting_Curves/meltCurve_P0A6J3_cysZ.pdf")</f>
        <v>0</v>
      </c>
    </row>
    <row r="189" spans="1:28">
      <c r="A189" t="s">
        <v>215</v>
      </c>
      <c r="B189">
        <v>0.999998419929286</v>
      </c>
      <c r="C189">
        <v>1.03292914158943</v>
      </c>
      <c r="D189">
        <v>0.600121737736641</v>
      </c>
      <c r="E189">
        <v>0.454253805987439</v>
      </c>
      <c r="F189">
        <v>0.403942711759992</v>
      </c>
      <c r="G189">
        <v>0.428011010099976</v>
      </c>
      <c r="H189">
        <v>0.177652854332668</v>
      </c>
      <c r="I189">
        <v>0.114752863564023</v>
      </c>
      <c r="J189">
        <v>0.0943423693803542</v>
      </c>
      <c r="K189">
        <v>0.107920789098856</v>
      </c>
      <c r="L189">
        <v>478.852298555196</v>
      </c>
      <c r="M189">
        <v>10.2489037382458</v>
      </c>
      <c r="N189">
        <v>47.482923754409</v>
      </c>
      <c r="O189">
        <v>45.0483414267843</v>
      </c>
      <c r="P189">
        <v>-0.052594682710941</v>
      </c>
      <c r="Q189">
        <v>0.0757041937804013</v>
      </c>
      <c r="R189">
        <v>0.920696136689929</v>
      </c>
      <c r="S189" t="s">
        <v>1873</v>
      </c>
      <c r="T189" t="s">
        <v>3344</v>
      </c>
      <c r="U189" t="s">
        <v>3344</v>
      </c>
      <c r="V189" t="s">
        <v>3344</v>
      </c>
      <c r="W189" t="s">
        <v>3533</v>
      </c>
      <c r="X189">
        <v>6</v>
      </c>
      <c r="Y189" t="s">
        <v>5188</v>
      </c>
      <c r="Z189" t="s">
        <v>6846</v>
      </c>
      <c r="AA189">
        <v>0.4144948592306344</v>
      </c>
      <c r="AB189">
        <f>HYPERLINK("Melting_Curves/meltCurve_P0A6J5_dadA.pdf", "Melting_Curves/meltCurve_P0A6J5_dadA.pdf")</f>
        <v>0</v>
      </c>
    </row>
    <row r="190" spans="1:28">
      <c r="A190" t="s">
        <v>216</v>
      </c>
      <c r="B190">
        <v>0.999998419929286</v>
      </c>
      <c r="C190">
        <v>1.13971685784767</v>
      </c>
      <c r="D190">
        <v>1.15996013858919</v>
      </c>
      <c r="E190">
        <v>0.977099911830283</v>
      </c>
      <c r="F190">
        <v>0.376279385737565</v>
      </c>
      <c r="G190">
        <v>0.181373193175238</v>
      </c>
      <c r="H190">
        <v>0.09391620100582949</v>
      </c>
      <c r="I190">
        <v>0.07159517583447959</v>
      </c>
      <c r="J190">
        <v>0.0568565047960645</v>
      </c>
      <c r="K190">
        <v>0.0519732692858604</v>
      </c>
      <c r="L190">
        <v>2364.03272831618</v>
      </c>
      <c r="M190">
        <v>47.7917450563607</v>
      </c>
      <c r="N190">
        <v>49.6596717779491</v>
      </c>
      <c r="O190">
        <v>49.3789196289299</v>
      </c>
      <c r="P190">
        <v>-0.221323543094824</v>
      </c>
      <c r="Q190">
        <v>0.085305954888095</v>
      </c>
      <c r="R190">
        <v>0.975213004647033</v>
      </c>
      <c r="S190" t="s">
        <v>1874</v>
      </c>
      <c r="T190" t="s">
        <v>3344</v>
      </c>
      <c r="U190" t="s">
        <v>3344</v>
      </c>
      <c r="V190" t="s">
        <v>3344</v>
      </c>
      <c r="W190" t="s">
        <v>3534</v>
      </c>
      <c r="X190">
        <v>7</v>
      </c>
      <c r="Y190" t="s">
        <v>5189</v>
      </c>
      <c r="Z190" t="s">
        <v>6847</v>
      </c>
      <c r="AA190">
        <v>0.4675557407341556</v>
      </c>
      <c r="AB190">
        <f>HYPERLINK("Melting_Curves/meltCurve_P0A6J8_ddlA.pdf", "Melting_Curves/meltCurve_P0A6J8_ddlA.pdf")</f>
        <v>0</v>
      </c>
    </row>
    <row r="191" spans="1:28">
      <c r="A191" t="s">
        <v>217</v>
      </c>
      <c r="B191">
        <v>0.999998419929286</v>
      </c>
      <c r="C191">
        <v>0.601233647270829</v>
      </c>
      <c r="D191">
        <v>1.65022058790247</v>
      </c>
      <c r="E191">
        <v>0.7689329303952041</v>
      </c>
      <c r="F191">
        <v>0.841917076591855</v>
      </c>
      <c r="G191">
        <v>0.310626300482453</v>
      </c>
      <c r="H191">
        <v>0.168519589233018</v>
      </c>
      <c r="I191">
        <v>0.0713981528861273</v>
      </c>
      <c r="J191">
        <v>0</v>
      </c>
      <c r="K191">
        <v>0</v>
      </c>
      <c r="L191">
        <v>1354.36979897516</v>
      </c>
      <c r="M191">
        <v>25.7761603936106</v>
      </c>
      <c r="N191">
        <v>52.6165031245195</v>
      </c>
      <c r="O191">
        <v>52.230291003366</v>
      </c>
      <c r="P191">
        <v>-0.121211280816592</v>
      </c>
      <c r="Q191">
        <v>0.0175685806582792</v>
      </c>
      <c r="R191">
        <v>0.753836285861243</v>
      </c>
      <c r="S191" t="s">
        <v>1875</v>
      </c>
      <c r="T191" t="s">
        <v>3344</v>
      </c>
      <c r="U191" t="s">
        <v>3344</v>
      </c>
      <c r="V191" t="s">
        <v>3344</v>
      </c>
      <c r="W191" t="s">
        <v>3535</v>
      </c>
      <c r="X191">
        <v>1</v>
      </c>
      <c r="Y191" t="s">
        <v>5190</v>
      </c>
      <c r="Z191" t="s">
        <v>6848</v>
      </c>
      <c r="AA191">
        <v>0.5348245930173176</v>
      </c>
      <c r="AB191">
        <f>HYPERLINK("Melting_Curves/meltCurve_P0A6K1_dapF.pdf", "Melting_Curves/meltCurve_P0A6K1_dapF.pdf")</f>
        <v>0</v>
      </c>
    </row>
    <row r="192" spans="1:28">
      <c r="A192" t="s">
        <v>218</v>
      </c>
      <c r="B192">
        <v>0.999998419929286</v>
      </c>
      <c r="C192">
        <v>0.871609901613221</v>
      </c>
      <c r="D192">
        <v>0.889602074179725</v>
      </c>
      <c r="E192">
        <v>0.937207611612355</v>
      </c>
      <c r="F192">
        <v>1.00818096252068</v>
      </c>
      <c r="G192">
        <v>1.2481708003505</v>
      </c>
      <c r="H192">
        <v>0.964947250061275</v>
      </c>
      <c r="I192">
        <v>0.9231283056556771</v>
      </c>
      <c r="J192">
        <v>0.898505851163462</v>
      </c>
      <c r="K192">
        <v>0.925393867667594</v>
      </c>
      <c r="L192">
        <v>14369.5441091675</v>
      </c>
      <c r="M192">
        <v>250</v>
      </c>
      <c r="O192">
        <v>57.4744971773875</v>
      </c>
      <c r="P192">
        <v>-0.09169720433056699</v>
      </c>
      <c r="Q192">
        <v>0.915675987193072</v>
      </c>
      <c r="R192">
        <v>0.107888015788549</v>
      </c>
      <c r="S192" t="s">
        <v>1876</v>
      </c>
      <c r="T192" t="s">
        <v>3344</v>
      </c>
      <c r="U192" t="s">
        <v>3344</v>
      </c>
      <c r="V192" t="s">
        <v>3344</v>
      </c>
      <c r="W192" t="s">
        <v>3536</v>
      </c>
      <c r="X192">
        <v>3</v>
      </c>
      <c r="Y192" t="s">
        <v>5191</v>
      </c>
      <c r="Z192" t="s">
        <v>6849</v>
      </c>
      <c r="AA192">
        <v>0.9732445603052187</v>
      </c>
      <c r="AB192">
        <f>HYPERLINK("Melting_Curves/meltCurve_P0A6K3_def.pdf", "Melting_Curves/meltCurve_P0A6K3_def.pdf")</f>
        <v>0</v>
      </c>
    </row>
    <row r="193" spans="1:28">
      <c r="A193" t="s">
        <v>219</v>
      </c>
      <c r="B193">
        <v>0.999998419929286</v>
      </c>
      <c r="C193">
        <v>1.07681851303233</v>
      </c>
      <c r="D193">
        <v>1.1923404420609</v>
      </c>
      <c r="E193">
        <v>1.38200046749071</v>
      </c>
      <c r="F193">
        <v>1.41655476465833</v>
      </c>
      <c r="G193">
        <v>0.991500233308088</v>
      </c>
      <c r="H193">
        <v>0.599083299793407</v>
      </c>
      <c r="I193">
        <v>0.314823514401133</v>
      </c>
      <c r="J193">
        <v>0.156779089698866</v>
      </c>
      <c r="K193">
        <v>0.123092071847382</v>
      </c>
      <c r="L193">
        <v>2170.51111802985</v>
      </c>
      <c r="M193">
        <v>37.5051783466361</v>
      </c>
      <c r="N193">
        <v>58.4110129515476</v>
      </c>
      <c r="O193">
        <v>57.7085308771527</v>
      </c>
      <c r="P193">
        <v>-0.138721361326101</v>
      </c>
      <c r="Q193">
        <v>0.14621050150457</v>
      </c>
      <c r="R193">
        <v>0.828247222107892</v>
      </c>
      <c r="S193" t="s">
        <v>1877</v>
      </c>
      <c r="T193" t="s">
        <v>3344</v>
      </c>
      <c r="U193" t="s">
        <v>3344</v>
      </c>
      <c r="V193" t="s">
        <v>3344</v>
      </c>
      <c r="W193" t="s">
        <v>3537</v>
      </c>
      <c r="X193">
        <v>13</v>
      </c>
      <c r="Y193" t="s">
        <v>5192</v>
      </c>
      <c r="Z193" t="s">
        <v>6850</v>
      </c>
      <c r="AA193">
        <v>0.7437411632909438</v>
      </c>
      <c r="AB193">
        <f>HYPERLINK("Melting_Curves/meltCurve_P0A6K6_deoB.pdf", "Melting_Curves/meltCurve_P0A6K6_deoB.pdf")</f>
        <v>0</v>
      </c>
    </row>
    <row r="194" spans="1:28">
      <c r="A194" t="s">
        <v>220</v>
      </c>
      <c r="B194">
        <v>0.999998419929286</v>
      </c>
      <c r="C194">
        <v>0.884241799647404</v>
      </c>
      <c r="D194">
        <v>1.0642779411189</v>
      </c>
      <c r="E194">
        <v>1.08547195733354</v>
      </c>
      <c r="F194">
        <v>1.36181975292536</v>
      </c>
      <c r="G194">
        <v>1.32201777860335</v>
      </c>
      <c r="H194">
        <v>0.76043811265935</v>
      </c>
      <c r="I194">
        <v>0.202233796408166</v>
      </c>
      <c r="J194">
        <v>0.114715527559763</v>
      </c>
      <c r="K194">
        <v>0.0934219065031909</v>
      </c>
      <c r="L194">
        <v>3648.83611895174</v>
      </c>
      <c r="M194">
        <v>62.4724386913376</v>
      </c>
      <c r="N194">
        <v>58.6514506601405</v>
      </c>
      <c r="O194">
        <v>58.3473960334934</v>
      </c>
      <c r="P194">
        <v>-0.237008905702589</v>
      </c>
      <c r="Q194">
        <v>0.114563613040767</v>
      </c>
      <c r="R194">
        <v>0.875139603552728</v>
      </c>
      <c r="S194" t="s">
        <v>1878</v>
      </c>
      <c r="T194" t="s">
        <v>3344</v>
      </c>
      <c r="U194" t="s">
        <v>3344</v>
      </c>
      <c r="V194" t="s">
        <v>3344</v>
      </c>
      <c r="W194" t="s">
        <v>3538</v>
      </c>
      <c r="X194">
        <v>11</v>
      </c>
      <c r="Y194" t="s">
        <v>5193</v>
      </c>
      <c r="Z194" t="s">
        <v>6851</v>
      </c>
      <c r="AA194">
        <v>0.7478312832265459</v>
      </c>
      <c r="AB194">
        <f>HYPERLINK("Melting_Curves/meltCurve_P0A6L0_deoC.pdf", "Melting_Curves/meltCurve_P0A6L0_deoC.pdf")</f>
        <v>0</v>
      </c>
    </row>
    <row r="195" spans="1:28">
      <c r="A195" t="s">
        <v>221</v>
      </c>
      <c r="B195">
        <v>0.999998419929286</v>
      </c>
      <c r="C195">
        <v>1.0839044211368</v>
      </c>
      <c r="D195">
        <v>1.09511730617864</v>
      </c>
      <c r="E195">
        <v>1.24278739173432</v>
      </c>
      <c r="F195">
        <v>1.43563409141353</v>
      </c>
      <c r="G195">
        <v>1.77995599349723</v>
      </c>
      <c r="H195">
        <v>1.39400120714363</v>
      </c>
      <c r="I195">
        <v>0.712606848045211</v>
      </c>
      <c r="J195">
        <v>0.310414358666422</v>
      </c>
      <c r="K195">
        <v>0.114759666664579</v>
      </c>
      <c r="L195">
        <v>3568.90348676089</v>
      </c>
      <c r="M195">
        <v>57.5521401127112</v>
      </c>
      <c r="N195">
        <v>62.3723360588381</v>
      </c>
      <c r="O195">
        <v>61.9369204600359</v>
      </c>
      <c r="P195">
        <v>-0.199420245516121</v>
      </c>
      <c r="Q195">
        <v>0.14154577563675</v>
      </c>
      <c r="R195">
        <v>0.559800754324384</v>
      </c>
      <c r="S195" t="s">
        <v>1879</v>
      </c>
      <c r="T195" t="s">
        <v>3344</v>
      </c>
      <c r="U195" t="s">
        <v>3344</v>
      </c>
      <c r="V195" t="s">
        <v>3344</v>
      </c>
      <c r="W195" t="s">
        <v>3539</v>
      </c>
      <c r="X195">
        <v>7</v>
      </c>
      <c r="Y195" t="s">
        <v>5194</v>
      </c>
      <c r="Z195" t="s">
        <v>6852</v>
      </c>
      <c r="AA195">
        <v>0.8585156407352817</v>
      </c>
      <c r="AB195">
        <f>HYPERLINK("Melting_Curves/meltCurve_P0A6L2_dapA.pdf", "Melting_Curves/meltCurve_P0A6L2_dapA.pdf")</f>
        <v>0</v>
      </c>
    </row>
    <row r="196" spans="1:28">
      <c r="A196" t="s">
        <v>222</v>
      </c>
      <c r="B196">
        <v>0.999998419929286</v>
      </c>
      <c r="C196">
        <v>1.3140250116928</v>
      </c>
      <c r="D196">
        <v>1.28305135454572</v>
      </c>
      <c r="E196">
        <v>1.34842403313452</v>
      </c>
      <c r="F196">
        <v>1.18372351714296</v>
      </c>
      <c r="G196">
        <v>0.207956604176898</v>
      </c>
      <c r="H196">
        <v>0.131440223514025</v>
      </c>
      <c r="I196">
        <v>0.120621280695275</v>
      </c>
      <c r="J196">
        <v>0.103122352717087</v>
      </c>
      <c r="K196">
        <v>0.0843954273702627</v>
      </c>
      <c r="L196">
        <v>13337.6110387283</v>
      </c>
      <c r="M196">
        <v>250</v>
      </c>
      <c r="N196">
        <v>53.4034609982188</v>
      </c>
      <c r="O196">
        <v>53.3470303308548</v>
      </c>
      <c r="P196">
        <v>-1.04282427960325</v>
      </c>
      <c r="Q196">
        <v>0.109894749642767</v>
      </c>
      <c r="R196">
        <v>0.891629467241893</v>
      </c>
      <c r="S196" t="s">
        <v>1880</v>
      </c>
      <c r="T196" t="s">
        <v>3344</v>
      </c>
      <c r="U196" t="s">
        <v>3344</v>
      </c>
      <c r="V196" t="s">
        <v>3344</v>
      </c>
      <c r="W196" t="s">
        <v>3540</v>
      </c>
      <c r="X196">
        <v>4</v>
      </c>
      <c r="Y196" t="s">
        <v>5195</v>
      </c>
      <c r="Z196" t="s">
        <v>6853</v>
      </c>
      <c r="AA196">
        <v>0.5950986290832391</v>
      </c>
      <c r="AB196">
        <f>HYPERLINK("Melting_Curves/meltCurve_P0A6L7_uxaB.pdf", "Melting_Curves/meltCurve_P0A6L7_uxaB.pdf")</f>
        <v>0</v>
      </c>
    </row>
    <row r="197" spans="1:28">
      <c r="A197" t="s">
        <v>223</v>
      </c>
      <c r="B197">
        <v>0.999998419929286</v>
      </c>
      <c r="C197">
        <v>0.775148889076237</v>
      </c>
      <c r="D197">
        <v>0.860432532740247</v>
      </c>
      <c r="E197">
        <v>0.8866163396939311</v>
      </c>
      <c r="F197">
        <v>0.963024277050112</v>
      </c>
      <c r="G197">
        <v>1.01159461677155</v>
      </c>
      <c r="H197">
        <v>0.970563482549474</v>
      </c>
      <c r="I197">
        <v>0.713154034547158</v>
      </c>
      <c r="J197">
        <v>0.726547432172487</v>
      </c>
      <c r="K197">
        <v>0.588352478639718</v>
      </c>
      <c r="L197">
        <v>3283.10064954871</v>
      </c>
      <c r="M197">
        <v>55.0882368427013</v>
      </c>
      <c r="O197">
        <v>59.5187462132214</v>
      </c>
      <c r="P197">
        <v>-0.08135681160730281</v>
      </c>
      <c r="Q197">
        <v>0.648400251593662</v>
      </c>
      <c r="R197">
        <v>0.496303322762596</v>
      </c>
      <c r="S197" t="s">
        <v>1881</v>
      </c>
      <c r="T197" t="s">
        <v>3344</v>
      </c>
      <c r="U197" t="s">
        <v>3344</v>
      </c>
      <c r="V197" t="s">
        <v>3344</v>
      </c>
      <c r="W197" t="s">
        <v>3541</v>
      </c>
      <c r="X197">
        <v>2</v>
      </c>
      <c r="Y197" t="s">
        <v>5196</v>
      </c>
      <c r="Z197" t="s">
        <v>6854</v>
      </c>
      <c r="AA197">
        <v>0.9139611145003806</v>
      </c>
      <c r="AB197">
        <f>HYPERLINK("Melting_Curves/meltCurve_P0A6L9_hscB.pdf", "Melting_Curves/meltCurve_P0A6L9_hscB.pdf")</f>
        <v>0</v>
      </c>
    </row>
    <row r="198" spans="1:28">
      <c r="A198" t="s">
        <v>224</v>
      </c>
      <c r="B198">
        <v>0.999998419929286</v>
      </c>
      <c r="C198">
        <v>0.718970851379396</v>
      </c>
      <c r="D198">
        <v>1.26231921227007</v>
      </c>
      <c r="E198">
        <v>0.706852202991035</v>
      </c>
      <c r="F198">
        <v>0.479704449148661</v>
      </c>
      <c r="G198">
        <v>0.18018195831734</v>
      </c>
      <c r="H198">
        <v>0.08888743797559211</v>
      </c>
      <c r="I198">
        <v>0.080197443429622</v>
      </c>
      <c r="J198">
        <v>0.0452700286827906</v>
      </c>
      <c r="K198">
        <v>0.0683582472643459</v>
      </c>
      <c r="L198">
        <v>1131.15931590075</v>
      </c>
      <c r="M198">
        <v>22.9073162539696</v>
      </c>
      <c r="N198">
        <v>49.6500429909573</v>
      </c>
      <c r="O198">
        <v>49.008129779992</v>
      </c>
      <c r="P198">
        <v>-0.11000834073916</v>
      </c>
      <c r="Q198">
        <v>0.0586063425239275</v>
      </c>
      <c r="R198">
        <v>0.900108733842539</v>
      </c>
      <c r="S198" t="s">
        <v>1882</v>
      </c>
      <c r="T198" t="s">
        <v>3344</v>
      </c>
      <c r="U198" t="s">
        <v>3344</v>
      </c>
      <c r="V198" t="s">
        <v>3344</v>
      </c>
      <c r="W198" t="s">
        <v>3542</v>
      </c>
      <c r="X198">
        <v>1</v>
      </c>
      <c r="Y198" t="s">
        <v>5197</v>
      </c>
      <c r="Z198" t="s">
        <v>6855</v>
      </c>
      <c r="AA198">
        <v>0.4567420751407148</v>
      </c>
      <c r="AB198">
        <f>HYPERLINK("Melting_Curves/meltCurve_P0A6M4_dtd.pdf", "Melting_Curves/meltCurve_P0A6M4_dtd.pdf")</f>
        <v>0</v>
      </c>
    </row>
    <row r="199" spans="1:28">
      <c r="A199" t="s">
        <v>225</v>
      </c>
      <c r="B199">
        <v>0.999998419929286</v>
      </c>
      <c r="C199">
        <v>1.30227703640925</v>
      </c>
      <c r="D199">
        <v>1.41667582903129</v>
      </c>
      <c r="E199">
        <v>1.6161029328092</v>
      </c>
      <c r="F199">
        <v>1.48402064215343</v>
      </c>
      <c r="G199">
        <v>1.78459188182816</v>
      </c>
      <c r="H199">
        <v>1.22553781393166</v>
      </c>
      <c r="I199">
        <v>0.375409055696676</v>
      </c>
      <c r="J199">
        <v>0.101103166221392</v>
      </c>
      <c r="K199">
        <v>0.0611218601335324</v>
      </c>
      <c r="L199">
        <v>15000</v>
      </c>
      <c r="M199">
        <v>246.654138881304</v>
      </c>
      <c r="N199">
        <v>60.8575516431636</v>
      </c>
      <c r="O199">
        <v>60.8099015805672</v>
      </c>
      <c r="P199">
        <v>-0.9317883228700919</v>
      </c>
      <c r="Q199">
        <v>0.08111080080925499</v>
      </c>
      <c r="R199">
        <v>0.571891204799007</v>
      </c>
      <c r="S199" t="s">
        <v>1883</v>
      </c>
      <c r="T199" t="s">
        <v>3344</v>
      </c>
      <c r="U199" t="s">
        <v>3344</v>
      </c>
      <c r="V199" t="s">
        <v>3344</v>
      </c>
      <c r="W199" t="s">
        <v>3543</v>
      </c>
      <c r="X199">
        <v>26</v>
      </c>
      <c r="Y199" t="s">
        <v>5198</v>
      </c>
      <c r="Z199" t="s">
        <v>6856</v>
      </c>
      <c r="AA199">
        <v>0.8106227172186792</v>
      </c>
      <c r="AB199">
        <f>HYPERLINK("Melting_Curves/meltCurve_P0A6M8_fusA.pdf", "Melting_Curves/meltCurve_P0A6M8_fusA.pdf")</f>
        <v>0</v>
      </c>
    </row>
    <row r="200" spans="1:28">
      <c r="A200" t="s">
        <v>226</v>
      </c>
      <c r="B200">
        <v>0.999998419929286</v>
      </c>
      <c r="C200">
        <v>0.940575289352819</v>
      </c>
      <c r="D200">
        <v>1.00622136821553</v>
      </c>
      <c r="E200">
        <v>1.11905217092915</v>
      </c>
      <c r="F200">
        <v>1.05389987791748</v>
      </c>
      <c r="G200">
        <v>1.12957406180545</v>
      </c>
      <c r="H200">
        <v>0.840022654608129</v>
      </c>
      <c r="I200">
        <v>0.631566060377697</v>
      </c>
      <c r="J200">
        <v>0.618148677230917</v>
      </c>
      <c r="K200">
        <v>0.629619953436427</v>
      </c>
      <c r="L200">
        <v>14366.5868453577</v>
      </c>
      <c r="M200">
        <v>250</v>
      </c>
      <c r="O200">
        <v>57.4626738420526</v>
      </c>
      <c r="P200">
        <v>-0.406302008611299</v>
      </c>
      <c r="Q200">
        <v>0.626444829095778</v>
      </c>
      <c r="R200">
        <v>0.899992506918788</v>
      </c>
      <c r="S200" t="s">
        <v>1884</v>
      </c>
      <c r="T200" t="s">
        <v>3344</v>
      </c>
      <c r="U200" t="s">
        <v>3344</v>
      </c>
      <c r="V200" t="s">
        <v>3344</v>
      </c>
      <c r="W200" t="s">
        <v>3544</v>
      </c>
      <c r="X200">
        <v>4</v>
      </c>
      <c r="Y200" t="s">
        <v>5199</v>
      </c>
      <c r="Z200" t="s">
        <v>6857</v>
      </c>
      <c r="AA200">
        <v>0.881326166214085</v>
      </c>
      <c r="AB200">
        <f>HYPERLINK("Melting_Curves/meltCurve_P0A6N4_efp.pdf", "Melting_Curves/meltCurve_P0A6N4_efp.pdf")</f>
        <v>0</v>
      </c>
    </row>
    <row r="201" spans="1:28">
      <c r="A201" t="s">
        <v>227</v>
      </c>
      <c r="B201">
        <v>0.999998419929286</v>
      </c>
      <c r="C201">
        <v>0.983150218205476</v>
      </c>
      <c r="D201">
        <v>1.02809951764813</v>
      </c>
      <c r="E201">
        <v>1.14131490349946</v>
      </c>
      <c r="F201">
        <v>1.00613154471481</v>
      </c>
      <c r="G201">
        <v>0.385317211437218</v>
      </c>
      <c r="H201">
        <v>0.0705603805029531</v>
      </c>
      <c r="I201">
        <v>0.034124446926745</v>
      </c>
      <c r="J201">
        <v>0.0321286574562543</v>
      </c>
      <c r="K201">
        <v>0.0284991051925132</v>
      </c>
      <c r="L201">
        <v>4065.05756212941</v>
      </c>
      <c r="M201">
        <v>76.1306526545455</v>
      </c>
      <c r="N201">
        <v>53.4543130017251</v>
      </c>
      <c r="O201">
        <v>53.3589997210265</v>
      </c>
      <c r="P201">
        <v>-0.342436214401817</v>
      </c>
      <c r="Q201">
        <v>0.0399635592837962</v>
      </c>
      <c r="R201">
        <v>0.99009907358484</v>
      </c>
      <c r="S201" t="s">
        <v>1885</v>
      </c>
      <c r="T201" t="s">
        <v>3344</v>
      </c>
      <c r="U201" t="s">
        <v>3344</v>
      </c>
      <c r="V201" t="s">
        <v>3344</v>
      </c>
      <c r="W201" t="s">
        <v>3545</v>
      </c>
      <c r="X201">
        <v>5</v>
      </c>
      <c r="Y201" t="s">
        <v>5200</v>
      </c>
      <c r="Z201" t="s">
        <v>6858</v>
      </c>
      <c r="AA201">
        <v>0.5656214993660372</v>
      </c>
      <c r="AB201">
        <f>HYPERLINK("Melting_Curves/meltCurve_P0A6N8_yeiP.pdf", "Melting_Curves/meltCurve_P0A6N8_yeiP.pdf")</f>
        <v>0</v>
      </c>
    </row>
    <row r="202" spans="1:28">
      <c r="A202" t="s">
        <v>228</v>
      </c>
      <c r="B202">
        <v>0.999998419929286</v>
      </c>
      <c r="C202">
        <v>0.903809405786141</v>
      </c>
      <c r="D202">
        <v>1.06639540574628</v>
      </c>
      <c r="E202">
        <v>1.209803144298</v>
      </c>
      <c r="F202">
        <v>1.59623312210116</v>
      </c>
      <c r="G202">
        <v>1.89146184107418</v>
      </c>
      <c r="H202">
        <v>1.78761351737392</v>
      </c>
      <c r="I202">
        <v>1.58143753148448</v>
      </c>
      <c r="J202">
        <v>1.71099410697707</v>
      </c>
      <c r="K202">
        <v>1.90612442323985</v>
      </c>
      <c r="L202">
        <v>11665.1165625491</v>
      </c>
      <c r="M202">
        <v>250</v>
      </c>
      <c r="O202">
        <v>46.6574805820841</v>
      </c>
      <c r="P202">
        <v>0.66977470370192</v>
      </c>
      <c r="Q202">
        <v>1.5</v>
      </c>
      <c r="R202">
        <v>0.642070849949077</v>
      </c>
      <c r="S202" t="s">
        <v>1886</v>
      </c>
      <c r="T202" t="s">
        <v>3344</v>
      </c>
      <c r="U202" t="s">
        <v>3344</v>
      </c>
      <c r="V202" t="s">
        <v>3344</v>
      </c>
      <c r="W202" t="s">
        <v>3546</v>
      </c>
      <c r="X202">
        <v>18</v>
      </c>
      <c r="Y202" t="s">
        <v>5201</v>
      </c>
      <c r="Z202" t="s">
        <v>6859</v>
      </c>
      <c r="AA202">
        <v>1.338951284967357</v>
      </c>
      <c r="AB202">
        <f>HYPERLINK("Melting_Curves/meltCurve_P0A6P1_tsf.pdf", "Melting_Curves/meltCurve_P0A6P1_tsf.pdf")</f>
        <v>0</v>
      </c>
    </row>
    <row r="203" spans="1:28">
      <c r="A203" t="s">
        <v>229</v>
      </c>
      <c r="B203">
        <v>0.999998419929286</v>
      </c>
      <c r="C203">
        <v>0.671843334841964</v>
      </c>
      <c r="D203">
        <v>0.304540139671054</v>
      </c>
      <c r="E203">
        <v>0.190314031731864</v>
      </c>
      <c r="F203">
        <v>0.196077566594845</v>
      </c>
      <c r="G203">
        <v>0.194138080026941</v>
      </c>
      <c r="H203">
        <v>0.162897512075572</v>
      </c>
      <c r="I203">
        <v>0.137595017778722</v>
      </c>
      <c r="J203">
        <v>0.141524521755342</v>
      </c>
      <c r="K203">
        <v>0.130122679266732</v>
      </c>
      <c r="L203">
        <v>1222.99316028568</v>
      </c>
      <c r="M203">
        <v>30.1282146187456</v>
      </c>
      <c r="N203">
        <v>41.1295571701598</v>
      </c>
      <c r="O203">
        <v>40.4153832031923</v>
      </c>
      <c r="P203">
        <v>-0.156079970799168</v>
      </c>
      <c r="Q203">
        <v>0.162513941257797</v>
      </c>
      <c r="R203">
        <v>0.991611439896573</v>
      </c>
      <c r="S203" t="s">
        <v>1887</v>
      </c>
      <c r="T203" t="s">
        <v>3344</v>
      </c>
      <c r="U203" t="s">
        <v>3344</v>
      </c>
      <c r="V203" t="s">
        <v>3344</v>
      </c>
      <c r="W203" t="s">
        <v>3547</v>
      </c>
      <c r="X203">
        <v>4</v>
      </c>
      <c r="Y203" t="s">
        <v>5202</v>
      </c>
      <c r="Z203" t="s">
        <v>6860</v>
      </c>
      <c r="AA203">
        <v>0.2685272266737931</v>
      </c>
      <c r="AB203">
        <f>HYPERLINK("Melting_Curves/meltCurve_P0A6P5_der.pdf", "Melting_Curves/meltCurve_P0A6P5_der.pdf")</f>
        <v>0</v>
      </c>
    </row>
    <row r="204" spans="1:28">
      <c r="A204" t="s">
        <v>230</v>
      </c>
      <c r="B204">
        <v>0.999998419929286</v>
      </c>
      <c r="C204">
        <v>0.8141276716315921</v>
      </c>
      <c r="D204">
        <v>0.5968035056645969</v>
      </c>
      <c r="E204">
        <v>0.242439499449062</v>
      </c>
      <c r="F204">
        <v>0.117084047728465</v>
      </c>
      <c r="G204">
        <v>0.0671154884633707</v>
      </c>
      <c r="H204">
        <v>0.0446876965380117</v>
      </c>
      <c r="I204">
        <v>0.0338023166988576</v>
      </c>
      <c r="J204">
        <v>0.0264817267531287</v>
      </c>
      <c r="K204">
        <v>0.0230189948212126</v>
      </c>
      <c r="L204">
        <v>787.380077438295</v>
      </c>
      <c r="M204">
        <v>18.0578000811756</v>
      </c>
      <c r="N204">
        <v>43.7424439556816</v>
      </c>
      <c r="O204">
        <v>43.0791343138172</v>
      </c>
      <c r="P204">
        <v>-0.101874806665277</v>
      </c>
      <c r="Q204">
        <v>0.0279071316903691</v>
      </c>
      <c r="R204">
        <v>0.997205240227904</v>
      </c>
      <c r="S204" t="s">
        <v>1888</v>
      </c>
      <c r="T204" t="s">
        <v>3344</v>
      </c>
      <c r="U204" t="s">
        <v>3344</v>
      </c>
      <c r="V204" t="s">
        <v>3344</v>
      </c>
      <c r="W204" t="s">
        <v>3548</v>
      </c>
      <c r="X204">
        <v>5</v>
      </c>
      <c r="Y204" t="s">
        <v>5203</v>
      </c>
      <c r="Z204" t="s">
        <v>6861</v>
      </c>
      <c r="AA204">
        <v>0.2584051897405192</v>
      </c>
      <c r="AB204">
        <f>HYPERLINK("Melting_Curves/meltCurve_P0A6P7_engB.pdf", "Melting_Curves/meltCurve_P0A6P7_engB.pdf")</f>
        <v>0</v>
      </c>
    </row>
    <row r="205" spans="1:28">
      <c r="A205" t="s">
        <v>231</v>
      </c>
      <c r="B205">
        <v>0.999998419929286</v>
      </c>
      <c r="C205">
        <v>1.04169552574604</v>
      </c>
      <c r="D205">
        <v>1.18298239448165</v>
      </c>
      <c r="E205">
        <v>1.4862144446878</v>
      </c>
      <c r="F205">
        <v>1.7187045919174</v>
      </c>
      <c r="G205">
        <v>2.10825644361096</v>
      </c>
      <c r="H205">
        <v>1.89169851147468</v>
      </c>
      <c r="I205">
        <v>1.47576632290299</v>
      </c>
      <c r="J205">
        <v>1.62463255736</v>
      </c>
      <c r="K205">
        <v>1.55567007283292</v>
      </c>
      <c r="L205">
        <v>2325.11277281539</v>
      </c>
      <c r="M205">
        <v>53.540414831688</v>
      </c>
      <c r="O205">
        <v>43.3667894999729</v>
      </c>
      <c r="P205">
        <v>0.154324458822776</v>
      </c>
      <c r="Q205">
        <v>1.5</v>
      </c>
      <c r="R205">
        <v>0.485391722750499</v>
      </c>
      <c r="S205" t="s">
        <v>1889</v>
      </c>
      <c r="T205" t="s">
        <v>3344</v>
      </c>
      <c r="U205" t="s">
        <v>3344</v>
      </c>
      <c r="V205" t="s">
        <v>3344</v>
      </c>
      <c r="W205" t="s">
        <v>3549</v>
      </c>
      <c r="X205">
        <v>19</v>
      </c>
      <c r="Y205" t="s">
        <v>5204</v>
      </c>
      <c r="Z205" t="s">
        <v>6862</v>
      </c>
      <c r="AA205">
        <v>1.392043648188618</v>
      </c>
      <c r="AB205">
        <f>HYPERLINK("Melting_Curves/meltCurve_P0A6P9_eno.pdf", "Melting_Curves/meltCurve_P0A6P9_eno.pdf")</f>
        <v>0</v>
      </c>
    </row>
    <row r="206" spans="1:28">
      <c r="A206" t="s">
        <v>232</v>
      </c>
      <c r="B206">
        <v>0.999998419929286</v>
      </c>
      <c r="C206">
        <v>0.841295087387376</v>
      </c>
      <c r="D206">
        <v>1.14258906293722</v>
      </c>
      <c r="E206">
        <v>1.17676310906855</v>
      </c>
      <c r="F206">
        <v>1.40283147590881</v>
      </c>
      <c r="G206">
        <v>1.57744806328197</v>
      </c>
      <c r="H206">
        <v>1.58463724452148</v>
      </c>
      <c r="I206">
        <v>1.09000569400833</v>
      </c>
      <c r="J206">
        <v>0.896727960067139</v>
      </c>
      <c r="K206">
        <v>0.455038494624112</v>
      </c>
      <c r="L206">
        <v>15000</v>
      </c>
      <c r="M206">
        <v>232.555898051015</v>
      </c>
      <c r="N206">
        <v>65.1751375414289</v>
      </c>
      <c r="O206">
        <v>64.49585181284939</v>
      </c>
      <c r="P206">
        <v>-0.491332607289044</v>
      </c>
      <c r="Q206">
        <v>0.454945409880659</v>
      </c>
      <c r="R206">
        <v>0.156688837124062</v>
      </c>
      <c r="S206" t="s">
        <v>1890</v>
      </c>
      <c r="T206" t="s">
        <v>3344</v>
      </c>
      <c r="U206" t="s">
        <v>3344</v>
      </c>
      <c r="V206" t="s">
        <v>3344</v>
      </c>
      <c r="W206" t="s">
        <v>3550</v>
      </c>
      <c r="X206">
        <v>11</v>
      </c>
      <c r="Y206" t="s">
        <v>5205</v>
      </c>
      <c r="Z206" t="s">
        <v>6863</v>
      </c>
      <c r="AA206">
        <v>0.9546604470082419</v>
      </c>
      <c r="AB206">
        <f>HYPERLINK("Melting_Curves/meltCurve_P0A6Q3_fabA.pdf", "Melting_Curves/meltCurve_P0A6Q3_fabA.pdf")</f>
        <v>0</v>
      </c>
    </row>
    <row r="207" spans="1:28">
      <c r="A207" t="s">
        <v>233</v>
      </c>
      <c r="B207">
        <v>0.999998419929286</v>
      </c>
      <c r="C207">
        <v>1.29321215124188</v>
      </c>
      <c r="D207">
        <v>0.978952091307849</v>
      </c>
      <c r="E207">
        <v>1.46801331476694</v>
      </c>
      <c r="F207">
        <v>1.81640900347466</v>
      </c>
      <c r="G207">
        <v>2.70113765087501</v>
      </c>
      <c r="H207">
        <v>2.48313802778565</v>
      </c>
      <c r="I207">
        <v>1.57881108879311</v>
      </c>
      <c r="J207">
        <v>1.35372577137107</v>
      </c>
      <c r="K207">
        <v>1.25859943738201</v>
      </c>
      <c r="L207">
        <v>11524.9639499743</v>
      </c>
      <c r="M207">
        <v>250</v>
      </c>
      <c r="O207">
        <v>46.0969055508101</v>
      </c>
      <c r="P207">
        <v>0.67791969009585</v>
      </c>
      <c r="Q207">
        <v>1.5</v>
      </c>
      <c r="R207">
        <v>0.127533016063154</v>
      </c>
      <c r="S207" t="s">
        <v>1891</v>
      </c>
      <c r="T207" t="s">
        <v>3344</v>
      </c>
      <c r="U207" t="s">
        <v>3344</v>
      </c>
      <c r="V207" t="s">
        <v>3344</v>
      </c>
      <c r="W207" t="s">
        <v>3551</v>
      </c>
      <c r="X207">
        <v>3</v>
      </c>
      <c r="Y207" t="s">
        <v>5206</v>
      </c>
      <c r="Z207" t="s">
        <v>6864</v>
      </c>
      <c r="AA207">
        <v>1.348295284403653</v>
      </c>
      <c r="AB207">
        <f>HYPERLINK("Melting_Curves/meltCurve_P0A6Q6_fabZ.pdf", "Melting_Curves/meltCurve_P0A6Q6_fabZ.pdf")</f>
        <v>0</v>
      </c>
    </row>
    <row r="208" spans="1:28">
      <c r="A208" t="s">
        <v>234</v>
      </c>
      <c r="B208">
        <v>0.999998419929286</v>
      </c>
      <c r="C208">
        <v>1.07479929551068</v>
      </c>
      <c r="D208">
        <v>1.09689590915213</v>
      </c>
      <c r="E208">
        <v>1.14559631928004</v>
      </c>
      <c r="F208">
        <v>0.374332947624757</v>
      </c>
      <c r="G208">
        <v>0.174748630803227</v>
      </c>
      <c r="H208">
        <v>0.112415825374793</v>
      </c>
      <c r="I208">
        <v>0.06481885038334791</v>
      </c>
      <c r="J208">
        <v>0.0519131487756606</v>
      </c>
      <c r="K208">
        <v>0.0547908747278111</v>
      </c>
      <c r="L208">
        <v>11135.5910308491</v>
      </c>
      <c r="M208">
        <v>222.61932307395</v>
      </c>
      <c r="N208">
        <v>50.0663709336331</v>
      </c>
      <c r="O208">
        <v>50.016737276458</v>
      </c>
      <c r="P208">
        <v>-1.01064568540583</v>
      </c>
      <c r="Q208">
        <v>0.09173741475900089</v>
      </c>
      <c r="R208">
        <v>0.978666759811016</v>
      </c>
      <c r="S208" t="s">
        <v>1892</v>
      </c>
      <c r="T208" t="s">
        <v>3344</v>
      </c>
      <c r="U208" t="s">
        <v>3344</v>
      </c>
      <c r="V208" t="s">
        <v>3344</v>
      </c>
      <c r="W208" t="s">
        <v>3552</v>
      </c>
      <c r="X208">
        <v>9</v>
      </c>
      <c r="Y208" t="s">
        <v>5207</v>
      </c>
      <c r="Z208" t="s">
        <v>6865</v>
      </c>
      <c r="AA208">
        <v>0.4860473923691626</v>
      </c>
      <c r="AB208">
        <f>HYPERLINK("Melting_Curves/meltCurve_P0A6R0_fabH.pdf", "Melting_Curves/meltCurve_P0A6R0_fabH.pdf")</f>
        <v>0</v>
      </c>
    </row>
    <row r="209" spans="1:28">
      <c r="A209" t="s">
        <v>235</v>
      </c>
      <c r="B209">
        <v>0.999998419929286</v>
      </c>
      <c r="C209">
        <v>0.859491728473745</v>
      </c>
      <c r="D209">
        <v>0.949636723726391</v>
      </c>
      <c r="E209">
        <v>1.0276533694858</v>
      </c>
      <c r="F209">
        <v>1.11527678117662</v>
      </c>
      <c r="G209">
        <v>0.9972252063347939</v>
      </c>
      <c r="H209">
        <v>0.705449707512409</v>
      </c>
      <c r="I209">
        <v>0.531292521819829</v>
      </c>
      <c r="J209">
        <v>0.473395876839435</v>
      </c>
      <c r="K209">
        <v>0.495571739932736</v>
      </c>
      <c r="L209">
        <v>3250.68972231735</v>
      </c>
      <c r="M209">
        <v>56.9352927174273</v>
      </c>
      <c r="N209">
        <v>62.035713723188</v>
      </c>
      <c r="O209">
        <v>57.0241366212557</v>
      </c>
      <c r="P209">
        <v>-0.126144080180147</v>
      </c>
      <c r="Q209">
        <v>0.494636441952197</v>
      </c>
      <c r="R209">
        <v>0.929596109346457</v>
      </c>
      <c r="S209" t="s">
        <v>1893</v>
      </c>
      <c r="T209" t="s">
        <v>3344</v>
      </c>
      <c r="U209" t="s">
        <v>3344</v>
      </c>
      <c r="V209" t="s">
        <v>3344</v>
      </c>
      <c r="W209" t="s">
        <v>3553</v>
      </c>
      <c r="X209">
        <v>8</v>
      </c>
      <c r="Y209" t="s">
        <v>5208</v>
      </c>
      <c r="Z209" t="s">
        <v>6866</v>
      </c>
      <c r="AA209">
        <v>0.8341116117740255</v>
      </c>
      <c r="AB209">
        <f>HYPERLINK("Melting_Curves/meltCurve_P0A6S0_flgH.pdf", "Melting_Curves/meltCurve_P0A6S0_flgH.pdf")</f>
        <v>0</v>
      </c>
    </row>
    <row r="210" spans="1:28">
      <c r="A210" t="s">
        <v>236</v>
      </c>
      <c r="B210">
        <v>0.999998419929286</v>
      </c>
      <c r="C210">
        <v>0.876776998819489</v>
      </c>
      <c r="D210">
        <v>0.89197860578383</v>
      </c>
      <c r="E210">
        <v>0.861250739115164</v>
      </c>
      <c r="F210">
        <v>0.468593461191162</v>
      </c>
      <c r="G210">
        <v>0.155073784661849</v>
      </c>
      <c r="H210">
        <v>0.0820986400241282</v>
      </c>
      <c r="I210">
        <v>0.0431502865453357</v>
      </c>
      <c r="J210">
        <v>0.0308585763881452</v>
      </c>
      <c r="K210">
        <v>0.0192839899721046</v>
      </c>
      <c r="L210">
        <v>1116.95782136578</v>
      </c>
      <c r="M210">
        <v>22.4246700170399</v>
      </c>
      <c r="N210">
        <v>49.9071252534552</v>
      </c>
      <c r="O210">
        <v>49.4183235623046</v>
      </c>
      <c r="P210">
        <v>-0.111006977425318</v>
      </c>
      <c r="Q210">
        <v>0.0214950350829393</v>
      </c>
      <c r="R210">
        <v>0.985831654759559</v>
      </c>
      <c r="S210" t="s">
        <v>1894</v>
      </c>
      <c r="T210" t="s">
        <v>3344</v>
      </c>
      <c r="U210" t="s">
        <v>3344</v>
      </c>
      <c r="V210" t="s">
        <v>3344</v>
      </c>
      <c r="W210" t="s">
        <v>3554</v>
      </c>
      <c r="X210">
        <v>5</v>
      </c>
      <c r="Y210" t="s">
        <v>5209</v>
      </c>
      <c r="Z210" t="s">
        <v>6867</v>
      </c>
      <c r="AA210">
        <v>0.4497751470659361</v>
      </c>
      <c r="AB210">
        <f>HYPERLINK("Melting_Curves/meltCurve_P0A6S7_gpsA.pdf", "Melting_Curves/meltCurve_P0A6S7_gpsA.pdf")</f>
        <v>0</v>
      </c>
    </row>
    <row r="211" spans="1:28">
      <c r="A211" t="s">
        <v>237</v>
      </c>
      <c r="B211">
        <v>0.999998419929286</v>
      </c>
      <c r="C211">
        <v>1.28607196069245</v>
      </c>
      <c r="D211">
        <v>1.63926006708656</v>
      </c>
      <c r="E211">
        <v>1.70542758283744</v>
      </c>
      <c r="F211">
        <v>1.99806819173029</v>
      </c>
      <c r="G211">
        <v>2.18654809440896</v>
      </c>
      <c r="H211">
        <v>1.09800434194802</v>
      </c>
      <c r="I211">
        <v>0.0726882649137427</v>
      </c>
      <c r="J211">
        <v>0.0486057025916024</v>
      </c>
      <c r="K211">
        <v>0.0287519405253985</v>
      </c>
      <c r="L211">
        <v>15000</v>
      </c>
      <c r="M211">
        <v>249.206592007307</v>
      </c>
      <c r="N211">
        <v>60.2104978075625</v>
      </c>
      <c r="O211">
        <v>60.1871483384088</v>
      </c>
      <c r="P211">
        <v>-0.995102108396417</v>
      </c>
      <c r="Q211">
        <v>0.0386713755796899</v>
      </c>
      <c r="R211">
        <v>0.432728428374239</v>
      </c>
      <c r="S211" t="s">
        <v>1895</v>
      </c>
      <c r="T211" t="s">
        <v>3344</v>
      </c>
      <c r="U211" t="s">
        <v>3344</v>
      </c>
      <c r="V211" t="s">
        <v>3344</v>
      </c>
      <c r="W211" t="s">
        <v>3555</v>
      </c>
      <c r="X211">
        <v>10</v>
      </c>
      <c r="Y211" t="s">
        <v>5210</v>
      </c>
      <c r="Z211" t="s">
        <v>6868</v>
      </c>
      <c r="AA211">
        <v>0.7819134177621242</v>
      </c>
      <c r="AB211">
        <f>HYPERLINK("Melting_Curves/meltCurve_P0A6T1_pgi.pdf", "Melting_Curves/meltCurve_P0A6T1_pgi.pdf")</f>
        <v>0</v>
      </c>
    </row>
    <row r="212" spans="1:28">
      <c r="A212" t="s">
        <v>238</v>
      </c>
      <c r="B212">
        <v>0.999998419929286</v>
      </c>
      <c r="C212">
        <v>1.03537194245568</v>
      </c>
      <c r="D212">
        <v>1.06258682682308</v>
      </c>
      <c r="E212">
        <v>1.0514016975664</v>
      </c>
      <c r="F212">
        <v>0.748176027273749</v>
      </c>
      <c r="G212">
        <v>0.456245151070531</v>
      </c>
      <c r="H212">
        <v>0.27534483370635</v>
      </c>
      <c r="I212">
        <v>0.157394843340823</v>
      </c>
      <c r="J212">
        <v>0.132422315908983</v>
      </c>
      <c r="K212">
        <v>0.118078519348513</v>
      </c>
      <c r="L212">
        <v>1218.12344416337</v>
      </c>
      <c r="M212">
        <v>23.1223153913774</v>
      </c>
      <c r="N212">
        <v>53.348533371849</v>
      </c>
      <c r="O212">
        <v>52.29244170004</v>
      </c>
      <c r="P212">
        <v>-0.09667234539593671</v>
      </c>
      <c r="Q212">
        <v>0.125496133186383</v>
      </c>
      <c r="R212">
        <v>0.988780395323883</v>
      </c>
      <c r="S212" t="s">
        <v>1896</v>
      </c>
      <c r="T212" t="s">
        <v>3344</v>
      </c>
      <c r="U212" t="s">
        <v>3344</v>
      </c>
      <c r="V212" t="s">
        <v>3344</v>
      </c>
      <c r="W212" t="s">
        <v>3556</v>
      </c>
      <c r="X212">
        <v>7</v>
      </c>
      <c r="Y212" t="s">
        <v>5211</v>
      </c>
      <c r="Z212" t="s">
        <v>6869</v>
      </c>
      <c r="AA212">
        <v>0.5914647551326024</v>
      </c>
      <c r="AB212">
        <f>HYPERLINK("Melting_Curves/meltCurve_P0A6T3_galK.pdf", "Melting_Curves/meltCurve_P0A6T3_galK.pdf")</f>
        <v>0</v>
      </c>
    </row>
    <row r="213" spans="1:28">
      <c r="A213" t="s">
        <v>239</v>
      </c>
      <c r="B213">
        <v>0.999998419929286</v>
      </c>
      <c r="C213">
        <v>1.0673428101487</v>
      </c>
      <c r="D213">
        <v>1.02614728842271</v>
      </c>
      <c r="E213">
        <v>1.0049683521679</v>
      </c>
      <c r="F213">
        <v>1.22253291641128</v>
      </c>
      <c r="G213">
        <v>1.19309117244348</v>
      </c>
      <c r="H213">
        <v>1.03130113542174</v>
      </c>
      <c r="I213">
        <v>1.01247783821085</v>
      </c>
      <c r="J213">
        <v>0.910358238166745</v>
      </c>
      <c r="K213">
        <v>1.21330853080898</v>
      </c>
      <c r="L213">
        <v>693.012554158882</v>
      </c>
      <c r="M213">
        <v>16.8199535197609</v>
      </c>
      <c r="O213">
        <v>40.632634799341</v>
      </c>
      <c r="P213">
        <v>0.00883888371756528</v>
      </c>
      <c r="Q213">
        <v>1.08540427783859</v>
      </c>
      <c r="R213">
        <v>0.0606293069062546</v>
      </c>
      <c r="S213" t="s">
        <v>1897</v>
      </c>
      <c r="T213" t="s">
        <v>3344</v>
      </c>
      <c r="U213" t="s">
        <v>3344</v>
      </c>
      <c r="V213" t="s">
        <v>3344</v>
      </c>
      <c r="W213" t="s">
        <v>3557</v>
      </c>
      <c r="X213">
        <v>5</v>
      </c>
      <c r="Y213" t="s">
        <v>5212</v>
      </c>
      <c r="Z213" t="s">
        <v>6870</v>
      </c>
      <c r="AA213">
        <v>1.071336770714141</v>
      </c>
      <c r="AB213">
        <f>HYPERLINK("Melting_Curves/meltCurve_P0A6T5_folE.pdf", "Melting_Curves/meltCurve_P0A6T5_folE.pdf")</f>
        <v>0</v>
      </c>
    </row>
    <row r="214" spans="1:28">
      <c r="A214" t="s">
        <v>240</v>
      </c>
      <c r="B214">
        <v>0.999998419929286</v>
      </c>
      <c r="C214">
        <v>1.01101883790874</v>
      </c>
      <c r="D214">
        <v>0.705512300884256</v>
      </c>
      <c r="E214">
        <v>0.8148915841516901</v>
      </c>
      <c r="F214">
        <v>0.715563249662662</v>
      </c>
      <c r="G214">
        <v>0.703257759368927</v>
      </c>
      <c r="H214">
        <v>0.726773607107336</v>
      </c>
      <c r="I214">
        <v>1.03866013319389</v>
      </c>
      <c r="J214">
        <v>0.964652483867996</v>
      </c>
      <c r="K214">
        <v>0.760107411251619</v>
      </c>
      <c r="L214">
        <v>10304.3862680387</v>
      </c>
      <c r="M214">
        <v>250</v>
      </c>
      <c r="O214">
        <v>41.2149297157993</v>
      </c>
      <c r="P214">
        <v>-0.297720155747206</v>
      </c>
      <c r="Q214">
        <v>0.803671860821449</v>
      </c>
      <c r="R214">
        <v>0.358182825415609</v>
      </c>
      <c r="S214" t="s">
        <v>1898</v>
      </c>
      <c r="T214" t="s">
        <v>3344</v>
      </c>
      <c r="U214" t="s">
        <v>3344</v>
      </c>
      <c r="V214" t="s">
        <v>3344</v>
      </c>
      <c r="W214" t="s">
        <v>3558</v>
      </c>
      <c r="X214">
        <v>2</v>
      </c>
      <c r="Y214" t="s">
        <v>5213</v>
      </c>
      <c r="Z214" t="s">
        <v>6871</v>
      </c>
      <c r="AA214">
        <v>0.8312868216402794</v>
      </c>
      <c r="AB214">
        <f>HYPERLINK("Melting_Curves/meltCurve_P0A6T9_gcvH.pdf", "Melting_Curves/meltCurve_P0A6T9_gcvH.pdf")</f>
        <v>0</v>
      </c>
    </row>
    <row r="215" spans="1:28">
      <c r="A215" t="s">
        <v>241</v>
      </c>
      <c r="B215">
        <v>0.999998419929286</v>
      </c>
      <c r="C215">
        <v>1.05604281718888</v>
      </c>
      <c r="D215">
        <v>0.683457537121009</v>
      </c>
      <c r="E215">
        <v>0.714976854447034</v>
      </c>
      <c r="F215">
        <v>0.628101350584925</v>
      </c>
      <c r="G215">
        <v>0.660474796889248</v>
      </c>
      <c r="H215">
        <v>0.5149547902971801</v>
      </c>
      <c r="I215">
        <v>0.59076047590573</v>
      </c>
      <c r="J215">
        <v>0.571755170366316</v>
      </c>
      <c r="K215">
        <v>0.485740798634772</v>
      </c>
      <c r="L215">
        <v>10695.0551183978</v>
      </c>
      <c r="M215">
        <v>250</v>
      </c>
      <c r="O215">
        <v>42.7774629580717</v>
      </c>
      <c r="P215">
        <v>-0.591356625283034</v>
      </c>
      <c r="Q215">
        <v>0.595252033022057</v>
      </c>
      <c r="R215">
        <v>0.873899737662865</v>
      </c>
      <c r="S215" t="s">
        <v>1899</v>
      </c>
      <c r="T215" t="s">
        <v>3344</v>
      </c>
      <c r="U215" t="s">
        <v>3344</v>
      </c>
      <c r="V215" t="s">
        <v>3344</v>
      </c>
      <c r="W215" t="s">
        <v>3559</v>
      </c>
      <c r="X215">
        <v>2</v>
      </c>
      <c r="Y215" t="s">
        <v>5214</v>
      </c>
      <c r="Z215" t="s">
        <v>6872</v>
      </c>
      <c r="AA215">
        <v>0.673266837120331</v>
      </c>
      <c r="AB215">
        <f>HYPERLINK("Melting_Curves/meltCurve_P0A6U5_rsmG.pdf", "Melting_Curves/meltCurve_P0A6U5_rsmG.pdf")</f>
        <v>0</v>
      </c>
    </row>
    <row r="216" spans="1:28">
      <c r="A216" t="s">
        <v>242</v>
      </c>
      <c r="B216">
        <v>0.999998419929286</v>
      </c>
      <c r="C216">
        <v>0.968085540794005</v>
      </c>
      <c r="D216">
        <v>0.216060707285365</v>
      </c>
      <c r="E216">
        <v>0.138939800051075</v>
      </c>
      <c r="F216">
        <v>0.08484666654796499</v>
      </c>
      <c r="G216">
        <v>0.135989552341461</v>
      </c>
      <c r="H216">
        <v>0.0928610845945116</v>
      </c>
      <c r="I216">
        <v>0</v>
      </c>
      <c r="J216">
        <v>0</v>
      </c>
      <c r="K216">
        <v>0</v>
      </c>
      <c r="L216">
        <v>2698.3586941056</v>
      </c>
      <c r="M216">
        <v>64.381389231228</v>
      </c>
      <c r="N216">
        <v>42.0018349325683</v>
      </c>
      <c r="O216">
        <v>41.8717131059157</v>
      </c>
      <c r="P216">
        <v>-0.359696359136367</v>
      </c>
      <c r="Q216">
        <v>0.0642577114069303</v>
      </c>
      <c r="R216">
        <v>0.982006836935154</v>
      </c>
      <c r="S216" t="s">
        <v>1900</v>
      </c>
      <c r="T216" t="s">
        <v>3344</v>
      </c>
      <c r="U216" t="s">
        <v>3344</v>
      </c>
      <c r="V216" t="s">
        <v>3344</v>
      </c>
      <c r="W216" t="s">
        <v>3560</v>
      </c>
      <c r="X216">
        <v>1</v>
      </c>
      <c r="Y216" t="s">
        <v>5215</v>
      </c>
      <c r="Z216" t="s">
        <v>6873</v>
      </c>
      <c r="AA216">
        <v>0.2185168586965842</v>
      </c>
      <c r="AB216">
        <f>HYPERLINK("Melting_Curves/meltCurve_P0A6U8_glgA.pdf", "Melting_Curves/meltCurve_P0A6U8_glgA.pdf")</f>
        <v>0</v>
      </c>
    </row>
    <row r="217" spans="1:28">
      <c r="A217" t="s">
        <v>243</v>
      </c>
      <c r="B217">
        <v>0.999998419929286</v>
      </c>
      <c r="C217">
        <v>1.47212899090698</v>
      </c>
      <c r="D217">
        <v>1.26329949428229</v>
      </c>
      <c r="E217">
        <v>1.48269171222645</v>
      </c>
      <c r="F217">
        <v>1.47087848569348</v>
      </c>
      <c r="G217">
        <v>1.71759985003675</v>
      </c>
      <c r="H217">
        <v>1.38897553415549</v>
      </c>
      <c r="I217">
        <v>1.09335706220342</v>
      </c>
      <c r="J217">
        <v>1.12300408236663</v>
      </c>
      <c r="K217">
        <v>1.10642154838724</v>
      </c>
      <c r="L217">
        <v>9493.127530543519</v>
      </c>
      <c r="M217">
        <v>250</v>
      </c>
      <c r="O217">
        <v>37.9700577006802</v>
      </c>
      <c r="P217">
        <v>0.5703242951848631</v>
      </c>
      <c r="Q217">
        <v>1.34648414852805</v>
      </c>
      <c r="R217">
        <v>0.227007715315513</v>
      </c>
      <c r="S217" t="s">
        <v>1901</v>
      </c>
      <c r="T217" t="s">
        <v>3344</v>
      </c>
      <c r="U217" t="s">
        <v>3344</v>
      </c>
      <c r="V217" t="s">
        <v>3344</v>
      </c>
      <c r="W217" t="s">
        <v>3561</v>
      </c>
      <c r="X217">
        <v>9</v>
      </c>
      <c r="Y217" t="s">
        <v>5216</v>
      </c>
      <c r="Z217" t="s">
        <v>6874</v>
      </c>
      <c r="AA217">
        <v>1.33522676757529</v>
      </c>
      <c r="AB217">
        <f>HYPERLINK("Melting_Curves/meltCurve_P0A6V1_glgC.pdf", "Melting_Curves/meltCurve_P0A6V1_glgC.pdf")</f>
        <v>0</v>
      </c>
    </row>
    <row r="218" spans="1:28">
      <c r="A218" t="s">
        <v>244</v>
      </c>
      <c r="B218">
        <v>0.999998419929286</v>
      </c>
      <c r="C218">
        <v>0.829419320527757</v>
      </c>
      <c r="D218">
        <v>0.584865795560923</v>
      </c>
      <c r="E218">
        <v>0.160338108329659</v>
      </c>
      <c r="F218">
        <v>0.07623322262182</v>
      </c>
      <c r="G218">
        <v>0.0542841699256474</v>
      </c>
      <c r="H218">
        <v>0.0426681787016721</v>
      </c>
      <c r="I218">
        <v>0.0310051265330459</v>
      </c>
      <c r="J218">
        <v>0.0269267916667677</v>
      </c>
      <c r="K218">
        <v>0.0250120722825078</v>
      </c>
      <c r="L218">
        <v>964.601880599545</v>
      </c>
      <c r="M218">
        <v>22.2894212752458</v>
      </c>
      <c r="N218">
        <v>43.3949178898448</v>
      </c>
      <c r="O218">
        <v>42.9323894822074</v>
      </c>
      <c r="P218">
        <v>-0.125957977019991</v>
      </c>
      <c r="Q218">
        <v>0.0295731538824961</v>
      </c>
      <c r="R218">
        <v>0.996077787099051</v>
      </c>
      <c r="S218" t="s">
        <v>1902</v>
      </c>
      <c r="T218" t="s">
        <v>3344</v>
      </c>
      <c r="U218" t="s">
        <v>3344</v>
      </c>
      <c r="V218" t="s">
        <v>3344</v>
      </c>
      <c r="W218" t="s">
        <v>3562</v>
      </c>
      <c r="X218">
        <v>7</v>
      </c>
      <c r="Y218" t="s">
        <v>5217</v>
      </c>
      <c r="Z218" t="s">
        <v>6875</v>
      </c>
      <c r="AA218">
        <v>0.2430365275220077</v>
      </c>
      <c r="AB218">
        <f>HYPERLINK("Melting_Curves/meltCurve_P0A6V8_glk.pdf", "Melting_Curves/meltCurve_P0A6V8_glk.pdf")</f>
        <v>0</v>
      </c>
    </row>
    <row r="219" spans="1:28">
      <c r="A219" t="s">
        <v>245</v>
      </c>
      <c r="B219">
        <v>0.999998419929286</v>
      </c>
      <c r="C219">
        <v>0.835175079637998</v>
      </c>
      <c r="D219">
        <v>0.503087508848446</v>
      </c>
      <c r="E219">
        <v>0.244154730204063</v>
      </c>
      <c r="F219">
        <v>0.149316088243618</v>
      </c>
      <c r="G219">
        <v>0.118096928218944</v>
      </c>
      <c r="H219">
        <v>0.0584779868749088</v>
      </c>
      <c r="I219">
        <v>0.06350715600849199</v>
      </c>
      <c r="J219">
        <v>0.06712863318450581</v>
      </c>
      <c r="K219">
        <v>0.0629448486649605</v>
      </c>
      <c r="L219">
        <v>841.071059692154</v>
      </c>
      <c r="M219">
        <v>19.6043447973246</v>
      </c>
      <c r="N219">
        <v>43.2502014509841</v>
      </c>
      <c r="O219">
        <v>42.4633572664235</v>
      </c>
      <c r="P219">
        <v>-0.107003575101215</v>
      </c>
      <c r="Q219">
        <v>0.0729461097678797</v>
      </c>
      <c r="R219">
        <v>0.995999567876268</v>
      </c>
      <c r="S219" t="s">
        <v>1903</v>
      </c>
      <c r="T219" t="s">
        <v>3344</v>
      </c>
      <c r="U219" t="s">
        <v>3344</v>
      </c>
      <c r="V219" t="s">
        <v>3344</v>
      </c>
      <c r="W219" t="s">
        <v>3563</v>
      </c>
      <c r="X219">
        <v>1</v>
      </c>
      <c r="Y219" t="s">
        <v>5218</v>
      </c>
      <c r="Z219" t="s">
        <v>6876</v>
      </c>
      <c r="AA219">
        <v>0.26894698492254</v>
      </c>
      <c r="AB219">
        <f>HYPERLINK("Melting_Curves/meltCurve_P0A6W3_mraY.pdf", "Melting_Curves/meltCurve_P0A6W3_mraY.pdf")</f>
        <v>0</v>
      </c>
    </row>
    <row r="220" spans="1:28">
      <c r="A220" t="s">
        <v>246</v>
      </c>
      <c r="B220">
        <v>0.999998419929286</v>
      </c>
      <c r="C220">
        <v>0.811100775104411</v>
      </c>
      <c r="D220">
        <v>0.875395188141096</v>
      </c>
      <c r="E220">
        <v>0.89491102398144</v>
      </c>
      <c r="F220">
        <v>0.920606971240531</v>
      </c>
      <c r="G220">
        <v>0.980196112132057</v>
      </c>
      <c r="H220">
        <v>0.879731806021387</v>
      </c>
      <c r="I220">
        <v>1.02210918252568</v>
      </c>
      <c r="J220">
        <v>0.973541854461506</v>
      </c>
      <c r="K220">
        <v>0.952952855591669</v>
      </c>
      <c r="L220">
        <v>9475.755668049271</v>
      </c>
      <c r="M220">
        <v>250</v>
      </c>
      <c r="O220">
        <v>37.9005971314347</v>
      </c>
      <c r="P220">
        <v>-0.126327114302718</v>
      </c>
      <c r="Q220">
        <v>0.923394031036963</v>
      </c>
      <c r="R220">
        <v>0.134452574820075</v>
      </c>
      <c r="S220" t="s">
        <v>1904</v>
      </c>
      <c r="T220" t="s">
        <v>3344</v>
      </c>
      <c r="U220" t="s">
        <v>3344</v>
      </c>
      <c r="V220" t="s">
        <v>3344</v>
      </c>
      <c r="W220" t="s">
        <v>3564</v>
      </c>
      <c r="X220">
        <v>8</v>
      </c>
      <c r="Y220" t="s">
        <v>5219</v>
      </c>
      <c r="Z220" t="s">
        <v>6877</v>
      </c>
      <c r="AA220">
        <v>0.9257058432604413</v>
      </c>
      <c r="AB220">
        <f>HYPERLINK("Melting_Curves/meltCurve_P0A6W5_greA.pdf", "Melting_Curves/meltCurve_P0A6W5_greA.pdf")</f>
        <v>0</v>
      </c>
    </row>
    <row r="221" spans="1:28">
      <c r="A221" t="s">
        <v>247</v>
      </c>
      <c r="B221">
        <v>0.999998419929286</v>
      </c>
      <c r="C221">
        <v>1.43504023485912</v>
      </c>
      <c r="D221">
        <v>1.59529875679457</v>
      </c>
      <c r="E221">
        <v>1.77116851314761</v>
      </c>
      <c r="F221">
        <v>0.592069802045823</v>
      </c>
      <c r="G221">
        <v>0.160509661246873</v>
      </c>
      <c r="H221">
        <v>0.08438377638406561</v>
      </c>
      <c r="I221">
        <v>0.0507099114139948</v>
      </c>
      <c r="J221">
        <v>0.0381032646466429</v>
      </c>
      <c r="K221">
        <v>0.0408137611576233</v>
      </c>
      <c r="L221">
        <v>9065.46173669263</v>
      </c>
      <c r="M221">
        <v>180.349596168256</v>
      </c>
      <c r="N221">
        <v>50.3113226486607</v>
      </c>
      <c r="O221">
        <v>50.2598807291923</v>
      </c>
      <c r="P221">
        <v>-0.829891699103541</v>
      </c>
      <c r="Q221">
        <v>0.074902325023669</v>
      </c>
      <c r="R221">
        <v>0.747489718825544</v>
      </c>
      <c r="S221" t="s">
        <v>1905</v>
      </c>
      <c r="T221" t="s">
        <v>3344</v>
      </c>
      <c r="U221" t="s">
        <v>3344</v>
      </c>
      <c r="V221" t="s">
        <v>3344</v>
      </c>
      <c r="W221" t="s">
        <v>3565</v>
      </c>
      <c r="X221">
        <v>9</v>
      </c>
      <c r="Y221" t="s">
        <v>5220</v>
      </c>
      <c r="Z221" t="s">
        <v>6878</v>
      </c>
      <c r="AA221">
        <v>0.4841388908949978</v>
      </c>
      <c r="AB221">
        <f>HYPERLINK("Melting_Curves/meltCurve_P0A6W9_gshA.pdf", "Melting_Curves/meltCurve_P0A6W9_gshA.pdf")</f>
        <v>0</v>
      </c>
    </row>
    <row r="222" spans="1:28">
      <c r="A222" t="s">
        <v>248</v>
      </c>
      <c r="B222">
        <v>0.999998419929286</v>
      </c>
      <c r="C222">
        <v>1.3431100072446</v>
      </c>
      <c r="D222">
        <v>2.17116809624152</v>
      </c>
      <c r="E222">
        <v>1.97009623258361</v>
      </c>
      <c r="F222">
        <v>2.08017873196737</v>
      </c>
      <c r="G222">
        <v>2.89589521070015</v>
      </c>
      <c r="H222">
        <v>2.46073797377375</v>
      </c>
      <c r="I222">
        <v>2.3196503895612</v>
      </c>
      <c r="J222">
        <v>2.30536019585105</v>
      </c>
      <c r="K222">
        <v>1.3815468516007</v>
      </c>
      <c r="L222">
        <v>9943.777993291729</v>
      </c>
      <c r="M222">
        <v>250</v>
      </c>
      <c r="O222">
        <v>39.7725697586071</v>
      </c>
      <c r="P222">
        <v>0.785717460089423</v>
      </c>
      <c r="Q222">
        <v>1.5</v>
      </c>
      <c r="R222">
        <v>-0.703709983228495</v>
      </c>
      <c r="S222" t="s">
        <v>1906</v>
      </c>
      <c r="T222" t="s">
        <v>3344</v>
      </c>
      <c r="U222" t="s">
        <v>3344</v>
      </c>
      <c r="V222" t="s">
        <v>3344</v>
      </c>
      <c r="W222" t="s">
        <v>3566</v>
      </c>
      <c r="X222">
        <v>3</v>
      </c>
      <c r="Y222" t="s">
        <v>5221</v>
      </c>
      <c r="Z222" t="s">
        <v>6879</v>
      </c>
      <c r="AA222">
        <v>1.45371323141294</v>
      </c>
      <c r="AB222">
        <f>HYPERLINK("Melting_Curves/meltCurve_P0A6X3_hfq.pdf", "Melting_Curves/meltCurve_P0A6X3_hfq.pdf")</f>
        <v>0</v>
      </c>
    </row>
    <row r="223" spans="1:28">
      <c r="A223" t="s">
        <v>249</v>
      </c>
      <c r="B223">
        <v>0.999998419929286</v>
      </c>
      <c r="C223">
        <v>1.07195277155159</v>
      </c>
      <c r="D223">
        <v>0.704650331814459</v>
      </c>
      <c r="E223">
        <v>0.747810750064098</v>
      </c>
      <c r="F223">
        <v>0.8118620890092531</v>
      </c>
      <c r="G223">
        <v>0.58511438034634</v>
      </c>
      <c r="H223">
        <v>0.718192369379402</v>
      </c>
      <c r="I223">
        <v>0.950621306167054</v>
      </c>
      <c r="J223">
        <v>1.14934282908647</v>
      </c>
      <c r="K223">
        <v>1.07903001729158</v>
      </c>
      <c r="L223">
        <v>10335.9928539718</v>
      </c>
      <c r="M223">
        <v>250</v>
      </c>
      <c r="O223">
        <v>41.3413008329239</v>
      </c>
      <c r="P223">
        <v>-0.236856034538757</v>
      </c>
      <c r="Q223">
        <v>0.843328919904091</v>
      </c>
      <c r="R223">
        <v>0.16983754719716</v>
      </c>
      <c r="S223" t="s">
        <v>1907</v>
      </c>
      <c r="T223" t="s">
        <v>3344</v>
      </c>
      <c r="U223" t="s">
        <v>3344</v>
      </c>
      <c r="V223" t="s">
        <v>3344</v>
      </c>
      <c r="W223" t="s">
        <v>3567</v>
      </c>
      <c r="X223">
        <v>4</v>
      </c>
      <c r="Y223" t="s">
        <v>5222</v>
      </c>
      <c r="Z223" t="s">
        <v>6880</v>
      </c>
      <c r="AA223">
        <v>0.8660261107695474</v>
      </c>
      <c r="AB223">
        <f>HYPERLINK("Melting_Curves/meltCurve_P0A6X7_ihfA.pdf", "Melting_Curves/meltCurve_P0A6X7_ihfA.pdf")</f>
        <v>0</v>
      </c>
    </row>
    <row r="224" spans="1:28">
      <c r="A224" t="s">
        <v>250</v>
      </c>
      <c r="B224">
        <v>0.999998419929286</v>
      </c>
      <c r="C224">
        <v>1.09944852771479</v>
      </c>
      <c r="D224">
        <v>0.993628723915846</v>
      </c>
      <c r="E224">
        <v>0.863283827870553</v>
      </c>
      <c r="F224">
        <v>0.46488629633831</v>
      </c>
      <c r="G224">
        <v>0.248017339059559</v>
      </c>
      <c r="H224">
        <v>0.141377584298194</v>
      </c>
      <c r="I224">
        <v>0.09169616406681889</v>
      </c>
      <c r="J224">
        <v>0.080862575885876</v>
      </c>
      <c r="K224">
        <v>0.0966564098634133</v>
      </c>
      <c r="L224">
        <v>1207.84823440268</v>
      </c>
      <c r="M224">
        <v>24.3088678565873</v>
      </c>
      <c r="N224">
        <v>50.1182501916458</v>
      </c>
      <c r="O224">
        <v>49.3549659391059</v>
      </c>
      <c r="P224">
        <v>-0.111527855170619</v>
      </c>
      <c r="Q224">
        <v>0.09426133949441071</v>
      </c>
      <c r="R224">
        <v>0.99222714019036</v>
      </c>
      <c r="S224" t="s">
        <v>1908</v>
      </c>
      <c r="T224" t="s">
        <v>3344</v>
      </c>
      <c r="U224" t="s">
        <v>3344</v>
      </c>
      <c r="V224" t="s">
        <v>3344</v>
      </c>
      <c r="W224" t="s">
        <v>3568</v>
      </c>
      <c r="X224">
        <v>3</v>
      </c>
      <c r="Y224" t="s">
        <v>5223</v>
      </c>
      <c r="Z224" t="s">
        <v>6881</v>
      </c>
      <c r="AA224">
        <v>0.4856431774986117</v>
      </c>
      <c r="AB224">
        <f>HYPERLINK("Melting_Curves/meltCurve_P0A6Y1_ihfB.pdf", "Melting_Curves/meltCurve_P0A6Y1_ihfB.pdf")</f>
        <v>0</v>
      </c>
    </row>
    <row r="225" spans="1:28">
      <c r="A225" t="s">
        <v>251</v>
      </c>
      <c r="B225">
        <v>0.999998419929286</v>
      </c>
      <c r="C225">
        <v>1.14231801671944</v>
      </c>
      <c r="D225">
        <v>1.1432480281242</v>
      </c>
      <c r="E225">
        <v>1.25791892379601</v>
      </c>
      <c r="F225">
        <v>1.54756484058402</v>
      </c>
      <c r="G225">
        <v>1.69732024907684</v>
      </c>
      <c r="H225">
        <v>1.46643625935528</v>
      </c>
      <c r="I225">
        <v>1.13654955470497</v>
      </c>
      <c r="J225">
        <v>1.27183449110444</v>
      </c>
      <c r="K225">
        <v>1.15039576466574</v>
      </c>
      <c r="L225">
        <v>995.7087925484821</v>
      </c>
      <c r="M225">
        <v>23.254558159574</v>
      </c>
      <c r="O225">
        <v>42.504911201697</v>
      </c>
      <c r="P225">
        <v>0.0503919385529856</v>
      </c>
      <c r="Q225">
        <v>1.36842105480888</v>
      </c>
      <c r="R225">
        <v>0.354125973736497</v>
      </c>
      <c r="S225" t="s">
        <v>1909</v>
      </c>
      <c r="T225" t="s">
        <v>3344</v>
      </c>
      <c r="U225" t="s">
        <v>3344</v>
      </c>
      <c r="V225" t="s">
        <v>3344</v>
      </c>
      <c r="W225" t="s">
        <v>3569</v>
      </c>
      <c r="X225">
        <v>2</v>
      </c>
      <c r="Y225" t="s">
        <v>5224</v>
      </c>
      <c r="Z225" t="s">
        <v>6882</v>
      </c>
      <c r="AA225">
        <v>1.29330175585142</v>
      </c>
      <c r="AB225">
        <f>HYPERLINK("Melting_Curves/meltCurve_P0A6Y5_hslO.pdf", "Melting_Curves/meltCurve_P0A6Y5_hslO.pdf")</f>
        <v>0</v>
      </c>
    </row>
    <row r="226" spans="1:28">
      <c r="A226" t="s">
        <v>252</v>
      </c>
      <c r="B226">
        <v>0.999998419929286</v>
      </c>
      <c r="C226">
        <v>1.01502960129729</v>
      </c>
      <c r="D226">
        <v>1.05080809640754</v>
      </c>
      <c r="E226">
        <v>1.2001241666069</v>
      </c>
      <c r="F226">
        <v>1.28921775584447</v>
      </c>
      <c r="G226">
        <v>1.71636393036386</v>
      </c>
      <c r="H226">
        <v>1.1801277484562</v>
      </c>
      <c r="I226">
        <v>1.20462013636914</v>
      </c>
      <c r="J226">
        <v>1.40029162521211</v>
      </c>
      <c r="K226">
        <v>1.27529302052629</v>
      </c>
      <c r="L226">
        <v>1591.23910291669</v>
      </c>
      <c r="M226">
        <v>34.5553161914021</v>
      </c>
      <c r="O226">
        <v>45.8956590471978</v>
      </c>
      <c r="P226">
        <v>0.0653839931747795</v>
      </c>
      <c r="Q226">
        <v>1.34736522458059</v>
      </c>
      <c r="R226">
        <v>0.516438478446593</v>
      </c>
      <c r="S226" t="s">
        <v>1910</v>
      </c>
      <c r="T226" t="s">
        <v>3344</v>
      </c>
      <c r="U226" t="s">
        <v>3344</v>
      </c>
      <c r="V226" t="s">
        <v>3344</v>
      </c>
      <c r="W226" t="s">
        <v>3570</v>
      </c>
      <c r="X226">
        <v>30</v>
      </c>
      <c r="Y226" t="s">
        <v>5225</v>
      </c>
      <c r="Z226" t="s">
        <v>6883</v>
      </c>
      <c r="AA226">
        <v>1.241100024692408</v>
      </c>
      <c r="AB226">
        <f>HYPERLINK("Melting_Curves/meltCurve_P0A6Y8_dnaK.pdf", "Melting_Curves/meltCurve_P0A6Y8_dnaK.pdf")</f>
        <v>0</v>
      </c>
    </row>
    <row r="227" spans="1:28">
      <c r="A227" t="s">
        <v>253</v>
      </c>
      <c r="B227">
        <v>0.999998419929286</v>
      </c>
      <c r="C227">
        <v>1.25326513854222</v>
      </c>
      <c r="D227">
        <v>1.11039572192813</v>
      </c>
      <c r="E227">
        <v>1.11636256239182</v>
      </c>
      <c r="F227">
        <v>0.691874937293803</v>
      </c>
      <c r="G227">
        <v>0.466437841666223</v>
      </c>
      <c r="H227">
        <v>0.304370295109076</v>
      </c>
      <c r="I227">
        <v>0.185130914782023</v>
      </c>
      <c r="J227">
        <v>0.149866703621337</v>
      </c>
      <c r="K227">
        <v>0.13258384088822</v>
      </c>
      <c r="L227">
        <v>1217.5293129814</v>
      </c>
      <c r="M227">
        <v>23.2238941164893</v>
      </c>
      <c r="N227">
        <v>53.2637662765161</v>
      </c>
      <c r="O227">
        <v>52.0416637114498</v>
      </c>
      <c r="P227">
        <v>-0.09449175088681699</v>
      </c>
      <c r="Q227">
        <v>0.153041619463605</v>
      </c>
      <c r="R227">
        <v>0.936536310838003</v>
      </c>
      <c r="S227" t="s">
        <v>1911</v>
      </c>
      <c r="T227" t="s">
        <v>3344</v>
      </c>
      <c r="U227" t="s">
        <v>3344</v>
      </c>
      <c r="V227" t="s">
        <v>3344</v>
      </c>
      <c r="W227" t="s">
        <v>3571</v>
      </c>
      <c r="X227">
        <v>13</v>
      </c>
      <c r="Y227" t="s">
        <v>5226</v>
      </c>
      <c r="Z227" t="s">
        <v>6884</v>
      </c>
      <c r="AA227">
        <v>0.5970630573099853</v>
      </c>
      <c r="AB227">
        <f>HYPERLINK("Melting_Curves/meltCurve_P0A6Z1_hscA.pdf", "Melting_Curves/meltCurve_P0A6Z1_hscA.pdf")</f>
        <v>0</v>
      </c>
    </row>
    <row r="228" spans="1:28">
      <c r="A228" t="s">
        <v>254</v>
      </c>
      <c r="B228">
        <v>0.999998419929286</v>
      </c>
      <c r="C228">
        <v>1.40632278199958</v>
      </c>
      <c r="D228">
        <v>1.57005127503402</v>
      </c>
      <c r="E228">
        <v>1.820777969575</v>
      </c>
      <c r="F228">
        <v>2.06112669445276</v>
      </c>
      <c r="G228">
        <v>2.54940014185897</v>
      </c>
      <c r="H228">
        <v>1.38492781499784</v>
      </c>
      <c r="I228">
        <v>0.12629994728553</v>
      </c>
      <c r="J228">
        <v>0.0753919306796188</v>
      </c>
      <c r="K228">
        <v>0.0651572005642095</v>
      </c>
      <c r="L228">
        <v>15000</v>
      </c>
      <c r="M228">
        <v>248.647996659599</v>
      </c>
      <c r="N228">
        <v>60.3629960614066</v>
      </c>
      <c r="O228">
        <v>60.3223425189616</v>
      </c>
      <c r="P228">
        <v>-0.958089245909634</v>
      </c>
      <c r="Q228">
        <v>0.0702649784425125</v>
      </c>
      <c r="R228">
        <v>0.29942357404733</v>
      </c>
      <c r="S228" t="s">
        <v>1912</v>
      </c>
      <c r="T228" t="s">
        <v>3344</v>
      </c>
      <c r="U228" t="s">
        <v>3344</v>
      </c>
      <c r="V228" t="s">
        <v>3344</v>
      </c>
      <c r="W228" t="s">
        <v>3572</v>
      </c>
      <c r="X228">
        <v>24</v>
      </c>
      <c r="Y228" t="s">
        <v>5227</v>
      </c>
      <c r="Z228" t="s">
        <v>6885</v>
      </c>
      <c r="AA228">
        <v>0.7932720521808708</v>
      </c>
      <c r="AB228">
        <f>HYPERLINK("Melting_Curves/meltCurve_P0A6Z3_htpG.pdf", "Melting_Curves/meltCurve_P0A6Z3_htpG.pdf")</f>
        <v>0</v>
      </c>
    </row>
    <row r="229" spans="1:28">
      <c r="A229" t="s">
        <v>255</v>
      </c>
      <c r="B229">
        <v>0.999998419929286</v>
      </c>
      <c r="C229">
        <v>1.33836995157263</v>
      </c>
      <c r="D229">
        <v>1.1676135694362</v>
      </c>
      <c r="E229">
        <v>0.628051498146039</v>
      </c>
      <c r="F229">
        <v>0.352174221096328</v>
      </c>
      <c r="G229">
        <v>0.347567896510453</v>
      </c>
      <c r="H229">
        <v>0.303832883765598</v>
      </c>
      <c r="I229">
        <v>0.285685505418076</v>
      </c>
      <c r="J229">
        <v>0.317889931934476</v>
      </c>
      <c r="K229">
        <v>0.311180220506635</v>
      </c>
      <c r="L229">
        <v>8340.80307593114</v>
      </c>
      <c r="M229">
        <v>179.174771932792</v>
      </c>
      <c r="N229">
        <v>46.8177568053428</v>
      </c>
      <c r="O229">
        <v>46.5454146460641</v>
      </c>
      <c r="P229">
        <v>-0.654676456223653</v>
      </c>
      <c r="Q229">
        <v>0.319721484556002</v>
      </c>
      <c r="R229">
        <v>0.902894742727798</v>
      </c>
      <c r="S229" t="s">
        <v>1913</v>
      </c>
      <c r="T229" t="s">
        <v>3344</v>
      </c>
      <c r="U229" t="s">
        <v>3344</v>
      </c>
      <c r="V229" t="s">
        <v>3344</v>
      </c>
      <c r="W229" t="s">
        <v>3573</v>
      </c>
      <c r="X229">
        <v>28</v>
      </c>
      <c r="Y229" t="s">
        <v>5228</v>
      </c>
      <c r="Z229" t="s">
        <v>6886</v>
      </c>
      <c r="AA229">
        <v>0.5364125511963069</v>
      </c>
      <c r="AB229">
        <f>HYPERLINK("Melting_Curves/meltCurve_P0A705_infB.pdf", "Melting_Curves/meltCurve_P0A705_infB.pdf")</f>
        <v>0</v>
      </c>
    </row>
    <row r="230" spans="1:28">
      <c r="A230" t="s">
        <v>256</v>
      </c>
      <c r="B230">
        <v>0.999998419929286</v>
      </c>
      <c r="C230">
        <v>0.934697147906827</v>
      </c>
      <c r="D230">
        <v>1.07033195356972</v>
      </c>
      <c r="E230">
        <v>0.961760946117194</v>
      </c>
      <c r="F230">
        <v>0.996513222491881</v>
      </c>
      <c r="G230">
        <v>0.685344708401792</v>
      </c>
      <c r="H230">
        <v>0.459165036680113</v>
      </c>
      <c r="I230">
        <v>0.212338522624753</v>
      </c>
      <c r="J230">
        <v>0.21571957590097</v>
      </c>
      <c r="K230">
        <v>0.167643952721218</v>
      </c>
      <c r="L230">
        <v>1332.68214503632</v>
      </c>
      <c r="M230">
        <v>24.0275789662662</v>
      </c>
      <c r="N230">
        <v>56.3823664422662</v>
      </c>
      <c r="O230">
        <v>55.0847785875139</v>
      </c>
      <c r="P230">
        <v>-0.091401583279131</v>
      </c>
      <c r="Q230">
        <v>0.16183703116277</v>
      </c>
      <c r="R230">
        <v>0.984773194888392</v>
      </c>
      <c r="S230" t="s">
        <v>1914</v>
      </c>
      <c r="T230" t="s">
        <v>3344</v>
      </c>
      <c r="U230" t="s">
        <v>3344</v>
      </c>
      <c r="V230" t="s">
        <v>3344</v>
      </c>
      <c r="W230" t="s">
        <v>3574</v>
      </c>
      <c r="X230">
        <v>6</v>
      </c>
      <c r="Y230" t="s">
        <v>5229</v>
      </c>
      <c r="Z230" t="s">
        <v>6887</v>
      </c>
      <c r="AA230">
        <v>0.6851013199840232</v>
      </c>
      <c r="AB230">
        <f>HYPERLINK("Melting_Curves/meltCurve_P0A707_infC.pdf", "Melting_Curves/meltCurve_P0A707_infC.pdf")</f>
        <v>0</v>
      </c>
    </row>
    <row r="231" spans="1:28">
      <c r="A231" t="s">
        <v>257</v>
      </c>
      <c r="B231">
        <v>0.999998419929286</v>
      </c>
      <c r="C231">
        <v>0.966566410175775</v>
      </c>
      <c r="D231">
        <v>1.06071794871873</v>
      </c>
      <c r="E231">
        <v>0.983747723798042</v>
      </c>
      <c r="F231">
        <v>0.278909074293847</v>
      </c>
      <c r="G231">
        <v>0.06181363578945</v>
      </c>
      <c r="H231">
        <v>0.0355609272696554</v>
      </c>
      <c r="I231">
        <v>0.0251348660097401</v>
      </c>
      <c r="J231">
        <v>0.0243510657931075</v>
      </c>
      <c r="K231">
        <v>0.0215796132310156</v>
      </c>
      <c r="L231">
        <v>3174.57914705824</v>
      </c>
      <c r="M231">
        <v>64.3061702018239</v>
      </c>
      <c r="N231">
        <v>49.4183222592327</v>
      </c>
      <c r="O231">
        <v>49.3189403131385</v>
      </c>
      <c r="P231">
        <v>-0.315369033302392</v>
      </c>
      <c r="Q231">
        <v>0.0325240953589914</v>
      </c>
      <c r="R231">
        <v>0.9973238085555099</v>
      </c>
      <c r="S231" t="s">
        <v>1915</v>
      </c>
      <c r="T231" t="s">
        <v>3344</v>
      </c>
      <c r="U231" t="s">
        <v>3344</v>
      </c>
      <c r="V231" t="s">
        <v>3344</v>
      </c>
      <c r="W231" t="s">
        <v>3575</v>
      </c>
      <c r="X231">
        <v>14</v>
      </c>
      <c r="Y231" t="s">
        <v>5230</v>
      </c>
      <c r="Z231" t="s">
        <v>6888</v>
      </c>
      <c r="AA231">
        <v>0.4326089204478043</v>
      </c>
      <c r="AB231">
        <f>HYPERLINK("Melting_Curves/meltCurve_P0A715_kdsA.pdf", "Melting_Curves/meltCurve_P0A715_kdsA.pdf")</f>
        <v>0</v>
      </c>
    </row>
    <row r="232" spans="1:28">
      <c r="A232" t="s">
        <v>258</v>
      </c>
      <c r="B232">
        <v>0.999998419929286</v>
      </c>
      <c r="C232">
        <v>1.55695728794431</v>
      </c>
      <c r="D232">
        <v>0.961137536569826</v>
      </c>
      <c r="E232">
        <v>0.969852002128115</v>
      </c>
      <c r="F232">
        <v>0.495161321196417</v>
      </c>
      <c r="G232">
        <v>0.298181240882073</v>
      </c>
      <c r="H232">
        <v>0.170105870520934</v>
      </c>
      <c r="I232">
        <v>0.103856831092402</v>
      </c>
      <c r="J232">
        <v>0.0895612048174101</v>
      </c>
      <c r="K232">
        <v>0.08202044697564979</v>
      </c>
      <c r="L232">
        <v>1351.68483295317</v>
      </c>
      <c r="M232">
        <v>26.916206890377</v>
      </c>
      <c r="N232">
        <v>50.6791823845574</v>
      </c>
      <c r="O232">
        <v>49.943510143187</v>
      </c>
      <c r="P232">
        <v>-0.120105653173681</v>
      </c>
      <c r="Q232">
        <v>0.10857604472635</v>
      </c>
      <c r="R232">
        <v>0.8637485635729349</v>
      </c>
      <c r="S232" t="s">
        <v>1916</v>
      </c>
      <c r="T232" t="s">
        <v>3344</v>
      </c>
      <c r="U232" t="s">
        <v>3344</v>
      </c>
      <c r="V232" t="s">
        <v>3344</v>
      </c>
      <c r="W232" t="s">
        <v>3576</v>
      </c>
      <c r="X232">
        <v>6</v>
      </c>
      <c r="Y232" t="s">
        <v>5231</v>
      </c>
      <c r="Z232" t="s">
        <v>6889</v>
      </c>
      <c r="AA232">
        <v>0.5081279842095924</v>
      </c>
      <c r="AB232">
        <f>HYPERLINK("Melting_Curves/meltCurve_P0A717_prs.pdf", "Melting_Curves/meltCurve_P0A717_prs.pdf")</f>
        <v>0</v>
      </c>
    </row>
    <row r="233" spans="1:28">
      <c r="A233" t="s">
        <v>259</v>
      </c>
      <c r="B233">
        <v>0.999998419929286</v>
      </c>
      <c r="C233">
        <v>0.855365656946617</v>
      </c>
      <c r="D233">
        <v>0.953389334525554</v>
      </c>
      <c r="E233">
        <v>0.989727603245747</v>
      </c>
      <c r="F233">
        <v>0.817328672617846</v>
      </c>
      <c r="G233">
        <v>0.378178895374876</v>
      </c>
      <c r="H233">
        <v>0.0676219603649485</v>
      </c>
      <c r="I233">
        <v>0.0421696480188886</v>
      </c>
      <c r="J233">
        <v>0.0192244748447677</v>
      </c>
      <c r="K233">
        <v>0.021528000083526</v>
      </c>
      <c r="L233">
        <v>1601.4706526998</v>
      </c>
      <c r="M233">
        <v>30.3590674018479</v>
      </c>
      <c r="N233">
        <v>52.8031676748639</v>
      </c>
      <c r="O233">
        <v>52.5237016426388</v>
      </c>
      <c r="P233">
        <v>-0.142367089838232</v>
      </c>
      <c r="Q233">
        <v>0.0147789091652919</v>
      </c>
      <c r="R233">
        <v>0.98657915419662</v>
      </c>
      <c r="S233" t="s">
        <v>1917</v>
      </c>
      <c r="T233" t="s">
        <v>3344</v>
      </c>
      <c r="U233" t="s">
        <v>3344</v>
      </c>
      <c r="V233" t="s">
        <v>3344</v>
      </c>
      <c r="W233" t="s">
        <v>3577</v>
      </c>
      <c r="X233">
        <v>3</v>
      </c>
      <c r="Y233" t="s">
        <v>5232</v>
      </c>
      <c r="Z233" t="s">
        <v>6890</v>
      </c>
      <c r="AA233">
        <v>0.5381736705817254</v>
      </c>
      <c r="AB233">
        <f>HYPERLINK("Melting_Curves/meltCurve_P0A720_tmk.pdf", "Melting_Curves/meltCurve_P0A720_tmk.pdf")</f>
        <v>0</v>
      </c>
    </row>
    <row r="234" spans="1:28">
      <c r="A234" t="s">
        <v>260</v>
      </c>
      <c r="B234">
        <v>0.999998419929286</v>
      </c>
      <c r="C234">
        <v>0.879640445512998</v>
      </c>
      <c r="D234">
        <v>0.871404426803251</v>
      </c>
      <c r="E234">
        <v>0.8589827404829899</v>
      </c>
      <c r="F234">
        <v>0.934477563166246</v>
      </c>
      <c r="G234">
        <v>0.86265061454935</v>
      </c>
      <c r="H234">
        <v>0.713041081579728</v>
      </c>
      <c r="I234">
        <v>0.196860674865748</v>
      </c>
      <c r="J234">
        <v>0.0689414288574491</v>
      </c>
      <c r="K234">
        <v>0.0324054283590018</v>
      </c>
      <c r="L234">
        <v>1815.95564584163</v>
      </c>
      <c r="M234">
        <v>30.9565925092195</v>
      </c>
      <c r="N234">
        <v>58.6613409115922</v>
      </c>
      <c r="O234">
        <v>58.4181923662037</v>
      </c>
      <c r="P234">
        <v>-0.132479155580923</v>
      </c>
      <c r="Q234">
        <v>0</v>
      </c>
      <c r="R234">
        <v>0.951022386135165</v>
      </c>
      <c r="S234" t="s">
        <v>1918</v>
      </c>
      <c r="T234" t="s">
        <v>3344</v>
      </c>
      <c r="U234" t="s">
        <v>3344</v>
      </c>
      <c r="V234" t="s">
        <v>3344</v>
      </c>
      <c r="W234" t="s">
        <v>3578</v>
      </c>
      <c r="X234">
        <v>4</v>
      </c>
      <c r="Y234" t="s">
        <v>5233</v>
      </c>
      <c r="Z234" t="s">
        <v>6891</v>
      </c>
      <c r="AA234">
        <v>0.7269826048176569</v>
      </c>
      <c r="AB234">
        <f>HYPERLINK("Melting_Curves/meltCurve_P0A722_lpxA.pdf", "Melting_Curves/meltCurve_P0A722_lpxA.pdf")</f>
        <v>0</v>
      </c>
    </row>
    <row r="235" spans="1:28">
      <c r="A235" t="s">
        <v>261</v>
      </c>
      <c r="B235">
        <v>0.999998419929286</v>
      </c>
      <c r="C235">
        <v>0.701187805480027</v>
      </c>
      <c r="D235">
        <v>0.492052321023584</v>
      </c>
      <c r="E235">
        <v>0.279066928672736</v>
      </c>
      <c r="F235">
        <v>0.116795277953951</v>
      </c>
      <c r="G235">
        <v>0.0987869480246821</v>
      </c>
      <c r="H235">
        <v>0.0568687263523782</v>
      </c>
      <c r="I235">
        <v>0.0508445850522096</v>
      </c>
      <c r="J235">
        <v>0.0666255253114643</v>
      </c>
      <c r="K235">
        <v>0.0680575950416573</v>
      </c>
      <c r="L235">
        <v>672.1541063165459</v>
      </c>
      <c r="M235">
        <v>15.7913572116782</v>
      </c>
      <c r="N235">
        <v>42.8861254703229</v>
      </c>
      <c r="O235">
        <v>41.8996313630768</v>
      </c>
      <c r="P235">
        <v>-0.08896997251581271</v>
      </c>
      <c r="Q235">
        <v>0.0558124024137941</v>
      </c>
      <c r="R235">
        <v>0.988538326703769</v>
      </c>
      <c r="S235" t="s">
        <v>1919</v>
      </c>
      <c r="T235" t="s">
        <v>3344</v>
      </c>
      <c r="U235" t="s">
        <v>3344</v>
      </c>
      <c r="V235" t="s">
        <v>3344</v>
      </c>
      <c r="W235" t="s">
        <v>3579</v>
      </c>
      <c r="X235">
        <v>1</v>
      </c>
      <c r="Y235" t="s">
        <v>5234</v>
      </c>
      <c r="Z235" t="s">
        <v>6892</v>
      </c>
      <c r="AA235">
        <v>0.2540505974825177</v>
      </c>
      <c r="AB235">
        <f>HYPERLINK("Melting_Curves/meltCurve_P0A725_lpxC.pdf", "Melting_Curves/meltCurve_P0A725_lpxC.pdf")</f>
        <v>0</v>
      </c>
    </row>
    <row r="236" spans="1:28">
      <c r="A236" t="s">
        <v>262</v>
      </c>
      <c r="B236">
        <v>0.999998419929286</v>
      </c>
      <c r="C236">
        <v>0.762235348713947</v>
      </c>
      <c r="D236">
        <v>0.648414851763137</v>
      </c>
      <c r="E236">
        <v>0.326203975109099</v>
      </c>
      <c r="F236">
        <v>0.214342033410476</v>
      </c>
      <c r="G236">
        <v>0.123724990708373</v>
      </c>
      <c r="H236">
        <v>0.0770990231685304</v>
      </c>
      <c r="I236">
        <v>0.0571661334803738</v>
      </c>
      <c r="J236">
        <v>0.0433010597014983</v>
      </c>
      <c r="K236">
        <v>0.0380020561163334</v>
      </c>
      <c r="L236">
        <v>601.551906746257</v>
      </c>
      <c r="M236">
        <v>13.5956904287196</v>
      </c>
      <c r="N236">
        <v>44.4833598682</v>
      </c>
      <c r="O236">
        <v>43.3214628018901</v>
      </c>
      <c r="P236">
        <v>-0.0757218183706706</v>
      </c>
      <c r="Q236">
        <v>0.035019808849663</v>
      </c>
      <c r="R236">
        <v>0.990581756428253</v>
      </c>
      <c r="S236" t="s">
        <v>1920</v>
      </c>
      <c r="T236" t="s">
        <v>3344</v>
      </c>
      <c r="U236" t="s">
        <v>3344</v>
      </c>
      <c r="V236" t="s">
        <v>3344</v>
      </c>
      <c r="W236" t="s">
        <v>3580</v>
      </c>
      <c r="X236">
        <v>3</v>
      </c>
      <c r="Y236" t="s">
        <v>5235</v>
      </c>
      <c r="Z236" t="s">
        <v>6893</v>
      </c>
      <c r="AA236">
        <v>0.2969696516462599</v>
      </c>
      <c r="AB236">
        <f>HYPERLINK("Melting_Curves/meltCurve_P0A729_yceF.pdf", "Melting_Curves/meltCurve_P0A729_yceF.pdf")</f>
        <v>0</v>
      </c>
    </row>
    <row r="237" spans="1:28">
      <c r="A237" t="s">
        <v>263</v>
      </c>
      <c r="B237">
        <v>0.999998419929286</v>
      </c>
      <c r="C237">
        <v>0.9673327690697821</v>
      </c>
      <c r="D237">
        <v>0.640503039911427</v>
      </c>
      <c r="E237">
        <v>0.885921458080238</v>
      </c>
      <c r="F237">
        <v>0.883521138248427</v>
      </c>
      <c r="G237">
        <v>0.9553729048899871</v>
      </c>
      <c r="H237">
        <v>0.980920567683766</v>
      </c>
      <c r="I237">
        <v>0.850644719661013</v>
      </c>
      <c r="J237">
        <v>0.470226223994005</v>
      </c>
      <c r="K237">
        <v>0.89422099360662</v>
      </c>
      <c r="L237">
        <v>113.230850251091</v>
      </c>
      <c r="M237">
        <v>0.433151755934792</v>
      </c>
      <c r="O237">
        <v>44.4302749091674</v>
      </c>
      <c r="P237">
        <v>-0.00550840615609281</v>
      </c>
      <c r="Q237">
        <v>0</v>
      </c>
      <c r="R237">
        <v>0.0995287593640594</v>
      </c>
      <c r="S237" t="s">
        <v>1921</v>
      </c>
      <c r="T237" t="s">
        <v>3344</v>
      </c>
      <c r="U237" t="s">
        <v>3344</v>
      </c>
      <c r="V237" t="s">
        <v>3344</v>
      </c>
      <c r="W237" t="s">
        <v>3581</v>
      </c>
      <c r="X237">
        <v>1</v>
      </c>
      <c r="Y237" t="s">
        <v>5236</v>
      </c>
      <c r="Z237" t="s">
        <v>6894</v>
      </c>
      <c r="AA237">
        <v>0.8528199191771443</v>
      </c>
      <c r="AB237">
        <f>HYPERLINK("Melting_Curves/meltCurve_P0A731_mgsA.pdf", "Melting_Curves/meltCurve_P0A731_mgsA.pdf")</f>
        <v>0</v>
      </c>
    </row>
    <row r="238" spans="1:28">
      <c r="A238" t="s">
        <v>264</v>
      </c>
      <c r="B238">
        <v>0.999998419929286</v>
      </c>
      <c r="C238">
        <v>0.885424511504766</v>
      </c>
      <c r="D238">
        <v>0.912360956156658</v>
      </c>
      <c r="E238">
        <v>1.00459660218325</v>
      </c>
      <c r="F238">
        <v>1.03505285862401</v>
      </c>
      <c r="G238">
        <v>1.07310508672339</v>
      </c>
      <c r="H238">
        <v>0.911980264236222</v>
      </c>
      <c r="I238">
        <v>0.7627701748036479</v>
      </c>
      <c r="J238">
        <v>0.735886841198599</v>
      </c>
      <c r="K238">
        <v>0.703936733521322</v>
      </c>
      <c r="L238">
        <v>2898.65217125211</v>
      </c>
      <c r="M238">
        <v>49.5477474497588</v>
      </c>
      <c r="O238">
        <v>58.4071367214165</v>
      </c>
      <c r="P238">
        <v>-0.0591735148018933</v>
      </c>
      <c r="Q238">
        <v>0.720984084765164</v>
      </c>
      <c r="R238">
        <v>0.814171531432927</v>
      </c>
      <c r="S238" t="s">
        <v>1922</v>
      </c>
      <c r="T238" t="s">
        <v>3344</v>
      </c>
      <c r="U238" t="s">
        <v>3344</v>
      </c>
      <c r="V238" t="s">
        <v>3344</v>
      </c>
      <c r="W238" t="s">
        <v>3582</v>
      </c>
      <c r="X238">
        <v>5</v>
      </c>
      <c r="Y238" t="s">
        <v>5237</v>
      </c>
      <c r="Z238" t="s">
        <v>6895</v>
      </c>
      <c r="AA238">
        <v>0.9216710579577592</v>
      </c>
      <c r="AB238">
        <f>HYPERLINK("Melting_Curves/meltCurve_P0A734_minE.pdf", "Melting_Curves/meltCurve_P0A734_minE.pdf")</f>
        <v>0</v>
      </c>
    </row>
    <row r="239" spans="1:28">
      <c r="A239" t="s">
        <v>265</v>
      </c>
      <c r="B239">
        <v>0.999998419929286</v>
      </c>
      <c r="C239">
        <v>0.903834014139095</v>
      </c>
      <c r="D239">
        <v>0.873308200131786</v>
      </c>
      <c r="E239">
        <v>0.892490791304445</v>
      </c>
      <c r="F239">
        <v>1.04051534749482</v>
      </c>
      <c r="G239">
        <v>1.13627135076822</v>
      </c>
      <c r="H239">
        <v>1.05311644369467</v>
      </c>
      <c r="I239">
        <v>0.914725446852833</v>
      </c>
      <c r="J239">
        <v>0.8973327539920189</v>
      </c>
      <c r="K239">
        <v>1.00979283889058</v>
      </c>
      <c r="L239">
        <v>1e-05</v>
      </c>
      <c r="M239">
        <v>1e-05</v>
      </c>
      <c r="Q239">
        <v>0.94427739543558</v>
      </c>
      <c r="R239">
        <v>-2.74116085385856e-09</v>
      </c>
      <c r="S239" t="s">
        <v>1923</v>
      </c>
      <c r="T239" t="s">
        <v>3344</v>
      </c>
      <c r="U239" t="s">
        <v>3344</v>
      </c>
      <c r="V239" t="s">
        <v>3344</v>
      </c>
      <c r="W239" t="s">
        <v>3583</v>
      </c>
      <c r="X239">
        <v>4</v>
      </c>
      <c r="Y239" t="s">
        <v>5238</v>
      </c>
      <c r="Z239" t="s">
        <v>6896</v>
      </c>
      <c r="AA239">
        <v>0.9721385611685013</v>
      </c>
      <c r="AB239">
        <f>HYPERLINK("Melting_Curves/meltCurve_P0A738_moaC.pdf", "Melting_Curves/meltCurve_P0A738_moaC.pdf")</f>
        <v>0</v>
      </c>
    </row>
    <row r="240" spans="1:28">
      <c r="A240" t="s">
        <v>266</v>
      </c>
      <c r="B240">
        <v>0.999998419929286</v>
      </c>
      <c r="C240">
        <v>0.805175282838111</v>
      </c>
      <c r="D240">
        <v>0.986148010324862</v>
      </c>
      <c r="E240">
        <v>1.1015754218308</v>
      </c>
      <c r="F240">
        <v>1.11718967869067</v>
      </c>
      <c r="G240">
        <v>1.43906156403097</v>
      </c>
      <c r="H240">
        <v>1.3917369476843</v>
      </c>
      <c r="I240">
        <v>0.98418062950764</v>
      </c>
      <c r="J240">
        <v>1.09290203767738</v>
      </c>
      <c r="K240">
        <v>1.16442082915579</v>
      </c>
      <c r="L240">
        <v>1783.81191285185</v>
      </c>
      <c r="M240">
        <v>37.978027282563</v>
      </c>
      <c r="O240">
        <v>46.8399184085401</v>
      </c>
      <c r="P240">
        <v>0.0411101399741957</v>
      </c>
      <c r="Q240">
        <v>1.20281102122903</v>
      </c>
      <c r="R240">
        <v>0.39733940376942</v>
      </c>
      <c r="S240" t="s">
        <v>1924</v>
      </c>
      <c r="T240" t="s">
        <v>3344</v>
      </c>
      <c r="U240" t="s">
        <v>3344</v>
      </c>
      <c r="V240" t="s">
        <v>3344</v>
      </c>
      <c r="W240" t="s">
        <v>3584</v>
      </c>
      <c r="X240">
        <v>2</v>
      </c>
      <c r="Y240" t="s">
        <v>5239</v>
      </c>
      <c r="Z240" t="s">
        <v>6897</v>
      </c>
      <c r="AA240">
        <v>1.134681683666094</v>
      </c>
      <c r="AB240">
        <f>HYPERLINK("Melting_Curves/meltCurve_P0A742_mscL.pdf", "Melting_Curves/meltCurve_P0A742_mscL.pdf")</f>
        <v>0</v>
      </c>
    </row>
    <row r="241" spans="1:28">
      <c r="A241" t="s">
        <v>267</v>
      </c>
      <c r="B241">
        <v>0.999998419929286</v>
      </c>
      <c r="C241">
        <v>0.974727372322396</v>
      </c>
      <c r="D241">
        <v>0.873602396223582</v>
      </c>
      <c r="E241">
        <v>0.888146403660414</v>
      </c>
      <c r="F241">
        <v>0.674274136588621</v>
      </c>
      <c r="G241">
        <v>0.5585706565884</v>
      </c>
      <c r="H241">
        <v>0.408253669969487</v>
      </c>
      <c r="I241">
        <v>0.350813110525422</v>
      </c>
      <c r="J241">
        <v>0.314807105512309</v>
      </c>
      <c r="K241">
        <v>0.308123381849214</v>
      </c>
      <c r="L241">
        <v>600.748700910345</v>
      </c>
      <c r="M241">
        <v>11.5963305953065</v>
      </c>
      <c r="N241">
        <v>54.9711502292245</v>
      </c>
      <c r="O241">
        <v>50.3364008278068</v>
      </c>
      <c r="P241">
        <v>-0.043575887685473</v>
      </c>
      <c r="Q241">
        <v>0.243605749550226</v>
      </c>
      <c r="R241">
        <v>0.989337397463513</v>
      </c>
      <c r="S241" t="s">
        <v>1925</v>
      </c>
      <c r="T241" t="s">
        <v>3344</v>
      </c>
      <c r="U241" t="s">
        <v>3344</v>
      </c>
      <c r="V241" t="s">
        <v>3344</v>
      </c>
      <c r="W241" t="s">
        <v>3585</v>
      </c>
      <c r="X241">
        <v>3</v>
      </c>
      <c r="Y241" t="s">
        <v>5240</v>
      </c>
      <c r="Z241" t="s">
        <v>6898</v>
      </c>
      <c r="AA241">
        <v>0.6357235427586875</v>
      </c>
      <c r="AB241">
        <f>HYPERLINK("Melting_Curves/meltCurve_P0A744_msrA.pdf", "Melting_Curves/meltCurve_P0A744_msrA.pdf")</f>
        <v>0</v>
      </c>
    </row>
    <row r="242" spans="1:28">
      <c r="A242" t="s">
        <v>268</v>
      </c>
      <c r="B242">
        <v>0.999998419929286</v>
      </c>
      <c r="C242">
        <v>1.21426515889267</v>
      </c>
      <c r="D242">
        <v>0.9418037540600001</v>
      </c>
      <c r="E242">
        <v>1.17637293121471</v>
      </c>
      <c r="F242">
        <v>1.32280235147023</v>
      </c>
      <c r="G242">
        <v>1.30458338958683</v>
      </c>
      <c r="H242">
        <v>1.81210274609683</v>
      </c>
      <c r="I242">
        <v>2.98760045076317</v>
      </c>
      <c r="J242">
        <v>1.13756494864998</v>
      </c>
      <c r="K242">
        <v>1.963987251611</v>
      </c>
      <c r="L242">
        <v>1377.43237434232</v>
      </c>
      <c r="M242">
        <v>28.4079292609252</v>
      </c>
      <c r="O242">
        <v>48.2492586444763</v>
      </c>
      <c r="P242">
        <v>0.07359743119062551</v>
      </c>
      <c r="Q242">
        <v>1.5</v>
      </c>
      <c r="R242">
        <v>0.208647982816139</v>
      </c>
      <c r="S242" t="s">
        <v>1926</v>
      </c>
      <c r="T242" t="s">
        <v>3344</v>
      </c>
      <c r="U242" t="s">
        <v>3344</v>
      </c>
      <c r="V242" t="s">
        <v>3344</v>
      </c>
      <c r="W242" t="s">
        <v>3586</v>
      </c>
      <c r="X242">
        <v>3</v>
      </c>
      <c r="Y242" t="s">
        <v>5241</v>
      </c>
      <c r="Z242" t="s">
        <v>6899</v>
      </c>
      <c r="AA242">
        <v>1.305208079048544</v>
      </c>
      <c r="AB242">
        <f>HYPERLINK("Melting_Curves/meltCurve_P0A746_msrB.pdf", "Melting_Curves/meltCurve_P0A746_msrB.pdf")</f>
        <v>0</v>
      </c>
    </row>
    <row r="243" spans="1:28">
      <c r="A243" t="s">
        <v>269</v>
      </c>
      <c r="B243">
        <v>0.999998419929286</v>
      </c>
      <c r="C243">
        <v>1.02712655574202</v>
      </c>
      <c r="D243">
        <v>0.888055577960895</v>
      </c>
      <c r="E243">
        <v>0.632204900253976</v>
      </c>
      <c r="F243">
        <v>0.168134927726818</v>
      </c>
      <c r="G243">
        <v>0.106257099772676</v>
      </c>
      <c r="H243">
        <v>0.0684691439868845</v>
      </c>
      <c r="I243">
        <v>0.0471717192000144</v>
      </c>
      <c r="J243">
        <v>0.042256751476495</v>
      </c>
      <c r="K243">
        <v>0.0404944269667035</v>
      </c>
      <c r="L243">
        <v>1285.02800702533</v>
      </c>
      <c r="M243">
        <v>27.2329893429607</v>
      </c>
      <c r="N243">
        <v>47.361847987317</v>
      </c>
      <c r="O243">
        <v>46.9342158658353</v>
      </c>
      <c r="P243">
        <v>-0.138102493653543</v>
      </c>
      <c r="Q243">
        <v>0.0479679513709152</v>
      </c>
      <c r="R243">
        <v>0.996124679907023</v>
      </c>
      <c r="S243" t="s">
        <v>1927</v>
      </c>
      <c r="T243" t="s">
        <v>3344</v>
      </c>
      <c r="U243" t="s">
        <v>3344</v>
      </c>
      <c r="V243" t="s">
        <v>3344</v>
      </c>
      <c r="W243" t="s">
        <v>3587</v>
      </c>
      <c r="X243">
        <v>11</v>
      </c>
      <c r="Y243" t="s">
        <v>5242</v>
      </c>
      <c r="Z243" t="s">
        <v>6900</v>
      </c>
      <c r="AA243">
        <v>0.3779788145931188</v>
      </c>
      <c r="AB243">
        <f>HYPERLINK("Melting_Curves/meltCurve_P0A749_murA.pdf", "Melting_Curves/meltCurve_P0A749_murA.pdf")</f>
        <v>0</v>
      </c>
    </row>
    <row r="244" spans="1:28">
      <c r="A244" t="s">
        <v>270</v>
      </c>
      <c r="B244">
        <v>0.999998419929286</v>
      </c>
      <c r="C244">
        <v>0.9613158225276091</v>
      </c>
      <c r="D244">
        <v>1.04740756391113</v>
      </c>
      <c r="E244">
        <v>1.1941150882299</v>
      </c>
      <c r="F244">
        <v>1.2391096951428</v>
      </c>
      <c r="G244">
        <v>1.49491941160907</v>
      </c>
      <c r="H244">
        <v>0.982449581606924</v>
      </c>
      <c r="I244">
        <v>0.176698904351143</v>
      </c>
      <c r="J244">
        <v>0.0317577902209187</v>
      </c>
      <c r="K244">
        <v>0.0216899612311047</v>
      </c>
      <c r="L244">
        <v>5608.08493785097</v>
      </c>
      <c r="M244">
        <v>93.6314385628508</v>
      </c>
      <c r="N244">
        <v>59.9290179966552</v>
      </c>
      <c r="O244">
        <v>59.8680209616424</v>
      </c>
      <c r="P244">
        <v>-0.380964796486097</v>
      </c>
      <c r="Q244">
        <v>0.0256433574430763</v>
      </c>
      <c r="R244">
        <v>0.8665011473220881</v>
      </c>
      <c r="S244" t="s">
        <v>1928</v>
      </c>
      <c r="T244" t="s">
        <v>3344</v>
      </c>
      <c r="U244" t="s">
        <v>3344</v>
      </c>
      <c r="V244" t="s">
        <v>3344</v>
      </c>
      <c r="W244" t="s">
        <v>3588</v>
      </c>
      <c r="X244">
        <v>7</v>
      </c>
      <c r="Y244" t="s">
        <v>5243</v>
      </c>
      <c r="Z244" t="s">
        <v>6901</v>
      </c>
      <c r="AA244">
        <v>0.7699801076230838</v>
      </c>
      <c r="AB244">
        <f>HYPERLINK("Melting_Curves/meltCurve_P0A759_nagB.pdf", "Melting_Curves/meltCurve_P0A759_nagB.pdf")</f>
        <v>0</v>
      </c>
    </row>
    <row r="245" spans="1:28">
      <c r="A245" t="s">
        <v>271</v>
      </c>
      <c r="B245">
        <v>0.999998419929286</v>
      </c>
      <c r="C245">
        <v>0.911367713854715</v>
      </c>
      <c r="D245">
        <v>0.9997655650528779</v>
      </c>
      <c r="E245">
        <v>0.965379459956748</v>
      </c>
      <c r="F245">
        <v>0.509221613968555</v>
      </c>
      <c r="G245">
        <v>0.152941638833301</v>
      </c>
      <c r="H245">
        <v>0.108300626339128</v>
      </c>
      <c r="I245">
        <v>0.0580924710822487</v>
      </c>
      <c r="J245">
        <v>0.0567499836237955</v>
      </c>
      <c r="K245">
        <v>0.0592584568493689</v>
      </c>
      <c r="L245">
        <v>1833.13165476084</v>
      </c>
      <c r="M245">
        <v>36.5868844673306</v>
      </c>
      <c r="N245">
        <v>50.3110801947688</v>
      </c>
      <c r="O245">
        <v>49.9545172817029</v>
      </c>
      <c r="P245">
        <v>-0.170274565781942</v>
      </c>
      <c r="Q245">
        <v>0.0700533508162831</v>
      </c>
      <c r="R245">
        <v>0.994313015443795</v>
      </c>
      <c r="S245" t="s">
        <v>1929</v>
      </c>
      <c r="T245" t="s">
        <v>3344</v>
      </c>
      <c r="U245" t="s">
        <v>3344</v>
      </c>
      <c r="V245" t="s">
        <v>3344</v>
      </c>
      <c r="W245" t="s">
        <v>3589</v>
      </c>
      <c r="X245">
        <v>3</v>
      </c>
      <c r="Y245" t="s">
        <v>5244</v>
      </c>
      <c r="Z245" t="s">
        <v>6902</v>
      </c>
      <c r="AA245">
        <v>0.4800885544690113</v>
      </c>
      <c r="AB245">
        <f>HYPERLINK("Melting_Curves/meltCurve_P0A761_nanE.pdf", "Melting_Curves/meltCurve_P0A761_nanE.pdf")</f>
        <v>0</v>
      </c>
    </row>
    <row r="246" spans="1:28">
      <c r="A246" t="s">
        <v>272</v>
      </c>
      <c r="B246">
        <v>0.999998419929286</v>
      </c>
      <c r="C246">
        <v>0.842100981012804</v>
      </c>
      <c r="D246">
        <v>0.939636751903524</v>
      </c>
      <c r="E246">
        <v>0.534556183990898</v>
      </c>
      <c r="F246">
        <v>0.217513296860556</v>
      </c>
      <c r="G246">
        <v>0.105011251932641</v>
      </c>
      <c r="H246">
        <v>0.0580075457092868</v>
      </c>
      <c r="I246">
        <v>0.0482036216151979</v>
      </c>
      <c r="J246">
        <v>0.0490064741396808</v>
      </c>
      <c r="K246">
        <v>0.0508101824563518</v>
      </c>
      <c r="L246">
        <v>1048.35504133274</v>
      </c>
      <c r="M246">
        <v>22.3959097984995</v>
      </c>
      <c r="N246">
        <v>47.0166805344538</v>
      </c>
      <c r="O246">
        <v>46.4416979107758</v>
      </c>
      <c r="P246">
        <v>-0.114912821988728</v>
      </c>
      <c r="Q246">
        <v>0.0468553794036505</v>
      </c>
      <c r="R246">
        <v>0.984675398868701</v>
      </c>
      <c r="S246" t="s">
        <v>1930</v>
      </c>
      <c r="T246" t="s">
        <v>3344</v>
      </c>
      <c r="U246" t="s">
        <v>3344</v>
      </c>
      <c r="V246" t="s">
        <v>3344</v>
      </c>
      <c r="W246" t="s">
        <v>3590</v>
      </c>
      <c r="X246">
        <v>4</v>
      </c>
      <c r="Y246" t="s">
        <v>5245</v>
      </c>
      <c r="Z246" t="s">
        <v>6903</v>
      </c>
      <c r="AA246">
        <v>0.3684968854616118</v>
      </c>
      <c r="AB246">
        <f>HYPERLINK("Melting_Curves/meltCurve_P0A763_ndk.pdf", "Melting_Curves/meltCurve_P0A763_ndk.pdf")</f>
        <v>0</v>
      </c>
    </row>
    <row r="247" spans="1:28">
      <c r="A247" t="s">
        <v>273</v>
      </c>
      <c r="B247">
        <v>0.999998419929286</v>
      </c>
      <c r="C247">
        <v>0.846421750330669</v>
      </c>
      <c r="D247">
        <v>0.930750800467124</v>
      </c>
      <c r="E247">
        <v>1.09732404148949</v>
      </c>
      <c r="F247">
        <v>1.12751116140302</v>
      </c>
      <c r="G247">
        <v>1.07382394563518</v>
      </c>
      <c r="H247">
        <v>0.745432726246243</v>
      </c>
      <c r="I247">
        <v>0.410225721115396</v>
      </c>
      <c r="J247">
        <v>0.380156899122771</v>
      </c>
      <c r="K247">
        <v>0.328853775704373</v>
      </c>
      <c r="L247">
        <v>3628.2065275829</v>
      </c>
      <c r="M247">
        <v>62.7614361228024</v>
      </c>
      <c r="N247">
        <v>59.034319175465</v>
      </c>
      <c r="O247">
        <v>57.7508830790399</v>
      </c>
      <c r="P247">
        <v>-0.172787824831826</v>
      </c>
      <c r="Q247">
        <v>0.364026915006651</v>
      </c>
      <c r="R247">
        <v>0.929170653863866</v>
      </c>
      <c r="S247" t="s">
        <v>1931</v>
      </c>
      <c r="T247" t="s">
        <v>3344</v>
      </c>
      <c r="U247" t="s">
        <v>3344</v>
      </c>
      <c r="V247" t="s">
        <v>3344</v>
      </c>
      <c r="W247" t="s">
        <v>3591</v>
      </c>
      <c r="X247">
        <v>5</v>
      </c>
      <c r="Y247" t="s">
        <v>5246</v>
      </c>
      <c r="Z247" t="s">
        <v>6904</v>
      </c>
      <c r="AA247">
        <v>0.8061916023259922</v>
      </c>
      <c r="AB247">
        <f>HYPERLINK("Melting_Curves/meltCurve_P0A780_nusB.pdf", "Melting_Curves/meltCurve_P0A780_nusB.pdf")</f>
        <v>0</v>
      </c>
    </row>
    <row r="248" spans="1:28">
      <c r="A248" t="s">
        <v>274</v>
      </c>
      <c r="B248">
        <v>0.999998419929286</v>
      </c>
      <c r="C248">
        <v>0.924023351970523</v>
      </c>
      <c r="D248">
        <v>0.9479519603415421</v>
      </c>
      <c r="E248">
        <v>0.976361017251945</v>
      </c>
      <c r="F248">
        <v>0.8048099132020941</v>
      </c>
      <c r="G248">
        <v>0.495310729060664</v>
      </c>
      <c r="H248">
        <v>0.212732028503729</v>
      </c>
      <c r="I248">
        <v>0.153230086919559</v>
      </c>
      <c r="J248">
        <v>0.171301816142763</v>
      </c>
      <c r="K248">
        <v>0.170150151495103</v>
      </c>
      <c r="L248">
        <v>1362.14271968897</v>
      </c>
      <c r="M248">
        <v>25.8146141014868</v>
      </c>
      <c r="N248">
        <v>53.4925388697441</v>
      </c>
      <c r="O248">
        <v>52.4527225300956</v>
      </c>
      <c r="P248">
        <v>-0.104852415684639</v>
      </c>
      <c r="Q248">
        <v>0.147811087792836</v>
      </c>
      <c r="R248">
        <v>0.991585280867848</v>
      </c>
      <c r="S248" t="s">
        <v>1932</v>
      </c>
      <c r="T248" t="s">
        <v>3344</v>
      </c>
      <c r="U248" t="s">
        <v>3344</v>
      </c>
      <c r="V248" t="s">
        <v>3344</v>
      </c>
      <c r="W248" t="s">
        <v>3592</v>
      </c>
      <c r="X248">
        <v>3</v>
      </c>
      <c r="Y248" t="s">
        <v>5247</v>
      </c>
      <c r="Z248" t="s">
        <v>6905</v>
      </c>
      <c r="AA248">
        <v>0.6028027646538339</v>
      </c>
      <c r="AB248">
        <f>HYPERLINK("Melting_Curves/meltCurve_P0A784_orn.pdf", "Melting_Curves/meltCurve_P0A784_orn.pdf")</f>
        <v>0</v>
      </c>
    </row>
    <row r="249" spans="1:28">
      <c r="A249" t="s">
        <v>275</v>
      </c>
      <c r="B249">
        <v>0.999998419929286</v>
      </c>
      <c r="C249">
        <v>1.05283512455624</v>
      </c>
      <c r="D249">
        <v>1.09385525313402</v>
      </c>
      <c r="E249">
        <v>1.18443371303001</v>
      </c>
      <c r="F249">
        <v>1.26930796226051</v>
      </c>
      <c r="G249">
        <v>1.29635911005782</v>
      </c>
      <c r="H249">
        <v>1.24694165346114</v>
      </c>
      <c r="I249">
        <v>1.226147879208</v>
      </c>
      <c r="J249">
        <v>1.34019296739156</v>
      </c>
      <c r="K249">
        <v>1.44136678172736</v>
      </c>
      <c r="L249">
        <v>405.799693383697</v>
      </c>
      <c r="M249">
        <v>8.49598750860334</v>
      </c>
      <c r="O249">
        <v>45.337931838052</v>
      </c>
      <c r="P249">
        <v>0.0176833177354942</v>
      </c>
      <c r="Q249">
        <v>1.37712014398883</v>
      </c>
      <c r="R249">
        <v>0.844523504477947</v>
      </c>
      <c r="S249" t="s">
        <v>1933</v>
      </c>
      <c r="T249" t="s">
        <v>3344</v>
      </c>
      <c r="U249" t="s">
        <v>3344</v>
      </c>
      <c r="V249" t="s">
        <v>3344</v>
      </c>
      <c r="W249" t="s">
        <v>3593</v>
      </c>
      <c r="X249">
        <v>1</v>
      </c>
      <c r="Y249" t="s">
        <v>5248</v>
      </c>
      <c r="Z249" t="s">
        <v>6906</v>
      </c>
      <c r="AA249">
        <v>1.223032032226537</v>
      </c>
      <c r="AB249">
        <f>HYPERLINK("Melting_Curves/meltCurve_P0A790_panD.pdf", "Melting_Curves/meltCurve_P0A790_panD.pdf")</f>
        <v>0</v>
      </c>
    </row>
    <row r="250" spans="1:28">
      <c r="A250" t="s">
        <v>276</v>
      </c>
      <c r="B250">
        <v>0.999998419929286</v>
      </c>
      <c r="C250">
        <v>0.731914238753263</v>
      </c>
      <c r="D250">
        <v>1.1566572090922</v>
      </c>
      <c r="E250">
        <v>0.7150777328910189</v>
      </c>
      <c r="F250">
        <v>0.404506356677196</v>
      </c>
      <c r="G250">
        <v>0.334015886105918</v>
      </c>
      <c r="H250">
        <v>0.220097246187112</v>
      </c>
      <c r="I250">
        <v>0.167384245840929</v>
      </c>
      <c r="J250">
        <v>0.134802171173538</v>
      </c>
      <c r="K250">
        <v>0.135845749331285</v>
      </c>
      <c r="L250">
        <v>1046.92944952611</v>
      </c>
      <c r="M250">
        <v>21.5583411030614</v>
      </c>
      <c r="N250">
        <v>49.4721218888598</v>
      </c>
      <c r="O250">
        <v>48.1505584861636</v>
      </c>
      <c r="P250">
        <v>-0.0936211583553945</v>
      </c>
      <c r="Q250">
        <v>0.163608757292526</v>
      </c>
      <c r="R250">
        <v>0.903995286558005</v>
      </c>
      <c r="S250" t="s">
        <v>1934</v>
      </c>
      <c r="T250" t="s">
        <v>3344</v>
      </c>
      <c r="U250" t="s">
        <v>3344</v>
      </c>
      <c r="V250" t="s">
        <v>3344</v>
      </c>
      <c r="W250" t="s">
        <v>3594</v>
      </c>
      <c r="X250">
        <v>6</v>
      </c>
      <c r="Y250" t="s">
        <v>5249</v>
      </c>
      <c r="Z250" t="s">
        <v>6907</v>
      </c>
      <c r="AA250">
        <v>0.4955344147512941</v>
      </c>
      <c r="AB250">
        <f>HYPERLINK("Melting_Curves/meltCurve_P0A794_pdxJ.pdf", "Melting_Curves/meltCurve_P0A794_pdxJ.pdf")</f>
        <v>0</v>
      </c>
    </row>
    <row r="251" spans="1:28">
      <c r="A251" t="s">
        <v>277</v>
      </c>
      <c r="B251">
        <v>0.999998419929286</v>
      </c>
      <c r="C251">
        <v>0.9122255744943391</v>
      </c>
      <c r="D251">
        <v>0.890663667444897</v>
      </c>
      <c r="E251">
        <v>0.985684109149779</v>
      </c>
      <c r="F251">
        <v>0.906243561216371</v>
      </c>
      <c r="G251">
        <v>0.589851089493779</v>
      </c>
      <c r="H251">
        <v>0.26437725817093</v>
      </c>
      <c r="I251">
        <v>0.0742383505806874</v>
      </c>
      <c r="J251">
        <v>0.0369153210397419</v>
      </c>
      <c r="K251">
        <v>0.0369661291890163</v>
      </c>
      <c r="L251">
        <v>1311.61376496069</v>
      </c>
      <c r="M251">
        <v>24.0003340759956</v>
      </c>
      <c r="N251">
        <v>54.714633733993</v>
      </c>
      <c r="O251">
        <v>54.2746448821965</v>
      </c>
      <c r="P251">
        <v>-0.109002915437565</v>
      </c>
      <c r="Q251">
        <v>0.0140135514552305</v>
      </c>
      <c r="R251">
        <v>0.9874433306749421</v>
      </c>
      <c r="S251" t="s">
        <v>1935</v>
      </c>
      <c r="T251" t="s">
        <v>3344</v>
      </c>
      <c r="U251" t="s">
        <v>3344</v>
      </c>
      <c r="V251" t="s">
        <v>3344</v>
      </c>
      <c r="W251" t="s">
        <v>3595</v>
      </c>
      <c r="X251">
        <v>11</v>
      </c>
      <c r="Y251" t="s">
        <v>5250</v>
      </c>
      <c r="Z251" t="s">
        <v>6908</v>
      </c>
      <c r="AA251">
        <v>0.6031112952857643</v>
      </c>
      <c r="AB251">
        <f>HYPERLINK("Melting_Curves/meltCurve_P0A796_pfkA.pdf", "Melting_Curves/meltCurve_P0A796_pfkA.pdf")</f>
        <v>0</v>
      </c>
    </row>
    <row r="252" spans="1:28">
      <c r="A252" t="s">
        <v>278</v>
      </c>
      <c r="B252">
        <v>0.999998419929286</v>
      </c>
      <c r="C252">
        <v>1.0678011605115</v>
      </c>
      <c r="D252">
        <v>1.18632881867952</v>
      </c>
      <c r="E252">
        <v>1.23143910337696</v>
      </c>
      <c r="F252">
        <v>1.35743932017626</v>
      </c>
      <c r="G252">
        <v>1.2520656376626</v>
      </c>
      <c r="H252">
        <v>0.550029328672669</v>
      </c>
      <c r="I252">
        <v>0.089233809515415</v>
      </c>
      <c r="J252">
        <v>0.0601274383689523</v>
      </c>
      <c r="K252">
        <v>0.050670164892631</v>
      </c>
      <c r="L252">
        <v>14354.1077648262</v>
      </c>
      <c r="M252">
        <v>250</v>
      </c>
      <c r="N252">
        <v>57.4493214793539</v>
      </c>
      <c r="O252">
        <v>57.4127647281865</v>
      </c>
      <c r="P252">
        <v>-1.0160231183649</v>
      </c>
      <c r="Q252">
        <v>0.06667698983615181</v>
      </c>
      <c r="R252">
        <v>0.891902447199272</v>
      </c>
      <c r="S252" t="s">
        <v>1936</v>
      </c>
      <c r="T252" t="s">
        <v>3344</v>
      </c>
      <c r="U252" t="s">
        <v>3344</v>
      </c>
      <c r="V252" t="s">
        <v>3344</v>
      </c>
      <c r="W252" t="s">
        <v>3596</v>
      </c>
      <c r="X252">
        <v>16</v>
      </c>
      <c r="Y252" t="s">
        <v>5251</v>
      </c>
      <c r="Z252" t="s">
        <v>6909</v>
      </c>
      <c r="AA252">
        <v>0.7019418658450908</v>
      </c>
      <c r="AB252">
        <f>HYPERLINK("Melting_Curves/meltCurve_P0A799_pgk.pdf", "Melting_Curves/meltCurve_P0A799_pgk.pdf")</f>
        <v>0</v>
      </c>
    </row>
    <row r="253" spans="1:28">
      <c r="A253" t="s">
        <v>279</v>
      </c>
      <c r="B253">
        <v>0.999998419929286</v>
      </c>
      <c r="C253">
        <v>0.8524662237942739</v>
      </c>
      <c r="D253">
        <v>0.6912096612470739</v>
      </c>
      <c r="E253">
        <v>0.464034532690823</v>
      </c>
      <c r="F253">
        <v>0.280058537128207</v>
      </c>
      <c r="G253">
        <v>0.188245872332439</v>
      </c>
      <c r="H253">
        <v>0.137921358124506</v>
      </c>
      <c r="I253">
        <v>0.0925334444733798</v>
      </c>
      <c r="J253">
        <v>0.0968217974192641</v>
      </c>
      <c r="K253">
        <v>0.0835176649053711</v>
      </c>
      <c r="L253">
        <v>591.9434030804121</v>
      </c>
      <c r="M253">
        <v>13.0346694649406</v>
      </c>
      <c r="N253">
        <v>45.9721752238577</v>
      </c>
      <c r="O253">
        <v>44.3839827406757</v>
      </c>
      <c r="P253">
        <v>-0.0680495097235058</v>
      </c>
      <c r="Q253">
        <v>0.07330815308175399</v>
      </c>
      <c r="R253">
        <v>0.997466292115249</v>
      </c>
      <c r="S253" t="s">
        <v>1937</v>
      </c>
      <c r="T253" t="s">
        <v>3344</v>
      </c>
      <c r="U253" t="s">
        <v>3344</v>
      </c>
      <c r="V253" t="s">
        <v>3344</v>
      </c>
      <c r="W253" t="s">
        <v>3597</v>
      </c>
      <c r="X253">
        <v>2</v>
      </c>
      <c r="Y253" t="s">
        <v>5252</v>
      </c>
      <c r="Z253" t="s">
        <v>6910</v>
      </c>
      <c r="AA253">
        <v>0.3615695126711062</v>
      </c>
      <c r="AB253">
        <f>HYPERLINK("Melting_Curves/meltCurve_P0A7A2_gpmB.pdf", "Melting_Curves/meltCurve_P0A7A2_gpmB.pdf")</f>
        <v>0</v>
      </c>
    </row>
    <row r="254" spans="1:28">
      <c r="A254" t="s">
        <v>280</v>
      </c>
      <c r="B254">
        <v>0.999998419929286</v>
      </c>
      <c r="C254">
        <v>0.308992243967109</v>
      </c>
      <c r="D254">
        <v>0.202305285568695</v>
      </c>
      <c r="E254">
        <v>0.118731727196581</v>
      </c>
      <c r="F254">
        <v>0.0905194302108449</v>
      </c>
      <c r="G254">
        <v>0.0583889189618385</v>
      </c>
      <c r="H254">
        <v>0.0555622987198574</v>
      </c>
      <c r="I254">
        <v>0.0287068345753701</v>
      </c>
      <c r="J254">
        <v>0.0486492994174973</v>
      </c>
      <c r="K254">
        <v>0.035769908151737</v>
      </c>
      <c r="L254">
        <v>2486.92625889655</v>
      </c>
      <c r="M254">
        <v>63.4022599509533</v>
      </c>
      <c r="N254">
        <v>39.3311885113115</v>
      </c>
      <c r="O254">
        <v>39.1856019354169</v>
      </c>
      <c r="P254">
        <v>-0.372563995591548</v>
      </c>
      <c r="Q254">
        <v>0.0789514724377484</v>
      </c>
      <c r="R254">
        <v>0.971187470075398</v>
      </c>
      <c r="S254" t="s">
        <v>1938</v>
      </c>
      <c r="T254" t="s">
        <v>3344</v>
      </c>
      <c r="U254" t="s">
        <v>3344</v>
      </c>
      <c r="V254" t="s">
        <v>3344</v>
      </c>
      <c r="W254" t="s">
        <v>3598</v>
      </c>
      <c r="X254">
        <v>1</v>
      </c>
      <c r="Y254" t="s">
        <v>5253</v>
      </c>
      <c r="Z254" t="s">
        <v>6911</v>
      </c>
      <c r="AA254">
        <v>0.1485972219912303</v>
      </c>
      <c r="AB254">
        <f>HYPERLINK("Melting_Curves/meltCurve_P0A7A5_pcm.pdf", "Melting_Curves/meltCurve_P0A7A5_pcm.pdf")</f>
        <v>0</v>
      </c>
    </row>
    <row r="255" spans="1:28">
      <c r="A255" t="s">
        <v>281</v>
      </c>
      <c r="B255">
        <v>0.999998419929286</v>
      </c>
      <c r="C255">
        <v>0.741423021514124</v>
      </c>
      <c r="D255">
        <v>0.985893603892247</v>
      </c>
      <c r="E255">
        <v>0.833831611958744</v>
      </c>
      <c r="F255">
        <v>0.9994804969916919</v>
      </c>
      <c r="G255">
        <v>1.10963840861461</v>
      </c>
      <c r="H255">
        <v>1.10610577810852</v>
      </c>
      <c r="I255">
        <v>0.857916765332871</v>
      </c>
      <c r="J255">
        <v>1.1643630180027</v>
      </c>
      <c r="K255">
        <v>0.935600298544579</v>
      </c>
      <c r="L255">
        <v>9454.117465101781</v>
      </c>
      <c r="M255">
        <v>250</v>
      </c>
      <c r="O255">
        <v>37.8140536536739</v>
      </c>
      <c r="P255">
        <v>-0.0488035285567359</v>
      </c>
      <c r="Q255">
        <v>0.9704726550371749</v>
      </c>
      <c r="R255">
        <v>0.00483577082047471</v>
      </c>
      <c r="S255" t="s">
        <v>1939</v>
      </c>
      <c r="T255" t="s">
        <v>3344</v>
      </c>
      <c r="U255" t="s">
        <v>3344</v>
      </c>
      <c r="V255" t="s">
        <v>3344</v>
      </c>
      <c r="W255" t="s">
        <v>3599</v>
      </c>
      <c r="X255">
        <v>4</v>
      </c>
      <c r="Y255" t="s">
        <v>5254</v>
      </c>
      <c r="Z255" t="s">
        <v>6912</v>
      </c>
      <c r="AA255">
        <v>0.9712787881733239</v>
      </c>
      <c r="AB255">
        <f>HYPERLINK("Melting_Curves/meltCurve_P0A7A9_ppa.pdf", "Melting_Curves/meltCurve_P0A7A9_ppa.pdf")</f>
        <v>0</v>
      </c>
    </row>
    <row r="256" spans="1:28">
      <c r="A256" t="s">
        <v>282</v>
      </c>
      <c r="B256">
        <v>0.999998419929286</v>
      </c>
      <c r="C256">
        <v>0.917954581761207</v>
      </c>
      <c r="D256">
        <v>0.550156705217717</v>
      </c>
      <c r="E256">
        <v>0.535921642755945</v>
      </c>
      <c r="F256">
        <v>0.485268386285768</v>
      </c>
      <c r="G256">
        <v>0.552668563470975</v>
      </c>
      <c r="H256">
        <v>0.448624851740753</v>
      </c>
      <c r="I256">
        <v>0.46051455380461</v>
      </c>
      <c r="J256">
        <v>0.454175330888305</v>
      </c>
      <c r="K256">
        <v>0.462079155326881</v>
      </c>
      <c r="L256">
        <v>1938.93795944343</v>
      </c>
      <c r="M256">
        <v>46.9535048785297</v>
      </c>
      <c r="N256">
        <v>44.6115167520731</v>
      </c>
      <c r="O256">
        <v>41.2201430275354</v>
      </c>
      <c r="P256">
        <v>-0.146725986471133</v>
      </c>
      <c r="Q256">
        <v>0.484761708341317</v>
      </c>
      <c r="R256">
        <v>0.971565933492782</v>
      </c>
      <c r="S256" t="s">
        <v>1940</v>
      </c>
      <c r="T256" t="s">
        <v>3344</v>
      </c>
      <c r="U256" t="s">
        <v>3344</v>
      </c>
      <c r="V256" t="s">
        <v>3344</v>
      </c>
      <c r="W256" t="s">
        <v>3600</v>
      </c>
      <c r="X256">
        <v>7</v>
      </c>
      <c r="Y256" t="s">
        <v>5255</v>
      </c>
      <c r="Z256" t="s">
        <v>6913</v>
      </c>
      <c r="AA256">
        <v>0.5596392515372705</v>
      </c>
      <c r="AB256">
        <f>HYPERLINK("Melting_Curves/meltCurve_P0A7B5_proB.pdf", "Melting_Curves/meltCurve_P0A7B5_proB.pdf")</f>
        <v>0</v>
      </c>
    </row>
    <row r="257" spans="1:28">
      <c r="A257" t="s">
        <v>283</v>
      </c>
      <c r="B257">
        <v>0.999998419929286</v>
      </c>
      <c r="C257">
        <v>0.88367251291863</v>
      </c>
      <c r="D257">
        <v>0.650910008442439</v>
      </c>
      <c r="E257">
        <v>0.601345062417223</v>
      </c>
      <c r="F257">
        <v>0.577458243201218</v>
      </c>
      <c r="G257">
        <v>0.519683969217276</v>
      </c>
      <c r="H257">
        <v>0.419078886538776</v>
      </c>
      <c r="I257">
        <v>0.488946052544024</v>
      </c>
      <c r="J257">
        <v>0.395483802087169</v>
      </c>
      <c r="K257">
        <v>0.507356442106948</v>
      </c>
      <c r="L257">
        <v>655.880316761972</v>
      </c>
      <c r="M257">
        <v>15.3829328073659</v>
      </c>
      <c r="N257">
        <v>51.8366080475891</v>
      </c>
      <c r="O257">
        <v>41.935842290566</v>
      </c>
      <c r="P257">
        <v>-0.0488472625230759</v>
      </c>
      <c r="Q257">
        <v>0.467393354707072</v>
      </c>
      <c r="R257">
        <v>0.933575433373891</v>
      </c>
      <c r="S257" t="s">
        <v>1941</v>
      </c>
      <c r="T257" t="s">
        <v>3344</v>
      </c>
      <c r="U257" t="s">
        <v>3344</v>
      </c>
      <c r="V257" t="s">
        <v>3344</v>
      </c>
      <c r="W257" t="s">
        <v>3601</v>
      </c>
      <c r="X257">
        <v>5</v>
      </c>
      <c r="Y257" t="s">
        <v>5256</v>
      </c>
      <c r="Z257" t="s">
        <v>6914</v>
      </c>
      <c r="AA257">
        <v>0.5811816213471921</v>
      </c>
      <c r="AB257">
        <f>HYPERLINK("Melting_Curves/meltCurve_P0A7B8_hslV.pdf", "Melting_Curves/meltCurve_P0A7B8_hslV.pdf")</f>
        <v>0</v>
      </c>
    </row>
    <row r="258" spans="1:28">
      <c r="A258" t="s">
        <v>284</v>
      </c>
      <c r="B258">
        <v>0.999998419929286</v>
      </c>
      <c r="C258">
        <v>0.897951977296461</v>
      </c>
      <c r="D258">
        <v>0.81139645008829</v>
      </c>
      <c r="E258">
        <v>0.676932465715803</v>
      </c>
      <c r="F258">
        <v>0.480976606725815</v>
      </c>
      <c r="G258">
        <v>0.330168177454722</v>
      </c>
      <c r="H258">
        <v>0.224141792844853</v>
      </c>
      <c r="I258">
        <v>0.148786366565598</v>
      </c>
      <c r="J258">
        <v>0.130738412147689</v>
      </c>
      <c r="K258">
        <v>0.129098834206599</v>
      </c>
      <c r="L258">
        <v>509.607698689923</v>
      </c>
      <c r="M258">
        <v>10.3613929615129</v>
      </c>
      <c r="N258">
        <v>49.7377265016433</v>
      </c>
      <c r="O258">
        <v>47.457077918296</v>
      </c>
      <c r="P258">
        <v>-0.0516280971838125</v>
      </c>
      <c r="Q258">
        <v>0.0545372227998438</v>
      </c>
      <c r="R258">
        <v>0.997395663906215</v>
      </c>
      <c r="S258" t="s">
        <v>1942</v>
      </c>
      <c r="T258" t="s">
        <v>3344</v>
      </c>
      <c r="U258" t="s">
        <v>3344</v>
      </c>
      <c r="V258" t="s">
        <v>3344</v>
      </c>
      <c r="W258" t="s">
        <v>3602</v>
      </c>
      <c r="X258">
        <v>4</v>
      </c>
      <c r="Y258" t="s">
        <v>5257</v>
      </c>
      <c r="Z258" t="s">
        <v>6915</v>
      </c>
      <c r="AA258">
        <v>0.4717306251105953</v>
      </c>
      <c r="AB258">
        <f>HYPERLINK("Melting_Curves/meltCurve_P0A7C2_lexA.pdf", "Melting_Curves/meltCurve_P0A7C2_lexA.pdf")</f>
        <v>0</v>
      </c>
    </row>
    <row r="259" spans="1:28">
      <c r="A259" t="s">
        <v>285</v>
      </c>
      <c r="B259">
        <v>0.999998419929286</v>
      </c>
      <c r="C259">
        <v>1.03625678014174</v>
      </c>
      <c r="D259">
        <v>1.04880100214875</v>
      </c>
      <c r="E259">
        <v>1.19554578324918</v>
      </c>
      <c r="F259">
        <v>1.40940860297805</v>
      </c>
      <c r="G259">
        <v>1.25800156428605</v>
      </c>
      <c r="H259">
        <v>0.661885387844939</v>
      </c>
      <c r="I259">
        <v>0.259892970873507</v>
      </c>
      <c r="J259">
        <v>0.19604276563967</v>
      </c>
      <c r="K259">
        <v>0.166367186550637</v>
      </c>
      <c r="L259">
        <v>8198.090416077561</v>
      </c>
      <c r="M259">
        <v>142.527357412852</v>
      </c>
      <c r="N259">
        <v>57.736380184591</v>
      </c>
      <c r="O259">
        <v>57.5080951650703</v>
      </c>
      <c r="P259">
        <v>-0.491130118132504</v>
      </c>
      <c r="Q259">
        <v>0.207339357875367</v>
      </c>
      <c r="R259">
        <v>0.857303752726865</v>
      </c>
      <c r="S259" t="s">
        <v>1943</v>
      </c>
      <c r="T259" t="s">
        <v>3344</v>
      </c>
      <c r="U259" t="s">
        <v>3344</v>
      </c>
      <c r="V259" t="s">
        <v>3344</v>
      </c>
      <c r="W259" t="s">
        <v>3603</v>
      </c>
      <c r="X259">
        <v>2</v>
      </c>
      <c r="Y259" t="s">
        <v>5258</v>
      </c>
      <c r="Z259" t="s">
        <v>6916</v>
      </c>
      <c r="AA259">
        <v>0.7497501130815709</v>
      </c>
      <c r="AB259">
        <f>HYPERLINK("Melting_Curves/meltCurve_P0A7C6_pepE.pdf", "Melting_Curves/meltCurve_P0A7C6_pepE.pdf")</f>
        <v>0</v>
      </c>
    </row>
    <row r="260" spans="1:28">
      <c r="A260" t="s">
        <v>286</v>
      </c>
      <c r="B260">
        <v>0.999998419929286</v>
      </c>
      <c r="C260">
        <v>0.841436877739461</v>
      </c>
      <c r="D260">
        <v>0.984550263959445</v>
      </c>
      <c r="E260">
        <v>0.958925885058966</v>
      </c>
      <c r="F260">
        <v>0.672482706532981</v>
      </c>
      <c r="G260">
        <v>0.178553394651464</v>
      </c>
      <c r="H260">
        <v>0.103788497653101</v>
      </c>
      <c r="I260">
        <v>0.0836836024624061</v>
      </c>
      <c r="J260">
        <v>0.0615867655038351</v>
      </c>
      <c r="K260">
        <v>0.0697314372719172</v>
      </c>
      <c r="L260">
        <v>1909.23952120355</v>
      </c>
      <c r="M260">
        <v>37.4533364535541</v>
      </c>
      <c r="N260">
        <v>51.1950846064105</v>
      </c>
      <c r="O260">
        <v>50.8318146392147</v>
      </c>
      <c r="P260">
        <v>-0.170590406105186</v>
      </c>
      <c r="Q260">
        <v>0.0738986622451446</v>
      </c>
      <c r="R260">
        <v>0.984168310199532</v>
      </c>
      <c r="S260" t="s">
        <v>1944</v>
      </c>
      <c r="T260" t="s">
        <v>3344</v>
      </c>
      <c r="U260" t="s">
        <v>3344</v>
      </c>
      <c r="V260" t="s">
        <v>3344</v>
      </c>
      <c r="W260" t="s">
        <v>3604</v>
      </c>
      <c r="X260">
        <v>5</v>
      </c>
      <c r="Y260" t="s">
        <v>5259</v>
      </c>
      <c r="Z260" t="s">
        <v>6917</v>
      </c>
      <c r="AA260">
        <v>0.5090712342276166</v>
      </c>
      <c r="AB260">
        <f>HYPERLINK("Melting_Curves/meltCurve_P0A7D1_pth.pdf", "Melting_Curves/meltCurve_P0A7D1_pth.pdf")</f>
        <v>0</v>
      </c>
    </row>
    <row r="261" spans="1:28">
      <c r="A261" t="s">
        <v>287</v>
      </c>
      <c r="B261">
        <v>0.999998419929286</v>
      </c>
      <c r="C261">
        <v>1.09650094204146</v>
      </c>
      <c r="D261">
        <v>0.818947819079672</v>
      </c>
      <c r="E261">
        <v>0.518481919084455</v>
      </c>
      <c r="F261">
        <v>0.137350475339362</v>
      </c>
      <c r="G261">
        <v>0.0480501823484674</v>
      </c>
      <c r="H261">
        <v>0.0258572274947848</v>
      </c>
      <c r="I261">
        <v>0.0179049430025373</v>
      </c>
      <c r="J261">
        <v>0.0157036547178281</v>
      </c>
      <c r="K261">
        <v>0.0155976484978863</v>
      </c>
      <c r="L261">
        <v>1112.83592883078</v>
      </c>
      <c r="M261">
        <v>23.9370322720725</v>
      </c>
      <c r="N261">
        <v>46.5396215731947</v>
      </c>
      <c r="O261">
        <v>46.1693151264878</v>
      </c>
      <c r="P261">
        <v>-0.127988898720466</v>
      </c>
      <c r="Q261">
        <v>0.0125650804776055</v>
      </c>
      <c r="R261">
        <v>0.990219225481096</v>
      </c>
      <c r="S261" t="s">
        <v>1945</v>
      </c>
      <c r="T261" t="s">
        <v>3344</v>
      </c>
      <c r="U261" t="s">
        <v>3344</v>
      </c>
      <c r="V261" t="s">
        <v>3344</v>
      </c>
      <c r="W261" t="s">
        <v>3605</v>
      </c>
      <c r="X261">
        <v>10</v>
      </c>
      <c r="Y261" t="s">
        <v>5260</v>
      </c>
      <c r="Z261" t="s">
        <v>6918</v>
      </c>
      <c r="AA261">
        <v>0.3339204770407961</v>
      </c>
      <c r="AB261">
        <f>HYPERLINK("Melting_Curves/meltCurve_P0A7D4_purA.pdf", "Melting_Curves/meltCurve_P0A7D4_purA.pdf")</f>
        <v>0</v>
      </c>
    </row>
    <row r="262" spans="1:28">
      <c r="A262" t="s">
        <v>288</v>
      </c>
      <c r="B262">
        <v>0.999998419929286</v>
      </c>
      <c r="C262">
        <v>0.8023186875068981</v>
      </c>
      <c r="D262">
        <v>0.551012036577422</v>
      </c>
      <c r="E262">
        <v>0.378745066514282</v>
      </c>
      <c r="F262">
        <v>0.229002933765292</v>
      </c>
      <c r="G262">
        <v>0.14276237764119</v>
      </c>
      <c r="H262">
        <v>0.104051459098976</v>
      </c>
      <c r="I262">
        <v>0.0981489708478035</v>
      </c>
      <c r="J262">
        <v>0.0741027273581516</v>
      </c>
      <c r="K262">
        <v>0.0906496901226251</v>
      </c>
      <c r="L262">
        <v>612.080023393323</v>
      </c>
      <c r="M262">
        <v>13.9976512105756</v>
      </c>
      <c r="N262">
        <v>44.2788767395487</v>
      </c>
      <c r="O262">
        <v>42.8638498642038</v>
      </c>
      <c r="P262">
        <v>-0.07511903258158149</v>
      </c>
      <c r="Q262">
        <v>0.0799980800901556</v>
      </c>
      <c r="R262">
        <v>0.99217797864296</v>
      </c>
      <c r="S262" t="s">
        <v>1946</v>
      </c>
      <c r="T262" t="s">
        <v>3344</v>
      </c>
      <c r="U262" t="s">
        <v>3344</v>
      </c>
      <c r="V262" t="s">
        <v>3344</v>
      </c>
      <c r="W262" t="s">
        <v>3606</v>
      </c>
      <c r="X262">
        <v>4</v>
      </c>
      <c r="Y262" t="s">
        <v>5261</v>
      </c>
      <c r="Z262" t="s">
        <v>6919</v>
      </c>
      <c r="AA262">
        <v>0.3130614924252858</v>
      </c>
      <c r="AB262">
        <f>HYPERLINK("Melting_Curves/meltCurve_P0A7D7_purC.pdf", "Melting_Curves/meltCurve_P0A7D7_purC.pdf")</f>
        <v>0</v>
      </c>
    </row>
    <row r="263" spans="1:28">
      <c r="A263" t="s">
        <v>289</v>
      </c>
      <c r="B263">
        <v>0.999998419929286</v>
      </c>
      <c r="C263">
        <v>1.02275004614004</v>
      </c>
      <c r="D263">
        <v>0.962609454176794</v>
      </c>
      <c r="E263">
        <v>1.01987590050707</v>
      </c>
      <c r="F263">
        <v>0.933511933644629</v>
      </c>
      <c r="G263">
        <v>0.534224269311566</v>
      </c>
      <c r="H263">
        <v>0.09795156410490539</v>
      </c>
      <c r="I263">
        <v>0.0589378069722983</v>
      </c>
      <c r="J263">
        <v>0.0483378902332728</v>
      </c>
      <c r="K263">
        <v>0.0513773063740419</v>
      </c>
      <c r="L263">
        <v>2214.34620484252</v>
      </c>
      <c r="M263">
        <v>41.1433170020272</v>
      </c>
      <c r="N263">
        <v>53.946430508106</v>
      </c>
      <c r="O263">
        <v>53.6936268422484</v>
      </c>
      <c r="P263">
        <v>-0.18278315203505</v>
      </c>
      <c r="Q263">
        <v>0.0458451669698605</v>
      </c>
      <c r="R263">
        <v>0.998350778408293</v>
      </c>
      <c r="S263" t="s">
        <v>1947</v>
      </c>
      <c r="T263" t="s">
        <v>3344</v>
      </c>
      <c r="U263" t="s">
        <v>3344</v>
      </c>
      <c r="V263" t="s">
        <v>3344</v>
      </c>
      <c r="W263" t="s">
        <v>3607</v>
      </c>
      <c r="X263">
        <v>3</v>
      </c>
      <c r="Y263" t="s">
        <v>5262</v>
      </c>
      <c r="Z263" t="s">
        <v>6920</v>
      </c>
      <c r="AA263">
        <v>0.5841513731695703</v>
      </c>
      <c r="AB263">
        <f>HYPERLINK("Melting_Curves/meltCurve_P0A7E1_pyrD.pdf", "Melting_Curves/meltCurve_P0A7E1_pyrD.pdf")</f>
        <v>0</v>
      </c>
    </row>
    <row r="264" spans="1:28">
      <c r="A264" t="s">
        <v>290</v>
      </c>
      <c r="B264">
        <v>0.999998419929286</v>
      </c>
      <c r="C264">
        <v>0.914108623109374</v>
      </c>
      <c r="D264">
        <v>0.931913132956383</v>
      </c>
      <c r="E264">
        <v>0.739323681713711</v>
      </c>
      <c r="F264">
        <v>0.744478367362911</v>
      </c>
      <c r="G264">
        <v>0.681399973223124</v>
      </c>
      <c r="H264">
        <v>0.643726541148094</v>
      </c>
      <c r="I264">
        <v>0.5745858567816839</v>
      </c>
      <c r="J264">
        <v>0.471771144017677</v>
      </c>
      <c r="K264">
        <v>0.403834736952718</v>
      </c>
      <c r="L264">
        <v>275.913365998231</v>
      </c>
      <c r="M264">
        <v>4.37602743265382</v>
      </c>
      <c r="N264">
        <v>63.0511052101758</v>
      </c>
      <c r="O264">
        <v>53.1738623479833</v>
      </c>
      <c r="P264">
        <v>-0.0207715481550013</v>
      </c>
      <c r="Q264">
        <v>0</v>
      </c>
      <c r="R264">
        <v>0.955655983976345</v>
      </c>
      <c r="S264" t="s">
        <v>1948</v>
      </c>
      <c r="T264" t="s">
        <v>3344</v>
      </c>
      <c r="U264" t="s">
        <v>3344</v>
      </c>
      <c r="V264" t="s">
        <v>3344</v>
      </c>
      <c r="W264" t="s">
        <v>3608</v>
      </c>
      <c r="X264">
        <v>2</v>
      </c>
      <c r="Y264" t="s">
        <v>5263</v>
      </c>
      <c r="Z264" t="s">
        <v>6921</v>
      </c>
      <c r="AA264">
        <v>0.7108128250623341</v>
      </c>
      <c r="AB264">
        <f>HYPERLINK("Melting_Curves/meltCurve_P0A7E3_pyrE.pdf", "Melting_Curves/meltCurve_P0A7E3_pyrE.pdf")</f>
        <v>0</v>
      </c>
    </row>
    <row r="265" spans="1:28">
      <c r="A265" t="s">
        <v>291</v>
      </c>
      <c r="B265">
        <v>0.999998419929286</v>
      </c>
      <c r="C265">
        <v>1.18654270091669</v>
      </c>
      <c r="D265">
        <v>1.10510532409999</v>
      </c>
      <c r="E265">
        <v>0.793923391729623</v>
      </c>
      <c r="F265">
        <v>0.406247914483487</v>
      </c>
      <c r="G265">
        <v>0.240555322112324</v>
      </c>
      <c r="H265">
        <v>0.109553134076153</v>
      </c>
      <c r="I265">
        <v>0.0550177988083194</v>
      </c>
      <c r="J265">
        <v>0.0476673477382569</v>
      </c>
      <c r="K265">
        <v>0.0437542861003889</v>
      </c>
      <c r="L265">
        <v>1183.68167924041</v>
      </c>
      <c r="M265">
        <v>23.9792096610555</v>
      </c>
      <c r="N265">
        <v>49.6352221354996</v>
      </c>
      <c r="O265">
        <v>49.0233687317058</v>
      </c>
      <c r="P265">
        <v>-0.114747353110406</v>
      </c>
      <c r="Q265">
        <v>0.0616517306299446</v>
      </c>
      <c r="R265">
        <v>0.970067552419688</v>
      </c>
      <c r="S265" t="s">
        <v>1949</v>
      </c>
      <c r="T265" t="s">
        <v>3344</v>
      </c>
      <c r="U265" t="s">
        <v>3344</v>
      </c>
      <c r="V265" t="s">
        <v>3344</v>
      </c>
      <c r="W265" t="s">
        <v>3609</v>
      </c>
      <c r="X265">
        <v>16</v>
      </c>
      <c r="Y265" t="s">
        <v>5264</v>
      </c>
      <c r="Z265" t="s">
        <v>6922</v>
      </c>
      <c r="AA265">
        <v>0.4571653331093479</v>
      </c>
      <c r="AB265">
        <f>HYPERLINK("Melting_Curves/meltCurve_P0A7E5_pyrG.pdf", "Melting_Curves/meltCurve_P0A7E5_pyrG.pdf")</f>
        <v>0</v>
      </c>
    </row>
    <row r="266" spans="1:28">
      <c r="A266" t="s">
        <v>292</v>
      </c>
      <c r="B266">
        <v>0.999998419929286</v>
      </c>
      <c r="C266">
        <v>0.994002275102173</v>
      </c>
      <c r="D266">
        <v>0.238804856532227</v>
      </c>
      <c r="E266">
        <v>0.403266438903354</v>
      </c>
      <c r="F266">
        <v>0.375010409570623</v>
      </c>
      <c r="G266">
        <v>0.5222249866702851</v>
      </c>
      <c r="H266">
        <v>0.327642157008916</v>
      </c>
      <c r="I266">
        <v>0.373686878416454</v>
      </c>
      <c r="J266">
        <v>0.181240502463707</v>
      </c>
      <c r="K266">
        <v>0.307592329471955</v>
      </c>
      <c r="L266">
        <v>10162.0465239263</v>
      </c>
      <c r="M266">
        <v>250</v>
      </c>
      <c r="N266">
        <v>40.8355168474471</v>
      </c>
      <c r="O266">
        <v>40.6455838124632</v>
      </c>
      <c r="P266">
        <v>-1.01305052429816</v>
      </c>
      <c r="Q266">
        <v>0.34118350357274</v>
      </c>
      <c r="R266">
        <v>0.900303009380536</v>
      </c>
      <c r="S266" t="s">
        <v>1950</v>
      </c>
      <c r="T266" t="s">
        <v>3344</v>
      </c>
      <c r="U266" t="s">
        <v>3344</v>
      </c>
      <c r="V266" t="s">
        <v>3344</v>
      </c>
      <c r="W266" t="s">
        <v>3610</v>
      </c>
      <c r="X266">
        <v>1</v>
      </c>
      <c r="Y266" t="s">
        <v>5265</v>
      </c>
      <c r="Z266" t="s">
        <v>6923</v>
      </c>
      <c r="AA266">
        <v>0.4213466742512751</v>
      </c>
      <c r="AB266">
        <f>HYPERLINK("Melting_Curves/meltCurve_P0A7E9_pyrH.pdf", "Melting_Curves/meltCurve_P0A7E9_pyrH.pdf")</f>
        <v>0</v>
      </c>
    </row>
    <row r="267" spans="1:28">
      <c r="A267" t="s">
        <v>293</v>
      </c>
      <c r="B267">
        <v>0.999998419929286</v>
      </c>
      <c r="C267">
        <v>1.05919510287341</v>
      </c>
      <c r="D267">
        <v>1.17499770956942</v>
      </c>
      <c r="E267">
        <v>1.13686032433719</v>
      </c>
      <c r="F267">
        <v>1.29906933838648</v>
      </c>
      <c r="G267">
        <v>1.12218745779304</v>
      </c>
      <c r="H267">
        <v>1.02200283459598</v>
      </c>
      <c r="I267">
        <v>0.68072498211785</v>
      </c>
      <c r="J267">
        <v>0.6432572677978829</v>
      </c>
      <c r="K267">
        <v>0.418915274537657</v>
      </c>
      <c r="L267">
        <v>2170.59408453162</v>
      </c>
      <c r="M267">
        <v>35.3859530078744</v>
      </c>
      <c r="N267">
        <v>65.55274400428711</v>
      </c>
      <c r="O267">
        <v>61.1456439907796</v>
      </c>
      <c r="P267">
        <v>-0.0797852204489141</v>
      </c>
      <c r="Q267">
        <v>0.448537986330823</v>
      </c>
      <c r="R267">
        <v>0.74450365946834</v>
      </c>
      <c r="S267" t="s">
        <v>1951</v>
      </c>
      <c r="T267" t="s">
        <v>3344</v>
      </c>
      <c r="U267" t="s">
        <v>3344</v>
      </c>
      <c r="V267" t="s">
        <v>3344</v>
      </c>
      <c r="W267" t="s">
        <v>3611</v>
      </c>
      <c r="X267">
        <v>1</v>
      </c>
      <c r="Y267" t="s">
        <v>5266</v>
      </c>
      <c r="Z267" t="s">
        <v>6924</v>
      </c>
      <c r="AA267">
        <v>0.8969676601185844</v>
      </c>
      <c r="AB267">
        <f>HYPERLINK("Melting_Curves/meltCurve_P0A7F3_pyrI.pdf", "Melting_Curves/meltCurve_P0A7F3_pyrI.pdf")</f>
        <v>0</v>
      </c>
    </row>
    <row r="268" spans="1:28">
      <c r="A268" t="s">
        <v>294</v>
      </c>
      <c r="B268">
        <v>0.999998419929286</v>
      </c>
      <c r="C268">
        <v>0.773774428458857</v>
      </c>
      <c r="D268">
        <v>1.13182392190069</v>
      </c>
      <c r="E268">
        <v>0.962077057513874</v>
      </c>
      <c r="F268">
        <v>1.20664964981367</v>
      </c>
      <c r="G268">
        <v>0.998444917644999</v>
      </c>
      <c r="H268">
        <v>0.912399756230489</v>
      </c>
      <c r="I268">
        <v>0.999411451465713</v>
      </c>
      <c r="J268">
        <v>0.933398634341376</v>
      </c>
      <c r="K268">
        <v>0.672022823116877</v>
      </c>
      <c r="L268">
        <v>2839.08644667668</v>
      </c>
      <c r="M268">
        <v>41.656353170847</v>
      </c>
      <c r="Q268">
        <v>0</v>
      </c>
      <c r="R268">
        <v>0.441707441100435</v>
      </c>
      <c r="S268" t="s">
        <v>1952</v>
      </c>
      <c r="T268" t="s">
        <v>3344</v>
      </c>
      <c r="U268" t="s">
        <v>3344</v>
      </c>
      <c r="V268" t="s">
        <v>3344</v>
      </c>
      <c r="W268" t="s">
        <v>3612</v>
      </c>
      <c r="X268">
        <v>2</v>
      </c>
      <c r="Y268" t="s">
        <v>5267</v>
      </c>
      <c r="Z268" t="s">
        <v>6925</v>
      </c>
      <c r="AA268">
        <v>0.9800806607520848</v>
      </c>
      <c r="AB268">
        <f>HYPERLINK("Melting_Curves/meltCurve_P0A7F6_speD.pdf", "Melting_Curves/meltCurve_P0A7F6_speD.pdf")</f>
        <v>0</v>
      </c>
    </row>
    <row r="269" spans="1:28">
      <c r="A269" t="s">
        <v>295</v>
      </c>
      <c r="B269">
        <v>0.999998419929286</v>
      </c>
      <c r="C269">
        <v>1.32811112350854</v>
      </c>
      <c r="D269">
        <v>1.08829541948497</v>
      </c>
      <c r="E269">
        <v>0.815549299863929</v>
      </c>
      <c r="F269">
        <v>0.250863940838018</v>
      </c>
      <c r="G269">
        <v>0.199935933053284</v>
      </c>
      <c r="H269">
        <v>0.109687131100746</v>
      </c>
      <c r="I269">
        <v>0.116712747538608</v>
      </c>
      <c r="J269">
        <v>0.0772173752563998</v>
      </c>
      <c r="K269">
        <v>0.0726578144110555</v>
      </c>
      <c r="L269">
        <v>1944.759531022</v>
      </c>
      <c r="M269">
        <v>40.3555254726044</v>
      </c>
      <c r="N269">
        <v>48.4916627387041</v>
      </c>
      <c r="O269">
        <v>48.0727866023013</v>
      </c>
      <c r="P269">
        <v>-0.186614324370437</v>
      </c>
      <c r="Q269">
        <v>0.110798166201431</v>
      </c>
      <c r="R269">
        <v>0.942873151638807</v>
      </c>
      <c r="S269" t="s">
        <v>1953</v>
      </c>
      <c r="T269" t="s">
        <v>3344</v>
      </c>
      <c r="U269" t="s">
        <v>3344</v>
      </c>
      <c r="V269" t="s">
        <v>3344</v>
      </c>
      <c r="W269" t="s">
        <v>3613</v>
      </c>
      <c r="X269">
        <v>1</v>
      </c>
      <c r="Y269" t="s">
        <v>5268</v>
      </c>
      <c r="Z269" t="s">
        <v>6926</v>
      </c>
      <c r="AA269">
        <v>0.445399742785911</v>
      </c>
      <c r="AB269">
        <f>HYPERLINK("Melting_Curves/meltCurve_P0A7F9_queA.pdf", "Melting_Curves/meltCurve_P0A7F9_queA.pdf")</f>
        <v>0</v>
      </c>
    </row>
    <row r="270" spans="1:28">
      <c r="A270" t="s">
        <v>296</v>
      </c>
      <c r="B270">
        <v>0.999998419929286</v>
      </c>
      <c r="C270">
        <v>0.88948096052</v>
      </c>
      <c r="D270">
        <v>0.937940329530448</v>
      </c>
      <c r="E270">
        <v>1.08962469396854</v>
      </c>
      <c r="F270">
        <v>1.1629465588734</v>
      </c>
      <c r="G270">
        <v>1.20301575383088</v>
      </c>
      <c r="H270">
        <v>0.9739345297383269</v>
      </c>
      <c r="I270">
        <v>0.6356568332086689</v>
      </c>
      <c r="J270">
        <v>0.507860672412166</v>
      </c>
      <c r="K270">
        <v>0.410408984992783</v>
      </c>
      <c r="L270">
        <v>3222.28045659778</v>
      </c>
      <c r="M270">
        <v>53.3821659972949</v>
      </c>
      <c r="N270">
        <v>62.9080575999623</v>
      </c>
      <c r="O270">
        <v>60.2779381608683</v>
      </c>
      <c r="P270">
        <v>-0.123465044542959</v>
      </c>
      <c r="Q270">
        <v>0.442344403259096</v>
      </c>
      <c r="R270">
        <v>0.858537989535642</v>
      </c>
      <c r="S270" t="s">
        <v>1954</v>
      </c>
      <c r="T270" t="s">
        <v>3344</v>
      </c>
      <c r="U270" t="s">
        <v>3344</v>
      </c>
      <c r="V270" t="s">
        <v>3344</v>
      </c>
      <c r="W270" t="s">
        <v>3614</v>
      </c>
      <c r="X270">
        <v>5</v>
      </c>
      <c r="Y270" t="s">
        <v>5269</v>
      </c>
      <c r="Z270" t="s">
        <v>6927</v>
      </c>
      <c r="AA270">
        <v>0.8777840066456358</v>
      </c>
      <c r="AB270">
        <f>HYPERLINK("Melting_Curves/meltCurve_P0A7G2_rbfA.pdf", "Melting_Curves/meltCurve_P0A7G2_rbfA.pdf")</f>
        <v>0</v>
      </c>
    </row>
    <row r="271" spans="1:28">
      <c r="A271" t="s">
        <v>297</v>
      </c>
      <c r="B271">
        <v>0.999998419929286</v>
      </c>
      <c r="C271">
        <v>0.863094258311764</v>
      </c>
      <c r="D271">
        <v>0.648064020174824</v>
      </c>
      <c r="E271">
        <v>0.381533470609306</v>
      </c>
      <c r="F271">
        <v>0.273409951720239</v>
      </c>
      <c r="G271">
        <v>0.21783326746464</v>
      </c>
      <c r="H271">
        <v>0.161890506295549</v>
      </c>
      <c r="I271">
        <v>0.146398864172305</v>
      </c>
      <c r="J271">
        <v>0.121181172039185</v>
      </c>
      <c r="K271">
        <v>0.0978017137442649</v>
      </c>
      <c r="L271">
        <v>667.308539495831</v>
      </c>
      <c r="M271">
        <v>15.0805488942192</v>
      </c>
      <c r="N271">
        <v>45.1255144727019</v>
      </c>
      <c r="O271">
        <v>43.4933860393663</v>
      </c>
      <c r="P271">
        <v>-0.07569188187744311</v>
      </c>
      <c r="Q271">
        <v>0.126882589378077</v>
      </c>
      <c r="R271">
        <v>0.994192557368216</v>
      </c>
      <c r="S271" t="s">
        <v>1955</v>
      </c>
      <c r="T271" t="s">
        <v>3344</v>
      </c>
      <c r="U271" t="s">
        <v>3344</v>
      </c>
      <c r="V271" t="s">
        <v>3344</v>
      </c>
      <c r="W271" t="s">
        <v>3615</v>
      </c>
      <c r="X271">
        <v>5</v>
      </c>
      <c r="Y271" t="s">
        <v>5270</v>
      </c>
      <c r="Z271" t="s">
        <v>6928</v>
      </c>
      <c r="AA271">
        <v>0.3590618254239893</v>
      </c>
      <c r="AB271">
        <f>HYPERLINK("Melting_Curves/meltCurve_P0A7G6_recA.pdf", "Melting_Curves/meltCurve_P0A7G6_recA.pdf")</f>
        <v>0</v>
      </c>
    </row>
    <row r="272" spans="1:28">
      <c r="A272" t="s">
        <v>298</v>
      </c>
      <c r="B272">
        <v>0.999998419929286</v>
      </c>
      <c r="C272">
        <v>1.10553982767361</v>
      </c>
      <c r="D272">
        <v>1.12882096780055</v>
      </c>
      <c r="E272">
        <v>1.25315747841945</v>
      </c>
      <c r="F272">
        <v>1.30535425583009</v>
      </c>
      <c r="G272">
        <v>1.03365821735627</v>
      </c>
      <c r="H272">
        <v>0.522607350929449</v>
      </c>
      <c r="I272">
        <v>0.337355111904384</v>
      </c>
      <c r="J272">
        <v>0.319997448667143</v>
      </c>
      <c r="K272">
        <v>0.284756883168546</v>
      </c>
      <c r="L272">
        <v>14302.4693614861</v>
      </c>
      <c r="M272">
        <v>250</v>
      </c>
      <c r="N272">
        <v>57.4370929086327</v>
      </c>
      <c r="O272">
        <v>57.2062164341093</v>
      </c>
      <c r="P272">
        <v>-0.749441684014855</v>
      </c>
      <c r="Q272">
        <v>0.314036430406</v>
      </c>
      <c r="R272">
        <v>0.877778753204808</v>
      </c>
      <c r="S272" t="s">
        <v>1956</v>
      </c>
      <c r="T272" t="s">
        <v>3344</v>
      </c>
      <c r="U272" t="s">
        <v>3344</v>
      </c>
      <c r="V272" t="s">
        <v>3344</v>
      </c>
      <c r="W272" t="s">
        <v>3616</v>
      </c>
      <c r="X272">
        <v>7</v>
      </c>
      <c r="Y272" t="s">
        <v>5271</v>
      </c>
      <c r="Z272" t="s">
        <v>6929</v>
      </c>
      <c r="AA272">
        <v>0.7762132919544944</v>
      </c>
      <c r="AB272">
        <f>HYPERLINK("Melting_Curves/meltCurve_P0A7I0_prfA.pdf", "Melting_Curves/meltCurve_P0A7I0_prfA.pdf")</f>
        <v>0</v>
      </c>
    </row>
    <row r="273" spans="1:28">
      <c r="A273" t="s">
        <v>299</v>
      </c>
      <c r="B273">
        <v>0.999998419929286</v>
      </c>
      <c r="C273">
        <v>1.30370759108985</v>
      </c>
      <c r="D273">
        <v>1.3859208612901</v>
      </c>
      <c r="E273">
        <v>1.04755508893623</v>
      </c>
      <c r="F273">
        <v>0.188559185721808</v>
      </c>
      <c r="G273">
        <v>0.183092127004337</v>
      </c>
      <c r="H273">
        <v>0.141943739424988</v>
      </c>
      <c r="I273">
        <v>0.0949346109162775</v>
      </c>
      <c r="J273">
        <v>0.080638398267636</v>
      </c>
      <c r="K273">
        <v>0.09350333408869831</v>
      </c>
      <c r="L273">
        <v>12426.805019142</v>
      </c>
      <c r="M273">
        <v>250</v>
      </c>
      <c r="N273">
        <v>49.7612222945567</v>
      </c>
      <c r="O273">
        <v>49.7040393993166</v>
      </c>
      <c r="P273">
        <v>-1.10803063284345</v>
      </c>
      <c r="Q273">
        <v>0.118822433867637</v>
      </c>
      <c r="R273">
        <v>0.9099377780143399</v>
      </c>
      <c r="S273" t="s">
        <v>1957</v>
      </c>
      <c r="T273" t="s">
        <v>3344</v>
      </c>
      <c r="U273" t="s">
        <v>3344</v>
      </c>
      <c r="V273" t="s">
        <v>3344</v>
      </c>
      <c r="W273" t="s">
        <v>3617</v>
      </c>
      <c r="X273">
        <v>3</v>
      </c>
      <c r="Y273" t="s">
        <v>5272</v>
      </c>
      <c r="Z273" t="s">
        <v>6930</v>
      </c>
      <c r="AA273">
        <v>0.4921432123889414</v>
      </c>
      <c r="AB273">
        <f>HYPERLINK("Melting_Curves/meltCurve_P0A7I4_prfC.pdf", "Melting_Curves/meltCurve_P0A7I4_prfC.pdf")</f>
        <v>0</v>
      </c>
    </row>
    <row r="274" spans="1:28">
      <c r="A274" t="s">
        <v>300</v>
      </c>
      <c r="B274">
        <v>0.999998419929286</v>
      </c>
      <c r="C274">
        <v>0.877625375954539</v>
      </c>
      <c r="D274">
        <v>1.03059296862215</v>
      </c>
      <c r="E274">
        <v>1.06032341855332</v>
      </c>
      <c r="F274">
        <v>1.18628552300567</v>
      </c>
      <c r="G274">
        <v>1.21271179637721</v>
      </c>
      <c r="H274">
        <v>1.11460299563223</v>
      </c>
      <c r="I274">
        <v>0.813540601406171</v>
      </c>
      <c r="J274">
        <v>0.598613232312355</v>
      </c>
      <c r="K274">
        <v>0.321786016803681</v>
      </c>
      <c r="L274">
        <v>2231.18388732001</v>
      </c>
      <c r="M274">
        <v>34.9298439362603</v>
      </c>
      <c r="N274">
        <v>64.8108272433024</v>
      </c>
      <c r="O274">
        <v>63.6678717136548</v>
      </c>
      <c r="P274">
        <v>-0.110017918252387</v>
      </c>
      <c r="Q274">
        <v>0.19786852909152</v>
      </c>
      <c r="R274">
        <v>0.829197934261955</v>
      </c>
      <c r="S274" t="s">
        <v>1958</v>
      </c>
      <c r="T274" t="s">
        <v>3344</v>
      </c>
      <c r="U274" t="s">
        <v>3344</v>
      </c>
      <c r="V274" t="s">
        <v>3344</v>
      </c>
      <c r="W274" t="s">
        <v>3618</v>
      </c>
      <c r="X274">
        <v>4</v>
      </c>
      <c r="Y274" t="s">
        <v>5273</v>
      </c>
      <c r="Z274" t="s">
        <v>6931</v>
      </c>
      <c r="AA274">
        <v>0.9108274742386668</v>
      </c>
      <c r="AB274">
        <f>HYPERLINK("Melting_Curves/meltCurve_P0A7I7_ribA.pdf", "Melting_Curves/meltCurve_P0A7I7_ribA.pdf")</f>
        <v>0</v>
      </c>
    </row>
    <row r="275" spans="1:28">
      <c r="A275" t="s">
        <v>301</v>
      </c>
      <c r="B275">
        <v>0.999998419929286</v>
      </c>
      <c r="C275">
        <v>0.768786003629585</v>
      </c>
      <c r="D275">
        <v>0.766663169586586</v>
      </c>
      <c r="E275">
        <v>0.69402292828005</v>
      </c>
      <c r="F275">
        <v>0.428160248452778</v>
      </c>
      <c r="G275">
        <v>0.244126783072715</v>
      </c>
      <c r="H275">
        <v>0.150109252896117</v>
      </c>
      <c r="I275">
        <v>0.08813904397718909</v>
      </c>
      <c r="J275">
        <v>0.0821174757675931</v>
      </c>
      <c r="K275">
        <v>0.0793795743525214</v>
      </c>
      <c r="L275">
        <v>481.966714902382</v>
      </c>
      <c r="M275">
        <v>9.93057872862664</v>
      </c>
      <c r="N275">
        <v>48.5335759411097</v>
      </c>
      <c r="O275">
        <v>46.6885286238688</v>
      </c>
      <c r="P275">
        <v>-0.0532011810920579</v>
      </c>
      <c r="Q275">
        <v>0</v>
      </c>
      <c r="R275">
        <v>0.972985560406055</v>
      </c>
      <c r="S275" t="s">
        <v>1959</v>
      </c>
      <c r="T275" t="s">
        <v>3344</v>
      </c>
      <c r="U275" t="s">
        <v>3344</v>
      </c>
      <c r="V275" t="s">
        <v>3344</v>
      </c>
      <c r="W275" t="s">
        <v>3619</v>
      </c>
      <c r="X275">
        <v>10</v>
      </c>
      <c r="Y275" t="s">
        <v>5274</v>
      </c>
      <c r="Z275" t="s">
        <v>6932</v>
      </c>
      <c r="AA275">
        <v>0.4233300000200748</v>
      </c>
      <c r="AB275">
        <f>HYPERLINK("Melting_Curves/meltCurve_P0A7J3_rplJ.pdf", "Melting_Curves/meltCurve_P0A7J3_rplJ.pdf")</f>
        <v>0</v>
      </c>
    </row>
    <row r="276" spans="1:28">
      <c r="A276" t="s">
        <v>302</v>
      </c>
      <c r="B276">
        <v>0.999998419929286</v>
      </c>
      <c r="C276">
        <v>0.808313512377662</v>
      </c>
      <c r="D276">
        <v>0.6450121912262889</v>
      </c>
      <c r="E276">
        <v>0.463523833442077</v>
      </c>
      <c r="F276">
        <v>0.151389235565639</v>
      </c>
      <c r="G276">
        <v>0.0708991315791884</v>
      </c>
      <c r="H276">
        <v>0.0471852046733289</v>
      </c>
      <c r="I276">
        <v>0.0395478128230321</v>
      </c>
      <c r="J276">
        <v>0.0384811484143222</v>
      </c>
      <c r="K276">
        <v>0.0375739701386287</v>
      </c>
      <c r="L276">
        <v>626.5354731544149</v>
      </c>
      <c r="M276">
        <v>13.9149827930181</v>
      </c>
      <c r="N276">
        <v>45.0804693047382</v>
      </c>
      <c r="O276">
        <v>44.1266026828364</v>
      </c>
      <c r="P276">
        <v>-0.0781884977109215</v>
      </c>
      <c r="Q276">
        <v>0.00834208247829632</v>
      </c>
      <c r="R276">
        <v>0.988464156562753</v>
      </c>
      <c r="S276" t="s">
        <v>1960</v>
      </c>
      <c r="T276" t="s">
        <v>3344</v>
      </c>
      <c r="U276" t="s">
        <v>3344</v>
      </c>
      <c r="V276" t="s">
        <v>3344</v>
      </c>
      <c r="W276" t="s">
        <v>3620</v>
      </c>
      <c r="X276">
        <v>6</v>
      </c>
      <c r="Y276" t="s">
        <v>5275</v>
      </c>
      <c r="Z276" t="s">
        <v>6933</v>
      </c>
      <c r="AA276">
        <v>0.3009511184792842</v>
      </c>
      <c r="AB276">
        <f>HYPERLINK("Melting_Curves/meltCurve_P0A7J7_rplK.pdf", "Melting_Curves/meltCurve_P0A7J7_rplK.pdf")</f>
        <v>0</v>
      </c>
    </row>
    <row r="277" spans="1:28">
      <c r="A277" t="s">
        <v>303</v>
      </c>
      <c r="B277">
        <v>0.999998419929286</v>
      </c>
      <c r="C277">
        <v>1.01891081866793</v>
      </c>
      <c r="D277">
        <v>0.869006002039263</v>
      </c>
      <c r="E277">
        <v>1.08808931605028</v>
      </c>
      <c r="F277">
        <v>1.20993810021322</v>
      </c>
      <c r="G277">
        <v>1.89361155580537</v>
      </c>
      <c r="H277">
        <v>1.68861445864622</v>
      </c>
      <c r="I277">
        <v>1.34800097407621</v>
      </c>
      <c r="J277">
        <v>1.37925977813483</v>
      </c>
      <c r="K277">
        <v>1.31889037914121</v>
      </c>
      <c r="L277">
        <v>12566.228691334</v>
      </c>
      <c r="M277">
        <v>250</v>
      </c>
      <c r="O277">
        <v>50.2616981556767</v>
      </c>
      <c r="P277">
        <v>0.621745806259455</v>
      </c>
      <c r="Q277">
        <v>1.5</v>
      </c>
      <c r="R277">
        <v>0.687714363458119</v>
      </c>
      <c r="S277" t="s">
        <v>1961</v>
      </c>
      <c r="T277" t="s">
        <v>3344</v>
      </c>
      <c r="U277" t="s">
        <v>3344</v>
      </c>
      <c r="V277" t="s">
        <v>3344</v>
      </c>
      <c r="W277" t="s">
        <v>3621</v>
      </c>
      <c r="X277">
        <v>4</v>
      </c>
      <c r="Y277" t="s">
        <v>5276</v>
      </c>
      <c r="Z277" t="s">
        <v>6934</v>
      </c>
      <c r="AA277">
        <v>1.278873980172841</v>
      </c>
      <c r="AB277">
        <f>HYPERLINK("Melting_Curves/meltCurve_P0A7K2_rplL.pdf", "Melting_Curves/meltCurve_P0A7K2_rplL.pdf")</f>
        <v>0</v>
      </c>
    </row>
    <row r="278" spans="1:28">
      <c r="A278" t="s">
        <v>304</v>
      </c>
      <c r="B278">
        <v>0.999998419929286</v>
      </c>
      <c r="C278">
        <v>0.627916873829898</v>
      </c>
      <c r="D278">
        <v>0.753491079029976</v>
      </c>
      <c r="E278">
        <v>0.503491638468611</v>
      </c>
      <c r="F278">
        <v>0.321701039585587</v>
      </c>
      <c r="G278">
        <v>0.188479278162548</v>
      </c>
      <c r="H278">
        <v>0.0997963168249324</v>
      </c>
      <c r="I278">
        <v>0.042027177271537</v>
      </c>
      <c r="J278">
        <v>0.0300893618625335</v>
      </c>
      <c r="K278">
        <v>0.0271755682563169</v>
      </c>
      <c r="L278">
        <v>456.593816079554</v>
      </c>
      <c r="M278">
        <v>9.917122478074029</v>
      </c>
      <c r="N278">
        <v>46.0409576986834</v>
      </c>
      <c r="O278">
        <v>44.2861908442425</v>
      </c>
      <c r="P278">
        <v>-0.0560112625953863</v>
      </c>
      <c r="Q278">
        <v>0</v>
      </c>
      <c r="R278">
        <v>0.948180139254624</v>
      </c>
      <c r="S278" t="s">
        <v>1962</v>
      </c>
      <c r="T278" t="s">
        <v>3344</v>
      </c>
      <c r="U278" t="s">
        <v>3344</v>
      </c>
      <c r="V278" t="s">
        <v>3344</v>
      </c>
      <c r="W278" t="s">
        <v>3622</v>
      </c>
      <c r="X278">
        <v>7</v>
      </c>
      <c r="Y278" t="s">
        <v>5277</v>
      </c>
      <c r="Z278" t="s">
        <v>6935</v>
      </c>
      <c r="AA278">
        <v>0.3480561180706278</v>
      </c>
      <c r="AB278">
        <f>HYPERLINK("Melting_Curves/meltCurve_P0A7K6_rplS.pdf", "Melting_Curves/meltCurve_P0A7K6_rplS.pdf")</f>
        <v>0</v>
      </c>
    </row>
    <row r="279" spans="1:28">
      <c r="A279" t="s">
        <v>305</v>
      </c>
      <c r="B279">
        <v>0.999998419929286</v>
      </c>
      <c r="C279">
        <v>0.710836121729903</v>
      </c>
      <c r="D279">
        <v>0.426623592355985</v>
      </c>
      <c r="E279">
        <v>0.16247419004029</v>
      </c>
      <c r="F279">
        <v>0.0507419072737614</v>
      </c>
      <c r="G279">
        <v>0.0387687300146069</v>
      </c>
      <c r="H279">
        <v>0.0257034853053481</v>
      </c>
      <c r="I279">
        <v>0.0191036077412109</v>
      </c>
      <c r="J279">
        <v>0.0198343792495946</v>
      </c>
      <c r="K279">
        <v>0.0179904534729373</v>
      </c>
      <c r="L279">
        <v>811.762625054566</v>
      </c>
      <c r="M279">
        <v>19.2698163103046</v>
      </c>
      <c r="N279">
        <v>42.2116572570064</v>
      </c>
      <c r="O279">
        <v>41.6803136450954</v>
      </c>
      <c r="P279">
        <v>-0.113372236764831</v>
      </c>
      <c r="Q279">
        <v>0.0191474537868708</v>
      </c>
      <c r="R279">
        <v>0.994588686415148</v>
      </c>
      <c r="S279" t="s">
        <v>1963</v>
      </c>
      <c r="T279" t="s">
        <v>3344</v>
      </c>
      <c r="U279" t="s">
        <v>3344</v>
      </c>
      <c r="V279" t="s">
        <v>3344</v>
      </c>
      <c r="W279" t="s">
        <v>3623</v>
      </c>
      <c r="X279">
        <v>7</v>
      </c>
      <c r="Y279" t="s">
        <v>5278</v>
      </c>
      <c r="Z279" t="s">
        <v>6936</v>
      </c>
      <c r="AA279">
        <v>0.2026664203596067</v>
      </c>
      <c r="AB279">
        <f>HYPERLINK("Melting_Curves/meltCurve_P0A7L0_rplA.pdf", "Melting_Curves/meltCurve_P0A7L0_rplA.pdf")</f>
        <v>0</v>
      </c>
    </row>
    <row r="280" spans="1:28">
      <c r="A280" t="s">
        <v>306</v>
      </c>
      <c r="B280">
        <v>0.999998419929286</v>
      </c>
      <c r="C280">
        <v>0.675058033592273</v>
      </c>
      <c r="D280">
        <v>0.722351365901071</v>
      </c>
      <c r="E280">
        <v>0.553663970847548</v>
      </c>
      <c r="F280">
        <v>0.167070916567554</v>
      </c>
      <c r="G280">
        <v>0.119279512527635</v>
      </c>
      <c r="H280">
        <v>0.114584181041526</v>
      </c>
      <c r="I280">
        <v>0.037429277209203</v>
      </c>
      <c r="J280">
        <v>0.0225398389505548</v>
      </c>
      <c r="K280">
        <v>0.0216822605694783</v>
      </c>
      <c r="L280">
        <v>523.379960011156</v>
      </c>
      <c r="M280">
        <v>11.4663983004618</v>
      </c>
      <c r="N280">
        <v>45.6446530232101</v>
      </c>
      <c r="O280">
        <v>44.3225500264652</v>
      </c>
      <c r="P280">
        <v>-0.06469446304280289</v>
      </c>
      <c r="Q280">
        <v>0</v>
      </c>
      <c r="R280">
        <v>0.950707075965776</v>
      </c>
      <c r="S280" t="s">
        <v>1964</v>
      </c>
      <c r="T280" t="s">
        <v>3344</v>
      </c>
      <c r="U280" t="s">
        <v>3344</v>
      </c>
      <c r="V280" t="s">
        <v>3344</v>
      </c>
      <c r="W280" t="s">
        <v>3624</v>
      </c>
      <c r="X280">
        <v>7</v>
      </c>
      <c r="Y280" t="s">
        <v>5279</v>
      </c>
      <c r="Z280" t="s">
        <v>6937</v>
      </c>
      <c r="AA280">
        <v>0.3261341060776725</v>
      </c>
      <c r="AB280">
        <f>HYPERLINK("Melting_Curves/meltCurve_P0A7L3_rplT.pdf", "Melting_Curves/meltCurve_P0A7L3_rplT.pdf")</f>
        <v>0</v>
      </c>
    </row>
    <row r="281" spans="1:28">
      <c r="A281" t="s">
        <v>307</v>
      </c>
      <c r="B281">
        <v>0.999998419929286</v>
      </c>
      <c r="C281">
        <v>0.839560723581139</v>
      </c>
      <c r="D281">
        <v>0.744860553904948</v>
      </c>
      <c r="E281">
        <v>0.7785759616842191</v>
      </c>
      <c r="F281">
        <v>1.97797921241749</v>
      </c>
      <c r="G281">
        <v>2.66406045513395</v>
      </c>
      <c r="H281">
        <v>3.31562320219537</v>
      </c>
      <c r="I281">
        <v>3.08104714799103</v>
      </c>
      <c r="J281">
        <v>6.08876562153066</v>
      </c>
      <c r="K281">
        <v>9.41357233463032</v>
      </c>
      <c r="L281">
        <v>4030.88842814434</v>
      </c>
      <c r="M281">
        <v>83.7727306990091</v>
      </c>
      <c r="O281">
        <v>48.0895533374673</v>
      </c>
      <c r="P281">
        <v>0.21775192288532</v>
      </c>
      <c r="Q281">
        <v>1.5</v>
      </c>
      <c r="R281">
        <v>-0.291757236891025</v>
      </c>
      <c r="S281" t="s">
        <v>1965</v>
      </c>
      <c r="T281" t="s">
        <v>3344</v>
      </c>
      <c r="U281" t="s">
        <v>3344</v>
      </c>
      <c r="V281" t="s">
        <v>3344</v>
      </c>
      <c r="W281" t="s">
        <v>3625</v>
      </c>
      <c r="X281">
        <v>2</v>
      </c>
      <c r="Y281" t="s">
        <v>5280</v>
      </c>
      <c r="Z281" t="s">
        <v>6938</v>
      </c>
      <c r="AA281">
        <v>1.314340788618145</v>
      </c>
      <c r="AB281">
        <f>HYPERLINK("Melting_Curves/meltCurve_P0A7L8_rpmA.pdf", "Melting_Curves/meltCurve_P0A7L8_rpmA.pdf")</f>
        <v>0</v>
      </c>
    </row>
    <row r="282" spans="1:28">
      <c r="A282" t="s">
        <v>308</v>
      </c>
      <c r="B282">
        <v>0.999998419929286</v>
      </c>
      <c r="C282">
        <v>0.580158271410009</v>
      </c>
      <c r="D282">
        <v>0.329081791655949</v>
      </c>
      <c r="E282">
        <v>0.124341219718081</v>
      </c>
      <c r="F282">
        <v>0.142375864797485</v>
      </c>
      <c r="G282">
        <v>0.147959176925871</v>
      </c>
      <c r="H282">
        <v>0.122487708362748</v>
      </c>
      <c r="I282">
        <v>0.155825483586184</v>
      </c>
      <c r="J282">
        <v>0.240615897154439</v>
      </c>
      <c r="K282">
        <v>0.222131003156387</v>
      </c>
      <c r="L282">
        <v>1205.76957190097</v>
      </c>
      <c r="M282">
        <v>30.0527814760884</v>
      </c>
      <c r="N282">
        <v>40.6800572825681</v>
      </c>
      <c r="O282">
        <v>39.9453372494808</v>
      </c>
      <c r="P282">
        <v>-0.15630256315657</v>
      </c>
      <c r="Q282">
        <v>0.168992966600928</v>
      </c>
      <c r="R282">
        <v>0.96627245171627</v>
      </c>
      <c r="S282" t="s">
        <v>1966</v>
      </c>
      <c r="T282" t="s">
        <v>3344</v>
      </c>
      <c r="U282" t="s">
        <v>3344</v>
      </c>
      <c r="V282" t="s">
        <v>3344</v>
      </c>
      <c r="W282" t="s">
        <v>3626</v>
      </c>
      <c r="X282">
        <v>2</v>
      </c>
      <c r="Y282" t="s">
        <v>5281</v>
      </c>
      <c r="Z282" t="s">
        <v>6939</v>
      </c>
      <c r="AA282">
        <v>0.2618374992013519</v>
      </c>
      <c r="AB282">
        <f>HYPERLINK("Melting_Curves/meltCurve_P0A7M2_rpmB.pdf", "Melting_Curves/meltCurve_P0A7M2_rpmB.pdf")</f>
        <v>0</v>
      </c>
    </row>
    <row r="283" spans="1:28">
      <c r="A283" t="s">
        <v>309</v>
      </c>
      <c r="B283">
        <v>0.999998419929286</v>
      </c>
      <c r="C283">
        <v>0.571681929595645</v>
      </c>
      <c r="D283">
        <v>0.236058184216771</v>
      </c>
      <c r="E283">
        <v>0.17773236644807</v>
      </c>
      <c r="F283">
        <v>0.111585647625616</v>
      </c>
      <c r="G283">
        <v>0.07389307050125039</v>
      </c>
      <c r="H283">
        <v>0.0375912672366409</v>
      </c>
      <c r="I283">
        <v>0.155458426289458</v>
      </c>
      <c r="J283">
        <v>0.112631275646651</v>
      </c>
      <c r="K283">
        <v>0.08028453053375149</v>
      </c>
      <c r="L283">
        <v>1229.94951746056</v>
      </c>
      <c r="M283">
        <v>30.6137971251225</v>
      </c>
      <c r="N283">
        <v>40.4930479927127</v>
      </c>
      <c r="O283">
        <v>40.0060544589894</v>
      </c>
      <c r="P283">
        <v>-0.170939187319411</v>
      </c>
      <c r="Q283">
        <v>0.106473379332736</v>
      </c>
      <c r="R283">
        <v>0.978856220731789</v>
      </c>
      <c r="S283" t="s">
        <v>1967</v>
      </c>
      <c r="T283" t="s">
        <v>3344</v>
      </c>
      <c r="U283" t="s">
        <v>3344</v>
      </c>
      <c r="V283" t="s">
        <v>3344</v>
      </c>
      <c r="W283" t="s">
        <v>3627</v>
      </c>
      <c r="X283">
        <v>2</v>
      </c>
      <c r="Y283" t="s">
        <v>5282</v>
      </c>
      <c r="Z283" t="s">
        <v>6940</v>
      </c>
      <c r="AA283">
        <v>0.2075230492079023</v>
      </c>
      <c r="AB283">
        <f>HYPERLINK("Melting_Curves/meltCurve_P0A7M6_rpmC.pdf", "Melting_Curves/meltCurve_P0A7M6_rpmC.pdf")</f>
        <v>0</v>
      </c>
    </row>
    <row r="284" spans="1:28">
      <c r="A284" t="s">
        <v>310</v>
      </c>
      <c r="B284">
        <v>0.999998419929286</v>
      </c>
      <c r="C284">
        <v>0.801618539309047</v>
      </c>
      <c r="D284">
        <v>1.03005431800106</v>
      </c>
      <c r="E284">
        <v>1.0828852073574</v>
      </c>
      <c r="F284">
        <v>1.1421383846571</v>
      </c>
      <c r="G284">
        <v>1.12664906403859</v>
      </c>
      <c r="H284">
        <v>1.15050592114078</v>
      </c>
      <c r="I284">
        <v>1.15179355194477</v>
      </c>
      <c r="J284">
        <v>1.0308663062768</v>
      </c>
      <c r="K284">
        <v>1.27240876223732</v>
      </c>
      <c r="L284">
        <v>1677.83075411222</v>
      </c>
      <c r="M284">
        <v>36.3306215522422</v>
      </c>
      <c r="O284">
        <v>46.0430248374587</v>
      </c>
      <c r="P284">
        <v>0.0290034813291465</v>
      </c>
      <c r="Q284">
        <v>1.14702791463145</v>
      </c>
      <c r="R284">
        <v>0.5096791963899761</v>
      </c>
      <c r="S284" t="s">
        <v>1968</v>
      </c>
      <c r="T284" t="s">
        <v>3344</v>
      </c>
      <c r="U284" t="s">
        <v>3344</v>
      </c>
      <c r="V284" t="s">
        <v>3344</v>
      </c>
      <c r="W284" t="s">
        <v>3628</v>
      </c>
      <c r="X284">
        <v>3</v>
      </c>
      <c r="Y284" t="s">
        <v>5283</v>
      </c>
      <c r="Z284" t="s">
        <v>6941</v>
      </c>
      <c r="AA284">
        <v>1.101455745453574</v>
      </c>
      <c r="AB284">
        <f>HYPERLINK("Melting_Curves/meltCurve_P0A7M9_rpmE.pdf", "Melting_Curves/meltCurve_P0A7M9_rpmE.pdf")</f>
        <v>0</v>
      </c>
    </row>
    <row r="285" spans="1:28">
      <c r="A285" t="s">
        <v>311</v>
      </c>
      <c r="B285">
        <v>0.999998419929286</v>
      </c>
      <c r="C285">
        <v>0.8426831463048809</v>
      </c>
      <c r="D285">
        <v>0.9668628306618759</v>
      </c>
      <c r="E285">
        <v>1.6942107272033</v>
      </c>
      <c r="F285">
        <v>2.6092806659611</v>
      </c>
      <c r="G285">
        <v>2.55406027814141</v>
      </c>
      <c r="H285">
        <v>2.57050621122158</v>
      </c>
      <c r="I285">
        <v>2.57583035015347</v>
      </c>
      <c r="J285">
        <v>3.37254451747749</v>
      </c>
      <c r="K285">
        <v>3.5360151446617</v>
      </c>
      <c r="L285">
        <v>11148.7131273694</v>
      </c>
      <c r="M285">
        <v>250</v>
      </c>
      <c r="O285">
        <v>44.5919987949003</v>
      </c>
      <c r="P285">
        <v>0.7007983701862051</v>
      </c>
      <c r="Q285">
        <v>1.5</v>
      </c>
      <c r="R285">
        <v>-0.407421827684856</v>
      </c>
      <c r="S285" t="s">
        <v>1969</v>
      </c>
      <c r="T285" t="s">
        <v>3344</v>
      </c>
      <c r="U285" t="s">
        <v>3344</v>
      </c>
      <c r="V285" t="s">
        <v>3344</v>
      </c>
      <c r="W285" t="s">
        <v>3629</v>
      </c>
      <c r="X285">
        <v>1</v>
      </c>
      <c r="Y285" t="s">
        <v>5284</v>
      </c>
      <c r="Z285" t="s">
        <v>6942</v>
      </c>
      <c r="AA285">
        <v>1.373379993205987</v>
      </c>
      <c r="AB285">
        <f>HYPERLINK("Melting_Curves/meltCurve_P0A7Q6_rpmJ.pdf", "Melting_Curves/meltCurve_P0A7Q6_rpmJ.pdf")</f>
        <v>0</v>
      </c>
    </row>
    <row r="286" spans="1:28">
      <c r="A286" t="s">
        <v>312</v>
      </c>
      <c r="B286">
        <v>0.999998419929286</v>
      </c>
      <c r="C286">
        <v>0.776571301189925</v>
      </c>
      <c r="D286">
        <v>0.7874604341942369</v>
      </c>
      <c r="E286">
        <v>0.451766769460873</v>
      </c>
      <c r="F286">
        <v>0.176714053558013</v>
      </c>
      <c r="G286">
        <v>0.08830563095356669</v>
      </c>
      <c r="H286">
        <v>0.06539071786339309</v>
      </c>
      <c r="I286">
        <v>0.0478204886295864</v>
      </c>
      <c r="J286">
        <v>0.0617969039211555</v>
      </c>
      <c r="K286">
        <v>0.06809542334659691</v>
      </c>
      <c r="L286">
        <v>710.997339678352</v>
      </c>
      <c r="M286">
        <v>15.6239847099788</v>
      </c>
      <c r="N286">
        <v>45.7132900856892</v>
      </c>
      <c r="O286">
        <v>44.7808756178925</v>
      </c>
      <c r="P286">
        <v>-0.0842599432678592</v>
      </c>
      <c r="Q286">
        <v>0.0340730119237787</v>
      </c>
      <c r="R286">
        <v>0.980085505084528</v>
      </c>
      <c r="S286" t="s">
        <v>1970</v>
      </c>
      <c r="T286" t="s">
        <v>3344</v>
      </c>
      <c r="U286" t="s">
        <v>3344</v>
      </c>
      <c r="V286" t="s">
        <v>3344</v>
      </c>
      <c r="W286" t="s">
        <v>3630</v>
      </c>
      <c r="X286">
        <v>10</v>
      </c>
      <c r="Y286" t="s">
        <v>5285</v>
      </c>
      <c r="Z286" t="s">
        <v>6943</v>
      </c>
      <c r="AA286">
        <v>0.328830539880855</v>
      </c>
      <c r="AB286">
        <f>HYPERLINK("Melting_Curves/meltCurve_P0A7R1_rplI.pdf", "Melting_Curves/meltCurve_P0A7R1_rplI.pdf")</f>
        <v>0</v>
      </c>
    </row>
    <row r="287" spans="1:28">
      <c r="A287" t="s">
        <v>313</v>
      </c>
      <c r="B287">
        <v>0.999998419929286</v>
      </c>
      <c r="C287">
        <v>0.847676459870642</v>
      </c>
      <c r="D287">
        <v>0.709430500083304</v>
      </c>
      <c r="E287">
        <v>0.6897759349322981</v>
      </c>
      <c r="F287">
        <v>0.474244165321092</v>
      </c>
      <c r="G287">
        <v>0.352303935359988</v>
      </c>
      <c r="H287">
        <v>0.240156259518796</v>
      </c>
      <c r="I287">
        <v>0.134479568906598</v>
      </c>
      <c r="J287">
        <v>0.107213364519833</v>
      </c>
      <c r="K287">
        <v>0.0975390702999395</v>
      </c>
      <c r="L287">
        <v>419.889144137714</v>
      </c>
      <c r="M287">
        <v>8.48731577026213</v>
      </c>
      <c r="N287">
        <v>49.4725453217301</v>
      </c>
      <c r="O287">
        <v>46.9552925578035</v>
      </c>
      <c r="P287">
        <v>-0.0452292273048091</v>
      </c>
      <c r="Q287">
        <v>0</v>
      </c>
      <c r="R287">
        <v>0.98452526010858</v>
      </c>
      <c r="S287" t="s">
        <v>1971</v>
      </c>
      <c r="T287" t="s">
        <v>3344</v>
      </c>
      <c r="U287" t="s">
        <v>3344</v>
      </c>
      <c r="V287" t="s">
        <v>3344</v>
      </c>
      <c r="W287" t="s">
        <v>3631</v>
      </c>
      <c r="X287">
        <v>5</v>
      </c>
      <c r="Y287" t="s">
        <v>5286</v>
      </c>
      <c r="Z287" t="s">
        <v>6944</v>
      </c>
      <c r="AA287">
        <v>0.4574060169951573</v>
      </c>
      <c r="AB287">
        <f>HYPERLINK("Melting_Curves/meltCurve_P0A7R5_rpsJ.pdf", "Melting_Curves/meltCurve_P0A7R5_rpsJ.pdf")</f>
        <v>0</v>
      </c>
    </row>
    <row r="288" spans="1:28">
      <c r="A288" t="s">
        <v>314</v>
      </c>
      <c r="B288">
        <v>0.999998419929286</v>
      </c>
      <c r="C288">
        <v>0.785437491166815</v>
      </c>
      <c r="D288">
        <v>0.845891592707301</v>
      </c>
      <c r="E288">
        <v>0.792926253914527</v>
      </c>
      <c r="F288">
        <v>0.621787435163634</v>
      </c>
      <c r="G288">
        <v>0.550967842371066</v>
      </c>
      <c r="H288">
        <v>0.466558495269307</v>
      </c>
      <c r="I288">
        <v>0.536520377984478</v>
      </c>
      <c r="J288">
        <v>0.66281795768935</v>
      </c>
      <c r="K288">
        <v>0.677399766344541</v>
      </c>
      <c r="L288">
        <v>527.252197106114</v>
      </c>
      <c r="M288">
        <v>12.0767428853859</v>
      </c>
      <c r="O288">
        <v>42.5131080091683</v>
      </c>
      <c r="P288">
        <v>-0.0305430743722439</v>
      </c>
      <c r="Q288">
        <v>0.570024561759871</v>
      </c>
      <c r="R288">
        <v>0.7377616085559781</v>
      </c>
      <c r="S288" t="s">
        <v>1972</v>
      </c>
      <c r="T288" t="s">
        <v>3344</v>
      </c>
      <c r="U288" t="s">
        <v>3344</v>
      </c>
      <c r="V288" t="s">
        <v>3344</v>
      </c>
      <c r="W288" t="s">
        <v>3632</v>
      </c>
      <c r="X288">
        <v>5</v>
      </c>
      <c r="Y288" t="s">
        <v>5287</v>
      </c>
      <c r="Z288" t="s">
        <v>6945</v>
      </c>
      <c r="AA288">
        <v>0.6822632951860762</v>
      </c>
      <c r="AB288">
        <f>HYPERLINK("Melting_Curves/meltCurve_P0A7R9_rpsK.pdf", "Melting_Curves/meltCurve_P0A7R9_rpsK.pdf")</f>
        <v>0</v>
      </c>
    </row>
    <row r="289" spans="1:28">
      <c r="A289" t="s">
        <v>315</v>
      </c>
      <c r="B289">
        <v>0.999998419929286</v>
      </c>
      <c r="C289">
        <v>0.693693614476436</v>
      </c>
      <c r="D289">
        <v>0.6176376933750281</v>
      </c>
      <c r="E289">
        <v>0.424634831551579</v>
      </c>
      <c r="F289">
        <v>0.31528125762235</v>
      </c>
      <c r="G289">
        <v>0.295997111556593</v>
      </c>
      <c r="H289">
        <v>0.193756314495459</v>
      </c>
      <c r="I289">
        <v>0.189612836966736</v>
      </c>
      <c r="J289">
        <v>0.212135367735402</v>
      </c>
      <c r="K289">
        <v>0.20950880835432</v>
      </c>
      <c r="L289">
        <v>530.366111209485</v>
      </c>
      <c r="M289">
        <v>12.3158000962702</v>
      </c>
      <c r="N289">
        <v>44.8251469182438</v>
      </c>
      <c r="O289">
        <v>41.9757414649557</v>
      </c>
      <c r="P289">
        <v>-0.0592937647644952</v>
      </c>
      <c r="Q289">
        <v>0.191816359372607</v>
      </c>
      <c r="R289">
        <v>0.97003616525023</v>
      </c>
      <c r="S289" t="s">
        <v>1973</v>
      </c>
      <c r="T289" t="s">
        <v>3344</v>
      </c>
      <c r="U289" t="s">
        <v>3344</v>
      </c>
      <c r="V289" t="s">
        <v>3344</v>
      </c>
      <c r="W289" t="s">
        <v>3633</v>
      </c>
      <c r="X289">
        <v>2</v>
      </c>
      <c r="Y289" t="s">
        <v>5288</v>
      </c>
      <c r="Z289" t="s">
        <v>6946</v>
      </c>
      <c r="AA289">
        <v>0.3869638563560625</v>
      </c>
      <c r="AB289">
        <f>HYPERLINK("Melting_Curves/meltCurve_P0A7S3_rpsL.pdf", "Melting_Curves/meltCurve_P0A7S3_rpsL.pdf")</f>
        <v>0</v>
      </c>
    </row>
    <row r="290" spans="1:28">
      <c r="A290" t="s">
        <v>316</v>
      </c>
      <c r="B290">
        <v>0.999998419929286</v>
      </c>
      <c r="C290">
        <v>0.653081045249518</v>
      </c>
      <c r="D290">
        <v>0.46213602246597</v>
      </c>
      <c r="E290">
        <v>0.243726917629658</v>
      </c>
      <c r="F290">
        <v>0.188413249809377</v>
      </c>
      <c r="G290">
        <v>0.169436588788665</v>
      </c>
      <c r="H290">
        <v>0.11947765500425</v>
      </c>
      <c r="I290">
        <v>0.0833140984467101</v>
      </c>
      <c r="J290">
        <v>0.126099062257295</v>
      </c>
      <c r="K290">
        <v>0.125675944443655</v>
      </c>
      <c r="L290">
        <v>725.489107349382</v>
      </c>
      <c r="M290">
        <v>17.4311908828117</v>
      </c>
      <c r="N290">
        <v>42.3086748999613</v>
      </c>
      <c r="O290">
        <v>41.0839973440414</v>
      </c>
      <c r="P290">
        <v>-0.0929769877101264</v>
      </c>
      <c r="Q290">
        <v>0.123490479626596</v>
      </c>
      <c r="R290">
        <v>0.980112607048785</v>
      </c>
      <c r="S290" t="s">
        <v>1974</v>
      </c>
      <c r="T290" t="s">
        <v>3344</v>
      </c>
      <c r="U290" t="s">
        <v>3344</v>
      </c>
      <c r="V290" t="s">
        <v>3344</v>
      </c>
      <c r="W290" t="s">
        <v>3634</v>
      </c>
      <c r="X290">
        <v>5</v>
      </c>
      <c r="Y290" t="s">
        <v>5289</v>
      </c>
      <c r="Z290" t="s">
        <v>6947</v>
      </c>
      <c r="AA290">
        <v>0.277392608090448</v>
      </c>
      <c r="AB290">
        <f>HYPERLINK("Melting_Curves/meltCurve_P0A7S9_rpsM.pdf", "Melting_Curves/meltCurve_P0A7S9_rpsM.pdf")</f>
        <v>0</v>
      </c>
    </row>
    <row r="291" spans="1:28">
      <c r="A291" t="s">
        <v>317</v>
      </c>
      <c r="B291">
        <v>0.999998419929286</v>
      </c>
      <c r="C291">
        <v>1.02890316919355</v>
      </c>
      <c r="D291">
        <v>0.75361231539503</v>
      </c>
      <c r="E291">
        <v>0.6884728892444339</v>
      </c>
      <c r="F291">
        <v>0.506417459463029</v>
      </c>
      <c r="G291">
        <v>0.545996249692059</v>
      </c>
      <c r="H291">
        <v>0.388114446925361</v>
      </c>
      <c r="I291">
        <v>0.308349826661569</v>
      </c>
      <c r="J291">
        <v>0.36502586209729</v>
      </c>
      <c r="K291">
        <v>0.456691800996851</v>
      </c>
      <c r="L291">
        <v>643.352176752648</v>
      </c>
      <c r="M291">
        <v>13.93946896741</v>
      </c>
      <c r="N291">
        <v>51.3125901809987</v>
      </c>
      <c r="O291">
        <v>45.2345370027711</v>
      </c>
      <c r="P291">
        <v>-0.048010488082031</v>
      </c>
      <c r="Q291">
        <v>0.376894499264357</v>
      </c>
      <c r="R291">
        <v>0.933267218940101</v>
      </c>
      <c r="S291" t="s">
        <v>1975</v>
      </c>
      <c r="T291" t="s">
        <v>3344</v>
      </c>
      <c r="U291" t="s">
        <v>3344</v>
      </c>
      <c r="V291" t="s">
        <v>3344</v>
      </c>
      <c r="W291" t="s">
        <v>3635</v>
      </c>
      <c r="X291">
        <v>3</v>
      </c>
      <c r="Y291" t="s">
        <v>5290</v>
      </c>
      <c r="Z291" t="s">
        <v>6948</v>
      </c>
      <c r="AA291">
        <v>0.5834040967505035</v>
      </c>
      <c r="AB291">
        <f>HYPERLINK("Melting_Curves/meltCurve_P0A7T3_rpsP.pdf", "Melting_Curves/meltCurve_P0A7T3_rpsP.pdf")</f>
        <v>0</v>
      </c>
    </row>
    <row r="292" spans="1:28">
      <c r="A292" t="s">
        <v>318</v>
      </c>
      <c r="B292">
        <v>0.999998419929286</v>
      </c>
      <c r="C292">
        <v>0.522328349087414</v>
      </c>
      <c r="D292">
        <v>0.334958468675902</v>
      </c>
      <c r="E292">
        <v>0.260640654046112</v>
      </c>
      <c r="F292">
        <v>0.263287580790112</v>
      </c>
      <c r="G292">
        <v>0.252806618144376</v>
      </c>
      <c r="H292">
        <v>0.179236130128003</v>
      </c>
      <c r="I292">
        <v>0.133244136601499</v>
      </c>
      <c r="J292">
        <v>0.208189545517859</v>
      </c>
      <c r="K292">
        <v>0.234177266458656</v>
      </c>
      <c r="L292">
        <v>1541.41003457716</v>
      </c>
      <c r="M292">
        <v>38.9776035015292</v>
      </c>
      <c r="N292">
        <v>40.170206864097</v>
      </c>
      <c r="O292">
        <v>39.4423802158183</v>
      </c>
      <c r="P292">
        <v>-0.190939935834126</v>
      </c>
      <c r="Q292">
        <v>0.227134827370026</v>
      </c>
      <c r="R292">
        <v>0.960344347178245</v>
      </c>
      <c r="S292" t="s">
        <v>1976</v>
      </c>
      <c r="T292" t="s">
        <v>3344</v>
      </c>
      <c r="U292" t="s">
        <v>3344</v>
      </c>
      <c r="V292" t="s">
        <v>3344</v>
      </c>
      <c r="W292" t="s">
        <v>3636</v>
      </c>
      <c r="X292">
        <v>4</v>
      </c>
      <c r="Y292" t="s">
        <v>5291</v>
      </c>
      <c r="Z292" t="s">
        <v>6949</v>
      </c>
      <c r="AA292">
        <v>0.2963982909326009</v>
      </c>
      <c r="AB292">
        <f>HYPERLINK("Melting_Curves/meltCurve_P0A7T7_rpsR.pdf", "Melting_Curves/meltCurve_P0A7T7_rpsR.pdf")</f>
        <v>0</v>
      </c>
    </row>
    <row r="293" spans="1:28">
      <c r="A293" t="s">
        <v>319</v>
      </c>
      <c r="B293">
        <v>0.999998419929286</v>
      </c>
      <c r="C293">
        <v>0.7625089602090021</v>
      </c>
      <c r="D293">
        <v>0.518062293234046</v>
      </c>
      <c r="E293">
        <v>0.803151707980465</v>
      </c>
      <c r="F293">
        <v>1.11060615110162</v>
      </c>
      <c r="G293">
        <v>1.2678078047796</v>
      </c>
      <c r="H293">
        <v>1.17475192429228</v>
      </c>
      <c r="I293">
        <v>0.9832268119427801</v>
      </c>
      <c r="J293">
        <v>1.46304094754591</v>
      </c>
      <c r="K293">
        <v>2.05460798818491</v>
      </c>
      <c r="L293">
        <v>15000</v>
      </c>
      <c r="M293">
        <v>236.537503993584</v>
      </c>
      <c r="O293">
        <v>63.4103764164425</v>
      </c>
      <c r="P293">
        <v>0.466283255267681</v>
      </c>
      <c r="Q293">
        <v>1.5</v>
      </c>
      <c r="R293">
        <v>0.542632448108141</v>
      </c>
      <c r="S293" t="s">
        <v>1977</v>
      </c>
      <c r="T293" t="s">
        <v>3344</v>
      </c>
      <c r="U293" t="s">
        <v>3344</v>
      </c>
      <c r="V293" t="s">
        <v>3344</v>
      </c>
      <c r="W293" t="s">
        <v>3637</v>
      </c>
      <c r="X293">
        <v>3</v>
      </c>
      <c r="Y293" t="s">
        <v>5292</v>
      </c>
      <c r="Z293" t="s">
        <v>6950</v>
      </c>
      <c r="AA293">
        <v>1.059689672922552</v>
      </c>
      <c r="AB293">
        <f>HYPERLINK("Melting_Curves/meltCurve_P0A7U3_rpsS.pdf", "Melting_Curves/meltCurve_P0A7U3_rpsS.pdf")</f>
        <v>0</v>
      </c>
    </row>
    <row r="294" spans="1:28">
      <c r="A294" t="s">
        <v>320</v>
      </c>
      <c r="B294">
        <v>0.999998419929286</v>
      </c>
      <c r="C294">
        <v>0.77628197487308</v>
      </c>
      <c r="D294">
        <v>0.707774818542499</v>
      </c>
      <c r="E294">
        <v>0.774002020681014</v>
      </c>
      <c r="F294">
        <v>1.16691070776352</v>
      </c>
      <c r="G294">
        <v>1.20211069337718</v>
      </c>
      <c r="H294">
        <v>0.847379795794456</v>
      </c>
      <c r="I294">
        <v>1.15107165922444</v>
      </c>
      <c r="J294">
        <v>2.89218432938138</v>
      </c>
      <c r="K294">
        <v>4.87820823139346</v>
      </c>
      <c r="L294">
        <v>15000</v>
      </c>
      <c r="M294">
        <v>245.06551483325</v>
      </c>
      <c r="O294">
        <v>61.2040339641085</v>
      </c>
      <c r="P294">
        <v>0.500509220303021</v>
      </c>
      <c r="Q294">
        <v>1.5</v>
      </c>
      <c r="R294">
        <v>0.148751085134915</v>
      </c>
      <c r="S294" t="s">
        <v>1978</v>
      </c>
      <c r="T294" t="s">
        <v>3344</v>
      </c>
      <c r="U294" t="s">
        <v>3344</v>
      </c>
      <c r="V294" t="s">
        <v>3344</v>
      </c>
      <c r="W294" t="s">
        <v>3638</v>
      </c>
      <c r="X294">
        <v>5</v>
      </c>
      <c r="Y294" t="s">
        <v>5293</v>
      </c>
      <c r="Z294" t="s">
        <v>6951</v>
      </c>
      <c r="AA294">
        <v>1.096475400378911</v>
      </c>
      <c r="AB294">
        <f>HYPERLINK("Melting_Curves/meltCurve_P0A7U7_rpsT.pdf", "Melting_Curves/meltCurve_P0A7U7_rpsT.pdf")</f>
        <v>0</v>
      </c>
    </row>
    <row r="295" spans="1:28">
      <c r="A295" t="s">
        <v>321</v>
      </c>
      <c r="B295">
        <v>0.999998419929286</v>
      </c>
      <c r="C295">
        <v>0.679965569960164</v>
      </c>
      <c r="D295">
        <v>0.451709381422157</v>
      </c>
      <c r="E295">
        <v>0.247482680837432</v>
      </c>
      <c r="F295">
        <v>0.119856020069311</v>
      </c>
      <c r="G295">
        <v>0.09311623954081789</v>
      </c>
      <c r="H295">
        <v>0.0664345041234945</v>
      </c>
      <c r="I295">
        <v>0.0391691106288268</v>
      </c>
      <c r="J295">
        <v>0.0368675269114491</v>
      </c>
      <c r="K295">
        <v>0.0322095123118728</v>
      </c>
      <c r="L295">
        <v>672.337206034108</v>
      </c>
      <c r="M295">
        <v>15.9051018900016</v>
      </c>
      <c r="N295">
        <v>42.5208971943862</v>
      </c>
      <c r="O295">
        <v>41.6204896239168</v>
      </c>
      <c r="P295">
        <v>-0.0912939344835369</v>
      </c>
      <c r="Q295">
        <v>0.0444844086863629</v>
      </c>
      <c r="R295">
        <v>0.987474689712292</v>
      </c>
      <c r="S295" t="s">
        <v>1979</v>
      </c>
      <c r="T295" t="s">
        <v>3344</v>
      </c>
      <c r="U295" t="s">
        <v>3344</v>
      </c>
      <c r="V295" t="s">
        <v>3344</v>
      </c>
      <c r="W295" t="s">
        <v>3639</v>
      </c>
      <c r="X295">
        <v>9</v>
      </c>
      <c r="Y295" t="s">
        <v>5294</v>
      </c>
      <c r="Z295" t="s">
        <v>6952</v>
      </c>
      <c r="AA295">
        <v>0.2360121477865986</v>
      </c>
      <c r="AB295">
        <f>HYPERLINK("Melting_Curves/meltCurve_P0A7V0_rpsB.pdf", "Melting_Curves/meltCurve_P0A7V0_rpsB.pdf")</f>
        <v>0</v>
      </c>
    </row>
    <row r="296" spans="1:28">
      <c r="A296" t="s">
        <v>322</v>
      </c>
      <c r="B296">
        <v>0.999998419929286</v>
      </c>
      <c r="C296">
        <v>0.613771350923376</v>
      </c>
      <c r="D296">
        <v>0.233731874595727</v>
      </c>
      <c r="E296">
        <v>0.136247015892577</v>
      </c>
      <c r="F296">
        <v>0.108563500117965</v>
      </c>
      <c r="G296">
        <v>0.151561324308349</v>
      </c>
      <c r="H296">
        <v>0.0939339219948272</v>
      </c>
      <c r="I296">
        <v>0.0703243328518211</v>
      </c>
      <c r="J296">
        <v>0.0480574498862393</v>
      </c>
      <c r="K296">
        <v>0.0531149132263844</v>
      </c>
      <c r="L296">
        <v>1231.64383003552</v>
      </c>
      <c r="M296">
        <v>30.4727110078217</v>
      </c>
      <c r="N296">
        <v>40.6924147200924</v>
      </c>
      <c r="O296">
        <v>40.2450784341336</v>
      </c>
      <c r="P296">
        <v>-0.171711514913724</v>
      </c>
      <c r="Q296">
        <v>0.09289353537051109</v>
      </c>
      <c r="R296">
        <v>0.986549320079641</v>
      </c>
      <c r="S296" t="s">
        <v>1980</v>
      </c>
      <c r="T296" t="s">
        <v>3344</v>
      </c>
      <c r="U296" t="s">
        <v>3344</v>
      </c>
      <c r="V296" t="s">
        <v>3344</v>
      </c>
      <c r="W296" t="s">
        <v>3640</v>
      </c>
      <c r="X296">
        <v>4</v>
      </c>
      <c r="Y296" t="s">
        <v>5295</v>
      </c>
      <c r="Z296" t="s">
        <v>6953</v>
      </c>
      <c r="AA296">
        <v>0.2024827392516771</v>
      </c>
      <c r="AB296">
        <f>HYPERLINK("Melting_Curves/meltCurve_P0A7V3_rpsC.pdf", "Melting_Curves/meltCurve_P0A7V3_rpsC.pdf")</f>
        <v>0</v>
      </c>
    </row>
    <row r="297" spans="1:28">
      <c r="A297" t="s">
        <v>323</v>
      </c>
      <c r="B297">
        <v>0.999998419929286</v>
      </c>
      <c r="C297">
        <v>0.391545498548405</v>
      </c>
      <c r="D297">
        <v>0.154186548095069</v>
      </c>
      <c r="E297">
        <v>0.0699662323888382</v>
      </c>
      <c r="F297">
        <v>0.0490905293729153</v>
      </c>
      <c r="G297">
        <v>0.0546234446956995</v>
      </c>
      <c r="H297">
        <v>0.031388157973589</v>
      </c>
      <c r="I297">
        <v>0.0232797718007351</v>
      </c>
      <c r="J297">
        <v>0.022152671133779</v>
      </c>
      <c r="K297">
        <v>0.0217742136027532</v>
      </c>
      <c r="L297">
        <v>1852.12747851037</v>
      </c>
      <c r="M297">
        <v>46.9310157868812</v>
      </c>
      <c r="N297">
        <v>39.5530015885465</v>
      </c>
      <c r="O297">
        <v>39.3934315996947</v>
      </c>
      <c r="P297">
        <v>-0.283053737088303</v>
      </c>
      <c r="Q297">
        <v>0.0496308744134748</v>
      </c>
      <c r="R297">
        <v>0.986062426882046</v>
      </c>
      <c r="S297" t="s">
        <v>1981</v>
      </c>
      <c r="T297" t="s">
        <v>3344</v>
      </c>
      <c r="U297" t="s">
        <v>3344</v>
      </c>
      <c r="V297" t="s">
        <v>3344</v>
      </c>
      <c r="W297" t="s">
        <v>3641</v>
      </c>
      <c r="X297">
        <v>11</v>
      </c>
      <c r="Y297" t="s">
        <v>5296</v>
      </c>
      <c r="Z297" t="s">
        <v>6954</v>
      </c>
      <c r="AA297">
        <v>0.130562471386172</v>
      </c>
      <c r="AB297">
        <f>HYPERLINK("Melting_Curves/meltCurve_P0A7V8_rpsD.pdf", "Melting_Curves/meltCurve_P0A7V8_rpsD.pdf")</f>
        <v>0</v>
      </c>
    </row>
    <row r="298" spans="1:28">
      <c r="A298" t="s">
        <v>324</v>
      </c>
      <c r="B298">
        <v>0.999998419929286</v>
      </c>
      <c r="C298">
        <v>0.620401419075892</v>
      </c>
      <c r="D298">
        <v>0.409244635740443</v>
      </c>
      <c r="E298">
        <v>0.200082219354177</v>
      </c>
      <c r="F298">
        <v>0.07716827374847519</v>
      </c>
      <c r="G298">
        <v>0.0411927642800578</v>
      </c>
      <c r="H298">
        <v>0.0265205086314123</v>
      </c>
      <c r="I298">
        <v>0.0237184999876606</v>
      </c>
      <c r="J298">
        <v>0.0210687133645085</v>
      </c>
      <c r="K298">
        <v>0.021909057779691</v>
      </c>
      <c r="L298">
        <v>701.68070366186</v>
      </c>
      <c r="M298">
        <v>16.7965931251052</v>
      </c>
      <c r="N298">
        <v>41.8912525382482</v>
      </c>
      <c r="O298">
        <v>41.1965138095392</v>
      </c>
      <c r="P298">
        <v>-0.099618294632454</v>
      </c>
      <c r="Q298">
        <v>0.0227397869117919</v>
      </c>
      <c r="R298">
        <v>0.983264727209471</v>
      </c>
      <c r="S298" t="s">
        <v>1982</v>
      </c>
      <c r="T298" t="s">
        <v>3344</v>
      </c>
      <c r="U298" t="s">
        <v>3344</v>
      </c>
      <c r="V298" t="s">
        <v>3344</v>
      </c>
      <c r="W298" t="s">
        <v>3642</v>
      </c>
      <c r="X298">
        <v>10</v>
      </c>
      <c r="Y298" t="s">
        <v>5297</v>
      </c>
      <c r="Z298" t="s">
        <v>6955</v>
      </c>
      <c r="AA298">
        <v>0.2008095404689299</v>
      </c>
      <c r="AB298">
        <f>HYPERLINK("Melting_Curves/meltCurve_P0A7W1_rpsE.pdf", "Melting_Curves/meltCurve_P0A7W1_rpsE.pdf")</f>
        <v>0</v>
      </c>
    </row>
    <row r="299" spans="1:28">
      <c r="A299" t="s">
        <v>325</v>
      </c>
      <c r="B299">
        <v>0.999998419929286</v>
      </c>
      <c r="C299">
        <v>0.705630036190107</v>
      </c>
      <c r="D299">
        <v>0.946991241965339</v>
      </c>
      <c r="E299">
        <v>0.497492220412162</v>
      </c>
      <c r="F299">
        <v>0.224228483211927</v>
      </c>
      <c r="G299">
        <v>0.176626821804609</v>
      </c>
      <c r="H299">
        <v>0.130122888290183</v>
      </c>
      <c r="I299">
        <v>0.111137171176207</v>
      </c>
      <c r="J299">
        <v>0.116996900081751</v>
      </c>
      <c r="K299">
        <v>0.117858294973277</v>
      </c>
      <c r="L299">
        <v>891.797995120148</v>
      </c>
      <c r="M299">
        <v>19.3260309603609</v>
      </c>
      <c r="N299">
        <v>46.729808267463</v>
      </c>
      <c r="O299">
        <v>45.6593603292778</v>
      </c>
      <c r="P299">
        <v>-0.09445198350476559</v>
      </c>
      <c r="Q299">
        <v>0.107430507808818</v>
      </c>
      <c r="R299">
        <v>0.930187895932688</v>
      </c>
      <c r="S299" t="s">
        <v>1983</v>
      </c>
      <c r="T299" t="s">
        <v>3344</v>
      </c>
      <c r="U299" t="s">
        <v>3344</v>
      </c>
      <c r="V299" t="s">
        <v>3344</v>
      </c>
      <c r="W299" t="s">
        <v>3643</v>
      </c>
      <c r="X299">
        <v>4</v>
      </c>
      <c r="Y299" t="s">
        <v>5298</v>
      </c>
      <c r="Z299" t="s">
        <v>6956</v>
      </c>
      <c r="AA299">
        <v>0.3920144684609716</v>
      </c>
      <c r="AB299">
        <f>HYPERLINK("Melting_Curves/meltCurve_P0A7W7_rpsH.pdf", "Melting_Curves/meltCurve_P0A7W7_rpsH.pdf")</f>
        <v>0</v>
      </c>
    </row>
    <row r="300" spans="1:28">
      <c r="A300" t="s">
        <v>326</v>
      </c>
      <c r="B300">
        <v>0.999998419929286</v>
      </c>
      <c r="C300">
        <v>0.716301810202766</v>
      </c>
      <c r="D300">
        <v>0.489036806421313</v>
      </c>
      <c r="E300">
        <v>0.421947844331467</v>
      </c>
      <c r="F300">
        <v>0.317371425932627</v>
      </c>
      <c r="G300">
        <v>0.286470403538968</v>
      </c>
      <c r="H300">
        <v>0.15534314684892</v>
      </c>
      <c r="I300">
        <v>0.130443371600113</v>
      </c>
      <c r="J300">
        <v>0.116650362794822</v>
      </c>
      <c r="K300">
        <v>0.162967288037639</v>
      </c>
      <c r="L300">
        <v>492.288118545533</v>
      </c>
      <c r="M300">
        <v>11.4298359822039</v>
      </c>
      <c r="N300">
        <v>44.2936159126237</v>
      </c>
      <c r="O300">
        <v>41.8152807546783</v>
      </c>
      <c r="P300">
        <v>-0.0591041557549618</v>
      </c>
      <c r="Q300">
        <v>0.135337500792034</v>
      </c>
      <c r="R300">
        <v>0.957026680076252</v>
      </c>
      <c r="S300" t="s">
        <v>1984</v>
      </c>
      <c r="T300" t="s">
        <v>3344</v>
      </c>
      <c r="U300" t="s">
        <v>3344</v>
      </c>
      <c r="V300" t="s">
        <v>3344</v>
      </c>
      <c r="W300" t="s">
        <v>3644</v>
      </c>
      <c r="X300">
        <v>4</v>
      </c>
      <c r="Y300" t="s">
        <v>5299</v>
      </c>
      <c r="Z300" t="s">
        <v>6957</v>
      </c>
      <c r="AA300">
        <v>0.3494692753562956</v>
      </c>
      <c r="AB300">
        <f>HYPERLINK("Melting_Curves/meltCurve_P0A7X3_rpsI.pdf", "Melting_Curves/meltCurve_P0A7X3_rpsI.pdf")</f>
        <v>0</v>
      </c>
    </row>
    <row r="301" spans="1:28">
      <c r="A301" t="s">
        <v>327</v>
      </c>
      <c r="B301">
        <v>0.999998419929286</v>
      </c>
      <c r="C301">
        <v>0.97444064231282</v>
      </c>
      <c r="D301">
        <v>0.882150329864177</v>
      </c>
      <c r="E301">
        <v>0.927333583290047</v>
      </c>
      <c r="F301">
        <v>0.7994394472281799</v>
      </c>
      <c r="G301">
        <v>0.605490964765373</v>
      </c>
      <c r="H301">
        <v>0.433928768752974</v>
      </c>
      <c r="I301">
        <v>0.315546256260283</v>
      </c>
      <c r="J301">
        <v>0.310915269055583</v>
      </c>
      <c r="K301">
        <v>0.313488323369368</v>
      </c>
      <c r="L301">
        <v>783.0586879301929</v>
      </c>
      <c r="M301">
        <v>14.7159108250437</v>
      </c>
      <c r="N301">
        <v>55.8696395403909</v>
      </c>
      <c r="O301">
        <v>52.2580760728189</v>
      </c>
      <c r="P301">
        <v>-0.052684055951421</v>
      </c>
      <c r="Q301">
        <v>0.25173043750579</v>
      </c>
      <c r="R301">
        <v>0.984170326734758</v>
      </c>
      <c r="S301" t="s">
        <v>1985</v>
      </c>
      <c r="T301" t="s">
        <v>3344</v>
      </c>
      <c r="U301" t="s">
        <v>3344</v>
      </c>
      <c r="V301" t="s">
        <v>3344</v>
      </c>
      <c r="W301" t="s">
        <v>3645</v>
      </c>
      <c r="X301">
        <v>4</v>
      </c>
      <c r="Y301" t="s">
        <v>5300</v>
      </c>
      <c r="Z301" t="s">
        <v>6958</v>
      </c>
      <c r="AA301">
        <v>0.6694330355337298</v>
      </c>
      <c r="AB301">
        <f>HYPERLINK("Melting_Curves/meltCurve_P0A7X6_rimM.pdf", "Melting_Curves/meltCurve_P0A7X6_rimM.pdf")</f>
        <v>0</v>
      </c>
    </row>
    <row r="302" spans="1:28">
      <c r="A302" t="s">
        <v>328</v>
      </c>
      <c r="B302">
        <v>0.999998419929286</v>
      </c>
      <c r="C302">
        <v>0.722392710433956</v>
      </c>
      <c r="D302">
        <v>0.478042443968822</v>
      </c>
      <c r="E302">
        <v>0.253812622452392</v>
      </c>
      <c r="F302">
        <v>0.196752041070583</v>
      </c>
      <c r="G302">
        <v>0.160875813925142</v>
      </c>
      <c r="H302">
        <v>0.147158845678533</v>
      </c>
      <c r="I302">
        <v>0.112342985402405</v>
      </c>
      <c r="J302">
        <v>0.0969671278550996</v>
      </c>
      <c r="K302">
        <v>0.0967555854720111</v>
      </c>
      <c r="L302">
        <v>747.214182983296</v>
      </c>
      <c r="M302">
        <v>17.7573922129594</v>
      </c>
      <c r="N302">
        <v>42.7451450731452</v>
      </c>
      <c r="O302">
        <v>41.5562805034377</v>
      </c>
      <c r="P302">
        <v>-0.09392069197425661</v>
      </c>
      <c r="Q302">
        <v>0.120863825162147</v>
      </c>
      <c r="R302">
        <v>0.989150447138605</v>
      </c>
      <c r="S302" t="s">
        <v>1986</v>
      </c>
      <c r="T302" t="s">
        <v>3344</v>
      </c>
      <c r="U302" t="s">
        <v>3344</v>
      </c>
      <c r="V302" t="s">
        <v>3344</v>
      </c>
      <c r="W302" t="s">
        <v>3646</v>
      </c>
      <c r="X302">
        <v>2</v>
      </c>
      <c r="Y302" t="s">
        <v>5301</v>
      </c>
      <c r="Z302" t="s">
        <v>6959</v>
      </c>
      <c r="AA302">
        <v>0.2870019433255717</v>
      </c>
      <c r="AB302">
        <f>HYPERLINK("Melting_Curves/meltCurve_P0A7Y0_rnc.pdf", "Melting_Curves/meltCurve_P0A7Y0_rnc.pdf")</f>
        <v>0</v>
      </c>
    </row>
    <row r="303" spans="1:28">
      <c r="A303" t="s">
        <v>329</v>
      </c>
      <c r="B303">
        <v>0.999998419929286</v>
      </c>
      <c r="C303">
        <v>0.967134247640523</v>
      </c>
      <c r="D303">
        <v>0.997765439902092</v>
      </c>
      <c r="E303">
        <v>1.12035469325392</v>
      </c>
      <c r="F303">
        <v>0.937774754727036</v>
      </c>
      <c r="G303">
        <v>0.783666230981679</v>
      </c>
      <c r="H303">
        <v>0.606703148776188</v>
      </c>
      <c r="I303">
        <v>0.518438490491245</v>
      </c>
      <c r="J303">
        <v>0.497293505937075</v>
      </c>
      <c r="K303">
        <v>0.483788554540789</v>
      </c>
      <c r="L303">
        <v>1445.51598972699</v>
      </c>
      <c r="M303">
        <v>26.4919004261903</v>
      </c>
      <c r="N303">
        <v>63.3170032554073</v>
      </c>
      <c r="O303">
        <v>54.2563841277485</v>
      </c>
      <c r="P303">
        <v>-0.0626020254488014</v>
      </c>
      <c r="Q303">
        <v>0.487160491810148</v>
      </c>
      <c r="R303">
        <v>0.967597256887554</v>
      </c>
      <c r="S303" t="s">
        <v>1987</v>
      </c>
      <c r="T303" t="s">
        <v>3344</v>
      </c>
      <c r="U303" t="s">
        <v>3344</v>
      </c>
      <c r="V303" t="s">
        <v>3344</v>
      </c>
      <c r="W303" t="s">
        <v>3647</v>
      </c>
      <c r="X303">
        <v>7</v>
      </c>
      <c r="Y303" t="s">
        <v>5302</v>
      </c>
      <c r="Z303" t="s">
        <v>6960</v>
      </c>
      <c r="AA303">
        <v>0.7914519554061494</v>
      </c>
      <c r="AB303">
        <f>HYPERLINK("Melting_Curves/meltCurve_P0A7Z0_rpiA.pdf", "Melting_Curves/meltCurve_P0A7Z0_rpiA.pdf")</f>
        <v>0</v>
      </c>
    </row>
    <row r="304" spans="1:28">
      <c r="A304" t="s">
        <v>330</v>
      </c>
      <c r="B304">
        <v>0.999998419929286</v>
      </c>
      <c r="C304">
        <v>0.991383906390449</v>
      </c>
      <c r="D304">
        <v>1.13538962823578</v>
      </c>
      <c r="E304">
        <v>1.1374895613574</v>
      </c>
      <c r="F304">
        <v>1.29086684088102</v>
      </c>
      <c r="G304">
        <v>1.27508447466048</v>
      </c>
      <c r="H304">
        <v>1.15378759582401</v>
      </c>
      <c r="I304">
        <v>0.810535521950481</v>
      </c>
      <c r="J304">
        <v>0.765620397639294</v>
      </c>
      <c r="K304">
        <v>0.75680800310361</v>
      </c>
      <c r="L304">
        <v>15000</v>
      </c>
      <c r="M304">
        <v>247.247455331285</v>
      </c>
      <c r="O304">
        <v>60.6640011889141</v>
      </c>
      <c r="P304">
        <v>-0.243304513596177</v>
      </c>
      <c r="Q304">
        <v>0.761213736693955</v>
      </c>
      <c r="R304">
        <v>0.387328222355347</v>
      </c>
      <c r="S304" t="s">
        <v>1988</v>
      </c>
      <c r="T304" t="s">
        <v>3344</v>
      </c>
      <c r="U304" t="s">
        <v>3344</v>
      </c>
      <c r="V304" t="s">
        <v>3344</v>
      </c>
      <c r="W304" t="s">
        <v>3648</v>
      </c>
      <c r="X304">
        <v>12</v>
      </c>
      <c r="Y304" t="s">
        <v>5303</v>
      </c>
      <c r="Z304" t="s">
        <v>6961</v>
      </c>
      <c r="AA304">
        <v>0.9496258951041374</v>
      </c>
      <c r="AB304">
        <f>HYPERLINK("Melting_Curves/meltCurve_P0A7Z4_rpoA.pdf", "Melting_Curves/meltCurve_P0A7Z4_rpoA.pdf")</f>
        <v>0</v>
      </c>
    </row>
    <row r="305" spans="1:28">
      <c r="A305" t="s">
        <v>331</v>
      </c>
      <c r="B305">
        <v>0.999998419929286</v>
      </c>
      <c r="C305">
        <v>0.884264766335859</v>
      </c>
      <c r="D305">
        <v>0.696607464382887</v>
      </c>
      <c r="E305">
        <v>0.694133472271106</v>
      </c>
      <c r="F305">
        <v>1.3127534906742</v>
      </c>
      <c r="G305">
        <v>2.0447053461554</v>
      </c>
      <c r="H305">
        <v>2.07284182084692</v>
      </c>
      <c r="I305">
        <v>1.88035852595719</v>
      </c>
      <c r="J305">
        <v>3.07451879609038</v>
      </c>
      <c r="K305">
        <v>3.64754824559737</v>
      </c>
      <c r="L305">
        <v>12524.2479087128</v>
      </c>
      <c r="M305">
        <v>250</v>
      </c>
      <c r="O305">
        <v>50.0937905262364</v>
      </c>
      <c r="P305">
        <v>0.623829873472711</v>
      </c>
      <c r="Q305">
        <v>1.5</v>
      </c>
      <c r="R305">
        <v>0.132172229333547</v>
      </c>
      <c r="S305" t="s">
        <v>1989</v>
      </c>
      <c r="T305" t="s">
        <v>3344</v>
      </c>
      <c r="U305" t="s">
        <v>3344</v>
      </c>
      <c r="V305" t="s">
        <v>3344</v>
      </c>
      <c r="W305" t="s">
        <v>3649</v>
      </c>
      <c r="X305">
        <v>1</v>
      </c>
      <c r="Y305" t="s">
        <v>5304</v>
      </c>
      <c r="Z305" t="s">
        <v>6962</v>
      </c>
      <c r="AA305">
        <v>1.281672846365495</v>
      </c>
      <c r="AB305">
        <f>HYPERLINK("Melting_Curves/meltCurve_P0A800_rpoZ.pdf", "Melting_Curves/meltCurve_P0A800_rpoZ.pdf")</f>
        <v>0</v>
      </c>
    </row>
    <row r="306" spans="1:28">
      <c r="A306" t="s">
        <v>332</v>
      </c>
      <c r="B306">
        <v>0.999998419929286</v>
      </c>
      <c r="C306">
        <v>0.8493106535521729</v>
      </c>
      <c r="D306">
        <v>0.989266662742067</v>
      </c>
      <c r="E306">
        <v>1.04004291132463</v>
      </c>
      <c r="F306">
        <v>1.07968853790864</v>
      </c>
      <c r="G306">
        <v>1.16304935877381</v>
      </c>
      <c r="H306">
        <v>1.04245376558019</v>
      </c>
      <c r="I306">
        <v>1.00352290226298</v>
      </c>
      <c r="J306">
        <v>1.07284317404576</v>
      </c>
      <c r="K306">
        <v>1.09226883335182</v>
      </c>
      <c r="L306">
        <v>11644.5128182412</v>
      </c>
      <c r="M306">
        <v>250</v>
      </c>
      <c r="O306">
        <v>46.5750848195398</v>
      </c>
      <c r="P306">
        <v>0.101499795346652</v>
      </c>
      <c r="Q306">
        <v>1.07563776214636</v>
      </c>
      <c r="R306">
        <v>0.401620860973133</v>
      </c>
      <c r="S306" t="s">
        <v>1990</v>
      </c>
      <c r="T306" t="s">
        <v>3344</v>
      </c>
      <c r="U306" t="s">
        <v>3344</v>
      </c>
      <c r="V306" t="s">
        <v>3344</v>
      </c>
      <c r="W306" t="s">
        <v>3650</v>
      </c>
      <c r="X306">
        <v>15</v>
      </c>
      <c r="Y306" t="s">
        <v>5305</v>
      </c>
      <c r="Z306" t="s">
        <v>6963</v>
      </c>
      <c r="AA306">
        <v>1.051482833764653</v>
      </c>
      <c r="AB306">
        <f>HYPERLINK("Melting_Curves/meltCurve_P0A805_frr.pdf", "Melting_Curves/meltCurve_P0A805_frr.pdf")</f>
        <v>0</v>
      </c>
    </row>
    <row r="307" spans="1:28">
      <c r="A307" t="s">
        <v>333</v>
      </c>
      <c r="B307">
        <v>0.999998419929286</v>
      </c>
      <c r="C307">
        <v>0.839787596923582</v>
      </c>
      <c r="D307">
        <v>0.869567641243413</v>
      </c>
      <c r="E307">
        <v>0.814883027718466</v>
      </c>
      <c r="F307">
        <v>0.9039057867895</v>
      </c>
      <c r="G307">
        <v>1.04951754825365</v>
      </c>
      <c r="H307">
        <v>0.882917301904506</v>
      </c>
      <c r="I307">
        <v>0.6894190190081</v>
      </c>
      <c r="J307">
        <v>0.755637730952573</v>
      </c>
      <c r="K307">
        <v>0.82057134929623</v>
      </c>
      <c r="L307">
        <v>115.116946058323</v>
      </c>
      <c r="M307">
        <v>0.383224953518829</v>
      </c>
      <c r="O307">
        <v>45.5087155627158</v>
      </c>
      <c r="P307">
        <v>-0.00520920496997445</v>
      </c>
      <c r="Q307">
        <v>0</v>
      </c>
      <c r="R307">
        <v>0.217106299402952</v>
      </c>
      <c r="S307" t="s">
        <v>1991</v>
      </c>
      <c r="T307" t="s">
        <v>3344</v>
      </c>
      <c r="U307" t="s">
        <v>3344</v>
      </c>
      <c r="V307" t="s">
        <v>3344</v>
      </c>
      <c r="W307" t="s">
        <v>3651</v>
      </c>
      <c r="X307">
        <v>4</v>
      </c>
      <c r="Y307" t="s">
        <v>5306</v>
      </c>
      <c r="Z307" t="s">
        <v>6964</v>
      </c>
      <c r="AA307">
        <v>0.8630769438682141</v>
      </c>
      <c r="AB307">
        <f>HYPERLINK("Melting_Curves/meltCurve_P0A809_ruvA.pdf", "Melting_Curves/meltCurve_P0A809_ruvA.pdf")</f>
        <v>0</v>
      </c>
    </row>
    <row r="308" spans="1:28">
      <c r="A308" t="s">
        <v>334</v>
      </c>
      <c r="B308">
        <v>0.999998419929286</v>
      </c>
      <c r="C308">
        <v>0.859970675187625</v>
      </c>
      <c r="D308">
        <v>0.617575069623847</v>
      </c>
      <c r="E308">
        <v>0.636133222558988</v>
      </c>
      <c r="F308">
        <v>0.662319129152203</v>
      </c>
      <c r="G308">
        <v>0.740845490957963</v>
      </c>
      <c r="H308">
        <v>0.697828708864513</v>
      </c>
      <c r="I308">
        <v>0.738810538805171</v>
      </c>
      <c r="J308">
        <v>0.817641757562073</v>
      </c>
      <c r="K308">
        <v>0.720224118629145</v>
      </c>
      <c r="L308">
        <v>9979.321745108629</v>
      </c>
      <c r="M308">
        <v>250</v>
      </c>
      <c r="O308">
        <v>39.9147325564017</v>
      </c>
      <c r="P308">
        <v>-0.463609748795835</v>
      </c>
      <c r="Q308">
        <v>0.70392225433774</v>
      </c>
      <c r="R308">
        <v>0.755731572550609</v>
      </c>
      <c r="S308" t="s">
        <v>1992</v>
      </c>
      <c r="T308" t="s">
        <v>3344</v>
      </c>
      <c r="U308" t="s">
        <v>3344</v>
      </c>
      <c r="V308" t="s">
        <v>3344</v>
      </c>
      <c r="W308" t="s">
        <v>3652</v>
      </c>
      <c r="X308">
        <v>3</v>
      </c>
      <c r="Y308" t="s">
        <v>5307</v>
      </c>
      <c r="Z308" t="s">
        <v>6965</v>
      </c>
      <c r="AA308">
        <v>0.7327344542567628</v>
      </c>
      <c r="AB308">
        <f>HYPERLINK("Melting_Curves/meltCurve_P0A817_metK.pdf", "Melting_Curves/meltCurve_P0A817_metK.pdf")</f>
        <v>0</v>
      </c>
    </row>
    <row r="309" spans="1:28">
      <c r="A309" t="s">
        <v>335</v>
      </c>
      <c r="B309">
        <v>0.999998419929286</v>
      </c>
      <c r="C309">
        <v>1.75160512847098</v>
      </c>
      <c r="D309">
        <v>1.25172010535827</v>
      </c>
      <c r="E309">
        <v>1.29930910111464</v>
      </c>
      <c r="F309">
        <v>1.0190898845478</v>
      </c>
      <c r="G309">
        <v>0.707901343640594</v>
      </c>
      <c r="H309">
        <v>0.486686729400845</v>
      </c>
      <c r="I309">
        <v>0.260166495627843</v>
      </c>
      <c r="J309">
        <v>0.145511741830442</v>
      </c>
      <c r="K309">
        <v>0.115066278689093</v>
      </c>
      <c r="L309">
        <v>1340.23153804249</v>
      </c>
      <c r="M309">
        <v>23.7787051871336</v>
      </c>
      <c r="N309">
        <v>56.9538380513437</v>
      </c>
      <c r="O309">
        <v>55.9686101941931</v>
      </c>
      <c r="P309">
        <v>-0.094600775779452</v>
      </c>
      <c r="Q309">
        <v>0.109356839032358</v>
      </c>
      <c r="R309">
        <v>0.732573937276441</v>
      </c>
      <c r="S309" t="s">
        <v>1993</v>
      </c>
      <c r="T309" t="s">
        <v>3344</v>
      </c>
      <c r="U309" t="s">
        <v>3344</v>
      </c>
      <c r="V309" t="s">
        <v>3344</v>
      </c>
      <c r="W309" t="s">
        <v>3653</v>
      </c>
      <c r="X309">
        <v>4</v>
      </c>
      <c r="Y309" t="s">
        <v>5308</v>
      </c>
      <c r="Z309" t="s">
        <v>6966</v>
      </c>
      <c r="AA309">
        <v>0.6916621244629357</v>
      </c>
      <c r="AB309">
        <f>HYPERLINK("Melting_Curves/meltCurve_P0A821_selA.pdf", "Melting_Curves/meltCurve_P0A821_selA.pdf")</f>
        <v>0</v>
      </c>
    </row>
    <row r="310" spans="1:28">
      <c r="A310" t="s">
        <v>336</v>
      </c>
      <c r="B310">
        <v>0.999998419929286</v>
      </c>
      <c r="C310">
        <v>1.27929218275839</v>
      </c>
      <c r="D310">
        <v>0.891576552865357</v>
      </c>
      <c r="E310">
        <v>1.0707149471022</v>
      </c>
      <c r="F310">
        <v>1.31491794540468</v>
      </c>
      <c r="G310">
        <v>1.09813905256245</v>
      </c>
      <c r="H310">
        <v>0.341990136743275</v>
      </c>
      <c r="I310">
        <v>0.19939144678878</v>
      </c>
      <c r="J310">
        <v>0.16218851923004</v>
      </c>
      <c r="K310">
        <v>0.14191323007631</v>
      </c>
      <c r="L310">
        <v>14273.7010918385</v>
      </c>
      <c r="M310">
        <v>250</v>
      </c>
      <c r="N310">
        <v>57.1883799885423</v>
      </c>
      <c r="O310">
        <v>57.091144035095</v>
      </c>
      <c r="P310">
        <v>-0.911009185762897</v>
      </c>
      <c r="Q310">
        <v>0.167830997695438</v>
      </c>
      <c r="R310">
        <v>0.901825697281844</v>
      </c>
      <c r="S310" t="s">
        <v>1994</v>
      </c>
      <c r="T310" t="s">
        <v>3344</v>
      </c>
      <c r="U310" t="s">
        <v>3344</v>
      </c>
      <c r="V310" t="s">
        <v>3344</v>
      </c>
      <c r="W310" t="s">
        <v>3654</v>
      </c>
      <c r="X310">
        <v>2</v>
      </c>
      <c r="Y310" t="s">
        <v>5309</v>
      </c>
      <c r="Z310" t="s">
        <v>6967</v>
      </c>
      <c r="AA310">
        <v>0.7253234915026671</v>
      </c>
      <c r="AB310">
        <f>HYPERLINK("Melting_Curves/meltCurve_P0A823_sfsA.pdf", "Melting_Curves/meltCurve_P0A823_sfsA.pdf")</f>
        <v>0</v>
      </c>
    </row>
    <row r="311" spans="1:28">
      <c r="A311" t="s">
        <v>337</v>
      </c>
      <c r="B311">
        <v>0.999998419929286</v>
      </c>
      <c r="C311">
        <v>1.15714025619618</v>
      </c>
      <c r="D311">
        <v>1.14439937003071</v>
      </c>
      <c r="E311">
        <v>1.28043921722524</v>
      </c>
      <c r="F311">
        <v>1.30696241582479</v>
      </c>
      <c r="G311">
        <v>1.26467870487567</v>
      </c>
      <c r="H311">
        <v>1.0020771899251</v>
      </c>
      <c r="I311">
        <v>0.570548858300169</v>
      </c>
      <c r="J311">
        <v>0.159592315131818</v>
      </c>
      <c r="K311">
        <v>0.0581099413347052</v>
      </c>
      <c r="L311">
        <v>3354.05036300435</v>
      </c>
      <c r="M311">
        <v>54.7858425450674</v>
      </c>
      <c r="N311">
        <v>61.3790348781743</v>
      </c>
      <c r="O311">
        <v>61.1397055750377</v>
      </c>
      <c r="P311">
        <v>-0.209292862080999</v>
      </c>
      <c r="Q311">
        <v>0.06573696187209301</v>
      </c>
      <c r="R311">
        <v>0.8515783696892441</v>
      </c>
      <c r="S311" t="s">
        <v>1995</v>
      </c>
      <c r="T311" t="s">
        <v>3344</v>
      </c>
      <c r="U311" t="s">
        <v>3344</v>
      </c>
      <c r="V311" t="s">
        <v>3344</v>
      </c>
      <c r="W311" t="s">
        <v>3655</v>
      </c>
      <c r="X311">
        <v>18</v>
      </c>
      <c r="Y311" t="s">
        <v>5310</v>
      </c>
      <c r="Z311" t="s">
        <v>6968</v>
      </c>
      <c r="AA311">
        <v>0.821749177521882</v>
      </c>
      <c r="AB311">
        <f>HYPERLINK("Melting_Curves/meltCurve_P0A825_glyA.pdf", "Melting_Curves/meltCurve_P0A825_glyA.pdf")</f>
        <v>0</v>
      </c>
    </row>
    <row r="312" spans="1:28">
      <c r="A312" t="s">
        <v>338</v>
      </c>
      <c r="B312">
        <v>0.999998419929286</v>
      </c>
      <c r="C312">
        <v>0.942872513178763</v>
      </c>
      <c r="D312">
        <v>0.727744321654148</v>
      </c>
      <c r="E312">
        <v>0.507362655221435</v>
      </c>
      <c r="F312">
        <v>0.315071479904503</v>
      </c>
      <c r="G312">
        <v>0.273124683420842</v>
      </c>
      <c r="H312">
        <v>0.203106460485965</v>
      </c>
      <c r="I312">
        <v>0.14672136329095</v>
      </c>
      <c r="J312">
        <v>0.133352860434359</v>
      </c>
      <c r="K312">
        <v>0.107660122936368</v>
      </c>
      <c r="L312">
        <v>636.733087043615</v>
      </c>
      <c r="M312">
        <v>13.876376898009</v>
      </c>
      <c r="N312">
        <v>46.8731680931333</v>
      </c>
      <c r="O312">
        <v>44.9646282844708</v>
      </c>
      <c r="P312">
        <v>-0.0673862642828949</v>
      </c>
      <c r="Q312">
        <v>0.126692899995134</v>
      </c>
      <c r="R312">
        <v>0.993038614390473</v>
      </c>
      <c r="S312" t="s">
        <v>1996</v>
      </c>
      <c r="T312" t="s">
        <v>3344</v>
      </c>
      <c r="U312" t="s">
        <v>3344</v>
      </c>
      <c r="V312" t="s">
        <v>3344</v>
      </c>
      <c r="W312" t="s">
        <v>3656</v>
      </c>
      <c r="X312">
        <v>3</v>
      </c>
      <c r="Y312" t="s">
        <v>5311</v>
      </c>
      <c r="Z312" t="s">
        <v>6969</v>
      </c>
      <c r="AA312">
        <v>0.4087532108620963</v>
      </c>
      <c r="AB312">
        <f>HYPERLINK("Melting_Curves/meltCurve_P0A830_dctA.pdf", "Melting_Curves/meltCurve_P0A830_dctA.pdf")</f>
        <v>0</v>
      </c>
    </row>
    <row r="313" spans="1:28">
      <c r="A313" t="s">
        <v>339</v>
      </c>
      <c r="B313">
        <v>0.999998419929286</v>
      </c>
      <c r="C313">
        <v>1.15876678089434</v>
      </c>
      <c r="D313">
        <v>1.02179050386464</v>
      </c>
      <c r="E313">
        <v>0.606615989551661</v>
      </c>
      <c r="F313">
        <v>0.411948896004293</v>
      </c>
      <c r="G313">
        <v>0.380443159111956</v>
      </c>
      <c r="H313">
        <v>0.371293301503549</v>
      </c>
      <c r="I313">
        <v>0.266803695586355</v>
      </c>
      <c r="J313">
        <v>0.277420560145544</v>
      </c>
      <c r="K313">
        <v>0.203177630226069</v>
      </c>
      <c r="L313">
        <v>1604.57741585383</v>
      </c>
      <c r="M313">
        <v>34.5089254353859</v>
      </c>
      <c r="N313">
        <v>47.8079735131681</v>
      </c>
      <c r="O313">
        <v>46.3421498535086</v>
      </c>
      <c r="P313">
        <v>-0.129227035971134</v>
      </c>
      <c r="Q313">
        <v>0.305844943782548</v>
      </c>
      <c r="R313">
        <v>0.951630201875372</v>
      </c>
      <c r="S313" t="s">
        <v>1997</v>
      </c>
      <c r="T313" t="s">
        <v>3344</v>
      </c>
      <c r="U313" t="s">
        <v>3344</v>
      </c>
      <c r="V313" t="s">
        <v>3344</v>
      </c>
      <c r="W313" t="s">
        <v>3657</v>
      </c>
      <c r="X313">
        <v>1</v>
      </c>
      <c r="Y313" t="s">
        <v>5312</v>
      </c>
      <c r="Z313" t="s">
        <v>6970</v>
      </c>
      <c r="AA313">
        <v>0.5286104611000949</v>
      </c>
      <c r="AB313">
        <f>HYPERLINK("Melting_Curves/meltCurve_P0A832_smpB.pdf", "Melting_Curves/meltCurve_P0A832_smpB.pdf")</f>
        <v>0</v>
      </c>
    </row>
    <row r="314" spans="1:28">
      <c r="A314" t="s">
        <v>340</v>
      </c>
      <c r="B314">
        <v>0.999998419929286</v>
      </c>
      <c r="C314">
        <v>1.08802892196223</v>
      </c>
      <c r="D314">
        <v>1.23032921881989</v>
      </c>
      <c r="E314">
        <v>1.37160287528572</v>
      </c>
      <c r="F314">
        <v>1.43761005432675</v>
      </c>
      <c r="G314">
        <v>0.542790147250321</v>
      </c>
      <c r="H314">
        <v>0.0938105297889705</v>
      </c>
      <c r="I314">
        <v>0.0398967870871805</v>
      </c>
      <c r="J314">
        <v>0.0295479846588544</v>
      </c>
      <c r="K314">
        <v>0.0227465727922869</v>
      </c>
      <c r="L314">
        <v>13448.9371747695</v>
      </c>
      <c r="M314">
        <v>249.898233127217</v>
      </c>
      <c r="N314">
        <v>53.8386793136057</v>
      </c>
      <c r="O314">
        <v>53.8142162266341</v>
      </c>
      <c r="P314">
        <v>-1.10694726322846</v>
      </c>
      <c r="Q314">
        <v>0.0464999940105306</v>
      </c>
      <c r="R314">
        <v>0.878951223700511</v>
      </c>
      <c r="S314" t="s">
        <v>1998</v>
      </c>
      <c r="T314" t="s">
        <v>3344</v>
      </c>
      <c r="U314" t="s">
        <v>3344</v>
      </c>
      <c r="V314" t="s">
        <v>3344</v>
      </c>
      <c r="W314" t="s">
        <v>3658</v>
      </c>
      <c r="X314">
        <v>20</v>
      </c>
      <c r="Y314" t="s">
        <v>5313</v>
      </c>
      <c r="Z314" t="s">
        <v>6971</v>
      </c>
      <c r="AA314">
        <v>0.5811112982745499</v>
      </c>
      <c r="AB314">
        <f>HYPERLINK("Melting_Curves/meltCurve_P0A836_sucC.pdf", "Melting_Curves/meltCurve_P0A836_sucC.pdf")</f>
        <v>0</v>
      </c>
    </row>
    <row r="315" spans="1:28">
      <c r="A315" t="s">
        <v>341</v>
      </c>
      <c r="B315">
        <v>0.999998419929286</v>
      </c>
      <c r="C315">
        <v>0.790288492583876</v>
      </c>
      <c r="D315">
        <v>0.450258590768887</v>
      </c>
      <c r="E315">
        <v>0.271992257560847</v>
      </c>
      <c r="F315">
        <v>0.26843354460277</v>
      </c>
      <c r="G315">
        <v>0.261536783501165</v>
      </c>
      <c r="H315">
        <v>0.139926302556188</v>
      </c>
      <c r="I315">
        <v>0.108290243284108</v>
      </c>
      <c r="J315">
        <v>0.0704814785885063</v>
      </c>
      <c r="K315">
        <v>0.09650785649514911</v>
      </c>
      <c r="L315">
        <v>760.760876856206</v>
      </c>
      <c r="M315">
        <v>18.0150287978478</v>
      </c>
      <c r="N315">
        <v>43.0117037911266</v>
      </c>
      <c r="O315">
        <v>41.7192029806678</v>
      </c>
      <c r="P315">
        <v>-0.09287517862482481</v>
      </c>
      <c r="Q315">
        <v>0.139721022690725</v>
      </c>
      <c r="R315">
        <v>0.963484634542247</v>
      </c>
      <c r="S315" t="s">
        <v>1999</v>
      </c>
      <c r="T315" t="s">
        <v>3344</v>
      </c>
      <c r="U315" t="s">
        <v>3344</v>
      </c>
      <c r="V315" t="s">
        <v>3344</v>
      </c>
      <c r="W315" t="s">
        <v>3659</v>
      </c>
      <c r="X315">
        <v>1</v>
      </c>
      <c r="Y315" t="s">
        <v>5314</v>
      </c>
      <c r="Z315" t="s">
        <v>6972</v>
      </c>
      <c r="AA315">
        <v>0.3058200606456771</v>
      </c>
      <c r="AB315">
        <f>HYPERLINK("Melting_Curves/meltCurve_P0A840_surE.pdf", "Melting_Curves/meltCurve_P0A840_surE.pdf")</f>
        <v>0</v>
      </c>
    </row>
    <row r="316" spans="1:28">
      <c r="A316" t="s">
        <v>342</v>
      </c>
      <c r="B316">
        <v>0.999998419929286</v>
      </c>
      <c r="C316">
        <v>1.20700257772864</v>
      </c>
      <c r="D316">
        <v>1.21000273198943</v>
      </c>
      <c r="E316">
        <v>1.43250288237979</v>
      </c>
      <c r="F316">
        <v>1.56137701944966</v>
      </c>
      <c r="G316">
        <v>1.74373121299334</v>
      </c>
      <c r="H316">
        <v>1.41787031351426</v>
      </c>
      <c r="I316">
        <v>1.13678517579909</v>
      </c>
      <c r="J316">
        <v>1.29170928784072</v>
      </c>
      <c r="K316">
        <v>1.31802366195429</v>
      </c>
      <c r="L316">
        <v>939.301907356642</v>
      </c>
      <c r="M316">
        <v>22.9150744605771</v>
      </c>
      <c r="O316">
        <v>40.6822249663458</v>
      </c>
      <c r="P316">
        <v>0.0578801192499447</v>
      </c>
      <c r="Q316">
        <v>1.41102154701649</v>
      </c>
      <c r="R316">
        <v>0.403335242202322</v>
      </c>
      <c r="S316" t="s">
        <v>2000</v>
      </c>
      <c r="T316" t="s">
        <v>3344</v>
      </c>
      <c r="U316" t="s">
        <v>3344</v>
      </c>
      <c r="V316" t="s">
        <v>3344</v>
      </c>
      <c r="W316" t="s">
        <v>3660</v>
      </c>
      <c r="X316">
        <v>20</v>
      </c>
      <c r="Y316" t="s">
        <v>5315</v>
      </c>
      <c r="Z316" t="s">
        <v>6973</v>
      </c>
      <c r="AA316">
        <v>1.351238779689065</v>
      </c>
      <c r="AB316">
        <f>HYPERLINK("Melting_Curves/meltCurve_P0A850_tig.pdf", "Melting_Curves/meltCurve_P0A850_tig.pdf")</f>
        <v>0</v>
      </c>
    </row>
    <row r="317" spans="1:28">
      <c r="A317" t="s">
        <v>343</v>
      </c>
      <c r="B317">
        <v>0.999998419929286</v>
      </c>
      <c r="C317">
        <v>1.28999308859395</v>
      </c>
      <c r="D317">
        <v>1.24162983899468</v>
      </c>
      <c r="E317">
        <v>1.28590537872094</v>
      </c>
      <c r="F317">
        <v>1.21519461179946</v>
      </c>
      <c r="G317">
        <v>0.23657337100828</v>
      </c>
      <c r="H317">
        <v>0.0432167905532506</v>
      </c>
      <c r="I317">
        <v>0.0282695586225178</v>
      </c>
      <c r="J317">
        <v>0.0287785107324656</v>
      </c>
      <c r="K317">
        <v>0.0246571385983686</v>
      </c>
      <c r="L317">
        <v>13379.3533266807</v>
      </c>
      <c r="M317">
        <v>250</v>
      </c>
      <c r="N317">
        <v>53.5312132261101</v>
      </c>
      <c r="O317">
        <v>53.5139885908319</v>
      </c>
      <c r="P317">
        <v>-1.13144427013235</v>
      </c>
      <c r="Q317">
        <v>0.0312304697162012</v>
      </c>
      <c r="R317">
        <v>0.9181442518966449</v>
      </c>
      <c r="S317" t="s">
        <v>2001</v>
      </c>
      <c r="T317" t="s">
        <v>3344</v>
      </c>
      <c r="U317" t="s">
        <v>3344</v>
      </c>
      <c r="V317" t="s">
        <v>3344</v>
      </c>
      <c r="W317" t="s">
        <v>3661</v>
      </c>
      <c r="X317">
        <v>27</v>
      </c>
      <c r="Y317" t="s">
        <v>5316</v>
      </c>
      <c r="Z317" t="s">
        <v>6974</v>
      </c>
      <c r="AA317">
        <v>0.5647070163969339</v>
      </c>
      <c r="AB317">
        <f>HYPERLINK("Melting_Curves/meltCurve_P0A853_tnaA.pdf", "Melting_Curves/meltCurve_P0A853_tnaA.pdf")</f>
        <v>0</v>
      </c>
    </row>
    <row r="318" spans="1:28">
      <c r="A318" t="s">
        <v>344</v>
      </c>
      <c r="B318">
        <v>0.999998419929286</v>
      </c>
      <c r="C318">
        <v>1.22821060074325</v>
      </c>
      <c r="D318">
        <v>1.33742020190807</v>
      </c>
      <c r="E318">
        <v>1.63255069290631</v>
      </c>
      <c r="F318">
        <v>1.2860523297194</v>
      </c>
      <c r="G318">
        <v>0.228729673654733</v>
      </c>
      <c r="H318">
        <v>0.115039003432985</v>
      </c>
      <c r="I318">
        <v>0.0782444859952053</v>
      </c>
      <c r="J318">
        <v>0.06756364663582561</v>
      </c>
      <c r="K318">
        <v>0.0988072293154435</v>
      </c>
      <c r="L318">
        <v>13357.7391057431</v>
      </c>
      <c r="M318">
        <v>250</v>
      </c>
      <c r="N318">
        <v>53.4733600809409</v>
      </c>
      <c r="O318">
        <v>53.4275370839588</v>
      </c>
      <c r="P318">
        <v>-1.0646271001883</v>
      </c>
      <c r="Q318">
        <v>0.0899135371410535</v>
      </c>
      <c r="R318">
        <v>0.8245411263271361</v>
      </c>
      <c r="S318" t="s">
        <v>2002</v>
      </c>
      <c r="T318" t="s">
        <v>3344</v>
      </c>
      <c r="U318" t="s">
        <v>3344</v>
      </c>
      <c r="V318" t="s">
        <v>3344</v>
      </c>
      <c r="W318" t="s">
        <v>3662</v>
      </c>
      <c r="X318">
        <v>10</v>
      </c>
      <c r="Y318" t="s">
        <v>5317</v>
      </c>
      <c r="Z318" t="s">
        <v>6975</v>
      </c>
      <c r="AA318">
        <v>0.5884519101466938</v>
      </c>
      <c r="AB318">
        <f>HYPERLINK("Melting_Curves/meltCurve_P0A855_tolB.pdf", "Melting_Curves/meltCurve_P0A855_tolB.pdf")</f>
        <v>0</v>
      </c>
    </row>
    <row r="319" spans="1:28">
      <c r="A319" t="s">
        <v>345</v>
      </c>
      <c r="B319">
        <v>0.999998419929286</v>
      </c>
      <c r="C319">
        <v>1.01671620623825</v>
      </c>
      <c r="D319">
        <v>1.16028692992659</v>
      </c>
      <c r="E319">
        <v>1.39934946102368</v>
      </c>
      <c r="F319">
        <v>1.31943071643781</v>
      </c>
      <c r="G319">
        <v>0.495671098444206</v>
      </c>
      <c r="H319">
        <v>0.164068670264019</v>
      </c>
      <c r="I319">
        <v>0.0939235679869468</v>
      </c>
      <c r="J319">
        <v>0.104189198994039</v>
      </c>
      <c r="K319">
        <v>0.121568518770308</v>
      </c>
      <c r="L319">
        <v>13434.0207054056</v>
      </c>
      <c r="M319">
        <v>250</v>
      </c>
      <c r="N319">
        <v>53.7956754669747</v>
      </c>
      <c r="O319">
        <v>53.7326441211684</v>
      </c>
      <c r="P319">
        <v>-1.02249591659033</v>
      </c>
      <c r="Q319">
        <v>0.120937454664071</v>
      </c>
      <c r="R319">
        <v>0.890812946254415</v>
      </c>
      <c r="S319" t="s">
        <v>2003</v>
      </c>
      <c r="T319" t="s">
        <v>3344</v>
      </c>
      <c r="U319" t="s">
        <v>3344</v>
      </c>
      <c r="V319" t="s">
        <v>3344</v>
      </c>
      <c r="W319" t="s">
        <v>3663</v>
      </c>
      <c r="X319">
        <v>5</v>
      </c>
      <c r="Y319" t="s">
        <v>5318</v>
      </c>
      <c r="Z319" t="s">
        <v>6976</v>
      </c>
      <c r="AA319">
        <v>0.6114224743311086</v>
      </c>
      <c r="AB319">
        <f>HYPERLINK("Melting_Curves/meltCurve_P0A858_tpiA.pdf", "Melting_Curves/meltCurve_P0A858_tpiA.pdf")</f>
        <v>0</v>
      </c>
    </row>
    <row r="320" spans="1:28">
      <c r="A320" t="s">
        <v>346</v>
      </c>
      <c r="B320">
        <v>0.999998419929286</v>
      </c>
      <c r="C320">
        <v>0.732341367197028</v>
      </c>
      <c r="D320">
        <v>0.949187643366382</v>
      </c>
      <c r="E320">
        <v>0.925876919123631</v>
      </c>
      <c r="F320">
        <v>1.13928928888971</v>
      </c>
      <c r="G320">
        <v>1.25504811706401</v>
      </c>
      <c r="H320">
        <v>1.15702458866694</v>
      </c>
      <c r="I320">
        <v>0.751437885257231</v>
      </c>
      <c r="J320">
        <v>0.662333626035885</v>
      </c>
      <c r="K320">
        <v>0.496597082093022</v>
      </c>
      <c r="L320">
        <v>6866.91706089162</v>
      </c>
      <c r="M320">
        <v>112.916687635463</v>
      </c>
      <c r="O320">
        <v>60.7949574732858</v>
      </c>
      <c r="P320">
        <v>-0.195822868727077</v>
      </c>
      <c r="Q320">
        <v>0.578271714293946</v>
      </c>
      <c r="R320">
        <v>0.618899533974823</v>
      </c>
      <c r="S320" t="s">
        <v>2004</v>
      </c>
      <c r="T320" t="s">
        <v>3344</v>
      </c>
      <c r="U320" t="s">
        <v>3344</v>
      </c>
      <c r="V320" t="s">
        <v>3344</v>
      </c>
      <c r="W320" t="s">
        <v>3664</v>
      </c>
      <c r="X320">
        <v>7</v>
      </c>
      <c r="Y320" t="s">
        <v>5319</v>
      </c>
      <c r="Z320" t="s">
        <v>6977</v>
      </c>
      <c r="AA320">
        <v>0.9132603762675446</v>
      </c>
      <c r="AB320">
        <f>HYPERLINK("Melting_Curves/meltCurve_P0A862_tpx.pdf", "Melting_Curves/meltCurve_P0A862_tpx.pdf")</f>
        <v>0</v>
      </c>
    </row>
    <row r="321" spans="1:28">
      <c r="A321" t="s">
        <v>347</v>
      </c>
      <c r="B321">
        <v>0.999998419929286</v>
      </c>
      <c r="C321">
        <v>1.0019115094114</v>
      </c>
      <c r="D321">
        <v>1.19825344372175</v>
      </c>
      <c r="E321">
        <v>1.33491107020725</v>
      </c>
      <c r="F321">
        <v>1.04657284478867</v>
      </c>
      <c r="G321">
        <v>0.299735504811524</v>
      </c>
      <c r="H321">
        <v>0.117003166012345</v>
      </c>
      <c r="I321">
        <v>0.066161255797937</v>
      </c>
      <c r="J321">
        <v>0.0421860173267766</v>
      </c>
      <c r="K321">
        <v>0.0311602754235411</v>
      </c>
      <c r="L321">
        <v>13389.5023482615</v>
      </c>
      <c r="M321">
        <v>249.964805510796</v>
      </c>
      <c r="N321">
        <v>53.5949567503337</v>
      </c>
      <c r="O321">
        <v>53.5621214404091</v>
      </c>
      <c r="P321">
        <v>-1.09188705453989</v>
      </c>
      <c r="Q321">
        <v>0.0641276587361527</v>
      </c>
      <c r="R321">
        <v>0.940602421393864</v>
      </c>
      <c r="S321" t="s">
        <v>2005</v>
      </c>
      <c r="T321" t="s">
        <v>3344</v>
      </c>
      <c r="U321" t="s">
        <v>3344</v>
      </c>
      <c r="V321" t="s">
        <v>3344</v>
      </c>
      <c r="W321" t="s">
        <v>3665</v>
      </c>
      <c r="X321">
        <v>18</v>
      </c>
      <c r="Y321" t="s">
        <v>5320</v>
      </c>
      <c r="Z321" t="s">
        <v>6978</v>
      </c>
      <c r="AA321">
        <v>0.5809903380974651</v>
      </c>
      <c r="AB321">
        <f>HYPERLINK("Melting_Curves/meltCurve_P0A867_talA.pdf", "Melting_Curves/meltCurve_P0A867_talA.pdf")</f>
        <v>0</v>
      </c>
    </row>
    <row r="322" spans="1:28">
      <c r="A322" t="s">
        <v>348</v>
      </c>
      <c r="B322">
        <v>0.999998419929286</v>
      </c>
      <c r="C322">
        <v>0.965430435811283</v>
      </c>
      <c r="D322">
        <v>1.05479308434342</v>
      </c>
      <c r="E322">
        <v>0.819798596443656</v>
      </c>
      <c r="F322">
        <v>0.42508312851706</v>
      </c>
      <c r="G322">
        <v>0.270919806133597</v>
      </c>
      <c r="H322">
        <v>0.174062377508013</v>
      </c>
      <c r="I322">
        <v>0.0996851113101113</v>
      </c>
      <c r="J322">
        <v>0.0518577672182125</v>
      </c>
      <c r="K322">
        <v>0.0398833105285546</v>
      </c>
      <c r="L322">
        <v>1033.2871982337</v>
      </c>
      <c r="M322">
        <v>20.8275743091115</v>
      </c>
      <c r="N322">
        <v>49.9908423356082</v>
      </c>
      <c r="O322">
        <v>49.1609360251099</v>
      </c>
      <c r="P322">
        <v>-0.0981762025787267</v>
      </c>
      <c r="Q322">
        <v>0.0730941403641913</v>
      </c>
      <c r="R322">
        <v>0.988194199009367</v>
      </c>
      <c r="S322" t="s">
        <v>2006</v>
      </c>
      <c r="T322" t="s">
        <v>3344</v>
      </c>
      <c r="U322" t="s">
        <v>3344</v>
      </c>
      <c r="V322" t="s">
        <v>3344</v>
      </c>
      <c r="W322" t="s">
        <v>3666</v>
      </c>
      <c r="X322">
        <v>14</v>
      </c>
      <c r="Y322" t="s">
        <v>5321</v>
      </c>
      <c r="Z322" t="s">
        <v>6979</v>
      </c>
      <c r="AA322">
        <v>0.4741069636611489</v>
      </c>
      <c r="AB322">
        <f>HYPERLINK("Melting_Curves/meltCurve_P0A870_talB.pdf", "Melting_Curves/meltCurve_P0A870_talB.pdf")</f>
        <v>0</v>
      </c>
    </row>
    <row r="323" spans="1:28">
      <c r="A323" t="s">
        <v>349</v>
      </c>
      <c r="B323">
        <v>0.999998419929286</v>
      </c>
      <c r="C323">
        <v>0.9781032605271121</v>
      </c>
      <c r="D323">
        <v>0.752023859237675</v>
      </c>
      <c r="E323">
        <v>0.414265565418287</v>
      </c>
      <c r="F323">
        <v>0.263709801074971</v>
      </c>
      <c r="G323">
        <v>0.15059165882684</v>
      </c>
      <c r="H323">
        <v>0.12744978785104</v>
      </c>
      <c r="I323">
        <v>0.0893315481579568</v>
      </c>
      <c r="J323">
        <v>0.0939970531364137</v>
      </c>
      <c r="K323">
        <v>0.0556221775366684</v>
      </c>
      <c r="L323">
        <v>823.873403921441</v>
      </c>
      <c r="M323">
        <v>18.1252907534629</v>
      </c>
      <c r="N323">
        <v>45.9468209787307</v>
      </c>
      <c r="O323">
        <v>44.911896061861</v>
      </c>
      <c r="P323">
        <v>-0.0919909051961627</v>
      </c>
      <c r="Q323">
        <v>0.088282182415823</v>
      </c>
      <c r="R323">
        <v>0.995036872369754</v>
      </c>
      <c r="S323" t="s">
        <v>2007</v>
      </c>
      <c r="T323" t="s">
        <v>3344</v>
      </c>
      <c r="U323" t="s">
        <v>3344</v>
      </c>
      <c r="V323" t="s">
        <v>3344</v>
      </c>
      <c r="W323" t="s">
        <v>3667</v>
      </c>
      <c r="X323">
        <v>2</v>
      </c>
      <c r="Y323" t="s">
        <v>5322</v>
      </c>
      <c r="Z323" t="s">
        <v>6980</v>
      </c>
      <c r="AA323">
        <v>0.3598355422349412</v>
      </c>
      <c r="AB323">
        <f>HYPERLINK("Melting_Curves/meltCurve_P0A873_trmD.pdf", "Melting_Curves/meltCurve_P0A873_trmD.pdf")</f>
        <v>0</v>
      </c>
    </row>
    <row r="324" spans="1:28">
      <c r="A324" t="s">
        <v>350</v>
      </c>
      <c r="B324">
        <v>0.999998419929286</v>
      </c>
      <c r="C324">
        <v>0.8558290941072459</v>
      </c>
      <c r="D324">
        <v>1.07206453236408</v>
      </c>
      <c r="E324">
        <v>0.919230811525473</v>
      </c>
      <c r="F324">
        <v>0.772776641538069</v>
      </c>
      <c r="G324">
        <v>0.5236642948715891</v>
      </c>
      <c r="H324">
        <v>0.348556280969627</v>
      </c>
      <c r="I324">
        <v>0.180557650172308</v>
      </c>
      <c r="J324">
        <v>0.179449581084659</v>
      </c>
      <c r="K324">
        <v>0.154514462939606</v>
      </c>
      <c r="L324">
        <v>912.043189412082</v>
      </c>
      <c r="M324">
        <v>17.099951867119</v>
      </c>
      <c r="N324">
        <v>54.2283144458613</v>
      </c>
      <c r="O324">
        <v>52.6226087288288</v>
      </c>
      <c r="P324">
        <v>-0.0712807629938856</v>
      </c>
      <c r="Q324">
        <v>0.122628361875438</v>
      </c>
      <c r="R324">
        <v>0.975430053069834</v>
      </c>
      <c r="S324" t="s">
        <v>2008</v>
      </c>
      <c r="T324" t="s">
        <v>3344</v>
      </c>
      <c r="U324" t="s">
        <v>3344</v>
      </c>
      <c r="V324" t="s">
        <v>3344</v>
      </c>
      <c r="W324" t="s">
        <v>3668</v>
      </c>
      <c r="X324">
        <v>7</v>
      </c>
      <c r="Y324" t="s">
        <v>5323</v>
      </c>
      <c r="Z324" t="s">
        <v>6981</v>
      </c>
      <c r="AA324">
        <v>0.6137093847050969</v>
      </c>
      <c r="AB324">
        <f>HYPERLINK("Melting_Curves/meltCurve_P0A877_trpA.pdf", "Melting_Curves/meltCurve_P0A877_trpA.pdf")</f>
        <v>0</v>
      </c>
    </row>
    <row r="325" spans="1:28">
      <c r="A325" t="s">
        <v>351</v>
      </c>
      <c r="B325">
        <v>0.999998419929286</v>
      </c>
      <c r="C325">
        <v>0.926073349309945</v>
      </c>
      <c r="D325">
        <v>0.469092412714615</v>
      </c>
      <c r="E325">
        <v>0.462594402909151</v>
      </c>
      <c r="F325">
        <v>0.400427956903344</v>
      </c>
      <c r="G325">
        <v>0.476739652739274</v>
      </c>
      <c r="H325">
        <v>0.472242737192801</v>
      </c>
      <c r="I325">
        <v>0.468448824238515</v>
      </c>
      <c r="J325">
        <v>0.415271885574386</v>
      </c>
      <c r="K325">
        <v>0.515903113505126</v>
      </c>
      <c r="L325">
        <v>3201.66531153594</v>
      </c>
      <c r="M325">
        <v>78.398401858029</v>
      </c>
      <c r="N325">
        <v>42.1813746663071</v>
      </c>
      <c r="O325">
        <v>40.8118518008542</v>
      </c>
      <c r="P325">
        <v>-0.259909046884761</v>
      </c>
      <c r="Q325">
        <v>0.458796726552625</v>
      </c>
      <c r="R325">
        <v>0.977988853745709</v>
      </c>
      <c r="S325" t="s">
        <v>2009</v>
      </c>
      <c r="T325" t="s">
        <v>3344</v>
      </c>
      <c r="U325" t="s">
        <v>3344</v>
      </c>
      <c r="V325" t="s">
        <v>3344</v>
      </c>
      <c r="W325" t="s">
        <v>3669</v>
      </c>
      <c r="X325">
        <v>3</v>
      </c>
      <c r="Y325" t="s">
        <v>5324</v>
      </c>
      <c r="Z325" t="s">
        <v>6982</v>
      </c>
      <c r="AA325">
        <v>0.5284393316542708</v>
      </c>
      <c r="AB325">
        <f>HYPERLINK("Melting_Curves/meltCurve_P0A879_trpB.pdf", "Melting_Curves/meltCurve_P0A879_trpB.pdf")</f>
        <v>0</v>
      </c>
    </row>
    <row r="326" spans="1:28">
      <c r="A326" t="s">
        <v>352</v>
      </c>
      <c r="B326">
        <v>0.999998419929286</v>
      </c>
      <c r="C326">
        <v>0.590625103219499</v>
      </c>
      <c r="D326">
        <v>0.5893562397554299</v>
      </c>
      <c r="E326">
        <v>0.714503879241313</v>
      </c>
      <c r="F326">
        <v>0.834810281016051</v>
      </c>
      <c r="G326">
        <v>0.943722067805257</v>
      </c>
      <c r="H326">
        <v>0.600945555493546</v>
      </c>
      <c r="I326">
        <v>0.857186477658383</v>
      </c>
      <c r="J326">
        <v>0.449511145303095</v>
      </c>
      <c r="K326">
        <v>0.571049375512255</v>
      </c>
      <c r="L326">
        <v>76.8970509575704</v>
      </c>
      <c r="M326">
        <v>0.593168518833506</v>
      </c>
      <c r="Q326">
        <v>0</v>
      </c>
      <c r="R326">
        <v>0.114902506192653</v>
      </c>
      <c r="S326" t="s">
        <v>2010</v>
      </c>
      <c r="T326" t="s">
        <v>3344</v>
      </c>
      <c r="U326" t="s">
        <v>3344</v>
      </c>
      <c r="V326" t="s">
        <v>3344</v>
      </c>
      <c r="W326" t="s">
        <v>3670</v>
      </c>
      <c r="X326">
        <v>1</v>
      </c>
      <c r="Y326" t="s">
        <v>5325</v>
      </c>
      <c r="Z326" t="s">
        <v>6983</v>
      </c>
      <c r="AA326">
        <v>0.7137976925177958</v>
      </c>
      <c r="AB326">
        <f>HYPERLINK("Melting_Curves/meltCurve_P0A881_trpR.pdf", "Melting_Curves/meltCurve_P0A881_trpR.pdf")</f>
        <v>0</v>
      </c>
    </row>
    <row r="327" spans="1:28">
      <c r="A327" t="s">
        <v>353</v>
      </c>
      <c r="B327">
        <v>0.999998419929286</v>
      </c>
      <c r="C327">
        <v>0.807151210647593</v>
      </c>
      <c r="D327">
        <v>0.543515421382109</v>
      </c>
      <c r="E327">
        <v>0.361216655319354</v>
      </c>
      <c r="F327">
        <v>0.30749883702104</v>
      </c>
      <c r="G327">
        <v>0.240179593476013</v>
      </c>
      <c r="H327">
        <v>0.157167353502142</v>
      </c>
      <c r="I327">
        <v>0.107672275215693</v>
      </c>
      <c r="J327">
        <v>0.107976438463736</v>
      </c>
      <c r="K327">
        <v>0.117541149565122</v>
      </c>
      <c r="L327">
        <v>579.432622699959</v>
      </c>
      <c r="M327">
        <v>13.3100042892638</v>
      </c>
      <c r="N327">
        <v>44.4681409888479</v>
      </c>
      <c r="O327">
        <v>42.5861306221818</v>
      </c>
      <c r="P327">
        <v>-0.0686141720531499</v>
      </c>
      <c r="Q327">
        <v>0.122001422524452</v>
      </c>
      <c r="R327">
        <v>0.980432913655677</v>
      </c>
      <c r="S327" t="s">
        <v>2011</v>
      </c>
      <c r="T327" t="s">
        <v>3344</v>
      </c>
      <c r="U327" t="s">
        <v>3344</v>
      </c>
      <c r="V327" t="s">
        <v>3344</v>
      </c>
      <c r="W327" t="s">
        <v>3671</v>
      </c>
      <c r="X327">
        <v>2</v>
      </c>
      <c r="Y327" t="s">
        <v>5326</v>
      </c>
      <c r="Z327" t="s">
        <v>6984</v>
      </c>
      <c r="AA327">
        <v>0.341848313814571</v>
      </c>
      <c r="AB327">
        <f>HYPERLINK("Melting_Curves/meltCurve_P0A884_thyA.pdf", "Melting_Curves/meltCurve_P0A884_thyA.pdf")</f>
        <v>0</v>
      </c>
    </row>
    <row r="328" spans="1:28">
      <c r="A328" t="s">
        <v>354</v>
      </c>
      <c r="B328">
        <v>0.999998419929286</v>
      </c>
      <c r="C328">
        <v>0.608183348645994</v>
      </c>
      <c r="D328">
        <v>0.251134307158493</v>
      </c>
      <c r="E328">
        <v>0.104544690389433</v>
      </c>
      <c r="F328">
        <v>0.0917230066576401</v>
      </c>
      <c r="G328">
        <v>0.0799055749561994</v>
      </c>
      <c r="H328">
        <v>0.0544789056201203</v>
      </c>
      <c r="I328">
        <v>0.0475353108086472</v>
      </c>
      <c r="J328">
        <v>0.0392260515132917</v>
      </c>
      <c r="K328">
        <v>0.033310743551309</v>
      </c>
      <c r="L328">
        <v>1094.95641652286</v>
      </c>
      <c r="M328">
        <v>26.9659977661575</v>
      </c>
      <c r="N328">
        <v>40.7997857534692</v>
      </c>
      <c r="O328">
        <v>40.3837493711152</v>
      </c>
      <c r="P328">
        <v>-0.156859177894584</v>
      </c>
      <c r="Q328">
        <v>0.060372602035715</v>
      </c>
      <c r="R328">
        <v>0.991363945496585</v>
      </c>
      <c r="S328" t="s">
        <v>2012</v>
      </c>
      <c r="T328" t="s">
        <v>3344</v>
      </c>
      <c r="U328" t="s">
        <v>3344</v>
      </c>
      <c r="V328" t="s">
        <v>3344</v>
      </c>
      <c r="W328" t="s">
        <v>3672</v>
      </c>
      <c r="X328">
        <v>5</v>
      </c>
      <c r="Y328" t="s">
        <v>5327</v>
      </c>
      <c r="Z328" t="s">
        <v>6985</v>
      </c>
      <c r="AA328">
        <v>0.1817130004627466</v>
      </c>
      <c r="AB328">
        <f>HYPERLINK("Melting_Curves/meltCurve_P0A887_ubiE.pdf", "Melting_Curves/meltCurve_P0A887_ubiE.pdf")</f>
        <v>0</v>
      </c>
    </row>
    <row r="329" spans="1:28">
      <c r="A329" t="s">
        <v>355</v>
      </c>
      <c r="B329">
        <v>0.999998419929286</v>
      </c>
      <c r="C329">
        <v>0.873823718556676</v>
      </c>
      <c r="D329">
        <v>0.830785434810815</v>
      </c>
      <c r="E329">
        <v>0.890836935580306</v>
      </c>
      <c r="F329">
        <v>0.951797232606851</v>
      </c>
      <c r="G329">
        <v>0.872623239817117</v>
      </c>
      <c r="H329">
        <v>0.476109337169352</v>
      </c>
      <c r="I329">
        <v>0.196353120288783</v>
      </c>
      <c r="J329">
        <v>0.113934599392201</v>
      </c>
      <c r="K329">
        <v>0.125462084455837</v>
      </c>
      <c r="L329">
        <v>1757.55286403193</v>
      </c>
      <c r="M329">
        <v>30.9546782047002</v>
      </c>
      <c r="N329">
        <v>57.2043056421472</v>
      </c>
      <c r="O329">
        <v>56.5428866291795</v>
      </c>
      <c r="P329">
        <v>-0.122774627872856</v>
      </c>
      <c r="Q329">
        <v>0.102947778205767</v>
      </c>
      <c r="R329">
        <v>0.9517941932730281</v>
      </c>
      <c r="S329" t="s">
        <v>2013</v>
      </c>
      <c r="T329" t="s">
        <v>3344</v>
      </c>
      <c r="U329" t="s">
        <v>3344</v>
      </c>
      <c r="V329" t="s">
        <v>3344</v>
      </c>
      <c r="W329" t="s">
        <v>3673</v>
      </c>
      <c r="X329">
        <v>2</v>
      </c>
      <c r="Y329" t="s">
        <v>5328</v>
      </c>
      <c r="Z329" t="s">
        <v>6986</v>
      </c>
      <c r="AA329">
        <v>0.6995335402122063</v>
      </c>
      <c r="AB329">
        <f>HYPERLINK("Melting_Curves/meltCurve_P0A894_rapZ.pdf", "Melting_Curves/meltCurve_P0A894_rapZ.pdf")</f>
        <v>0</v>
      </c>
    </row>
    <row r="330" spans="1:28">
      <c r="A330" t="s">
        <v>356</v>
      </c>
      <c r="B330">
        <v>0.999998419929286</v>
      </c>
      <c r="C330">
        <v>0.954716456045126</v>
      </c>
      <c r="D330">
        <v>0.877391123457813</v>
      </c>
      <c r="E330">
        <v>0.977301285085201</v>
      </c>
      <c r="F330">
        <v>0.639849191406797</v>
      </c>
      <c r="G330">
        <v>0.396900490468022</v>
      </c>
      <c r="H330">
        <v>0.301215728088439</v>
      </c>
      <c r="I330">
        <v>0.287796520813703</v>
      </c>
      <c r="J330">
        <v>0.218862488077175</v>
      </c>
      <c r="K330">
        <v>0.372911850698596</v>
      </c>
      <c r="L330">
        <v>1530.73983685076</v>
      </c>
      <c r="M330">
        <v>30.445147813231</v>
      </c>
      <c r="N330">
        <v>51.7789226638427</v>
      </c>
      <c r="O330">
        <v>50.063190222874</v>
      </c>
      <c r="P330">
        <v>-0.107480026359365</v>
      </c>
      <c r="Q330">
        <v>0.29305520220054</v>
      </c>
      <c r="R330">
        <v>0.967720099129774</v>
      </c>
      <c r="S330" t="s">
        <v>2014</v>
      </c>
      <c r="T330" t="s">
        <v>3344</v>
      </c>
      <c r="U330" t="s">
        <v>3344</v>
      </c>
      <c r="V330" t="s">
        <v>3344</v>
      </c>
      <c r="W330" t="s">
        <v>3674</v>
      </c>
      <c r="X330">
        <v>1</v>
      </c>
      <c r="Y330" t="s">
        <v>5329</v>
      </c>
      <c r="Z330" t="s">
        <v>6987</v>
      </c>
      <c r="AA330">
        <v>0.6101958195288854</v>
      </c>
      <c r="AB330">
        <f>HYPERLINK("Melting_Curves/meltCurve_P0A898_ybeY.pdf", "Melting_Curves/meltCurve_P0A898_ybeY.pdf")</f>
        <v>0</v>
      </c>
    </row>
    <row r="331" spans="1:28">
      <c r="A331" t="s">
        <v>357</v>
      </c>
      <c r="B331">
        <v>0.999998419929286</v>
      </c>
      <c r="C331">
        <v>0.968421843993585</v>
      </c>
      <c r="D331">
        <v>0.9270662809204619</v>
      </c>
      <c r="E331">
        <v>1.18561209677632</v>
      </c>
      <c r="F331">
        <v>1.29583526228474</v>
      </c>
      <c r="G331">
        <v>1.74566279612714</v>
      </c>
      <c r="H331">
        <v>1.50496590862672</v>
      </c>
      <c r="I331">
        <v>1.21177816712846</v>
      </c>
      <c r="J331">
        <v>1.29352876837702</v>
      </c>
      <c r="K331">
        <v>1.31862575922467</v>
      </c>
      <c r="L331">
        <v>2024.11873805774</v>
      </c>
      <c r="M331">
        <v>43.1004300971177</v>
      </c>
      <c r="O331">
        <v>46.8620883477271</v>
      </c>
      <c r="P331">
        <v>0.0921718640626908</v>
      </c>
      <c r="Q331">
        <v>1.40086456064389</v>
      </c>
      <c r="R331">
        <v>0.650682646316265</v>
      </c>
      <c r="S331" t="s">
        <v>2015</v>
      </c>
      <c r="T331" t="s">
        <v>3344</v>
      </c>
      <c r="U331" t="s">
        <v>3344</v>
      </c>
      <c r="V331" t="s">
        <v>3344</v>
      </c>
      <c r="W331" t="s">
        <v>3675</v>
      </c>
      <c r="X331">
        <v>8</v>
      </c>
      <c r="Y331" t="s">
        <v>5330</v>
      </c>
      <c r="Z331" t="s">
        <v>6988</v>
      </c>
      <c r="AA331">
        <v>1.266619789350343</v>
      </c>
      <c r="AB331">
        <f>HYPERLINK("Melting_Curves/meltCurve_P0A8A0_yebC.pdf", "Melting_Curves/meltCurve_P0A8A0_yebC.pdf")</f>
        <v>0</v>
      </c>
    </row>
    <row r="332" spans="1:28">
      <c r="A332" t="s">
        <v>358</v>
      </c>
      <c r="B332">
        <v>0.999998419929286</v>
      </c>
      <c r="C332">
        <v>0.988324030861928</v>
      </c>
      <c r="D332">
        <v>1.08869273584742</v>
      </c>
      <c r="E332">
        <v>1.15093670927</v>
      </c>
      <c r="F332">
        <v>1.0638163706171</v>
      </c>
      <c r="G332">
        <v>0.98611173152201</v>
      </c>
      <c r="H332">
        <v>0.847872935031371</v>
      </c>
      <c r="I332">
        <v>0.704490089600156</v>
      </c>
      <c r="J332">
        <v>0.807268673187702</v>
      </c>
      <c r="K332">
        <v>0.774170239283537</v>
      </c>
      <c r="L332">
        <v>14317.1917131367</v>
      </c>
      <c r="M332">
        <v>250</v>
      </c>
      <c r="O332">
        <v>57.2650974912456</v>
      </c>
      <c r="P332">
        <v>-0.2597826373262</v>
      </c>
      <c r="Q332">
        <v>0.7619763325362831</v>
      </c>
      <c r="R332">
        <v>0.796259703638187</v>
      </c>
      <c r="S332" t="s">
        <v>2016</v>
      </c>
      <c r="T332" t="s">
        <v>3344</v>
      </c>
      <c r="U332" t="s">
        <v>3344</v>
      </c>
      <c r="V332" t="s">
        <v>3344</v>
      </c>
      <c r="W332" t="s">
        <v>3676</v>
      </c>
      <c r="X332">
        <v>3</v>
      </c>
      <c r="Y332" t="s">
        <v>5331</v>
      </c>
      <c r="Z332" t="s">
        <v>6989</v>
      </c>
      <c r="AA332">
        <v>0.9228151293344384</v>
      </c>
      <c r="AB332">
        <f>HYPERLINK("Melting_Curves/meltCurve_P0A8A2_yeeN.pdf", "Melting_Curves/meltCurve_P0A8A2_yeeN.pdf")</f>
        <v>0</v>
      </c>
    </row>
    <row r="333" spans="1:28">
      <c r="A333" t="s">
        <v>359</v>
      </c>
      <c r="B333">
        <v>0.999998419929286</v>
      </c>
      <c r="C333">
        <v>0.603760560302253</v>
      </c>
      <c r="D333">
        <v>0.201502240003412</v>
      </c>
      <c r="E333">
        <v>0.12979909678599</v>
      </c>
      <c r="F333">
        <v>0.0894271633125287</v>
      </c>
      <c r="G333">
        <v>0.122516971174045</v>
      </c>
      <c r="H333">
        <v>0.0526143332587991</v>
      </c>
      <c r="I333">
        <v>0.0238080691676798</v>
      </c>
      <c r="J333">
        <v>0.0423787484598777</v>
      </c>
      <c r="K333">
        <v>0</v>
      </c>
      <c r="L333">
        <v>1234.41632544718</v>
      </c>
      <c r="M333">
        <v>30.5396452725824</v>
      </c>
      <c r="N333">
        <v>40.6001131939432</v>
      </c>
      <c r="O333">
        <v>40.2480195692393</v>
      </c>
      <c r="P333">
        <v>-0.177688256832716</v>
      </c>
      <c r="Q333">
        <v>0.0633088156147078</v>
      </c>
      <c r="R333">
        <v>0.983004169315384</v>
      </c>
      <c r="S333" t="s">
        <v>2017</v>
      </c>
      <c r="T333" t="s">
        <v>3344</v>
      </c>
      <c r="U333" t="s">
        <v>3344</v>
      </c>
      <c r="V333" t="s">
        <v>3344</v>
      </c>
      <c r="W333" t="s">
        <v>3677</v>
      </c>
      <c r="X333">
        <v>1</v>
      </c>
      <c r="Y333" t="s">
        <v>5332</v>
      </c>
      <c r="Z333" t="s">
        <v>6990</v>
      </c>
      <c r="AA333">
        <v>0.1765021749357615</v>
      </c>
      <c r="AB333">
        <f>HYPERLINK("Melting_Curves/meltCurve_P0A8A4_ppsR.pdf", "Melting_Curves/meltCurve_P0A8A4_ppsR.pdf")</f>
        <v>0</v>
      </c>
    </row>
    <row r="334" spans="1:28">
      <c r="A334" t="s">
        <v>360</v>
      </c>
      <c r="B334">
        <v>0.999998419929286</v>
      </c>
      <c r="C334">
        <v>1.15436505282844</v>
      </c>
      <c r="D334">
        <v>0.6698357008592311</v>
      </c>
      <c r="E334">
        <v>1.02226557313907</v>
      </c>
      <c r="F334">
        <v>0.928580956974086</v>
      </c>
      <c r="G334">
        <v>1.09043906469318</v>
      </c>
      <c r="H334">
        <v>1.00222985250736</v>
      </c>
      <c r="I334">
        <v>1.21159703749876</v>
      </c>
      <c r="J334">
        <v>0.921337266391106</v>
      </c>
      <c r="K334">
        <v>0.901498490839416</v>
      </c>
      <c r="L334">
        <v>15000</v>
      </c>
      <c r="M334">
        <v>235.383466237374</v>
      </c>
      <c r="O334">
        <v>63.7212014766487</v>
      </c>
      <c r="P334">
        <v>-0.0909869111254423</v>
      </c>
      <c r="Q334">
        <v>0.90147489371687</v>
      </c>
      <c r="R334">
        <v>0.07237036434121751</v>
      </c>
      <c r="S334" t="s">
        <v>2018</v>
      </c>
      <c r="T334" t="s">
        <v>3344</v>
      </c>
      <c r="U334" t="s">
        <v>3344</v>
      </c>
      <c r="V334" t="s">
        <v>3344</v>
      </c>
      <c r="W334" t="s">
        <v>3678</v>
      </c>
      <c r="X334">
        <v>3</v>
      </c>
      <c r="Y334" t="s">
        <v>5333</v>
      </c>
      <c r="Z334" t="s">
        <v>6991</v>
      </c>
      <c r="AA334">
        <v>0.9892593943061185</v>
      </c>
      <c r="AB334">
        <f>HYPERLINK("Melting_Curves/meltCurve_P0A8B5_ybaB.pdf", "Melting_Curves/meltCurve_P0A8B5_ybaB.pdf")</f>
        <v>0</v>
      </c>
    </row>
    <row r="335" spans="1:28">
      <c r="A335" t="s">
        <v>361</v>
      </c>
      <c r="B335">
        <v>0.999998419929286</v>
      </c>
      <c r="C335">
        <v>0.988216548922321</v>
      </c>
      <c r="D335">
        <v>0.916250424886221</v>
      </c>
      <c r="E335">
        <v>0.682715035905907</v>
      </c>
      <c r="F335">
        <v>0.600676720933183</v>
      </c>
      <c r="G335">
        <v>0.332028920662014</v>
      </c>
      <c r="H335">
        <v>0.309596010028384</v>
      </c>
      <c r="I335">
        <v>0.286456951485147</v>
      </c>
      <c r="J335">
        <v>0.175131224492422</v>
      </c>
      <c r="K335">
        <v>0.194947772526968</v>
      </c>
      <c r="L335">
        <v>638.137391683108</v>
      </c>
      <c r="M335">
        <v>12.9259714581675</v>
      </c>
      <c r="N335">
        <v>51.0475468634368</v>
      </c>
      <c r="O335">
        <v>48.2318038746683</v>
      </c>
      <c r="P335">
        <v>-0.0554077130759149</v>
      </c>
      <c r="Q335">
        <v>0.173158843276728</v>
      </c>
      <c r="R335">
        <v>0.985097919291688</v>
      </c>
      <c r="S335" t="s">
        <v>2019</v>
      </c>
      <c r="T335" t="s">
        <v>3344</v>
      </c>
      <c r="U335" t="s">
        <v>3344</v>
      </c>
      <c r="V335" t="s">
        <v>3344</v>
      </c>
      <c r="W335" t="s">
        <v>3679</v>
      </c>
      <c r="X335">
        <v>1</v>
      </c>
      <c r="Y335" t="s">
        <v>5334</v>
      </c>
      <c r="Z335" t="s">
        <v>6992</v>
      </c>
      <c r="AA335">
        <v>0.5358826717732905</v>
      </c>
      <c r="AB335">
        <f>HYPERLINK("Melting_Curves/meltCurve_P0A8C1_ybjQ.pdf", "Melting_Curves/meltCurve_P0A8C1_ybjQ.pdf")</f>
        <v>0</v>
      </c>
    </row>
    <row r="336" spans="1:28">
      <c r="A336" t="s">
        <v>362</v>
      </c>
      <c r="B336">
        <v>0.999998419929286</v>
      </c>
      <c r="C336">
        <v>0.815714933122903</v>
      </c>
      <c r="D336">
        <v>0.850239352271589</v>
      </c>
      <c r="E336">
        <v>0.712254354652032</v>
      </c>
      <c r="F336">
        <v>0.6042728661169809</v>
      </c>
      <c r="G336">
        <v>0.432542332526965</v>
      </c>
      <c r="H336">
        <v>0.356560430716432</v>
      </c>
      <c r="I336">
        <v>0.234675571013364</v>
      </c>
      <c r="J336">
        <v>0.249228959648667</v>
      </c>
      <c r="K336">
        <v>0.206754325244483</v>
      </c>
      <c r="L336">
        <v>384.750850722069</v>
      </c>
      <c r="M336">
        <v>7.45580073822732</v>
      </c>
      <c r="N336">
        <v>52.3190289172888</v>
      </c>
      <c r="O336">
        <v>48.2826390228001</v>
      </c>
      <c r="P336">
        <v>-0.0367895702249483</v>
      </c>
      <c r="Q336">
        <v>0.0484236410433118</v>
      </c>
      <c r="R336">
        <v>0.980694407059112</v>
      </c>
      <c r="S336" t="s">
        <v>2020</v>
      </c>
      <c r="T336" t="s">
        <v>3344</v>
      </c>
      <c r="U336" t="s">
        <v>3344</v>
      </c>
      <c r="V336" t="s">
        <v>3344</v>
      </c>
      <c r="W336" t="s">
        <v>3680</v>
      </c>
      <c r="X336">
        <v>6</v>
      </c>
      <c r="Y336" t="s">
        <v>5335</v>
      </c>
      <c r="Z336" t="s">
        <v>6993</v>
      </c>
      <c r="AA336">
        <v>0.5417382649108717</v>
      </c>
      <c r="AB336">
        <f>HYPERLINK("Melting_Curves/meltCurve_P0A8D0_nrdR.pdf", "Melting_Curves/meltCurve_P0A8D0_nrdR.pdf")</f>
        <v>0</v>
      </c>
    </row>
    <row r="337" spans="1:28">
      <c r="A337" t="s">
        <v>363</v>
      </c>
      <c r="B337">
        <v>0.999998419929286</v>
      </c>
      <c r="C337">
        <v>0.840380601668417</v>
      </c>
      <c r="D337">
        <v>0.888664104320829</v>
      </c>
      <c r="E337">
        <v>0.855565902334263</v>
      </c>
      <c r="F337">
        <v>0.861104113495801</v>
      </c>
      <c r="G337">
        <v>0.893462533051058</v>
      </c>
      <c r="H337">
        <v>0.745871079749133</v>
      </c>
      <c r="I337">
        <v>0.62380407541273</v>
      </c>
      <c r="J337">
        <v>0.440345881527807</v>
      </c>
      <c r="K337">
        <v>0.421316479798303</v>
      </c>
      <c r="L337">
        <v>440.706008608961</v>
      </c>
      <c r="M337">
        <v>6.83277948469344</v>
      </c>
      <c r="N337">
        <v>64.49878990700201</v>
      </c>
      <c r="O337">
        <v>59.6513205948915</v>
      </c>
      <c r="P337">
        <v>-0.0286943316879643</v>
      </c>
      <c r="Q337">
        <v>0</v>
      </c>
      <c r="R337">
        <v>0.855275759751011</v>
      </c>
      <c r="S337" t="s">
        <v>2021</v>
      </c>
      <c r="T337" t="s">
        <v>3344</v>
      </c>
      <c r="U337" t="s">
        <v>3344</v>
      </c>
      <c r="V337" t="s">
        <v>3344</v>
      </c>
      <c r="W337" t="s">
        <v>3681</v>
      </c>
      <c r="X337">
        <v>3</v>
      </c>
      <c r="Y337" t="s">
        <v>5336</v>
      </c>
      <c r="Z337" t="s">
        <v>6994</v>
      </c>
      <c r="AA337">
        <v>0.7905881338619509</v>
      </c>
      <c r="AB337">
        <f>HYPERLINK("Melting_Curves/meltCurve_P0A8D3_yaiI.pdf", "Melting_Curves/meltCurve_P0A8D3_yaiI.pdf")</f>
        <v>0</v>
      </c>
    </row>
    <row r="338" spans="1:28">
      <c r="A338" t="s">
        <v>364</v>
      </c>
      <c r="B338">
        <v>0.999998419929286</v>
      </c>
      <c r="C338">
        <v>0.815962353352767</v>
      </c>
      <c r="D338">
        <v>0.941636539116595</v>
      </c>
      <c r="E338">
        <v>0.876911487926783</v>
      </c>
      <c r="F338">
        <v>0.62911919561607</v>
      </c>
      <c r="G338">
        <v>0.344375970635596</v>
      </c>
      <c r="H338">
        <v>0.156804753209189</v>
      </c>
      <c r="I338">
        <v>0.0874632686683063</v>
      </c>
      <c r="J338">
        <v>0.0728751098320734</v>
      </c>
      <c r="K338">
        <v>0.07327868174894291</v>
      </c>
      <c r="L338">
        <v>881.5657504987601</v>
      </c>
      <c r="M338">
        <v>17.1423302851015</v>
      </c>
      <c r="N338">
        <v>51.6597969688686</v>
      </c>
      <c r="O338">
        <v>50.7417148772364</v>
      </c>
      <c r="P338">
        <v>-0.0813145319866609</v>
      </c>
      <c r="Q338">
        <v>0.037285597791637</v>
      </c>
      <c r="R338">
        <v>0.975849856769109</v>
      </c>
      <c r="S338" t="s">
        <v>2022</v>
      </c>
      <c r="T338" t="s">
        <v>3344</v>
      </c>
      <c r="U338" t="s">
        <v>3344</v>
      </c>
      <c r="V338" t="s">
        <v>3344</v>
      </c>
      <c r="W338" t="s">
        <v>3682</v>
      </c>
      <c r="X338">
        <v>5</v>
      </c>
      <c r="Y338" t="s">
        <v>5337</v>
      </c>
      <c r="Z338" t="s">
        <v>6995</v>
      </c>
      <c r="AA338">
        <v>0.5161189897911836</v>
      </c>
      <c r="AB338">
        <f>HYPERLINK("Melting_Curves/meltCurve_P0A8D6_ymdB.pdf", "Melting_Curves/meltCurve_P0A8D6_ymdB.pdf")</f>
        <v>0</v>
      </c>
    </row>
    <row r="339" spans="1:28">
      <c r="A339" t="s">
        <v>365</v>
      </c>
      <c r="B339">
        <v>0.999998419929286</v>
      </c>
      <c r="C339">
        <v>0.5902452926262211</v>
      </c>
      <c r="D339">
        <v>0.262665932996041</v>
      </c>
      <c r="E339">
        <v>0.09177747061323099</v>
      </c>
      <c r="F339">
        <v>0.0578571909131696</v>
      </c>
      <c r="G339">
        <v>0.0439488793352244</v>
      </c>
      <c r="H339">
        <v>0.0251424954065363</v>
      </c>
      <c r="I339">
        <v>0.0106987418484558</v>
      </c>
      <c r="J339">
        <v>0.0130671445340121</v>
      </c>
      <c r="K339">
        <v>0.010421645848103</v>
      </c>
      <c r="L339">
        <v>989.451329568632</v>
      </c>
      <c r="M339">
        <v>24.2904334689519</v>
      </c>
      <c r="N339">
        <v>40.833782589327</v>
      </c>
      <c r="O339">
        <v>40.4611266809518</v>
      </c>
      <c r="P339">
        <v>-0.145771103015247</v>
      </c>
      <c r="Q339">
        <v>0.0287577093227947</v>
      </c>
      <c r="R339">
        <v>0.989571244951013</v>
      </c>
      <c r="S339" t="s">
        <v>2023</v>
      </c>
      <c r="T339" t="s">
        <v>3344</v>
      </c>
      <c r="U339" t="s">
        <v>3344</v>
      </c>
      <c r="V339" t="s">
        <v>3344</v>
      </c>
      <c r="W339" t="s">
        <v>3683</v>
      </c>
      <c r="X339">
        <v>4</v>
      </c>
      <c r="Y339" t="s">
        <v>5338</v>
      </c>
      <c r="Z339" t="s">
        <v>6996</v>
      </c>
      <c r="AA339">
        <v>0.1606219132306089</v>
      </c>
      <c r="AB339">
        <f>HYPERLINK("Melting_Curves/meltCurve_P0A8E1_ycfP.pdf", "Melting_Curves/meltCurve_P0A8E1_ycfP.pdf")</f>
        <v>0</v>
      </c>
    </row>
    <row r="340" spans="1:28">
      <c r="A340" t="s">
        <v>366</v>
      </c>
      <c r="B340">
        <v>0.999998419929286</v>
      </c>
      <c r="C340">
        <v>0.958682929839792</v>
      </c>
      <c r="D340">
        <v>0.940671925674305</v>
      </c>
      <c r="E340">
        <v>0.980157476800479</v>
      </c>
      <c r="F340">
        <v>0.985574903551918</v>
      </c>
      <c r="G340">
        <v>1.03081691430257</v>
      </c>
      <c r="H340">
        <v>0.88349624274017</v>
      </c>
      <c r="I340">
        <v>0.747834151088942</v>
      </c>
      <c r="J340">
        <v>0.906505835883569</v>
      </c>
      <c r="K340">
        <v>0.920124688767648</v>
      </c>
      <c r="L340">
        <v>14262.4370840153</v>
      </c>
      <c r="M340">
        <v>250</v>
      </c>
      <c r="O340">
        <v>57.0460977444717</v>
      </c>
      <c r="P340">
        <v>-0.155406232480112</v>
      </c>
      <c r="Q340">
        <v>0.858154894647531</v>
      </c>
      <c r="R340">
        <v>0.561565976505909</v>
      </c>
      <c r="S340" t="s">
        <v>2024</v>
      </c>
      <c r="T340" t="s">
        <v>3344</v>
      </c>
      <c r="U340" t="s">
        <v>3344</v>
      </c>
      <c r="V340" t="s">
        <v>3344</v>
      </c>
      <c r="W340" t="s">
        <v>3684</v>
      </c>
      <c r="X340">
        <v>2</v>
      </c>
      <c r="Y340" t="s">
        <v>5339</v>
      </c>
      <c r="Z340" t="s">
        <v>6997</v>
      </c>
      <c r="AA340">
        <v>0.9529677185482643</v>
      </c>
      <c r="AB340">
        <f>HYPERLINK("Melting_Curves/meltCurve_P0A8E5_yacL.pdf", "Melting_Curves/meltCurve_P0A8E5_yacL.pdf")</f>
        <v>0</v>
      </c>
    </row>
    <row r="341" spans="1:28">
      <c r="A341" t="s">
        <v>367</v>
      </c>
      <c r="B341">
        <v>0.999998419929286</v>
      </c>
      <c r="C341">
        <v>0.752651119001411</v>
      </c>
      <c r="D341">
        <v>0.918560493845736</v>
      </c>
      <c r="E341">
        <v>0.935702687410209</v>
      </c>
      <c r="F341">
        <v>0.949536620917391</v>
      </c>
      <c r="G341">
        <v>0.767903392007224</v>
      </c>
      <c r="H341">
        <v>0.451155991048134</v>
      </c>
      <c r="I341">
        <v>0.25046736968753</v>
      </c>
      <c r="J341">
        <v>0.219209608523666</v>
      </c>
      <c r="K341">
        <v>0.21358528051437</v>
      </c>
      <c r="L341">
        <v>1421.47221446014</v>
      </c>
      <c r="M341">
        <v>25.5398672215277</v>
      </c>
      <c r="N341">
        <v>56.7268991739498</v>
      </c>
      <c r="O341">
        <v>55.3191248507364</v>
      </c>
      <c r="P341">
        <v>-0.093360833896559</v>
      </c>
      <c r="Q341">
        <v>0.191134891017844</v>
      </c>
      <c r="R341">
        <v>0.9257141299988</v>
      </c>
      <c r="S341" t="s">
        <v>2025</v>
      </c>
      <c r="T341" t="s">
        <v>3344</v>
      </c>
      <c r="U341" t="s">
        <v>3344</v>
      </c>
      <c r="V341" t="s">
        <v>3344</v>
      </c>
      <c r="W341" t="s">
        <v>3685</v>
      </c>
      <c r="X341">
        <v>9</v>
      </c>
      <c r="Y341" t="s">
        <v>5340</v>
      </c>
      <c r="Z341" t="s">
        <v>6998</v>
      </c>
      <c r="AA341">
        <v>0.7006599090284721</v>
      </c>
      <c r="AB341">
        <f>HYPERLINK("Melting_Curves/meltCurve_P0A8E7_yajQ.pdf", "Melting_Curves/meltCurve_P0A8E7_yajQ.pdf")</f>
        <v>0</v>
      </c>
    </row>
    <row r="342" spans="1:28">
      <c r="A342" t="s">
        <v>368</v>
      </c>
      <c r="B342">
        <v>0.999998419929286</v>
      </c>
      <c r="C342">
        <v>0.914882981153836</v>
      </c>
      <c r="D342">
        <v>0.866604754463581</v>
      </c>
      <c r="E342">
        <v>0.843970043287228</v>
      </c>
      <c r="F342">
        <v>0.7027460831210059</v>
      </c>
      <c r="G342">
        <v>0.56196799875884</v>
      </c>
      <c r="H342">
        <v>0.355337090904318</v>
      </c>
      <c r="I342">
        <v>0.235669468660861</v>
      </c>
      <c r="J342">
        <v>0.208830313549369</v>
      </c>
      <c r="K342">
        <v>0.185725595600089</v>
      </c>
      <c r="L342">
        <v>489.423373225949</v>
      </c>
      <c r="M342">
        <v>8.98655102724423</v>
      </c>
      <c r="N342">
        <v>54.4617588030448</v>
      </c>
      <c r="O342">
        <v>51.9676874069481</v>
      </c>
      <c r="P342">
        <v>-0.0432630100101091</v>
      </c>
      <c r="Q342">
        <v>0</v>
      </c>
      <c r="R342">
        <v>0.988280788917373</v>
      </c>
      <c r="S342" t="s">
        <v>2026</v>
      </c>
      <c r="T342" t="s">
        <v>3344</v>
      </c>
      <c r="U342" t="s">
        <v>3344</v>
      </c>
      <c r="V342" t="s">
        <v>3344</v>
      </c>
      <c r="W342" t="s">
        <v>3686</v>
      </c>
      <c r="X342">
        <v>5</v>
      </c>
      <c r="Y342" t="s">
        <v>5341</v>
      </c>
      <c r="Z342" t="s">
        <v>6999</v>
      </c>
      <c r="AA342">
        <v>0.5956459353501651</v>
      </c>
      <c r="AB342">
        <f>HYPERLINK("Melting_Curves/meltCurve_P0A8F0_upp.pdf", "Melting_Curves/meltCurve_P0A8F0_upp.pdf")</f>
        <v>0</v>
      </c>
    </row>
    <row r="343" spans="1:28">
      <c r="A343" t="s">
        <v>369</v>
      </c>
      <c r="B343">
        <v>0.999998419929286</v>
      </c>
      <c r="C343">
        <v>1.37241602015217</v>
      </c>
      <c r="D343">
        <v>0.586591099227698</v>
      </c>
      <c r="E343">
        <v>0.0916397397390248</v>
      </c>
      <c r="F343">
        <v>0.100703356260659</v>
      </c>
      <c r="G343">
        <v>0.08172388665999709</v>
      </c>
      <c r="H343">
        <v>0.0319418985352508</v>
      </c>
      <c r="I343">
        <v>0.0339148063788613</v>
      </c>
      <c r="J343">
        <v>0.0451778997039745</v>
      </c>
      <c r="K343">
        <v>0.0382788772067528</v>
      </c>
      <c r="L343">
        <v>10760.3659969095</v>
      </c>
      <c r="M343">
        <v>250</v>
      </c>
      <c r="N343">
        <v>43.0636731150337</v>
      </c>
      <c r="O343">
        <v>43.0387091196955</v>
      </c>
      <c r="P343">
        <v>-1.36434892989696</v>
      </c>
      <c r="Q343">
        <v>0.0604829224845411</v>
      </c>
      <c r="R343">
        <v>0.931906249590561</v>
      </c>
      <c r="S343" t="s">
        <v>2027</v>
      </c>
      <c r="T343" t="s">
        <v>3344</v>
      </c>
      <c r="U343" t="s">
        <v>3344</v>
      </c>
      <c r="V343" t="s">
        <v>3344</v>
      </c>
      <c r="W343" t="s">
        <v>3687</v>
      </c>
      <c r="X343">
        <v>1</v>
      </c>
      <c r="Y343" t="s">
        <v>5342</v>
      </c>
      <c r="Z343" t="s">
        <v>7000</v>
      </c>
      <c r="AA343">
        <v>0.2497558438654552</v>
      </c>
      <c r="AB343">
        <f>HYPERLINK("Melting_Curves/meltCurve_P0A8F8_uvrB.pdf", "Melting_Curves/meltCurve_P0A8F8_uvrB.pdf")</f>
        <v>0</v>
      </c>
    </row>
    <row r="344" spans="1:28">
      <c r="A344" t="s">
        <v>370</v>
      </c>
      <c r="B344">
        <v>0.999998419929286</v>
      </c>
      <c r="C344">
        <v>1.25307997425483</v>
      </c>
      <c r="D344">
        <v>1.28776971650181</v>
      </c>
      <c r="E344">
        <v>1.47806762068895</v>
      </c>
      <c r="F344">
        <v>0.8103777586706929</v>
      </c>
      <c r="G344">
        <v>0.216665059282913</v>
      </c>
      <c r="H344">
        <v>0.125249316820332</v>
      </c>
      <c r="I344">
        <v>0.08947630847695751</v>
      </c>
      <c r="J344">
        <v>0.07784115116821209</v>
      </c>
      <c r="K344">
        <v>0.0670365266466212</v>
      </c>
      <c r="L344">
        <v>2637.81868790257</v>
      </c>
      <c r="M344">
        <v>51.0327748540272</v>
      </c>
      <c r="N344">
        <v>51.8940674602417</v>
      </c>
      <c r="O344">
        <v>51.6095433129385</v>
      </c>
      <c r="P344">
        <v>-0.224604662500042</v>
      </c>
      <c r="Q344">
        <v>0.09142840725529661</v>
      </c>
      <c r="R344">
        <v>0.874914235369635</v>
      </c>
      <c r="S344" t="s">
        <v>2028</v>
      </c>
      <c r="T344" t="s">
        <v>3344</v>
      </c>
      <c r="U344" t="s">
        <v>3344</v>
      </c>
      <c r="V344" t="s">
        <v>3344</v>
      </c>
      <c r="W344" t="s">
        <v>3688</v>
      </c>
      <c r="X344">
        <v>15</v>
      </c>
      <c r="Y344" t="s">
        <v>5343</v>
      </c>
      <c r="Z344" t="s">
        <v>7001</v>
      </c>
      <c r="AA344">
        <v>0.5382744317620217</v>
      </c>
      <c r="AB344">
        <f>HYPERLINK("Melting_Curves/meltCurve_P0A8G3_uxaC.pdf", "Melting_Curves/meltCurve_P0A8G3_uxaC.pdf")</f>
        <v>0</v>
      </c>
    </row>
    <row r="345" spans="1:28">
      <c r="A345" t="s">
        <v>371</v>
      </c>
      <c r="B345">
        <v>0.999998419929286</v>
      </c>
      <c r="C345">
        <v>0.653616194604374</v>
      </c>
      <c r="D345">
        <v>0.520951567147372</v>
      </c>
      <c r="E345">
        <v>0.414105837945399</v>
      </c>
      <c r="F345">
        <v>0.335992556000727</v>
      </c>
      <c r="G345">
        <v>0.32855336095539</v>
      </c>
      <c r="H345">
        <v>0.270230597932701</v>
      </c>
      <c r="I345">
        <v>0.167755641289686</v>
      </c>
      <c r="J345">
        <v>0.0233944890979183</v>
      </c>
      <c r="K345">
        <v>0.0193946423635804</v>
      </c>
      <c r="L345">
        <v>328.498428236637</v>
      </c>
      <c r="M345">
        <v>7.24345920492374</v>
      </c>
      <c r="N345">
        <v>45.3510434670846</v>
      </c>
      <c r="O345">
        <v>42.277269738822</v>
      </c>
      <c r="P345">
        <v>-0.042903099607023</v>
      </c>
      <c r="Q345">
        <v>0</v>
      </c>
      <c r="R345">
        <v>0.914820596912157</v>
      </c>
      <c r="S345" t="s">
        <v>2029</v>
      </c>
      <c r="T345" t="s">
        <v>3344</v>
      </c>
      <c r="U345" t="s">
        <v>3344</v>
      </c>
      <c r="V345" t="s">
        <v>3344</v>
      </c>
      <c r="W345" t="s">
        <v>3689</v>
      </c>
      <c r="X345">
        <v>9</v>
      </c>
      <c r="Y345" t="s">
        <v>5344</v>
      </c>
      <c r="Z345" t="s">
        <v>7002</v>
      </c>
      <c r="AA345">
        <v>0.3537683081708031</v>
      </c>
      <c r="AB345">
        <f>HYPERLINK("Melting_Curves/meltCurve_P0A8G6_wrbA.pdf", "Melting_Curves/meltCurve_P0A8G6_wrbA.pdf")</f>
        <v>0</v>
      </c>
    </row>
    <row r="346" spans="1:28">
      <c r="A346" t="s">
        <v>372</v>
      </c>
      <c r="B346">
        <v>0.999998419929286</v>
      </c>
      <c r="C346">
        <v>1.16560363268608</v>
      </c>
      <c r="D346">
        <v>0.60490744058893</v>
      </c>
      <c r="E346">
        <v>0.809566297954784</v>
      </c>
      <c r="F346">
        <v>1.13419782268496</v>
      </c>
      <c r="G346">
        <v>1.05845567110969</v>
      </c>
      <c r="H346">
        <v>0.947620143117621</v>
      </c>
      <c r="I346">
        <v>0.973174548112391</v>
      </c>
      <c r="J346">
        <v>1.05490212966256</v>
      </c>
      <c r="K346">
        <v>1.00090097259791</v>
      </c>
      <c r="L346">
        <v>10334.3330260258</v>
      </c>
      <c r="M346">
        <v>250</v>
      </c>
      <c r="O346">
        <v>41.3346849360659</v>
      </c>
      <c r="P346">
        <v>-0.0786700496299363</v>
      </c>
      <c r="Q346">
        <v>0.947971170281239</v>
      </c>
      <c r="R346">
        <v>0.063678553040298</v>
      </c>
      <c r="S346" t="s">
        <v>2030</v>
      </c>
      <c r="T346" t="s">
        <v>3344</v>
      </c>
      <c r="U346" t="s">
        <v>3344</v>
      </c>
      <c r="V346" t="s">
        <v>3344</v>
      </c>
      <c r="W346" t="s">
        <v>3690</v>
      </c>
      <c r="X346">
        <v>1</v>
      </c>
      <c r="Y346" t="s">
        <v>5345</v>
      </c>
      <c r="Z346" t="s">
        <v>7003</v>
      </c>
      <c r="AA346">
        <v>0.9554971552334741</v>
      </c>
      <c r="AB346">
        <f>HYPERLINK("Melting_Curves/meltCurve_P0A8G9_xseB.pdf", "Melting_Curves/meltCurve_P0A8G9_xseB.pdf")</f>
        <v>0</v>
      </c>
    </row>
    <row r="347" spans="1:28">
      <c r="A347" t="s">
        <v>373</v>
      </c>
      <c r="B347">
        <v>0.999998419929286</v>
      </c>
      <c r="C347">
        <v>1.08021153637797</v>
      </c>
      <c r="D347">
        <v>0.605612220372354</v>
      </c>
      <c r="E347">
        <v>0.940039728271705</v>
      </c>
      <c r="F347">
        <v>0.967105086158328</v>
      </c>
      <c r="G347">
        <v>1.08904453230471</v>
      </c>
      <c r="H347">
        <v>1.00770756421621</v>
      </c>
      <c r="I347">
        <v>1.32528203751562</v>
      </c>
      <c r="J347">
        <v>1.15660798220331</v>
      </c>
      <c r="K347">
        <v>1.08448714483815</v>
      </c>
      <c r="L347">
        <v>14531.0054254664</v>
      </c>
      <c r="M347">
        <v>250</v>
      </c>
      <c r="O347">
        <v>58.1203021065537</v>
      </c>
      <c r="P347">
        <v>0.20301875413501</v>
      </c>
      <c r="Q347">
        <v>1.18879218109782</v>
      </c>
      <c r="R347">
        <v>0.328674360555532</v>
      </c>
      <c r="S347" t="s">
        <v>2031</v>
      </c>
      <c r="T347" t="s">
        <v>3344</v>
      </c>
      <c r="U347" t="s">
        <v>3344</v>
      </c>
      <c r="V347" t="s">
        <v>3344</v>
      </c>
      <c r="W347" t="s">
        <v>3691</v>
      </c>
      <c r="X347">
        <v>2</v>
      </c>
      <c r="Y347" t="s">
        <v>5346</v>
      </c>
      <c r="Z347" t="s">
        <v>7004</v>
      </c>
      <c r="AA347">
        <v>1.055837918665248</v>
      </c>
      <c r="AB347">
        <f>HYPERLINK("Melting_Curves/meltCurve_P0A8H6_yihI.pdf", "Melting_Curves/meltCurve_P0A8H6_yihI.pdf")</f>
        <v>0</v>
      </c>
    </row>
    <row r="348" spans="1:28">
      <c r="A348" t="s">
        <v>374</v>
      </c>
      <c r="B348">
        <v>0.999998419929286</v>
      </c>
      <c r="C348">
        <v>0.975445523527516</v>
      </c>
      <c r="D348">
        <v>1.03433752083196</v>
      </c>
      <c r="E348">
        <v>1.01019673494624</v>
      </c>
      <c r="F348">
        <v>1.0480009038058</v>
      </c>
      <c r="G348">
        <v>1.11141189132155</v>
      </c>
      <c r="H348">
        <v>0.724739042896866</v>
      </c>
      <c r="I348">
        <v>0.326663292464622</v>
      </c>
      <c r="J348">
        <v>0.19255870337115</v>
      </c>
      <c r="K348">
        <v>0.121843969051145</v>
      </c>
      <c r="L348">
        <v>2333.16926196264</v>
      </c>
      <c r="M348">
        <v>39.7096957338984</v>
      </c>
      <c r="N348">
        <v>59.2634771896284</v>
      </c>
      <c r="O348">
        <v>58.6072561686561</v>
      </c>
      <c r="P348">
        <v>-0.144961806747808</v>
      </c>
      <c r="Q348">
        <v>0.144209691053719</v>
      </c>
      <c r="R348">
        <v>0.98187776685008</v>
      </c>
      <c r="S348" t="s">
        <v>2032</v>
      </c>
      <c r="T348" t="s">
        <v>3344</v>
      </c>
      <c r="U348" t="s">
        <v>3344</v>
      </c>
      <c r="V348" t="s">
        <v>3344</v>
      </c>
      <c r="W348" t="s">
        <v>3692</v>
      </c>
      <c r="X348">
        <v>2</v>
      </c>
      <c r="Y348" t="s">
        <v>5347</v>
      </c>
      <c r="Z348" t="s">
        <v>7005</v>
      </c>
      <c r="AA348">
        <v>0.7679083224797743</v>
      </c>
      <c r="AB348">
        <f>HYPERLINK("Melting_Curves/meltCurve_P0A8I1_yqgF.pdf", "Melting_Curves/meltCurve_P0A8I1_yqgF.pdf")</f>
        <v>0</v>
      </c>
    </row>
    <row r="349" spans="1:28">
      <c r="A349" t="s">
        <v>375</v>
      </c>
      <c r="B349">
        <v>0.999998419929286</v>
      </c>
      <c r="C349">
        <v>0.631161516602303</v>
      </c>
      <c r="D349">
        <v>0.157484008326986</v>
      </c>
      <c r="E349">
        <v>0.09746047358828799</v>
      </c>
      <c r="F349">
        <v>0.113376689179046</v>
      </c>
      <c r="G349">
        <v>0.0783714944687255</v>
      </c>
      <c r="H349">
        <v>0.0596204320516643</v>
      </c>
      <c r="I349">
        <v>0.0228723685604409</v>
      </c>
      <c r="J349">
        <v>0.0323826903506501</v>
      </c>
      <c r="K349">
        <v>0.0197604927253125</v>
      </c>
      <c r="L349">
        <v>1487.49496961963</v>
      </c>
      <c r="M349">
        <v>36.8106611054752</v>
      </c>
      <c r="N349">
        <v>40.5497334716939</v>
      </c>
      <c r="O349">
        <v>40.2906272473467</v>
      </c>
      <c r="P349">
        <v>-0.214743044940977</v>
      </c>
      <c r="Q349">
        <v>0.0598254636326001</v>
      </c>
      <c r="R349">
        <v>0.990894824353118</v>
      </c>
      <c r="S349" t="s">
        <v>2033</v>
      </c>
      <c r="T349" t="s">
        <v>3344</v>
      </c>
      <c r="U349" t="s">
        <v>3344</v>
      </c>
      <c r="V349" t="s">
        <v>3344</v>
      </c>
      <c r="W349" t="s">
        <v>3693</v>
      </c>
      <c r="X349">
        <v>2</v>
      </c>
      <c r="Y349" t="s">
        <v>5348</v>
      </c>
      <c r="Z349" t="s">
        <v>7006</v>
      </c>
      <c r="AA349">
        <v>0.1706882347030789</v>
      </c>
      <c r="AB349">
        <f>HYPERLINK("Melting_Curves/meltCurve_P0A8I3_yaaA.pdf", "Melting_Curves/meltCurve_P0A8I3_yaaA.pdf")</f>
        <v>0</v>
      </c>
    </row>
    <row r="350" spans="1:28">
      <c r="A350" t="s">
        <v>376</v>
      </c>
      <c r="B350">
        <v>0.999998419929286</v>
      </c>
      <c r="C350">
        <v>1.01430389018262</v>
      </c>
      <c r="D350">
        <v>0.739174209063838</v>
      </c>
      <c r="E350">
        <v>0.291458740909992</v>
      </c>
      <c r="F350">
        <v>0.110564790117635</v>
      </c>
      <c r="G350">
        <v>0.0835115200604956</v>
      </c>
      <c r="H350">
        <v>0.07706110290958131</v>
      </c>
      <c r="I350">
        <v>0.0638827398671145</v>
      </c>
      <c r="J350">
        <v>0.043274000954909</v>
      </c>
      <c r="K350">
        <v>0.0460430720823845</v>
      </c>
      <c r="L350">
        <v>1223.69437943362</v>
      </c>
      <c r="M350">
        <v>27.4161552988564</v>
      </c>
      <c r="N350">
        <v>44.8499516510627</v>
      </c>
      <c r="O350">
        <v>44.3986323395211</v>
      </c>
      <c r="P350">
        <v>-0.144833444051164</v>
      </c>
      <c r="Q350">
        <v>0.0618166407983835</v>
      </c>
      <c r="R350">
        <v>0.997513575092044</v>
      </c>
      <c r="S350" t="s">
        <v>2034</v>
      </c>
      <c r="T350" t="s">
        <v>3344</v>
      </c>
      <c r="U350" t="s">
        <v>3344</v>
      </c>
      <c r="V350" t="s">
        <v>3344</v>
      </c>
      <c r="W350" t="s">
        <v>3694</v>
      </c>
      <c r="X350">
        <v>2</v>
      </c>
      <c r="Y350" t="s">
        <v>5349</v>
      </c>
      <c r="Z350" t="s">
        <v>7007</v>
      </c>
      <c r="AA350">
        <v>0.3068832180809499</v>
      </c>
      <c r="AB350">
        <f>HYPERLINK("Melting_Curves/meltCurve_P0A8I5_trmB.pdf", "Melting_Curves/meltCurve_P0A8I5_trmB.pdf")</f>
        <v>0</v>
      </c>
    </row>
    <row r="351" spans="1:28">
      <c r="A351" t="s">
        <v>377</v>
      </c>
      <c r="B351">
        <v>0.999998419929286</v>
      </c>
      <c r="C351">
        <v>1.51211072274068</v>
      </c>
      <c r="D351">
        <v>0.734836629019844</v>
      </c>
      <c r="E351">
        <v>0.231065304155964</v>
      </c>
      <c r="F351">
        <v>0.132015399212657</v>
      </c>
      <c r="G351">
        <v>0.0939891769295441</v>
      </c>
      <c r="H351">
        <v>0.0785092677423545</v>
      </c>
      <c r="I351">
        <v>0.08446831543864031</v>
      </c>
      <c r="J351">
        <v>0.0536337285289384</v>
      </c>
      <c r="K351">
        <v>0.06265585293746111</v>
      </c>
      <c r="L351">
        <v>1899.81374199962</v>
      </c>
      <c r="M351">
        <v>42.9787704306664</v>
      </c>
      <c r="N351">
        <v>44.407711833125</v>
      </c>
      <c r="O351">
        <v>44.1081622973638</v>
      </c>
      <c r="P351">
        <v>-0.221759889206592</v>
      </c>
      <c r="Q351">
        <v>0.08965234110563711</v>
      </c>
      <c r="R351">
        <v>0.880097923946872</v>
      </c>
      <c r="S351" t="s">
        <v>2035</v>
      </c>
      <c r="T351" t="s">
        <v>3344</v>
      </c>
      <c r="U351" t="s">
        <v>3344</v>
      </c>
      <c r="V351" t="s">
        <v>3344</v>
      </c>
      <c r="W351" t="s">
        <v>3695</v>
      </c>
      <c r="X351">
        <v>3</v>
      </c>
      <c r="Y351" t="s">
        <v>5350</v>
      </c>
      <c r="Z351" t="s">
        <v>7008</v>
      </c>
      <c r="AA351">
        <v>0.310655185877762</v>
      </c>
      <c r="AB351">
        <f>HYPERLINK("Melting_Curves/meltCurve_P0A8J8_rhlB.pdf", "Melting_Curves/meltCurve_P0A8J8_rhlB.pdf")</f>
        <v>0</v>
      </c>
    </row>
    <row r="352" spans="1:28">
      <c r="A352" t="s">
        <v>378</v>
      </c>
      <c r="B352">
        <v>0.999998419929286</v>
      </c>
      <c r="C352">
        <v>0.885099165461709</v>
      </c>
      <c r="D352">
        <v>0.769045960023789</v>
      </c>
      <c r="E352">
        <v>0.175472572007651</v>
      </c>
      <c r="F352">
        <v>0.130745067544009</v>
      </c>
      <c r="G352">
        <v>0.108664989773587</v>
      </c>
      <c r="H352">
        <v>0.0884696381704629</v>
      </c>
      <c r="I352">
        <v>0.0783652937327657</v>
      </c>
      <c r="J352">
        <v>0.06579195697142171</v>
      </c>
      <c r="K352">
        <v>0.0630140609768234</v>
      </c>
      <c r="L352">
        <v>1608.88521439315</v>
      </c>
      <c r="M352">
        <v>36.4488601323119</v>
      </c>
      <c r="N352">
        <v>44.3646577822116</v>
      </c>
      <c r="O352">
        <v>44.0086522674078</v>
      </c>
      <c r="P352">
        <v>-0.189670573619436</v>
      </c>
      <c r="Q352">
        <v>0.0839635162730215</v>
      </c>
      <c r="R352">
        <v>0.990185833214223</v>
      </c>
      <c r="S352" t="s">
        <v>2036</v>
      </c>
      <c r="T352" t="s">
        <v>3344</v>
      </c>
      <c r="U352" t="s">
        <v>3344</v>
      </c>
      <c r="V352" t="s">
        <v>3344</v>
      </c>
      <c r="W352" t="s">
        <v>3696</v>
      </c>
      <c r="X352">
        <v>3</v>
      </c>
      <c r="Y352" t="s">
        <v>5351</v>
      </c>
      <c r="Z352" t="s">
        <v>7009</v>
      </c>
      <c r="AA352">
        <v>0.305402206415987</v>
      </c>
      <c r="AB352">
        <f>HYPERLINK("Melting_Curves/meltCurve_P0A8K1_psd.pdf", "Melting_Curves/meltCurve_P0A8K1_psd.pdf")</f>
        <v>0</v>
      </c>
    </row>
    <row r="353" spans="1:28">
      <c r="A353" t="s">
        <v>379</v>
      </c>
      <c r="B353">
        <v>0.999998419929286</v>
      </c>
      <c r="C353">
        <v>0.948542617482418</v>
      </c>
      <c r="D353">
        <v>0.970481075155577</v>
      </c>
      <c r="E353">
        <v>0.915018534941717</v>
      </c>
      <c r="F353">
        <v>0.903583466127199</v>
      </c>
      <c r="G353">
        <v>1.01093143032912</v>
      </c>
      <c r="H353">
        <v>0.557657205438428</v>
      </c>
      <c r="I353">
        <v>0.0502369641026815</v>
      </c>
      <c r="J353">
        <v>0.026437806254648</v>
      </c>
      <c r="K353">
        <v>0.0213068901810863</v>
      </c>
      <c r="L353">
        <v>4176.25932059705</v>
      </c>
      <c r="M353">
        <v>72.57150541595421</v>
      </c>
      <c r="N353">
        <v>57.5909915063177</v>
      </c>
      <c r="O353">
        <v>57.5031680663255</v>
      </c>
      <c r="P353">
        <v>-0.30697010850718</v>
      </c>
      <c r="Q353">
        <v>0.0270699110915041</v>
      </c>
      <c r="R353">
        <v>0.988202465363751</v>
      </c>
      <c r="S353" t="s">
        <v>2037</v>
      </c>
      <c r="T353" t="s">
        <v>3344</v>
      </c>
      <c r="U353" t="s">
        <v>3344</v>
      </c>
      <c r="V353" t="s">
        <v>3344</v>
      </c>
      <c r="W353" t="s">
        <v>3697</v>
      </c>
      <c r="X353">
        <v>10</v>
      </c>
      <c r="Y353" t="s">
        <v>5352</v>
      </c>
      <c r="Z353" t="s">
        <v>7010</v>
      </c>
      <c r="AA353">
        <v>0.6945914736148671</v>
      </c>
      <c r="AB353">
        <f>HYPERLINK("Melting_Curves/meltCurve_P0A8L1_serS.pdf", "Melting_Curves/meltCurve_P0A8L1_serS.pdf")</f>
        <v>0</v>
      </c>
    </row>
    <row r="354" spans="1:28">
      <c r="A354" t="s">
        <v>380</v>
      </c>
      <c r="B354">
        <v>0.999998419929286</v>
      </c>
      <c r="C354">
        <v>1.25880274982812</v>
      </c>
      <c r="D354">
        <v>1.28104885774352</v>
      </c>
      <c r="E354">
        <v>1.5357355994229</v>
      </c>
      <c r="F354">
        <v>1.58859458939063</v>
      </c>
      <c r="G354">
        <v>1.14615674935716</v>
      </c>
      <c r="H354">
        <v>0.265452712560834</v>
      </c>
      <c r="I354">
        <v>0.0929734414489134</v>
      </c>
      <c r="J354">
        <v>0.0723218473948339</v>
      </c>
      <c r="K354">
        <v>0.0793634605302234</v>
      </c>
      <c r="L354">
        <v>14270.5089642756</v>
      </c>
      <c r="M354">
        <v>250</v>
      </c>
      <c r="N354">
        <v>57.1227196674795</v>
      </c>
      <c r="O354">
        <v>57.0783831021012</v>
      </c>
      <c r="P354">
        <v>-1.00568630837562</v>
      </c>
      <c r="Q354">
        <v>0.0815528287139142</v>
      </c>
      <c r="R354">
        <v>0.776823348236828</v>
      </c>
      <c r="S354" t="s">
        <v>2038</v>
      </c>
      <c r="T354" t="s">
        <v>3344</v>
      </c>
      <c r="U354" t="s">
        <v>3344</v>
      </c>
      <c r="V354" t="s">
        <v>3344</v>
      </c>
      <c r="W354" t="s">
        <v>3698</v>
      </c>
      <c r="X354">
        <v>16</v>
      </c>
      <c r="Y354" t="s">
        <v>5353</v>
      </c>
      <c r="Z354" t="s">
        <v>7011</v>
      </c>
      <c r="AA354">
        <v>0.6964544712129963</v>
      </c>
      <c r="AB354">
        <f>HYPERLINK("Melting_Curves/meltCurve_P0A8M0_asnS.pdf", "Melting_Curves/meltCurve_P0A8M0_asnS.pdf")</f>
        <v>0</v>
      </c>
    </row>
    <row r="355" spans="1:28">
      <c r="A355" t="s">
        <v>381</v>
      </c>
      <c r="B355">
        <v>0.999998419929286</v>
      </c>
      <c r="C355">
        <v>1.09220569637029</v>
      </c>
      <c r="D355">
        <v>0.76802764294064</v>
      </c>
      <c r="E355">
        <v>0.5059270653419909</v>
      </c>
      <c r="F355">
        <v>0.296750960798813</v>
      </c>
      <c r="G355">
        <v>0.209124729912309</v>
      </c>
      <c r="H355">
        <v>0.112191957320995</v>
      </c>
      <c r="I355">
        <v>0.07883145084202201</v>
      </c>
      <c r="J355">
        <v>0.065469159845933</v>
      </c>
      <c r="K355">
        <v>0.0628834058821342</v>
      </c>
      <c r="L355">
        <v>793.596146899992</v>
      </c>
      <c r="M355">
        <v>17.0552573548119</v>
      </c>
      <c r="N355">
        <v>46.9760564624282</v>
      </c>
      <c r="O355">
        <v>45.9053093833587</v>
      </c>
      <c r="P355">
        <v>-0.0859570935685063</v>
      </c>
      <c r="Q355">
        <v>0.0746205346953554</v>
      </c>
      <c r="R355">
        <v>0.981039818702143</v>
      </c>
      <c r="S355" t="s">
        <v>2039</v>
      </c>
      <c r="T355" t="s">
        <v>3344</v>
      </c>
      <c r="U355" t="s">
        <v>3344</v>
      </c>
      <c r="V355" t="s">
        <v>3344</v>
      </c>
      <c r="W355" t="s">
        <v>3699</v>
      </c>
      <c r="X355">
        <v>8</v>
      </c>
      <c r="Y355" t="s">
        <v>5354</v>
      </c>
      <c r="Z355" t="s">
        <v>7012</v>
      </c>
      <c r="AA355">
        <v>0.3851436101607205</v>
      </c>
      <c r="AB355">
        <f>HYPERLINK("Melting_Curves/meltCurve_P0A8M3_thrS.pdf", "Melting_Curves/meltCurve_P0A8M3_thrS.pdf")</f>
        <v>0</v>
      </c>
    </row>
    <row r="356" spans="1:28">
      <c r="A356" t="s">
        <v>382</v>
      </c>
      <c r="B356">
        <v>0.999998419929286</v>
      </c>
      <c r="C356">
        <v>11.2530055925873</v>
      </c>
      <c r="D356">
        <v>6.68137849884986</v>
      </c>
      <c r="E356">
        <v>2.62264778371952</v>
      </c>
      <c r="F356">
        <v>3.52591562983611</v>
      </c>
      <c r="G356">
        <v>2.73560185440391</v>
      </c>
      <c r="H356">
        <v>3.2996094065069</v>
      </c>
      <c r="I356">
        <v>8.33523836313975</v>
      </c>
      <c r="J356">
        <v>5.92379285831086</v>
      </c>
      <c r="K356">
        <v>7.3084677236353</v>
      </c>
      <c r="S356" t="s">
        <v>2040</v>
      </c>
      <c r="T356" t="s">
        <v>3344</v>
      </c>
      <c r="U356" t="s">
        <v>3345</v>
      </c>
      <c r="V356" t="s">
        <v>3344</v>
      </c>
      <c r="W356" t="s">
        <v>3700</v>
      </c>
      <c r="X356">
        <v>1</v>
      </c>
      <c r="Y356" t="s">
        <v>5355</v>
      </c>
      <c r="Z356" t="s">
        <v>7013</v>
      </c>
      <c r="AB356">
        <f>HYPERLINK("Melting_Curves/meltCurve_P0A8M6_yeeX.pdf", "Melting_Curves/meltCurve_P0A8M6_yeeX.pdf")</f>
        <v>0</v>
      </c>
    </row>
    <row r="357" spans="1:28">
      <c r="A357" t="s">
        <v>383</v>
      </c>
      <c r="B357">
        <v>0.999998419929286</v>
      </c>
      <c r="C357">
        <v>0.995872089739371</v>
      </c>
      <c r="D357">
        <v>0.988127205787069</v>
      </c>
      <c r="E357">
        <v>0.946636479799006</v>
      </c>
      <c r="F357">
        <v>0.433732073970751</v>
      </c>
      <c r="G357">
        <v>0.19621315581494</v>
      </c>
      <c r="H357">
        <v>0.0610258131623532</v>
      </c>
      <c r="I357">
        <v>0.0554510228745617</v>
      </c>
      <c r="J357">
        <v>0.0442170425138313</v>
      </c>
      <c r="K357">
        <v>0.0556696282773231</v>
      </c>
      <c r="L357">
        <v>1610.68173184795</v>
      </c>
      <c r="M357">
        <v>32.361677970382</v>
      </c>
      <c r="N357">
        <v>49.9696071188105</v>
      </c>
      <c r="O357">
        <v>49.5823547537227</v>
      </c>
      <c r="P357">
        <v>-0.153337454327256</v>
      </c>
      <c r="Q357">
        <v>0.0602714782568606</v>
      </c>
      <c r="R357">
        <v>0.996313903638703</v>
      </c>
      <c r="S357" t="s">
        <v>2041</v>
      </c>
      <c r="T357" t="s">
        <v>3344</v>
      </c>
      <c r="U357" t="s">
        <v>3344</v>
      </c>
      <c r="V357" t="s">
        <v>3344</v>
      </c>
      <c r="W357" t="s">
        <v>3701</v>
      </c>
      <c r="X357">
        <v>3</v>
      </c>
      <c r="Y357" t="s">
        <v>5356</v>
      </c>
      <c r="Z357" t="s">
        <v>7014</v>
      </c>
      <c r="AA357">
        <v>0.46526356441268</v>
      </c>
      <c r="AB357">
        <f>HYPERLINK("Melting_Curves/meltCurve_P0A8N0_matP.pdf", "Melting_Curves/meltCurve_P0A8N0_matP.pdf")</f>
        <v>0</v>
      </c>
    </row>
    <row r="358" spans="1:28">
      <c r="A358" t="s">
        <v>384</v>
      </c>
      <c r="B358">
        <v>0.999998419929286</v>
      </c>
      <c r="C358">
        <v>1.08567063951956</v>
      </c>
      <c r="D358">
        <v>0.514921533797818</v>
      </c>
      <c r="E358">
        <v>0.175873876648687</v>
      </c>
      <c r="F358">
        <v>0.107434829290302</v>
      </c>
      <c r="G358">
        <v>0.0953495715044293</v>
      </c>
      <c r="H358">
        <v>0.0608201983374776</v>
      </c>
      <c r="I358">
        <v>0.0407216405858656</v>
      </c>
      <c r="J358">
        <v>0.0185940218036977</v>
      </c>
      <c r="K358">
        <v>0.0203694693055397</v>
      </c>
      <c r="L358">
        <v>3676.45590336974</v>
      </c>
      <c r="M358">
        <v>85.5899466514627</v>
      </c>
      <c r="N358">
        <v>43.0347440897772</v>
      </c>
      <c r="O358">
        <v>42.9308631781315</v>
      </c>
      <c r="P358">
        <v>-0.461570408160896</v>
      </c>
      <c r="Q358">
        <v>0.0739279640910149</v>
      </c>
      <c r="R358">
        <v>0.982649233731741</v>
      </c>
      <c r="S358" t="s">
        <v>2042</v>
      </c>
      <c r="T358" t="s">
        <v>3344</v>
      </c>
      <c r="U358" t="s">
        <v>3344</v>
      </c>
      <c r="V358" t="s">
        <v>3344</v>
      </c>
      <c r="W358" t="s">
        <v>3702</v>
      </c>
      <c r="X358">
        <v>13</v>
      </c>
      <c r="Y358" t="s">
        <v>5357</v>
      </c>
      <c r="Z358" t="s">
        <v>7015</v>
      </c>
      <c r="AA358">
        <v>0.2583281456471596</v>
      </c>
      <c r="AB358">
        <f>HYPERLINK("Melting_Curves/meltCurve_P0A8N3_lysS.pdf", "Melting_Curves/meltCurve_P0A8N3_lysS.pdf")</f>
        <v>0</v>
      </c>
    </row>
    <row r="359" spans="1:28">
      <c r="A359" t="s">
        <v>385</v>
      </c>
      <c r="B359">
        <v>0.999998419929286</v>
      </c>
      <c r="C359">
        <v>1.2175422029099</v>
      </c>
      <c r="D359">
        <v>0.7315773595385821</v>
      </c>
      <c r="E359">
        <v>0.166449991844244</v>
      </c>
      <c r="F359">
        <v>0.0691899260420394</v>
      </c>
      <c r="G359">
        <v>0.055419487624742</v>
      </c>
      <c r="H359">
        <v>0.0328038807161965</v>
      </c>
      <c r="I359">
        <v>0.026136733581971</v>
      </c>
      <c r="J359">
        <v>0.0214176053829175</v>
      </c>
      <c r="K359">
        <v>0.0196539061937405</v>
      </c>
      <c r="L359">
        <v>1811.20267109065</v>
      </c>
      <c r="M359">
        <v>41.0164204270864</v>
      </c>
      <c r="N359">
        <v>44.2465399716342</v>
      </c>
      <c r="O359">
        <v>44.0534122896587</v>
      </c>
      <c r="P359">
        <v>-0.223594035848992</v>
      </c>
      <c r="Q359">
        <v>0.0394030755424933</v>
      </c>
      <c r="R359">
        <v>0.971172828857824</v>
      </c>
      <c r="S359" t="s">
        <v>2043</v>
      </c>
      <c r="T359" t="s">
        <v>3344</v>
      </c>
      <c r="U359" t="s">
        <v>3344</v>
      </c>
      <c r="V359" t="s">
        <v>3344</v>
      </c>
      <c r="W359" t="s">
        <v>3703</v>
      </c>
      <c r="X359">
        <v>17</v>
      </c>
      <c r="Y359" t="s">
        <v>5358</v>
      </c>
      <c r="Z359" t="s">
        <v>7016</v>
      </c>
      <c r="AA359">
        <v>0.2713975553926765</v>
      </c>
      <c r="AB359">
        <f>HYPERLINK("Melting_Curves/meltCurve_P0A8N5_lysU.pdf", "Melting_Curves/meltCurve_P0A8N5_lysU.pdf")</f>
        <v>0</v>
      </c>
    </row>
    <row r="360" spans="1:28">
      <c r="A360" t="s">
        <v>386</v>
      </c>
      <c r="B360">
        <v>0.999998419929286</v>
      </c>
      <c r="C360">
        <v>0.982458202786702</v>
      </c>
      <c r="D360">
        <v>0.9077189944141451</v>
      </c>
      <c r="E360">
        <v>1.13855830337238</v>
      </c>
      <c r="F360">
        <v>1.16068912367984</v>
      </c>
      <c r="G360">
        <v>1.49467655307435</v>
      </c>
      <c r="H360">
        <v>1.3149670517113</v>
      </c>
      <c r="I360">
        <v>1.42484784718867</v>
      </c>
      <c r="J360">
        <v>1.39079741808154</v>
      </c>
      <c r="K360">
        <v>1.34690909663673</v>
      </c>
      <c r="L360">
        <v>1448.03991599731</v>
      </c>
      <c r="M360">
        <v>29.2692025174674</v>
      </c>
      <c r="O360">
        <v>49.2439496183249</v>
      </c>
      <c r="P360">
        <v>0.0585052811278199</v>
      </c>
      <c r="Q360">
        <v>1.39372579773517</v>
      </c>
      <c r="R360">
        <v>0.8717278170323181</v>
      </c>
      <c r="S360" t="s">
        <v>2044</v>
      </c>
      <c r="T360" t="s">
        <v>3344</v>
      </c>
      <c r="U360" t="s">
        <v>3344</v>
      </c>
      <c r="V360" t="s">
        <v>3344</v>
      </c>
      <c r="W360" t="s">
        <v>3704</v>
      </c>
      <c r="X360">
        <v>3</v>
      </c>
      <c r="Y360" t="s">
        <v>5359</v>
      </c>
      <c r="Z360" t="s">
        <v>7017</v>
      </c>
      <c r="AA360">
        <v>1.227511124489431</v>
      </c>
      <c r="AB360">
        <f>HYPERLINK("Melting_Curves/meltCurve_P0A8P3_yggX.pdf", "Melting_Curves/meltCurve_P0A8P3_yggX.pdf")</f>
        <v>0</v>
      </c>
    </row>
    <row r="361" spans="1:28">
      <c r="A361" t="s">
        <v>387</v>
      </c>
      <c r="B361">
        <v>0.999998419929286</v>
      </c>
      <c r="C361">
        <v>0.649745325915473</v>
      </c>
      <c r="D361">
        <v>0.735007561945894</v>
      </c>
      <c r="E361">
        <v>0.648547612464718</v>
      </c>
      <c r="F361">
        <v>0.575232505944592</v>
      </c>
      <c r="G361">
        <v>0.510793687172206</v>
      </c>
      <c r="H361">
        <v>0.371590191927121</v>
      </c>
      <c r="I361">
        <v>0.237412986376521</v>
      </c>
      <c r="J361">
        <v>0.197432966784156</v>
      </c>
      <c r="K361">
        <v>0.153505273380622</v>
      </c>
      <c r="L361">
        <v>291.521015290502</v>
      </c>
      <c r="M361">
        <v>5.71144176275472</v>
      </c>
      <c r="N361">
        <v>51.0415805427295</v>
      </c>
      <c r="O361">
        <v>45.8208736340879</v>
      </c>
      <c r="P361">
        <v>-0.0312819964217862</v>
      </c>
      <c r="Q361">
        <v>0</v>
      </c>
      <c r="R361">
        <v>0.907508246149896</v>
      </c>
      <c r="S361" t="s">
        <v>2045</v>
      </c>
      <c r="T361" t="s">
        <v>3344</v>
      </c>
      <c r="U361" t="s">
        <v>3344</v>
      </c>
      <c r="V361" t="s">
        <v>3344</v>
      </c>
      <c r="W361" t="s">
        <v>3705</v>
      </c>
      <c r="X361">
        <v>3</v>
      </c>
      <c r="Y361" t="s">
        <v>5360</v>
      </c>
      <c r="Z361" t="s">
        <v>7018</v>
      </c>
      <c r="AA361">
        <v>0.5061427112769611</v>
      </c>
      <c r="AB361">
        <f>HYPERLINK("Melting_Curves/meltCurve_P0A8Q0_frdC.pdf", "Melting_Curves/meltCurve_P0A8Q0_frdC.pdf")</f>
        <v>0</v>
      </c>
    </row>
    <row r="362" spans="1:28">
      <c r="A362" t="s">
        <v>388</v>
      </c>
      <c r="B362">
        <v>0.999998419929286</v>
      </c>
      <c r="C362">
        <v>0.641465233953362</v>
      </c>
      <c r="D362">
        <v>1.06538926901713</v>
      </c>
      <c r="E362">
        <v>0.784254756468842</v>
      </c>
      <c r="F362">
        <v>0.928681803721759</v>
      </c>
      <c r="G362">
        <v>0.8093040414921709</v>
      </c>
      <c r="H362">
        <v>0.81345525846844</v>
      </c>
      <c r="I362">
        <v>0.769969045995149</v>
      </c>
      <c r="J362">
        <v>1.06926303327783</v>
      </c>
      <c r="K362">
        <v>0.8626040158070279</v>
      </c>
      <c r="L362">
        <v>9474.73202820914</v>
      </c>
      <c r="M362">
        <v>250</v>
      </c>
      <c r="O362">
        <v>37.8965028201473</v>
      </c>
      <c r="P362">
        <v>-0.230088023287549</v>
      </c>
      <c r="Q362">
        <v>0.860487497342511</v>
      </c>
      <c r="R362">
        <v>0.100352504883937</v>
      </c>
      <c r="S362" t="s">
        <v>2046</v>
      </c>
      <c r="T362" t="s">
        <v>3344</v>
      </c>
      <c r="U362" t="s">
        <v>3344</v>
      </c>
      <c r="V362" t="s">
        <v>3344</v>
      </c>
      <c r="W362" t="s">
        <v>3706</v>
      </c>
      <c r="X362">
        <v>1</v>
      </c>
      <c r="Y362" t="s">
        <v>5361</v>
      </c>
      <c r="Z362" t="s">
        <v>7019</v>
      </c>
      <c r="AA362">
        <v>0.8646787002578599</v>
      </c>
      <c r="AB362">
        <f>HYPERLINK("Melting_Curves/meltCurve_P0A8Q3_frdD.pdf", "Melting_Curves/meltCurve_P0A8Q3_frdD.pdf")</f>
        <v>0</v>
      </c>
    </row>
    <row r="363" spans="1:28">
      <c r="A363" t="s">
        <v>389</v>
      </c>
      <c r="B363">
        <v>0.999998419929286</v>
      </c>
      <c r="C363">
        <v>0.9295967302471621</v>
      </c>
      <c r="D363">
        <v>0.890956502958368</v>
      </c>
      <c r="E363">
        <v>0.963960330875956</v>
      </c>
      <c r="F363">
        <v>0.947899943714951</v>
      </c>
      <c r="G363">
        <v>0.941657173998984</v>
      </c>
      <c r="H363">
        <v>0.801800591869412</v>
      </c>
      <c r="I363">
        <v>0.902019243775815</v>
      </c>
      <c r="J363">
        <v>1.10778656978503</v>
      </c>
      <c r="K363">
        <v>1.21276214377371</v>
      </c>
      <c r="L363">
        <v>15000</v>
      </c>
      <c r="M363">
        <v>234.035648436485</v>
      </c>
      <c r="O363">
        <v>64.0881067882537</v>
      </c>
      <c r="P363">
        <v>0.194248277701877</v>
      </c>
      <c r="Q363">
        <v>1.21277112233097</v>
      </c>
      <c r="R363">
        <v>0.395168825534429</v>
      </c>
      <c r="S363" t="s">
        <v>2047</v>
      </c>
      <c r="T363" t="s">
        <v>3344</v>
      </c>
      <c r="U363" t="s">
        <v>3344</v>
      </c>
      <c r="V363" t="s">
        <v>3344</v>
      </c>
      <c r="W363" t="s">
        <v>3707</v>
      </c>
      <c r="X363">
        <v>4</v>
      </c>
      <c r="Y363" t="s">
        <v>5362</v>
      </c>
      <c r="Z363" t="s">
        <v>7020</v>
      </c>
      <c r="AA363">
        <v>1.020591713549503</v>
      </c>
      <c r="AB363">
        <f>HYPERLINK("Melting_Curves/meltCurve_P0A8R0_rraA.pdf", "Melting_Curves/meltCurve_P0A8R0_rraA.pdf")</f>
        <v>0</v>
      </c>
    </row>
    <row r="364" spans="1:28">
      <c r="A364" t="s">
        <v>390</v>
      </c>
      <c r="B364">
        <v>0.999998419929286</v>
      </c>
      <c r="C364">
        <v>0.903513906324071</v>
      </c>
      <c r="D364">
        <v>0.637506191856516</v>
      </c>
      <c r="E364">
        <v>0.7178601752302231</v>
      </c>
      <c r="F364">
        <v>0.716817588320493</v>
      </c>
      <c r="G364">
        <v>0.720602074943327</v>
      </c>
      <c r="H364">
        <v>0.731567717485416</v>
      </c>
      <c r="I364">
        <v>0.867851113235006</v>
      </c>
      <c r="J364">
        <v>0.939035425919749</v>
      </c>
      <c r="K364">
        <v>0.733793423387937</v>
      </c>
      <c r="L364">
        <v>9991.358370107309</v>
      </c>
      <c r="M364">
        <v>250</v>
      </c>
      <c r="O364">
        <v>39.9628552272618</v>
      </c>
      <c r="P364">
        <v>-0.378274178501666</v>
      </c>
      <c r="Q364">
        <v>0.758129214089805</v>
      </c>
      <c r="R364">
        <v>0.497271807113171</v>
      </c>
      <c r="S364" t="s">
        <v>2048</v>
      </c>
      <c r="T364" t="s">
        <v>3344</v>
      </c>
      <c r="U364" t="s">
        <v>3344</v>
      </c>
      <c r="V364" t="s">
        <v>3344</v>
      </c>
      <c r="W364" t="s">
        <v>3708</v>
      </c>
      <c r="X364">
        <v>2</v>
      </c>
      <c r="Y364" t="s">
        <v>5363</v>
      </c>
      <c r="Z364" t="s">
        <v>7021</v>
      </c>
      <c r="AA364">
        <v>0.7820545694803307</v>
      </c>
      <c r="AB364">
        <f>HYPERLINK("Melting_Curves/meltCurve_P0A8R4_slyX.pdf", "Melting_Curves/meltCurve_P0A8R4_slyX.pdf")</f>
        <v>0</v>
      </c>
    </row>
    <row r="365" spans="1:28">
      <c r="A365" t="s">
        <v>391</v>
      </c>
      <c r="B365">
        <v>0.999998419929286</v>
      </c>
      <c r="C365">
        <v>1.10303483565572</v>
      </c>
      <c r="D365">
        <v>0.951024819292657</v>
      </c>
      <c r="E365">
        <v>0.779920414258892</v>
      </c>
      <c r="F365">
        <v>0.560216139647428</v>
      </c>
      <c r="G365">
        <v>0.458755364638034</v>
      </c>
      <c r="H365">
        <v>0.340041386540154</v>
      </c>
      <c r="I365">
        <v>0.275089177333139</v>
      </c>
      <c r="J365">
        <v>0.257546745639325</v>
      </c>
      <c r="K365">
        <v>0.195422243327144</v>
      </c>
      <c r="L365">
        <v>731.742214708265</v>
      </c>
      <c r="M365">
        <v>14.6310202797264</v>
      </c>
      <c r="N365">
        <v>52.0348794689012</v>
      </c>
      <c r="O365">
        <v>49.106656068845</v>
      </c>
      <c r="P365">
        <v>-0.0583432210486892</v>
      </c>
      <c r="Q365">
        <v>0.21680918903972</v>
      </c>
      <c r="R365">
        <v>0.980460707880039</v>
      </c>
      <c r="S365" t="s">
        <v>2049</v>
      </c>
      <c r="T365" t="s">
        <v>3344</v>
      </c>
      <c r="U365" t="s">
        <v>3344</v>
      </c>
      <c r="V365" t="s">
        <v>3344</v>
      </c>
      <c r="W365" t="s">
        <v>3709</v>
      </c>
      <c r="X365">
        <v>1</v>
      </c>
      <c r="Y365" t="s">
        <v>5364</v>
      </c>
      <c r="Z365" t="s">
        <v>7022</v>
      </c>
      <c r="AA365">
        <v>0.5734901652717752</v>
      </c>
      <c r="AB365">
        <f>HYPERLINK("Melting_Curves/meltCurve_P0A8S1_argP.pdf", "Melting_Curves/meltCurve_P0A8S1_argP.pdf")</f>
        <v>0</v>
      </c>
    </row>
    <row r="366" spans="1:28">
      <c r="A366" t="s">
        <v>392</v>
      </c>
      <c r="B366">
        <v>0.999998419929286</v>
      </c>
      <c r="C366">
        <v>0.926279477443208</v>
      </c>
      <c r="D366">
        <v>1.00366345979356</v>
      </c>
      <c r="E366">
        <v>1.10617472487333</v>
      </c>
      <c r="F366">
        <v>1.01801612424966</v>
      </c>
      <c r="G366">
        <v>0.645614660084835</v>
      </c>
      <c r="H366">
        <v>0.34804047757609</v>
      </c>
      <c r="I366">
        <v>0.22506925737831</v>
      </c>
      <c r="J366">
        <v>0.253536937413651</v>
      </c>
      <c r="K366">
        <v>0.245326092315013</v>
      </c>
      <c r="L366">
        <v>2243.06122533221</v>
      </c>
      <c r="M366">
        <v>41.4799057169412</v>
      </c>
      <c r="N366">
        <v>54.9846508067187</v>
      </c>
      <c r="O366">
        <v>53.9506211540415</v>
      </c>
      <c r="P366">
        <v>-0.144524079374812</v>
      </c>
      <c r="Q366">
        <v>0.248103410755788</v>
      </c>
      <c r="R366">
        <v>0.982575885516999</v>
      </c>
      <c r="S366" t="s">
        <v>2050</v>
      </c>
      <c r="T366" t="s">
        <v>3344</v>
      </c>
      <c r="U366" t="s">
        <v>3344</v>
      </c>
      <c r="V366" t="s">
        <v>3344</v>
      </c>
      <c r="W366" t="s">
        <v>3710</v>
      </c>
      <c r="X366">
        <v>3</v>
      </c>
      <c r="Y366" t="s">
        <v>5365</v>
      </c>
      <c r="Z366" t="s">
        <v>7023</v>
      </c>
      <c r="AA366">
        <v>0.6786739770058823</v>
      </c>
      <c r="AB366">
        <f>HYPERLINK("Melting_Curves/meltCurve_P0A8T1_prmA.pdf", "Melting_Curves/meltCurve_P0A8T1_prmA.pdf")</f>
        <v>0</v>
      </c>
    </row>
    <row r="367" spans="1:28">
      <c r="A367" t="s">
        <v>393</v>
      </c>
      <c r="B367">
        <v>0.999998419929286</v>
      </c>
      <c r="C367">
        <v>0.853517060662404</v>
      </c>
      <c r="D367">
        <v>0.446016567764619</v>
      </c>
      <c r="E367">
        <v>0.168842637579611</v>
      </c>
      <c r="F367">
        <v>0.114688148729403</v>
      </c>
      <c r="G367">
        <v>0.105756457718872</v>
      </c>
      <c r="H367">
        <v>0.0535069315344141</v>
      </c>
      <c r="I367">
        <v>0.0418711464650869</v>
      </c>
      <c r="J367">
        <v>0.0398020740022299</v>
      </c>
      <c r="K367">
        <v>0.0362123242604346</v>
      </c>
      <c r="L367">
        <v>1044.92707908958</v>
      </c>
      <c r="M367">
        <v>24.5899698893321</v>
      </c>
      <c r="N367">
        <v>42.7195180919478</v>
      </c>
      <c r="O367">
        <v>42.2160070493714</v>
      </c>
      <c r="P367">
        <v>-0.136759496601914</v>
      </c>
      <c r="Q367">
        <v>0.0608602382895035</v>
      </c>
      <c r="R367">
        <v>0.9954846554801881</v>
      </c>
      <c r="S367" t="s">
        <v>2051</v>
      </c>
      <c r="T367" t="s">
        <v>3344</v>
      </c>
      <c r="U367" t="s">
        <v>3344</v>
      </c>
      <c r="V367" t="s">
        <v>3344</v>
      </c>
      <c r="W367" t="s">
        <v>3711</v>
      </c>
      <c r="X367">
        <v>21</v>
      </c>
      <c r="Y367" t="s">
        <v>5366</v>
      </c>
      <c r="Z367" t="s">
        <v>7024</v>
      </c>
      <c r="AA367">
        <v>0.2412254574357329</v>
      </c>
      <c r="AB367">
        <f>HYPERLINK("Melting_Curves/meltCurve_P0A8T7_rpoC.pdf", "Melting_Curves/meltCurve_P0A8T7_rpoC.pdf")</f>
        <v>0</v>
      </c>
    </row>
    <row r="368" spans="1:28">
      <c r="A368" t="s">
        <v>394</v>
      </c>
      <c r="B368">
        <v>0.999998419929286</v>
      </c>
      <c r="C368">
        <v>1.45668717963593</v>
      </c>
      <c r="D368">
        <v>1.5179221379616</v>
      </c>
      <c r="E368">
        <v>1.22564289059568</v>
      </c>
      <c r="F368">
        <v>1.2867970964668</v>
      </c>
      <c r="G368">
        <v>0.977787132694757</v>
      </c>
      <c r="H368">
        <v>0.708508719507001</v>
      </c>
      <c r="I368">
        <v>0.570333655137908</v>
      </c>
      <c r="J368">
        <v>0.31773488911362</v>
      </c>
      <c r="K368">
        <v>0.434506959452426</v>
      </c>
      <c r="L368">
        <v>1922.32472057152</v>
      </c>
      <c r="M368">
        <v>33.0974442169782</v>
      </c>
      <c r="N368">
        <v>60.8059670484897</v>
      </c>
      <c r="O368">
        <v>57.8699602034425</v>
      </c>
      <c r="P368">
        <v>-0.08771076436907251</v>
      </c>
      <c r="Q368">
        <v>0.386563380558874</v>
      </c>
      <c r="R368">
        <v>0.615040136358957</v>
      </c>
      <c r="S368" t="s">
        <v>2052</v>
      </c>
      <c r="T368" t="s">
        <v>3344</v>
      </c>
      <c r="U368" t="s">
        <v>3344</v>
      </c>
      <c r="V368" t="s">
        <v>3344</v>
      </c>
      <c r="W368" t="s">
        <v>3712</v>
      </c>
      <c r="X368">
        <v>3</v>
      </c>
      <c r="Y368" t="s">
        <v>5367</v>
      </c>
      <c r="Z368" t="s">
        <v>7025</v>
      </c>
      <c r="AA368">
        <v>0.8206088147584363</v>
      </c>
      <c r="AB368">
        <f>HYPERLINK("Melting_Curves/meltCurve_P0A8U2_yafD.pdf", "Melting_Curves/meltCurve_P0A8U2_yafD.pdf")</f>
        <v>0</v>
      </c>
    </row>
    <row r="369" spans="1:28">
      <c r="A369" t="s">
        <v>395</v>
      </c>
      <c r="B369">
        <v>0.999998419929286</v>
      </c>
      <c r="C369">
        <v>1.06486970034182</v>
      </c>
      <c r="D369">
        <v>0.568667367296199</v>
      </c>
      <c r="E369">
        <v>0.815570739371596</v>
      </c>
      <c r="F369">
        <v>0.905867818263136</v>
      </c>
      <c r="G369">
        <v>0.975665507932583</v>
      </c>
      <c r="H369">
        <v>0.902773880016535</v>
      </c>
      <c r="I369">
        <v>0.979180880420457</v>
      </c>
      <c r="J369">
        <v>0.9026202917681549</v>
      </c>
      <c r="K369">
        <v>0.879172225479675</v>
      </c>
      <c r="L369">
        <v>10318.0910874869</v>
      </c>
      <c r="M369">
        <v>250</v>
      </c>
      <c r="O369">
        <v>41.2697180240438</v>
      </c>
      <c r="P369">
        <v>-0.20264216376923</v>
      </c>
      <c r="Q369">
        <v>0.8661922240301601</v>
      </c>
      <c r="R369">
        <v>0.252805935771019</v>
      </c>
      <c r="S369" t="s">
        <v>2053</v>
      </c>
      <c r="T369" t="s">
        <v>3344</v>
      </c>
      <c r="U369" t="s">
        <v>3344</v>
      </c>
      <c r="V369" t="s">
        <v>3344</v>
      </c>
      <c r="W369" t="s">
        <v>3713</v>
      </c>
      <c r="X369">
        <v>3</v>
      </c>
      <c r="Y369" t="s">
        <v>5368</v>
      </c>
      <c r="Z369" t="s">
        <v>7026</v>
      </c>
      <c r="AA369">
        <v>0.8852577684360819</v>
      </c>
      <c r="AB369">
        <f>HYPERLINK("Melting_Curves/meltCurve_P0A8U6_metJ.pdf", "Melting_Curves/meltCurve_P0A8U6_metJ.pdf")</f>
        <v>0</v>
      </c>
    </row>
    <row r="370" spans="1:28">
      <c r="A370" t="s">
        <v>396</v>
      </c>
      <c r="B370">
        <v>0.999998419929286</v>
      </c>
      <c r="C370">
        <v>0.8814990740286121</v>
      </c>
      <c r="D370">
        <v>0.916219371083875</v>
      </c>
      <c r="E370">
        <v>0.891940192693051</v>
      </c>
      <c r="F370">
        <v>0.983922267641214</v>
      </c>
      <c r="G370">
        <v>1.01875066241857</v>
      </c>
      <c r="H370">
        <v>0.824734464237708</v>
      </c>
      <c r="I370">
        <v>0.512825973431847</v>
      </c>
      <c r="J370">
        <v>0.325062618570206</v>
      </c>
      <c r="K370">
        <v>0.249834016988182</v>
      </c>
      <c r="L370">
        <v>1824.42510770922</v>
      </c>
      <c r="M370">
        <v>30.4523580309935</v>
      </c>
      <c r="N370">
        <v>61.1167292476861</v>
      </c>
      <c r="O370">
        <v>59.6542285600418</v>
      </c>
      <c r="P370">
        <v>-0.09879993517545679</v>
      </c>
      <c r="Q370">
        <v>0.225833713696053</v>
      </c>
      <c r="R370">
        <v>0.953134508121341</v>
      </c>
      <c r="S370" t="s">
        <v>2054</v>
      </c>
      <c r="T370" t="s">
        <v>3344</v>
      </c>
      <c r="U370" t="s">
        <v>3344</v>
      </c>
      <c r="V370" t="s">
        <v>3344</v>
      </c>
      <c r="W370" t="s">
        <v>3714</v>
      </c>
      <c r="X370">
        <v>5</v>
      </c>
      <c r="Y370" t="s">
        <v>5369</v>
      </c>
      <c r="Z370" t="s">
        <v>7027</v>
      </c>
      <c r="AA370">
        <v>0.8199381301722126</v>
      </c>
      <c r="AB370">
        <f>HYPERLINK("Melting_Curves/meltCurve_P0A8V0_rbn.pdf", "Melting_Curves/meltCurve_P0A8V0_rbn.pdf")</f>
        <v>0</v>
      </c>
    </row>
    <row r="371" spans="1:28">
      <c r="A371" t="s">
        <v>397</v>
      </c>
      <c r="B371">
        <v>0.999998419929286</v>
      </c>
      <c r="C371">
        <v>0.858281368948301</v>
      </c>
      <c r="D371">
        <v>0.381793387225513</v>
      </c>
      <c r="E371">
        <v>0.12487775246264</v>
      </c>
      <c r="F371">
        <v>0.0785041165008509</v>
      </c>
      <c r="G371">
        <v>0.07011620130153801</v>
      </c>
      <c r="H371">
        <v>0.0457280459182014</v>
      </c>
      <c r="I371">
        <v>0.0357235720828177</v>
      </c>
      <c r="J371">
        <v>0.0289575572168904</v>
      </c>
      <c r="K371">
        <v>0.026018090091693</v>
      </c>
      <c r="L371">
        <v>1238.63921615267</v>
      </c>
      <c r="M371">
        <v>29.3674276128887</v>
      </c>
      <c r="N371">
        <v>42.3228832188287</v>
      </c>
      <c r="O371">
        <v>41.9831962263132</v>
      </c>
      <c r="P371">
        <v>-0.166475594755101</v>
      </c>
      <c r="Q371">
        <v>0.0480435697949855</v>
      </c>
      <c r="R371">
        <v>0.997672345812069</v>
      </c>
      <c r="S371" t="s">
        <v>2055</v>
      </c>
      <c r="T371" t="s">
        <v>3344</v>
      </c>
      <c r="U371" t="s">
        <v>3344</v>
      </c>
      <c r="V371" t="s">
        <v>3344</v>
      </c>
      <c r="W371" t="s">
        <v>3711</v>
      </c>
      <c r="X371">
        <v>23</v>
      </c>
      <c r="Y371" t="s">
        <v>5370</v>
      </c>
      <c r="Z371" t="s">
        <v>7028</v>
      </c>
      <c r="AA371">
        <v>0.2180569681463385</v>
      </c>
      <c r="AB371">
        <f>HYPERLINK("Melting_Curves/meltCurve_P0A8V2_rpoB.pdf", "Melting_Curves/meltCurve_P0A8V2_rpoB.pdf")</f>
        <v>0</v>
      </c>
    </row>
    <row r="372" spans="1:28">
      <c r="A372" t="s">
        <v>398</v>
      </c>
      <c r="B372">
        <v>0.999998419929286</v>
      </c>
      <c r="C372">
        <v>0.867358127959692</v>
      </c>
      <c r="D372">
        <v>0.991766542171745</v>
      </c>
      <c r="E372">
        <v>1.05955056611704</v>
      </c>
      <c r="F372">
        <v>1.33833196769592</v>
      </c>
      <c r="G372">
        <v>1.18100967522918</v>
      </c>
      <c r="H372">
        <v>0.5550957711453</v>
      </c>
      <c r="I372">
        <v>0.204828831922168</v>
      </c>
      <c r="J372">
        <v>0.173568189232819</v>
      </c>
      <c r="K372">
        <v>0.115926505792278</v>
      </c>
      <c r="L372">
        <v>13783.5277789848</v>
      </c>
      <c r="M372">
        <v>240.262033493132</v>
      </c>
      <c r="N372">
        <v>57.4643392589774</v>
      </c>
      <c r="O372">
        <v>57.3647555217732</v>
      </c>
      <c r="P372">
        <v>-0.874548419481959</v>
      </c>
      <c r="Q372">
        <v>0.164774302931755</v>
      </c>
      <c r="R372">
        <v>0.905833517465323</v>
      </c>
      <c r="S372" t="s">
        <v>2056</v>
      </c>
      <c r="T372" t="s">
        <v>3344</v>
      </c>
      <c r="U372" t="s">
        <v>3344</v>
      </c>
      <c r="V372" t="s">
        <v>3344</v>
      </c>
      <c r="W372" t="s">
        <v>3715</v>
      </c>
      <c r="X372">
        <v>4</v>
      </c>
      <c r="Y372" t="s">
        <v>5371</v>
      </c>
      <c r="Z372" t="s">
        <v>7029</v>
      </c>
      <c r="AA372">
        <v>0.7319482470965533</v>
      </c>
      <c r="AB372">
        <f>HYPERLINK("Melting_Curves/meltCurve_P0A8V6_fadR.pdf", "Melting_Curves/meltCurve_P0A8V6_fadR.pdf")</f>
        <v>0</v>
      </c>
    </row>
    <row r="373" spans="1:28">
      <c r="A373" t="s">
        <v>399</v>
      </c>
      <c r="B373">
        <v>0.999998419929286</v>
      </c>
      <c r="C373">
        <v>0.895346651850678</v>
      </c>
      <c r="D373">
        <v>0.883765407882004</v>
      </c>
      <c r="E373">
        <v>0.825912000333982</v>
      </c>
      <c r="F373">
        <v>0.797757276356819</v>
      </c>
      <c r="G373">
        <v>0.589788199162022</v>
      </c>
      <c r="H373">
        <v>0.416471856539724</v>
      </c>
      <c r="I373">
        <v>0.215687150734374</v>
      </c>
      <c r="J373">
        <v>0.200603412062619</v>
      </c>
      <c r="K373">
        <v>0.142163642680436</v>
      </c>
      <c r="L373">
        <v>560.210629104753</v>
      </c>
      <c r="M373">
        <v>10.1465695902877</v>
      </c>
      <c r="N373">
        <v>55.2118204244091</v>
      </c>
      <c r="O373">
        <v>53.1960207497639</v>
      </c>
      <c r="P373">
        <v>-0.047706767648896</v>
      </c>
      <c r="Q373">
        <v>0</v>
      </c>
      <c r="R373">
        <v>0.977891571950119</v>
      </c>
      <c r="S373" t="s">
        <v>2057</v>
      </c>
      <c r="T373" t="s">
        <v>3344</v>
      </c>
      <c r="U373" t="s">
        <v>3344</v>
      </c>
      <c r="V373" t="s">
        <v>3344</v>
      </c>
      <c r="W373" t="s">
        <v>3716</v>
      </c>
      <c r="X373">
        <v>3</v>
      </c>
      <c r="Y373" t="s">
        <v>5372</v>
      </c>
      <c r="Z373" t="s">
        <v>7030</v>
      </c>
      <c r="AA373">
        <v>0.6182655497690418</v>
      </c>
      <c r="AB373">
        <f>HYPERLINK("Melting_Curves/meltCurve_P0A8W0_nanR.pdf", "Melting_Curves/meltCurve_P0A8W0_nanR.pdf")</f>
        <v>0</v>
      </c>
    </row>
    <row r="374" spans="1:28">
      <c r="A374" t="s">
        <v>400</v>
      </c>
      <c r="B374">
        <v>0.999998419929286</v>
      </c>
      <c r="C374">
        <v>0.963047041546121</v>
      </c>
      <c r="D374">
        <v>0.842084106964076</v>
      </c>
      <c r="E374">
        <v>1.01122825319217</v>
      </c>
      <c r="F374">
        <v>0.896152256196775</v>
      </c>
      <c r="G374">
        <v>0.856770097533073</v>
      </c>
      <c r="H374">
        <v>0.751480673814046</v>
      </c>
      <c r="I374">
        <v>0.541881378432615</v>
      </c>
      <c r="J374">
        <v>0.502167115337967</v>
      </c>
      <c r="K374">
        <v>0.467396493658476</v>
      </c>
      <c r="L374">
        <v>665.839261296402</v>
      </c>
      <c r="M374">
        <v>11.2007787513911</v>
      </c>
      <c r="N374">
        <v>64.4254474189686</v>
      </c>
      <c r="O374">
        <v>57.6453969016169</v>
      </c>
      <c r="P374">
        <v>-0.0345179012835518</v>
      </c>
      <c r="Q374">
        <v>0.28963072215278</v>
      </c>
      <c r="R374">
        <v>0.921552526029651</v>
      </c>
      <c r="S374" t="s">
        <v>2058</v>
      </c>
      <c r="T374" t="s">
        <v>3344</v>
      </c>
      <c r="U374" t="s">
        <v>3344</v>
      </c>
      <c r="V374" t="s">
        <v>3344</v>
      </c>
      <c r="W374" t="s">
        <v>3717</v>
      </c>
      <c r="X374">
        <v>4</v>
      </c>
      <c r="Y374" t="s">
        <v>5373</v>
      </c>
      <c r="Z374" t="s">
        <v>7031</v>
      </c>
      <c r="AA374">
        <v>0.8104154164192866</v>
      </c>
      <c r="AB374">
        <f>HYPERLINK("Melting_Curves/meltCurve_P0A8W2_slyA.pdf", "Melting_Curves/meltCurve_P0A8W2_slyA.pdf")</f>
        <v>0</v>
      </c>
    </row>
    <row r="375" spans="1:28">
      <c r="A375" t="s">
        <v>401</v>
      </c>
      <c r="B375">
        <v>0.999998419929286</v>
      </c>
      <c r="C375">
        <v>0.806085770264155</v>
      </c>
      <c r="D375">
        <v>0.784127307092655</v>
      </c>
      <c r="E375">
        <v>0.870494228338395</v>
      </c>
      <c r="F375">
        <v>0.935517729606747</v>
      </c>
      <c r="G375">
        <v>0.955009211922846</v>
      </c>
      <c r="H375">
        <v>0.447637280746644</v>
      </c>
      <c r="I375">
        <v>0.159745352373902</v>
      </c>
      <c r="J375">
        <v>0.114032477547554</v>
      </c>
      <c r="K375">
        <v>0.120767571666605</v>
      </c>
      <c r="L375">
        <v>2788.96586068661</v>
      </c>
      <c r="M375">
        <v>49.0965581608485</v>
      </c>
      <c r="N375">
        <v>57.1249940775031</v>
      </c>
      <c r="O375">
        <v>56.7117353356357</v>
      </c>
      <c r="P375">
        <v>-0.190462450270829</v>
      </c>
      <c r="Q375">
        <v>0.119983578602177</v>
      </c>
      <c r="R375">
        <v>0.91425803620152</v>
      </c>
      <c r="S375" t="s">
        <v>2059</v>
      </c>
      <c r="T375" t="s">
        <v>3344</v>
      </c>
      <c r="U375" t="s">
        <v>3344</v>
      </c>
      <c r="V375" t="s">
        <v>3344</v>
      </c>
      <c r="W375" t="s">
        <v>3718</v>
      </c>
      <c r="X375">
        <v>2</v>
      </c>
      <c r="Y375" t="s">
        <v>5374</v>
      </c>
      <c r="Z375" t="s">
        <v>7032</v>
      </c>
      <c r="AA375">
        <v>0.7032216873264081</v>
      </c>
      <c r="AB375">
        <f>HYPERLINK("Melting_Curves/meltCurve_P0A8W5_yqgE.pdf", "Melting_Curves/meltCurve_P0A8W5_yqgE.pdf")</f>
        <v>0</v>
      </c>
    </row>
    <row r="376" spans="1:28">
      <c r="A376" t="s">
        <v>402</v>
      </c>
      <c r="B376">
        <v>0.999998419929286</v>
      </c>
      <c r="C376">
        <v>0.87319052812192</v>
      </c>
      <c r="D376">
        <v>0.97436470849891</v>
      </c>
      <c r="E376">
        <v>1.04795754780842</v>
      </c>
      <c r="F376">
        <v>1.17799914901615</v>
      </c>
      <c r="G376">
        <v>1.267353299662</v>
      </c>
      <c r="H376">
        <v>1.23800077746924</v>
      </c>
      <c r="I376">
        <v>0.791200851539073</v>
      </c>
      <c r="J376">
        <v>0.055992241997331</v>
      </c>
      <c r="K376">
        <v>0.0395223946815018</v>
      </c>
      <c r="L376">
        <v>7584.03630133609</v>
      </c>
      <c r="M376">
        <v>123.050607624542</v>
      </c>
      <c r="N376">
        <v>61.6791186439736</v>
      </c>
      <c r="O376">
        <v>61.6171984498121</v>
      </c>
      <c r="P376">
        <v>-0.477524831051773</v>
      </c>
      <c r="Q376">
        <v>0.0435238964427163</v>
      </c>
      <c r="R376">
        <v>0.900631434890076</v>
      </c>
      <c r="S376" t="s">
        <v>2060</v>
      </c>
      <c r="T376" t="s">
        <v>3344</v>
      </c>
      <c r="U376" t="s">
        <v>3344</v>
      </c>
      <c r="V376" t="s">
        <v>3344</v>
      </c>
      <c r="W376" t="s">
        <v>3719</v>
      </c>
      <c r="X376">
        <v>9</v>
      </c>
      <c r="Y376" t="s">
        <v>5375</v>
      </c>
      <c r="Z376" t="s">
        <v>7033</v>
      </c>
      <c r="AA376">
        <v>0.8293278416407219</v>
      </c>
      <c r="AB376">
        <f>HYPERLINK("Melting_Curves/meltCurve_P0A8W8_yfbU.pdf", "Melting_Curves/meltCurve_P0A8W8_yfbU.pdf")</f>
        <v>0</v>
      </c>
    </row>
    <row r="377" spans="1:28">
      <c r="A377" t="s">
        <v>403</v>
      </c>
      <c r="B377">
        <v>0.999998419929286</v>
      </c>
      <c r="C377">
        <v>0.825151284971731</v>
      </c>
      <c r="D377">
        <v>0.916777792065717</v>
      </c>
      <c r="E377">
        <v>0.952538842733038</v>
      </c>
      <c r="F377">
        <v>1.16250357829675</v>
      </c>
      <c r="G377">
        <v>1.20997452296819</v>
      </c>
      <c r="H377">
        <v>1.24051457025676</v>
      </c>
      <c r="I377">
        <v>1.22351271341824</v>
      </c>
      <c r="J377">
        <v>1.41195877788893</v>
      </c>
      <c r="K377">
        <v>1.18807015616842</v>
      </c>
      <c r="L377">
        <v>6464.13340396713</v>
      </c>
      <c r="M377">
        <v>129.332471068673</v>
      </c>
      <c r="O377">
        <v>49.9688116524041</v>
      </c>
      <c r="P377">
        <v>0.164883041008788</v>
      </c>
      <c r="Q377">
        <v>1.25481635860686</v>
      </c>
      <c r="R377">
        <v>0.755791883535719</v>
      </c>
      <c r="S377" t="s">
        <v>2061</v>
      </c>
      <c r="T377" t="s">
        <v>3344</v>
      </c>
      <c r="U377" t="s">
        <v>3344</v>
      </c>
      <c r="V377" t="s">
        <v>3344</v>
      </c>
      <c r="W377" t="s">
        <v>3720</v>
      </c>
      <c r="X377">
        <v>11</v>
      </c>
      <c r="Y377" t="s">
        <v>5376</v>
      </c>
      <c r="Z377" t="s">
        <v>7034</v>
      </c>
      <c r="AA377">
        <v>1.144475910161085</v>
      </c>
      <c r="AB377">
        <f>HYPERLINK("Melting_Curves/meltCurve_P0A8X0_yjgA.pdf", "Melting_Curves/meltCurve_P0A8X0_yjgA.pdf")</f>
        <v>0</v>
      </c>
    </row>
    <row r="378" spans="1:28">
      <c r="A378" t="s">
        <v>404</v>
      </c>
      <c r="B378">
        <v>0.999998419929286</v>
      </c>
      <c r="C378">
        <v>0.990948202186572</v>
      </c>
      <c r="D378">
        <v>0.940683841464279</v>
      </c>
      <c r="E378">
        <v>1.15594129211081</v>
      </c>
      <c r="F378">
        <v>1.24833923936889</v>
      </c>
      <c r="G378">
        <v>1.69235569089083</v>
      </c>
      <c r="H378">
        <v>1.50773125963572</v>
      </c>
      <c r="I378">
        <v>1.28558457546752</v>
      </c>
      <c r="J378">
        <v>1.4207343362199</v>
      </c>
      <c r="K378">
        <v>1.43207361558171</v>
      </c>
      <c r="L378">
        <v>1595.52328624999</v>
      </c>
      <c r="M378">
        <v>32.9168598042648</v>
      </c>
      <c r="O378">
        <v>48.29343772216</v>
      </c>
      <c r="P378">
        <v>0.07794410372341</v>
      </c>
      <c r="Q378">
        <v>1.45741588889977</v>
      </c>
      <c r="R378">
        <v>0.7932271144319289</v>
      </c>
      <c r="S378" t="s">
        <v>2062</v>
      </c>
      <c r="T378" t="s">
        <v>3344</v>
      </c>
      <c r="U378" t="s">
        <v>3344</v>
      </c>
      <c r="V378" t="s">
        <v>3344</v>
      </c>
      <c r="W378" t="s">
        <v>3721</v>
      </c>
      <c r="X378">
        <v>5</v>
      </c>
      <c r="Y378" t="s">
        <v>5377</v>
      </c>
      <c r="Z378" t="s">
        <v>7035</v>
      </c>
      <c r="AA378">
        <v>1.28024190785653</v>
      </c>
      <c r="AB378">
        <f>HYPERLINK("Melting_Curves/meltCurve_P0A8X2_yceI.pdf", "Melting_Curves/meltCurve_P0A8X2_yceI.pdf")</f>
        <v>0</v>
      </c>
    </row>
    <row r="379" spans="1:28">
      <c r="A379" t="s">
        <v>405</v>
      </c>
      <c r="B379">
        <v>0.999998419929286</v>
      </c>
      <c r="C379">
        <v>0.959329627906045</v>
      </c>
      <c r="D379">
        <v>1.00094883241163</v>
      </c>
      <c r="E379">
        <v>1.1548920186342</v>
      </c>
      <c r="F379">
        <v>1.13357473314026</v>
      </c>
      <c r="G379">
        <v>0.629224701696586</v>
      </c>
      <c r="H379">
        <v>0.201116233633584</v>
      </c>
      <c r="I379">
        <v>0.112984970144249</v>
      </c>
      <c r="J379">
        <v>0.09844815529420391</v>
      </c>
      <c r="K379">
        <v>0.0824452016101207</v>
      </c>
      <c r="L379">
        <v>2952.40349028948</v>
      </c>
      <c r="M379">
        <v>54.4651943423135</v>
      </c>
      <c r="N379">
        <v>54.4586100962769</v>
      </c>
      <c r="O379">
        <v>54.1342311738865</v>
      </c>
      <c r="P379">
        <v>-0.223564720141166</v>
      </c>
      <c r="Q379">
        <v>0.111175726576415</v>
      </c>
      <c r="R379">
        <v>0.974110975537351</v>
      </c>
      <c r="S379" t="s">
        <v>2063</v>
      </c>
      <c r="T379" t="s">
        <v>3344</v>
      </c>
      <c r="U379" t="s">
        <v>3344</v>
      </c>
      <c r="V379" t="s">
        <v>3344</v>
      </c>
      <c r="W379" t="s">
        <v>3722</v>
      </c>
      <c r="X379">
        <v>6</v>
      </c>
      <c r="Y379" t="s">
        <v>5378</v>
      </c>
      <c r="Z379" t="s">
        <v>7036</v>
      </c>
      <c r="AA379">
        <v>0.622768495781746</v>
      </c>
      <c r="AB379">
        <f>HYPERLINK("Melting_Curves/meltCurve_P0A8Y3_yihX.pdf", "Melting_Curves/meltCurve_P0A8Y3_yihX.pdf")</f>
        <v>0</v>
      </c>
    </row>
    <row r="380" spans="1:28">
      <c r="A380" t="s">
        <v>406</v>
      </c>
      <c r="B380">
        <v>0.999998419929286</v>
      </c>
      <c r="C380">
        <v>0.957700853187066</v>
      </c>
      <c r="D380">
        <v>0.823869245111112</v>
      </c>
      <c r="E380">
        <v>0.35820588339953</v>
      </c>
      <c r="F380">
        <v>0.0695086803807563</v>
      </c>
      <c r="G380">
        <v>0.036248556702891</v>
      </c>
      <c r="H380">
        <v>0.0265943755715336</v>
      </c>
      <c r="I380">
        <v>0.0211272410181997</v>
      </c>
      <c r="J380">
        <v>0</v>
      </c>
      <c r="K380">
        <v>0.0192371218814082</v>
      </c>
      <c r="L380">
        <v>1211.19349046543</v>
      </c>
      <c r="M380">
        <v>26.6435246756056</v>
      </c>
      <c r="N380">
        <v>45.5071372512068</v>
      </c>
      <c r="O380">
        <v>45.2054471005981</v>
      </c>
      <c r="P380">
        <v>-0.145309715205605</v>
      </c>
      <c r="Q380">
        <v>0.0138361614897277</v>
      </c>
      <c r="R380">
        <v>0.999313963928479</v>
      </c>
      <c r="S380" t="s">
        <v>2064</v>
      </c>
      <c r="T380" t="s">
        <v>3344</v>
      </c>
      <c r="U380" t="s">
        <v>3344</v>
      </c>
      <c r="V380" t="s">
        <v>3344</v>
      </c>
      <c r="W380" t="s">
        <v>3723</v>
      </c>
      <c r="X380">
        <v>1</v>
      </c>
      <c r="Y380" t="s">
        <v>5379</v>
      </c>
      <c r="Z380" t="s">
        <v>7037</v>
      </c>
      <c r="AA380">
        <v>0.2990278679225771</v>
      </c>
      <c r="AB380">
        <f>HYPERLINK("Melting_Curves/meltCurve_P0A8Y5_yidA.pdf", "Melting_Curves/meltCurve_P0A8Y5_yidA.pdf")</f>
        <v>0</v>
      </c>
    </row>
    <row r="381" spans="1:28">
      <c r="A381" t="s">
        <v>407</v>
      </c>
      <c r="B381">
        <v>0.999998419929286</v>
      </c>
      <c r="C381">
        <v>0.96166697236086</v>
      </c>
      <c r="D381">
        <v>0.650279622008657</v>
      </c>
      <c r="E381">
        <v>0.599109946349684</v>
      </c>
      <c r="F381">
        <v>0.554636020218509</v>
      </c>
      <c r="G381">
        <v>0.492229536776606</v>
      </c>
      <c r="H381">
        <v>0.314401423679748</v>
      </c>
      <c r="I381">
        <v>0.281808265223119</v>
      </c>
      <c r="J381">
        <v>0.246803330476206</v>
      </c>
      <c r="K381">
        <v>0.242122552138995</v>
      </c>
      <c r="L381">
        <v>391.533839241952</v>
      </c>
      <c r="M381">
        <v>8.115214961404</v>
      </c>
      <c r="N381">
        <v>50.7082525711699</v>
      </c>
      <c r="O381">
        <v>45.5823406213363</v>
      </c>
      <c r="P381">
        <v>-0.0373028265197244</v>
      </c>
      <c r="Q381">
        <v>0.162792785963994</v>
      </c>
      <c r="R381">
        <v>0.945657120170102</v>
      </c>
      <c r="S381" t="s">
        <v>2065</v>
      </c>
      <c r="T381" t="s">
        <v>3344</v>
      </c>
      <c r="U381" t="s">
        <v>3344</v>
      </c>
      <c r="V381" t="s">
        <v>3344</v>
      </c>
      <c r="W381" t="s">
        <v>3724</v>
      </c>
      <c r="X381">
        <v>1</v>
      </c>
      <c r="Y381" t="s">
        <v>5380</v>
      </c>
      <c r="Z381" t="s">
        <v>7038</v>
      </c>
      <c r="AA381">
        <v>0.518377797542878</v>
      </c>
      <c r="AB381">
        <f>HYPERLINK("Melting_Curves/meltCurve_P0A8Z0_yciA.pdf", "Melting_Curves/meltCurve_P0A8Z0_yciA.pdf")</f>
        <v>0</v>
      </c>
    </row>
    <row r="382" spans="1:28">
      <c r="A382" t="s">
        <v>408</v>
      </c>
      <c r="B382">
        <v>0.999998419929286</v>
      </c>
      <c r="C382">
        <v>0.850605648959821</v>
      </c>
      <c r="D382">
        <v>0.94149498053831</v>
      </c>
      <c r="E382">
        <v>0.987356220602428</v>
      </c>
      <c r="F382">
        <v>0.860355953023566</v>
      </c>
      <c r="G382">
        <v>0.591238051245121</v>
      </c>
      <c r="H382">
        <v>0.207956880107553</v>
      </c>
      <c r="I382">
        <v>0.09144656351181139</v>
      </c>
      <c r="J382">
        <v>0.0756093139637694</v>
      </c>
      <c r="K382">
        <v>0.0829044505567722</v>
      </c>
      <c r="L382">
        <v>1415.04928834479</v>
      </c>
      <c r="M382">
        <v>26.1544455929751</v>
      </c>
      <c r="N382">
        <v>54.3593560871217</v>
      </c>
      <c r="O382">
        <v>53.7902652894734</v>
      </c>
      <c r="P382">
        <v>-0.114521030139172</v>
      </c>
      <c r="Q382">
        <v>0.0578967087257154</v>
      </c>
      <c r="R382">
        <v>0.981173319538258</v>
      </c>
      <c r="S382" t="s">
        <v>2066</v>
      </c>
      <c r="T382" t="s">
        <v>3344</v>
      </c>
      <c r="U382" t="s">
        <v>3344</v>
      </c>
      <c r="V382" t="s">
        <v>3344</v>
      </c>
      <c r="W382" t="s">
        <v>3725</v>
      </c>
      <c r="X382">
        <v>9</v>
      </c>
      <c r="Y382" t="s">
        <v>5381</v>
      </c>
      <c r="Z382" t="s">
        <v>7039</v>
      </c>
      <c r="AA382">
        <v>0.6026341953788706</v>
      </c>
      <c r="AB382">
        <f>HYPERLINK("Melting_Curves/meltCurve_P0A901_blc.pdf", "Melting_Curves/meltCurve_P0A901_blc.pdf")</f>
        <v>0</v>
      </c>
    </row>
    <row r="383" spans="1:28">
      <c r="A383" t="s">
        <v>409</v>
      </c>
      <c r="B383">
        <v>0.999998419929286</v>
      </c>
      <c r="C383">
        <v>0.953339405030201</v>
      </c>
      <c r="D383">
        <v>0.993965168816067</v>
      </c>
      <c r="E383">
        <v>1.03621584988266</v>
      </c>
      <c r="F383">
        <v>1.26468544700771</v>
      </c>
      <c r="G383">
        <v>1.60464051420234</v>
      </c>
      <c r="H383">
        <v>1.3613527918578</v>
      </c>
      <c r="I383">
        <v>1.14746662555577</v>
      </c>
      <c r="J383">
        <v>1.29136188279491</v>
      </c>
      <c r="K383">
        <v>1.31210583234421</v>
      </c>
      <c r="L383">
        <v>12489.1124989613</v>
      </c>
      <c r="M383">
        <v>250</v>
      </c>
      <c r="O383">
        <v>49.953254927139</v>
      </c>
      <c r="P383">
        <v>0.429633588386375</v>
      </c>
      <c r="Q383">
        <v>1.34338552579829</v>
      </c>
      <c r="R383">
        <v>0.705458201865322</v>
      </c>
      <c r="S383" t="s">
        <v>2067</v>
      </c>
      <c r="T383" t="s">
        <v>3344</v>
      </c>
      <c r="U383" t="s">
        <v>3344</v>
      </c>
      <c r="V383" t="s">
        <v>3344</v>
      </c>
      <c r="W383" t="s">
        <v>3726</v>
      </c>
      <c r="X383">
        <v>6</v>
      </c>
      <c r="Y383" t="s">
        <v>5382</v>
      </c>
      <c r="Z383" t="s">
        <v>7040</v>
      </c>
      <c r="AA383">
        <v>1.195053507087006</v>
      </c>
      <c r="AB383">
        <f>HYPERLINK("Melting_Curves/meltCurve_P0A903_bamC.pdf", "Melting_Curves/meltCurve_P0A903_bamC.pdf")</f>
        <v>0</v>
      </c>
    </row>
    <row r="384" spans="1:28">
      <c r="A384" t="s">
        <v>410</v>
      </c>
      <c r="B384">
        <v>0.999998419929286</v>
      </c>
      <c r="C384">
        <v>1.29687347202822</v>
      </c>
      <c r="D384">
        <v>1.2778537633662</v>
      </c>
      <c r="E384">
        <v>1.81615993938801</v>
      </c>
      <c r="F384">
        <v>2.89700942775504</v>
      </c>
      <c r="G384">
        <v>3.98236000788347</v>
      </c>
      <c r="H384">
        <v>3.72218870933066</v>
      </c>
      <c r="I384">
        <v>3.50552506369821</v>
      </c>
      <c r="J384">
        <v>3.06459088994426</v>
      </c>
      <c r="K384">
        <v>4.01704292239672</v>
      </c>
      <c r="L384">
        <v>1334.76517272481</v>
      </c>
      <c r="M384">
        <v>33.4683059850317</v>
      </c>
      <c r="O384">
        <v>39.73989224362</v>
      </c>
      <c r="P384">
        <v>0.10527345815299</v>
      </c>
      <c r="Q384">
        <v>1.5</v>
      </c>
      <c r="R384">
        <v>-1.01702903388507</v>
      </c>
      <c r="S384" t="s">
        <v>2068</v>
      </c>
      <c r="T384" t="s">
        <v>3344</v>
      </c>
      <c r="U384" t="s">
        <v>3344</v>
      </c>
      <c r="V384" t="s">
        <v>3344</v>
      </c>
      <c r="W384" t="s">
        <v>3727</v>
      </c>
      <c r="X384">
        <v>4</v>
      </c>
      <c r="Y384" t="s">
        <v>5383</v>
      </c>
      <c r="Z384" t="s">
        <v>7041</v>
      </c>
      <c r="AA384">
        <v>1.448844957034435</v>
      </c>
      <c r="AB384">
        <f>HYPERLINK("Melting_Curves/meltCurve_P0A905_slyB.pdf", "Melting_Curves/meltCurve_P0A905_slyB.pdf")</f>
        <v>0</v>
      </c>
    </row>
    <row r="385" spans="1:28">
      <c r="A385" t="s">
        <v>411</v>
      </c>
      <c r="B385">
        <v>0.999998419929286</v>
      </c>
      <c r="C385">
        <v>1.02353245953695</v>
      </c>
      <c r="D385">
        <v>1.01080960811279</v>
      </c>
      <c r="E385">
        <v>1.32577373171835</v>
      </c>
      <c r="F385">
        <v>1.65517025688722</v>
      </c>
      <c r="G385">
        <v>2.01527884232387</v>
      </c>
      <c r="H385">
        <v>2.08351406283481</v>
      </c>
      <c r="I385">
        <v>2.24797514423369</v>
      </c>
      <c r="J385">
        <v>2.37601058005336</v>
      </c>
      <c r="K385">
        <v>2.17924774353489</v>
      </c>
      <c r="L385">
        <v>11620.8354705766</v>
      </c>
      <c r="M385">
        <v>250</v>
      </c>
      <c r="O385">
        <v>46.4803673806682</v>
      </c>
      <c r="P385">
        <v>0.672326874355594</v>
      </c>
      <c r="Q385">
        <v>1.5</v>
      </c>
      <c r="R385">
        <v>0.135270953643998</v>
      </c>
      <c r="S385" t="s">
        <v>2069</v>
      </c>
      <c r="T385" t="s">
        <v>3344</v>
      </c>
      <c r="U385" t="s">
        <v>3344</v>
      </c>
      <c r="V385" t="s">
        <v>3344</v>
      </c>
      <c r="W385" t="s">
        <v>3728</v>
      </c>
      <c r="X385">
        <v>19</v>
      </c>
      <c r="Y385" t="s">
        <v>5384</v>
      </c>
      <c r="Z385" t="s">
        <v>7042</v>
      </c>
      <c r="AA385">
        <v>1.341903513190777</v>
      </c>
      <c r="AB385">
        <f>HYPERLINK("Melting_Curves/meltCurve_P0A910_ompA.pdf", "Melting_Curves/meltCurve_P0A910_ompA.pdf")</f>
        <v>0</v>
      </c>
    </row>
    <row r="386" spans="1:28">
      <c r="A386" t="s">
        <v>412</v>
      </c>
      <c r="B386">
        <v>0.999998419929286</v>
      </c>
      <c r="C386">
        <v>1.01229839320971</v>
      </c>
      <c r="D386">
        <v>0.95820380828823</v>
      </c>
      <c r="E386">
        <v>1.02989059799755</v>
      </c>
      <c r="F386">
        <v>1.34109789284515</v>
      </c>
      <c r="G386">
        <v>1.9206061464363</v>
      </c>
      <c r="H386">
        <v>1.70729723779387</v>
      </c>
      <c r="I386">
        <v>1.36099730963586</v>
      </c>
      <c r="J386">
        <v>1.41111490108341</v>
      </c>
      <c r="K386">
        <v>1.5033666227446</v>
      </c>
      <c r="L386">
        <v>12511.6531420138</v>
      </c>
      <c r="M386">
        <v>250</v>
      </c>
      <c r="O386">
        <v>50.0434099853351</v>
      </c>
      <c r="P386">
        <v>0.624457847468464</v>
      </c>
      <c r="Q386">
        <v>1.5</v>
      </c>
      <c r="R386">
        <v>0.741489280026379</v>
      </c>
      <c r="S386" t="s">
        <v>2070</v>
      </c>
      <c r="T386" t="s">
        <v>3344</v>
      </c>
      <c r="U386" t="s">
        <v>3344</v>
      </c>
      <c r="V386" t="s">
        <v>3344</v>
      </c>
      <c r="W386" t="s">
        <v>3729</v>
      </c>
      <c r="X386">
        <v>4</v>
      </c>
      <c r="Y386" t="s">
        <v>5385</v>
      </c>
      <c r="Z386" t="s">
        <v>7043</v>
      </c>
      <c r="AA386">
        <v>1.282512541686001</v>
      </c>
      <c r="AB386">
        <f>HYPERLINK("Melting_Curves/meltCurve_P0A912_pal.pdf", "Melting_Curves/meltCurve_P0A912_pal.pdf")</f>
        <v>0</v>
      </c>
    </row>
    <row r="387" spans="1:28">
      <c r="A387" t="s">
        <v>413</v>
      </c>
      <c r="B387">
        <v>0.999998419929286</v>
      </c>
      <c r="C387">
        <v>0.613531407715997</v>
      </c>
      <c r="D387">
        <v>0.953153678004327</v>
      </c>
      <c r="E387">
        <v>0.925858856070385</v>
      </c>
      <c r="F387">
        <v>1.52975551627426</v>
      </c>
      <c r="G387">
        <v>1.50256629294288</v>
      </c>
      <c r="H387">
        <v>1.99001391099968</v>
      </c>
      <c r="I387">
        <v>1.20072635805997</v>
      </c>
      <c r="J387">
        <v>1.86955928689887</v>
      </c>
      <c r="K387">
        <v>1.74627255926562</v>
      </c>
      <c r="L387">
        <v>12107.0231634983</v>
      </c>
      <c r="M387">
        <v>250</v>
      </c>
      <c r="O387">
        <v>48.4249816922816</v>
      </c>
      <c r="P387">
        <v>0.645327912275222</v>
      </c>
      <c r="Q387">
        <v>1.5</v>
      </c>
      <c r="R387">
        <v>0.64216748803154</v>
      </c>
      <c r="S387" t="s">
        <v>2071</v>
      </c>
      <c r="T387" t="s">
        <v>3344</v>
      </c>
      <c r="U387" t="s">
        <v>3344</v>
      </c>
      <c r="V387" t="s">
        <v>3344</v>
      </c>
      <c r="W387" t="s">
        <v>3730</v>
      </c>
      <c r="X387">
        <v>1</v>
      </c>
      <c r="Y387" t="s">
        <v>5386</v>
      </c>
      <c r="Z387" t="s">
        <v>7044</v>
      </c>
      <c r="AA387">
        <v>1.309489293825664</v>
      </c>
      <c r="AB387">
        <f>HYPERLINK("Melting_Curves/meltCurve_P0A915_ompW.pdf", "Melting_Curves/meltCurve_P0A915_ompW.pdf")</f>
        <v>0</v>
      </c>
    </row>
    <row r="388" spans="1:28">
      <c r="A388" t="s">
        <v>414</v>
      </c>
      <c r="B388">
        <v>0.999998419929286</v>
      </c>
      <c r="C388">
        <v>1.10669538770903</v>
      </c>
      <c r="D388">
        <v>1.21886903709354</v>
      </c>
      <c r="E388">
        <v>1.54381284672452</v>
      </c>
      <c r="F388">
        <v>1.82986060712993</v>
      </c>
      <c r="G388">
        <v>2.36265523977448</v>
      </c>
      <c r="H388">
        <v>2.25829488487161</v>
      </c>
      <c r="I388">
        <v>1.70908173603816</v>
      </c>
      <c r="J388">
        <v>1.72931409744844</v>
      </c>
      <c r="K388">
        <v>1.88034566211323</v>
      </c>
      <c r="L388">
        <v>2413.72778397216</v>
      </c>
      <c r="M388">
        <v>55.9475568274402</v>
      </c>
      <c r="O388">
        <v>43.0876702269158</v>
      </c>
      <c r="P388">
        <v>0.162307418969728</v>
      </c>
      <c r="Q388">
        <v>1.5</v>
      </c>
      <c r="R388">
        <v>0.108102260406077</v>
      </c>
      <c r="S388" t="s">
        <v>2072</v>
      </c>
      <c r="T388" t="s">
        <v>3344</v>
      </c>
      <c r="U388" t="s">
        <v>3344</v>
      </c>
      <c r="V388" t="s">
        <v>3344</v>
      </c>
      <c r="W388" t="s">
        <v>3731</v>
      </c>
      <c r="X388">
        <v>5</v>
      </c>
      <c r="Y388" t="s">
        <v>5387</v>
      </c>
      <c r="Z388" t="s">
        <v>7045</v>
      </c>
      <c r="AA388">
        <v>1.396861969470144</v>
      </c>
      <c r="AB388">
        <f>HYPERLINK("Melting_Curves/meltCurve_P0A917_ompX.pdf", "Melting_Curves/meltCurve_P0A917_ompX.pdf")</f>
        <v>0</v>
      </c>
    </row>
    <row r="389" spans="1:28">
      <c r="A389" t="s">
        <v>415</v>
      </c>
      <c r="B389">
        <v>0.999998419929286</v>
      </c>
      <c r="C389">
        <v>0.873719403179462</v>
      </c>
      <c r="D389">
        <v>1.1018369793116</v>
      </c>
      <c r="E389">
        <v>1.17720642990812</v>
      </c>
      <c r="F389">
        <v>1.48495329871521</v>
      </c>
      <c r="G389">
        <v>1.85168342374038</v>
      </c>
      <c r="H389">
        <v>1.70472649659457</v>
      </c>
      <c r="I389">
        <v>1.30776436358691</v>
      </c>
      <c r="J389">
        <v>1.27766186175578</v>
      </c>
      <c r="K389">
        <v>1.50250243652736</v>
      </c>
      <c r="L389">
        <v>2680.21366066142</v>
      </c>
      <c r="M389">
        <v>56.9422881169575</v>
      </c>
      <c r="O389">
        <v>47.0110021945109</v>
      </c>
      <c r="P389">
        <v>0.151406890671355</v>
      </c>
      <c r="Q389">
        <v>1.5</v>
      </c>
      <c r="R389">
        <v>0.677330752612669</v>
      </c>
      <c r="S389" t="s">
        <v>2073</v>
      </c>
      <c r="T389" t="s">
        <v>3344</v>
      </c>
      <c r="U389" t="s">
        <v>3344</v>
      </c>
      <c r="V389" t="s">
        <v>3344</v>
      </c>
      <c r="W389" t="s">
        <v>3732</v>
      </c>
      <c r="X389">
        <v>1</v>
      </c>
      <c r="Y389" t="s">
        <v>5388</v>
      </c>
      <c r="Z389" t="s">
        <v>7046</v>
      </c>
      <c r="AA389">
        <v>1.331384795093008</v>
      </c>
      <c r="AB389">
        <f>HYPERLINK("Melting_Curves/meltCurve_P0A921_pldA.pdf", "Melting_Curves/meltCurve_P0A921_pldA.pdf")</f>
        <v>0</v>
      </c>
    </row>
    <row r="390" spans="1:28">
      <c r="A390" t="s">
        <v>416</v>
      </c>
      <c r="B390">
        <v>0.999998419929286</v>
      </c>
      <c r="C390">
        <v>0.6924214716395251</v>
      </c>
      <c r="D390">
        <v>0.892032795240396</v>
      </c>
      <c r="E390">
        <v>0.8661114501799499</v>
      </c>
      <c r="F390">
        <v>1.23552560119884</v>
      </c>
      <c r="G390">
        <v>1.22888398997626</v>
      </c>
      <c r="H390">
        <v>1.20631891977259</v>
      </c>
      <c r="I390">
        <v>1.05062866350998</v>
      </c>
      <c r="J390">
        <v>1.17871313481872</v>
      </c>
      <c r="K390">
        <v>1.14929815843834</v>
      </c>
      <c r="L390">
        <v>4160.46829293653</v>
      </c>
      <c r="M390">
        <v>85.7660237365148</v>
      </c>
      <c r="O390">
        <v>48.4831789856805</v>
      </c>
      <c r="P390">
        <v>0.0774625854456011</v>
      </c>
      <c r="Q390">
        <v>1.17515703596028</v>
      </c>
      <c r="R390">
        <v>0.508947761916837</v>
      </c>
      <c r="S390" t="s">
        <v>2074</v>
      </c>
      <c r="T390" t="s">
        <v>3344</v>
      </c>
      <c r="U390" t="s">
        <v>3344</v>
      </c>
      <c r="V390" t="s">
        <v>3344</v>
      </c>
      <c r="W390" t="s">
        <v>3733</v>
      </c>
      <c r="X390">
        <v>1</v>
      </c>
      <c r="Y390" t="s">
        <v>5389</v>
      </c>
      <c r="Z390" t="s">
        <v>7047</v>
      </c>
      <c r="AA390">
        <v>1.107831035091743</v>
      </c>
      <c r="AB390">
        <f>HYPERLINK("Melting_Curves/meltCurve_P0A937_bamE.pdf", "Melting_Curves/meltCurve_P0A937_bamE.pdf")</f>
        <v>0</v>
      </c>
    </row>
    <row r="391" spans="1:28">
      <c r="A391" t="s">
        <v>417</v>
      </c>
      <c r="B391">
        <v>0.999998419929286</v>
      </c>
      <c r="C391">
        <v>1.07762387037643</v>
      </c>
      <c r="D391">
        <v>1.17737644461197</v>
      </c>
      <c r="E391">
        <v>1.22666181186864</v>
      </c>
      <c r="F391">
        <v>1.18876706925112</v>
      </c>
      <c r="G391">
        <v>0.753707197446732</v>
      </c>
      <c r="H391">
        <v>0.339517690499794</v>
      </c>
      <c r="I391">
        <v>0.258501618613014</v>
      </c>
      <c r="J391">
        <v>0.267314363547204</v>
      </c>
      <c r="K391">
        <v>0.210642916143001</v>
      </c>
      <c r="L391">
        <v>2864.33228634227</v>
      </c>
      <c r="M391">
        <v>52.4121027642954</v>
      </c>
      <c r="N391">
        <v>55.393460800673</v>
      </c>
      <c r="O391">
        <v>54.5708228353183</v>
      </c>
      <c r="P391">
        <v>-0.179479911960181</v>
      </c>
      <c r="Q391">
        <v>0.252511610500837</v>
      </c>
      <c r="R391">
        <v>0.923478641656119</v>
      </c>
      <c r="S391" t="s">
        <v>2075</v>
      </c>
      <c r="T391" t="s">
        <v>3344</v>
      </c>
      <c r="U391" t="s">
        <v>3344</v>
      </c>
      <c r="V391" t="s">
        <v>3344</v>
      </c>
      <c r="W391" t="s">
        <v>3734</v>
      </c>
      <c r="X391">
        <v>16</v>
      </c>
      <c r="Y391" t="s">
        <v>5390</v>
      </c>
      <c r="Z391" t="s">
        <v>7048</v>
      </c>
      <c r="AA391">
        <v>0.6939255589834566</v>
      </c>
      <c r="AB391">
        <f>HYPERLINK("Melting_Curves/meltCurve_P0A940_bamA.pdf", "Melting_Curves/meltCurve_P0A940_bamA.pdf")</f>
        <v>0</v>
      </c>
    </row>
    <row r="392" spans="1:28">
      <c r="A392" t="s">
        <v>418</v>
      </c>
      <c r="B392">
        <v>0.999998419929286</v>
      </c>
      <c r="C392">
        <v>0.83443374512499</v>
      </c>
      <c r="D392">
        <v>0.669949226173738</v>
      </c>
      <c r="E392">
        <v>0.697540560271212</v>
      </c>
      <c r="F392">
        <v>0.698108443296235</v>
      </c>
      <c r="G392">
        <v>0.517719578883322</v>
      </c>
      <c r="H392">
        <v>0.205859187720043</v>
      </c>
      <c r="I392">
        <v>0.197058918483547</v>
      </c>
      <c r="J392">
        <v>0.08036164807556639</v>
      </c>
      <c r="K392">
        <v>0.166997407765051</v>
      </c>
      <c r="L392">
        <v>397.421119054161</v>
      </c>
      <c r="M392">
        <v>7.73206096123296</v>
      </c>
      <c r="N392">
        <v>51.3991185596627</v>
      </c>
      <c r="O392">
        <v>48.3003153147318</v>
      </c>
      <c r="P392">
        <v>-0.0400721474157693</v>
      </c>
      <c r="Q392">
        <v>0</v>
      </c>
      <c r="R392">
        <v>0.909502478872021</v>
      </c>
      <c r="S392" t="s">
        <v>2076</v>
      </c>
      <c r="T392" t="s">
        <v>3344</v>
      </c>
      <c r="U392" t="s">
        <v>3344</v>
      </c>
      <c r="V392" t="s">
        <v>3344</v>
      </c>
      <c r="W392" t="s">
        <v>3735</v>
      </c>
      <c r="X392">
        <v>1</v>
      </c>
      <c r="Y392" t="s">
        <v>5391</v>
      </c>
      <c r="Z392" t="s">
        <v>7049</v>
      </c>
      <c r="AA392">
        <v>0.512705676895905</v>
      </c>
      <c r="AB392">
        <f>HYPERLINK("Melting_Curves/meltCurve_P0A948_rimJ.pdf", "Melting_Curves/meltCurve_P0A948_rimJ.pdf")</f>
        <v>0</v>
      </c>
    </row>
    <row r="393" spans="1:28">
      <c r="A393" t="s">
        <v>419</v>
      </c>
      <c r="B393">
        <v>0.999998419929286</v>
      </c>
      <c r="C393">
        <v>1.17140073407475</v>
      </c>
      <c r="D393">
        <v>0.958908055534762</v>
      </c>
      <c r="E393">
        <v>0.352964936541494</v>
      </c>
      <c r="F393">
        <v>0.124538023241159</v>
      </c>
      <c r="G393">
        <v>0.118611093324415</v>
      </c>
      <c r="H393">
        <v>0.0702187828524779</v>
      </c>
      <c r="I393">
        <v>0.0384373567837824</v>
      </c>
      <c r="J393">
        <v>0.0243230187944216</v>
      </c>
      <c r="K393">
        <v>0.0255053501697382</v>
      </c>
      <c r="L393">
        <v>2047.17158702906</v>
      </c>
      <c r="M393">
        <v>44.6986105328759</v>
      </c>
      <c r="N393">
        <v>45.9374766478517</v>
      </c>
      <c r="O393">
        <v>45.7080584857747</v>
      </c>
      <c r="P393">
        <v>-0.229117191142028</v>
      </c>
      <c r="Q393">
        <v>0.0628354758711643</v>
      </c>
      <c r="R393">
        <v>0.980299204664156</v>
      </c>
      <c r="S393" t="s">
        <v>2077</v>
      </c>
      <c r="T393" t="s">
        <v>3344</v>
      </c>
      <c r="U393" t="s">
        <v>3344</v>
      </c>
      <c r="V393" t="s">
        <v>3344</v>
      </c>
      <c r="W393" t="s">
        <v>3736</v>
      </c>
      <c r="X393">
        <v>13</v>
      </c>
      <c r="Y393" t="s">
        <v>5392</v>
      </c>
      <c r="Z393" t="s">
        <v>7050</v>
      </c>
      <c r="AA393">
        <v>0.3400925809807607</v>
      </c>
      <c r="AB393">
        <f>HYPERLINK("Melting_Curves/meltCurve_P0A953_fabB.pdf", "Melting_Curves/meltCurve_P0A953_fabB.pdf")</f>
        <v>0</v>
      </c>
    </row>
    <row r="394" spans="1:28">
      <c r="A394" t="s">
        <v>420</v>
      </c>
      <c r="B394">
        <v>0.999998419929286</v>
      </c>
      <c r="C394">
        <v>0.926582542588311</v>
      </c>
      <c r="D394">
        <v>0.957442307710583</v>
      </c>
      <c r="E394">
        <v>0.977897714407568</v>
      </c>
      <c r="F394">
        <v>1.1067998859295</v>
      </c>
      <c r="G394">
        <v>1.06784802318637</v>
      </c>
      <c r="H394">
        <v>1.02408807575217</v>
      </c>
      <c r="I394">
        <v>1.03907513312868</v>
      </c>
      <c r="J394">
        <v>1.1123719515777</v>
      </c>
      <c r="K394">
        <v>1.08902289219069</v>
      </c>
      <c r="L394">
        <v>4002.14847736091</v>
      </c>
      <c r="M394">
        <v>82.98047461373839</v>
      </c>
      <c r="O394">
        <v>48.201987487113</v>
      </c>
      <c r="P394">
        <v>0.031504411134061</v>
      </c>
      <c r="Q394">
        <v>1.07320159803164</v>
      </c>
      <c r="R394">
        <v>0.608983493490647</v>
      </c>
      <c r="S394" t="s">
        <v>2078</v>
      </c>
      <c r="T394" t="s">
        <v>3344</v>
      </c>
      <c r="U394" t="s">
        <v>3344</v>
      </c>
      <c r="V394" t="s">
        <v>3344</v>
      </c>
      <c r="W394" t="s">
        <v>3737</v>
      </c>
      <c r="X394">
        <v>10</v>
      </c>
      <c r="Y394" t="s">
        <v>5393</v>
      </c>
      <c r="Z394" t="s">
        <v>7051</v>
      </c>
      <c r="AA394">
        <v>1.045743454214843</v>
      </c>
      <c r="AB394">
        <f>HYPERLINK("Melting_Curves/meltCurve_P0A955_eda.pdf", "Melting_Curves/meltCurve_P0A955_eda.pdf")</f>
        <v>0</v>
      </c>
    </row>
    <row r="395" spans="1:28">
      <c r="A395" t="s">
        <v>421</v>
      </c>
      <c r="B395">
        <v>0.999998419929286</v>
      </c>
      <c r="C395">
        <v>0.9147872558462961</v>
      </c>
      <c r="D395">
        <v>0.966005570885355</v>
      </c>
      <c r="E395">
        <v>0.802244417737687</v>
      </c>
      <c r="F395">
        <v>0.447334660119754</v>
      </c>
      <c r="G395">
        <v>0.151503860167059</v>
      </c>
      <c r="H395">
        <v>0.06344208283984849</v>
      </c>
      <c r="I395">
        <v>0.0617321709968443</v>
      </c>
      <c r="J395">
        <v>0.0459906327412411</v>
      </c>
      <c r="K395">
        <v>0.0217526810018302</v>
      </c>
      <c r="L395">
        <v>1105.51162905354</v>
      </c>
      <c r="M395">
        <v>22.3503848226253</v>
      </c>
      <c r="N395">
        <v>49.6004051303822</v>
      </c>
      <c r="O395">
        <v>49.0718951960312</v>
      </c>
      <c r="P395">
        <v>-0.110443605889816</v>
      </c>
      <c r="Q395">
        <v>0.0300724687566911</v>
      </c>
      <c r="R395">
        <v>0.995436184651495</v>
      </c>
      <c r="S395" t="s">
        <v>2079</v>
      </c>
      <c r="T395" t="s">
        <v>3344</v>
      </c>
      <c r="U395" t="s">
        <v>3344</v>
      </c>
      <c r="V395" t="s">
        <v>3344</v>
      </c>
      <c r="W395" t="s">
        <v>3738</v>
      </c>
      <c r="X395">
        <v>2</v>
      </c>
      <c r="Y395" t="s">
        <v>5394</v>
      </c>
      <c r="Z395" t="s">
        <v>7052</v>
      </c>
      <c r="AA395">
        <v>0.4434343610011209</v>
      </c>
      <c r="AB395">
        <f>HYPERLINK("Melting_Curves/meltCurve_P0A962_ansA.pdf", "Melting_Curves/meltCurve_P0A962_ansA.pdf")</f>
        <v>0</v>
      </c>
    </row>
    <row r="396" spans="1:28">
      <c r="A396" t="s">
        <v>422</v>
      </c>
      <c r="B396">
        <v>0.999998419929286</v>
      </c>
      <c r="C396">
        <v>0.892595572988947</v>
      </c>
      <c r="D396">
        <v>0.931371660621546</v>
      </c>
      <c r="E396">
        <v>1.01497212155435</v>
      </c>
      <c r="F396">
        <v>1.06730823143885</v>
      </c>
      <c r="G396">
        <v>1.13193092472341</v>
      </c>
      <c r="H396">
        <v>1.0347244533279</v>
      </c>
      <c r="I396">
        <v>0.925701473800142</v>
      </c>
      <c r="J396">
        <v>0.9028351491018179</v>
      </c>
      <c r="K396">
        <v>0.8064992310039339</v>
      </c>
      <c r="L396">
        <v>1881.6827393528</v>
      </c>
      <c r="M396">
        <v>29.1274661495995</v>
      </c>
      <c r="O396">
        <v>64.2994569243574</v>
      </c>
      <c r="P396">
        <v>-0.0289679761758971</v>
      </c>
      <c r="Q396">
        <v>0.7442123566791961</v>
      </c>
      <c r="R396">
        <v>0.498802203139372</v>
      </c>
      <c r="S396" t="s">
        <v>2080</v>
      </c>
      <c r="T396" t="s">
        <v>3344</v>
      </c>
      <c r="U396" t="s">
        <v>3344</v>
      </c>
      <c r="V396" t="s">
        <v>3344</v>
      </c>
      <c r="W396" t="s">
        <v>3739</v>
      </c>
      <c r="X396">
        <v>5</v>
      </c>
      <c r="Y396" t="s">
        <v>5395</v>
      </c>
      <c r="Z396" t="s">
        <v>7053</v>
      </c>
      <c r="AA396">
        <v>0.9750477265023718</v>
      </c>
      <c r="AB396">
        <f>HYPERLINK("Melting_Curves/meltCurve_P0A964_cheW.pdf", "Melting_Curves/meltCurve_P0A964_cheW.pdf")</f>
        <v>0</v>
      </c>
    </row>
    <row r="397" spans="1:28">
      <c r="A397" t="s">
        <v>423</v>
      </c>
      <c r="B397">
        <v>0.999998419929286</v>
      </c>
      <c r="C397">
        <v>0.6687221548894861</v>
      </c>
      <c r="D397">
        <v>0.837221451078317</v>
      </c>
      <c r="E397">
        <v>1.01556020289341</v>
      </c>
      <c r="F397">
        <v>1.21870647137709</v>
      </c>
      <c r="G397">
        <v>1.48312867689381</v>
      </c>
      <c r="H397">
        <v>1.33747471230702</v>
      </c>
      <c r="I397">
        <v>1.55262465595634</v>
      </c>
      <c r="J397">
        <v>1.53067847599457</v>
      </c>
      <c r="K397">
        <v>1.76537219818385</v>
      </c>
      <c r="L397">
        <v>2005.89492950334</v>
      </c>
      <c r="M397">
        <v>39.7156755286706</v>
      </c>
      <c r="O397">
        <v>50.3788586317678</v>
      </c>
      <c r="P397">
        <v>0.0985427681392947</v>
      </c>
      <c r="Q397">
        <v>1.5</v>
      </c>
      <c r="R397">
        <v>0.789792852018406</v>
      </c>
      <c r="S397" t="s">
        <v>2081</v>
      </c>
      <c r="T397" t="s">
        <v>3344</v>
      </c>
      <c r="U397" t="s">
        <v>3344</v>
      </c>
      <c r="V397" t="s">
        <v>3344</v>
      </c>
      <c r="W397" t="s">
        <v>3740</v>
      </c>
      <c r="X397">
        <v>5</v>
      </c>
      <c r="Y397" t="s">
        <v>5396</v>
      </c>
      <c r="Z397" t="s">
        <v>7054</v>
      </c>
      <c r="AA397">
        <v>1.273124572179962</v>
      </c>
      <c r="AB397">
        <f>HYPERLINK("Melting_Curves/meltCurve_P0A972_cspE.pdf", "Melting_Curves/meltCurve_P0A972_cspE.pdf")</f>
        <v>0</v>
      </c>
    </row>
    <row r="398" spans="1:28">
      <c r="A398" t="s">
        <v>424</v>
      </c>
      <c r="B398">
        <v>0.999998419929286</v>
      </c>
      <c r="C398">
        <v>0.995056319738412</v>
      </c>
      <c r="D398">
        <v>0.842533129906925</v>
      </c>
      <c r="E398">
        <v>0.7735193904416769</v>
      </c>
      <c r="F398">
        <v>0.733961262507124</v>
      </c>
      <c r="G398">
        <v>0.585015785617207</v>
      </c>
      <c r="H398">
        <v>0.284503924875963</v>
      </c>
      <c r="I398">
        <v>0.130820396367739</v>
      </c>
      <c r="J398">
        <v>0.0770875482342419</v>
      </c>
      <c r="K398">
        <v>0.0713086792310543</v>
      </c>
      <c r="L398">
        <v>648.515058048717</v>
      </c>
      <c r="M398">
        <v>12.1096244538506</v>
      </c>
      <c r="N398">
        <v>53.5536882543583</v>
      </c>
      <c r="O398">
        <v>52.1559982871011</v>
      </c>
      <c r="P398">
        <v>-0.0580587053055277</v>
      </c>
      <c r="Q398">
        <v>0</v>
      </c>
      <c r="R398">
        <v>0.971426665815723</v>
      </c>
      <c r="S398" t="s">
        <v>2082</v>
      </c>
      <c r="T398" t="s">
        <v>3344</v>
      </c>
      <c r="U398" t="s">
        <v>3344</v>
      </c>
      <c r="V398" t="s">
        <v>3344</v>
      </c>
      <c r="W398" t="s">
        <v>3741</v>
      </c>
      <c r="X398">
        <v>8</v>
      </c>
      <c r="Y398" t="s">
        <v>5397</v>
      </c>
      <c r="Z398" t="s">
        <v>7055</v>
      </c>
      <c r="AA398">
        <v>0.5711202649955583</v>
      </c>
      <c r="AB398">
        <f>HYPERLINK("Melting_Curves/meltCurve_P0A988_dnaN.pdf", "Melting_Curves/meltCurve_P0A988_dnaN.pdf")</f>
        <v>0</v>
      </c>
    </row>
    <row r="399" spans="1:28">
      <c r="A399" t="s">
        <v>425</v>
      </c>
      <c r="B399">
        <v>0.999998419929286</v>
      </c>
      <c r="C399">
        <v>1.30355122493949</v>
      </c>
      <c r="D399">
        <v>1.27206220182728</v>
      </c>
      <c r="E399">
        <v>1.07153603479814</v>
      </c>
      <c r="F399">
        <v>1.24587755820995</v>
      </c>
      <c r="G399">
        <v>1.09295428233004</v>
      </c>
      <c r="H399">
        <v>0.856743106449753</v>
      </c>
      <c r="I399">
        <v>0.953603531864972</v>
      </c>
      <c r="J399">
        <v>0.769601526862234</v>
      </c>
      <c r="K399">
        <v>0.989824921578229</v>
      </c>
      <c r="L399">
        <v>9104.89969303096</v>
      </c>
      <c r="M399">
        <v>163.424885066357</v>
      </c>
      <c r="O399">
        <v>55.7047179096292</v>
      </c>
      <c r="P399">
        <v>-0.079055144388436</v>
      </c>
      <c r="Q399">
        <v>0.89221362139841</v>
      </c>
      <c r="R399">
        <v>0.0534939866891556</v>
      </c>
      <c r="S399" t="s">
        <v>2083</v>
      </c>
      <c r="T399" t="s">
        <v>3344</v>
      </c>
      <c r="U399" t="s">
        <v>3344</v>
      </c>
      <c r="V399" t="s">
        <v>3344</v>
      </c>
      <c r="W399" t="s">
        <v>3742</v>
      </c>
      <c r="X399">
        <v>16</v>
      </c>
      <c r="Y399" t="s">
        <v>5398</v>
      </c>
      <c r="Z399" t="s">
        <v>7056</v>
      </c>
      <c r="AA399">
        <v>0.9594720407786912</v>
      </c>
      <c r="AB399">
        <f>HYPERLINK("Melting_Curves/meltCurve_P0A991_fbaB.pdf", "Melting_Curves/meltCurve_P0A991_fbaB.pdf")</f>
        <v>0</v>
      </c>
    </row>
    <row r="400" spans="1:28">
      <c r="A400" t="s">
        <v>426</v>
      </c>
      <c r="B400">
        <v>0.999998419929286</v>
      </c>
      <c r="C400">
        <v>0.868814204699341</v>
      </c>
      <c r="D400">
        <v>0.440390243851696</v>
      </c>
      <c r="E400">
        <v>0.164027039617219</v>
      </c>
      <c r="F400">
        <v>0.099771457662474</v>
      </c>
      <c r="G400">
        <v>0.0843931235489106</v>
      </c>
      <c r="H400">
        <v>0.0661407677467333</v>
      </c>
      <c r="I400">
        <v>0.0509269942971668</v>
      </c>
      <c r="J400">
        <v>0.0588941869070711</v>
      </c>
      <c r="K400">
        <v>0.06485764090700789</v>
      </c>
      <c r="L400">
        <v>1149.50934629159</v>
      </c>
      <c r="M400">
        <v>27.0856562782193</v>
      </c>
      <c r="N400">
        <v>42.6758697869952</v>
      </c>
      <c r="O400">
        <v>42.2104691116358</v>
      </c>
      <c r="P400">
        <v>-0.149260731077356</v>
      </c>
      <c r="Q400">
        <v>0.06957341915498851</v>
      </c>
      <c r="R400">
        <v>0.998450186036668</v>
      </c>
      <c r="S400" t="s">
        <v>2084</v>
      </c>
      <c r="T400" t="s">
        <v>3344</v>
      </c>
      <c r="U400" t="s">
        <v>3344</v>
      </c>
      <c r="V400" t="s">
        <v>3344</v>
      </c>
      <c r="W400" t="s">
        <v>3743</v>
      </c>
      <c r="X400">
        <v>5</v>
      </c>
      <c r="Y400" t="s">
        <v>5399</v>
      </c>
      <c r="Z400" t="s">
        <v>7057</v>
      </c>
      <c r="AA400">
        <v>0.2449380540582962</v>
      </c>
      <c r="AB400">
        <f>HYPERLINK("Melting_Curves/meltCurve_P0A993_fbp.pdf", "Melting_Curves/meltCurve_P0A993_fbp.pdf")</f>
        <v>0</v>
      </c>
    </row>
    <row r="401" spans="1:28">
      <c r="A401" t="s">
        <v>427</v>
      </c>
      <c r="B401">
        <v>0.999998419929286</v>
      </c>
      <c r="C401">
        <v>1.15547425534819</v>
      </c>
      <c r="D401">
        <v>1.03199642027293</v>
      </c>
      <c r="E401">
        <v>0.898744436208965</v>
      </c>
      <c r="F401">
        <v>1.19615196489006</v>
      </c>
      <c r="G401">
        <v>1.1716226863966</v>
      </c>
      <c r="H401">
        <v>1.12800076342607</v>
      </c>
      <c r="I401">
        <v>0.902884695019283</v>
      </c>
      <c r="J401">
        <v>0.876541696217169</v>
      </c>
      <c r="K401">
        <v>0.8338911743884621</v>
      </c>
      <c r="L401">
        <v>14730.2727210308</v>
      </c>
      <c r="M401">
        <v>242.191480085647</v>
      </c>
      <c r="O401">
        <v>60.8166247045537</v>
      </c>
      <c r="P401">
        <v>-0.144144301024954</v>
      </c>
      <c r="Q401">
        <v>0.855215884087397</v>
      </c>
      <c r="R401">
        <v>0.282625271899908</v>
      </c>
      <c r="S401" t="s">
        <v>2085</v>
      </c>
      <c r="T401" t="s">
        <v>3344</v>
      </c>
      <c r="U401" t="s">
        <v>3344</v>
      </c>
      <c r="V401" t="s">
        <v>3344</v>
      </c>
      <c r="W401" t="s">
        <v>3744</v>
      </c>
      <c r="X401">
        <v>2</v>
      </c>
      <c r="Y401" t="s">
        <v>5400</v>
      </c>
      <c r="Z401" t="s">
        <v>7058</v>
      </c>
      <c r="AA401">
        <v>0.970194663521018</v>
      </c>
      <c r="AB401">
        <f>HYPERLINK("Melting_Curves/meltCurve_P0A998_ftnA.pdf", "Melting_Curves/meltCurve_P0A998_ftnA.pdf")</f>
        <v>0</v>
      </c>
    </row>
    <row r="402" spans="1:28">
      <c r="A402" t="s">
        <v>428</v>
      </c>
      <c r="B402">
        <v>0.999998419929286</v>
      </c>
      <c r="C402">
        <v>0.973107542422092</v>
      </c>
      <c r="D402">
        <v>0.768459437158199</v>
      </c>
      <c r="E402">
        <v>0.877565769467805</v>
      </c>
      <c r="F402">
        <v>0.80361394813597</v>
      </c>
      <c r="G402">
        <v>0.860510552953975</v>
      </c>
      <c r="H402">
        <v>0.783215606583576</v>
      </c>
      <c r="I402">
        <v>0.738209188837377</v>
      </c>
      <c r="J402">
        <v>0.734934378952902</v>
      </c>
      <c r="K402">
        <v>0.681474183279327</v>
      </c>
      <c r="L402">
        <v>194.256602243973</v>
      </c>
      <c r="M402">
        <v>3.05296906837685</v>
      </c>
      <c r="O402">
        <v>47.2099390319788</v>
      </c>
      <c r="P402">
        <v>-0.00911430954669715</v>
      </c>
      <c r="Q402">
        <v>0.452322756964578</v>
      </c>
      <c r="R402">
        <v>0.719901619731099</v>
      </c>
      <c r="S402" t="s">
        <v>2086</v>
      </c>
      <c r="T402" t="s">
        <v>3344</v>
      </c>
      <c r="U402" t="s">
        <v>3344</v>
      </c>
      <c r="V402" t="s">
        <v>3344</v>
      </c>
      <c r="W402" t="s">
        <v>3745</v>
      </c>
      <c r="X402">
        <v>6</v>
      </c>
      <c r="Y402" t="s">
        <v>5401</v>
      </c>
      <c r="Z402" t="s">
        <v>7059</v>
      </c>
      <c r="AA402">
        <v>0.8198898264864654</v>
      </c>
      <c r="AB402">
        <f>HYPERLINK("Melting_Curves/meltCurve_P0A9A6_ftsZ.pdf", "Melting_Curves/meltCurve_P0A9A6_ftsZ.pdf")</f>
        <v>0</v>
      </c>
    </row>
    <row r="403" spans="1:28">
      <c r="A403" t="s">
        <v>429</v>
      </c>
      <c r="B403">
        <v>0.999998419929286</v>
      </c>
      <c r="C403">
        <v>0.908936811890427</v>
      </c>
      <c r="D403">
        <v>0.91719351798777</v>
      </c>
      <c r="E403">
        <v>1.03160101334632</v>
      </c>
      <c r="F403">
        <v>1.03374990215195</v>
      </c>
      <c r="G403">
        <v>1.17585899522891</v>
      </c>
      <c r="H403">
        <v>1.0879794290476</v>
      </c>
      <c r="I403">
        <v>1.16793234767353</v>
      </c>
      <c r="J403">
        <v>1.27798944578257</v>
      </c>
      <c r="K403">
        <v>1.1147023769681</v>
      </c>
      <c r="L403">
        <v>12618.1368351232</v>
      </c>
      <c r="M403">
        <v>250</v>
      </c>
      <c r="O403">
        <v>50.469317454789</v>
      </c>
      <c r="P403">
        <v>0.204198972950926</v>
      </c>
      <c r="Q403">
        <v>1.16489252436989</v>
      </c>
      <c r="R403">
        <v>0.695918649461153</v>
      </c>
      <c r="S403" t="s">
        <v>2087</v>
      </c>
      <c r="T403" t="s">
        <v>3344</v>
      </c>
      <c r="U403" t="s">
        <v>3344</v>
      </c>
      <c r="V403" t="s">
        <v>3344</v>
      </c>
      <c r="W403" t="s">
        <v>3746</v>
      </c>
      <c r="X403">
        <v>4</v>
      </c>
      <c r="Y403" t="s">
        <v>5402</v>
      </c>
      <c r="Z403" t="s">
        <v>7060</v>
      </c>
      <c r="AA403">
        <v>1.090827173742747</v>
      </c>
      <c r="AB403">
        <f>HYPERLINK("Melting_Curves/meltCurve_P0A9A9_fur.pdf", "Melting_Curves/meltCurve_P0A9A9_fur.pdf")</f>
        <v>0</v>
      </c>
    </row>
    <row r="404" spans="1:28">
      <c r="A404" t="s">
        <v>430</v>
      </c>
      <c r="B404">
        <v>0.999998419929286</v>
      </c>
      <c r="C404">
        <v>1.11153125898289</v>
      </c>
      <c r="D404">
        <v>1.19497718841543</v>
      </c>
      <c r="E404">
        <v>1.47718495573772</v>
      </c>
      <c r="F404">
        <v>1.61590669186909</v>
      </c>
      <c r="G404">
        <v>2.06730581320055</v>
      </c>
      <c r="H404">
        <v>1.85489479067651</v>
      </c>
      <c r="I404">
        <v>1.27039883110726</v>
      </c>
      <c r="J404">
        <v>0.791604857008141</v>
      </c>
      <c r="K404">
        <v>0.103081747581381</v>
      </c>
      <c r="L404">
        <v>15000</v>
      </c>
      <c r="M404">
        <v>232.814055796348</v>
      </c>
      <c r="N404">
        <v>64.49297332401341</v>
      </c>
      <c r="O404">
        <v>64.4243468650306</v>
      </c>
      <c r="P404">
        <v>-0.810418638928319</v>
      </c>
      <c r="Q404">
        <v>0.102963261536886</v>
      </c>
      <c r="R404">
        <v>0.0810697942783105</v>
      </c>
      <c r="S404" t="s">
        <v>2088</v>
      </c>
      <c r="T404" t="s">
        <v>3344</v>
      </c>
      <c r="U404" t="s">
        <v>3344</v>
      </c>
      <c r="V404" t="s">
        <v>3344</v>
      </c>
      <c r="W404" t="s">
        <v>3747</v>
      </c>
      <c r="X404">
        <v>25</v>
      </c>
      <c r="Y404" t="s">
        <v>5403</v>
      </c>
      <c r="Z404" t="s">
        <v>7061</v>
      </c>
      <c r="AA404">
        <v>0.9232427013687464</v>
      </c>
      <c r="AB404">
        <f>HYPERLINK("Melting_Curves/meltCurve_P0A9B2_gapA.pdf", "Melting_Curves/meltCurve_P0A9B2_gapA.pdf")</f>
        <v>0</v>
      </c>
    </row>
    <row r="405" spans="1:28">
      <c r="A405" t="s">
        <v>431</v>
      </c>
      <c r="B405">
        <v>0.999998419929286</v>
      </c>
      <c r="C405">
        <v>1.08603760103486</v>
      </c>
      <c r="D405">
        <v>1.15837291768861</v>
      </c>
      <c r="E405">
        <v>1.2773866470671</v>
      </c>
      <c r="F405">
        <v>0.902105478039116</v>
      </c>
      <c r="G405">
        <v>0.355678752262283</v>
      </c>
      <c r="H405">
        <v>0.138090850446771</v>
      </c>
      <c r="I405">
        <v>0.07256970223040179</v>
      </c>
      <c r="J405">
        <v>0.0515852437114825</v>
      </c>
      <c r="K405">
        <v>0.06751377689553049</v>
      </c>
      <c r="L405">
        <v>2304.29715418155</v>
      </c>
      <c r="M405">
        <v>43.6347506823844</v>
      </c>
      <c r="N405">
        <v>53.0025049561178</v>
      </c>
      <c r="O405">
        <v>52.6982054218587</v>
      </c>
      <c r="P405">
        <v>-0.191743086721202</v>
      </c>
      <c r="Q405">
        <v>0.0737197650838243</v>
      </c>
      <c r="R405">
        <v>0.952748273100649</v>
      </c>
      <c r="S405" t="s">
        <v>2089</v>
      </c>
      <c r="T405" t="s">
        <v>3344</v>
      </c>
      <c r="U405" t="s">
        <v>3344</v>
      </c>
      <c r="V405" t="s">
        <v>3344</v>
      </c>
      <c r="W405" t="s">
        <v>3748</v>
      </c>
      <c r="X405">
        <v>6</v>
      </c>
      <c r="Y405" t="s">
        <v>5404</v>
      </c>
      <c r="Z405" t="s">
        <v>7062</v>
      </c>
      <c r="AA405">
        <v>0.5646631599742545</v>
      </c>
      <c r="AB405">
        <f>HYPERLINK("Melting_Curves/meltCurve_P0A9C3_galM.pdf", "Melting_Curves/meltCurve_P0A9C3_galM.pdf")</f>
        <v>0</v>
      </c>
    </row>
    <row r="406" spans="1:28">
      <c r="A406" t="s">
        <v>432</v>
      </c>
      <c r="B406">
        <v>0.999998419929286</v>
      </c>
      <c r="C406">
        <v>2.42739520271993</v>
      </c>
      <c r="D406">
        <v>2.42561921164972</v>
      </c>
      <c r="E406">
        <v>2.0162142606755</v>
      </c>
      <c r="F406">
        <v>2.75474830761659</v>
      </c>
      <c r="G406">
        <v>2.12016700925851</v>
      </c>
      <c r="H406">
        <v>1.60501927591199</v>
      </c>
      <c r="I406">
        <v>1.48875872510675</v>
      </c>
      <c r="J406">
        <v>0.111559778913865</v>
      </c>
      <c r="K406">
        <v>0.08777992565055009</v>
      </c>
      <c r="L406">
        <v>15000</v>
      </c>
      <c r="M406">
        <v>237.398706709004</v>
      </c>
      <c r="N406">
        <v>63.234391116719</v>
      </c>
      <c r="O406">
        <v>63.1803551103153</v>
      </c>
      <c r="P406">
        <v>-0.859673780246621</v>
      </c>
      <c r="Q406">
        <v>0.08483919415532939</v>
      </c>
      <c r="R406">
        <v>-0.252379318659481</v>
      </c>
      <c r="S406" t="s">
        <v>2090</v>
      </c>
      <c r="T406" t="s">
        <v>3344</v>
      </c>
      <c r="U406" t="s">
        <v>3344</v>
      </c>
      <c r="V406" t="s">
        <v>3344</v>
      </c>
      <c r="W406" t="s">
        <v>3749</v>
      </c>
      <c r="X406">
        <v>11</v>
      </c>
      <c r="Y406" t="s">
        <v>5405</v>
      </c>
      <c r="Z406" t="s">
        <v>7063</v>
      </c>
      <c r="AA406">
        <v>0.8837297903088314</v>
      </c>
      <c r="AB406">
        <f>HYPERLINK("Melting_Curves/meltCurve_P0A9C5_glnA.pdf", "Melting_Curves/meltCurve_P0A9C5_glnA.pdf")</f>
        <v>0</v>
      </c>
    </row>
    <row r="407" spans="1:28">
      <c r="A407" t="s">
        <v>433</v>
      </c>
      <c r="B407">
        <v>0.999998419929286</v>
      </c>
      <c r="C407">
        <v>0.943277707098692</v>
      </c>
      <c r="D407">
        <v>0.564120295294417</v>
      </c>
      <c r="E407">
        <v>0.317655697164598</v>
      </c>
      <c r="F407">
        <v>0.187362657930723</v>
      </c>
      <c r="G407">
        <v>0.268906293927987</v>
      </c>
      <c r="H407">
        <v>0.156417160974886</v>
      </c>
      <c r="I407">
        <v>0.1244637008756</v>
      </c>
      <c r="J407">
        <v>0.133376986977021</v>
      </c>
      <c r="K407">
        <v>0.145033133279847</v>
      </c>
      <c r="L407">
        <v>1040.67765162766</v>
      </c>
      <c r="M407">
        <v>24.1073949756118</v>
      </c>
      <c r="N407">
        <v>43.8990288381281</v>
      </c>
      <c r="O407">
        <v>42.8746477334657</v>
      </c>
      <c r="P407">
        <v>-0.117341658870591</v>
      </c>
      <c r="Q407">
        <v>0.165251305327121</v>
      </c>
      <c r="R407">
        <v>0.982994729698733</v>
      </c>
      <c r="S407" t="s">
        <v>2091</v>
      </c>
      <c r="T407" t="s">
        <v>3344</v>
      </c>
      <c r="U407" t="s">
        <v>3344</v>
      </c>
      <c r="V407" t="s">
        <v>3344</v>
      </c>
      <c r="W407" t="s">
        <v>3750</v>
      </c>
      <c r="X407">
        <v>1</v>
      </c>
      <c r="Y407" t="s">
        <v>5406</v>
      </c>
      <c r="Z407" t="s">
        <v>7064</v>
      </c>
      <c r="AA407">
        <v>0.3444410187156813</v>
      </c>
      <c r="AB407">
        <f>HYPERLINK("Melting_Curves/meltCurve_P0A9C9_glpX.pdf", "Melting_Curves/meltCurve_P0A9C9_glpX.pdf")</f>
        <v>0</v>
      </c>
    </row>
    <row r="408" spans="1:28">
      <c r="A408" t="s">
        <v>434</v>
      </c>
      <c r="B408">
        <v>0.999998419929286</v>
      </c>
      <c r="C408">
        <v>0.779463121156195</v>
      </c>
      <c r="D408">
        <v>0.79160529156772</v>
      </c>
      <c r="E408">
        <v>0.655358480308215</v>
      </c>
      <c r="F408">
        <v>0.524770396115235</v>
      </c>
      <c r="G408">
        <v>0.344995733527231</v>
      </c>
      <c r="H408">
        <v>0.191501905993286</v>
      </c>
      <c r="I408">
        <v>0.111971391526531</v>
      </c>
      <c r="J408">
        <v>0.0847342602600759</v>
      </c>
      <c r="K408">
        <v>0.07263917891416841</v>
      </c>
      <c r="L408">
        <v>451.655393054446</v>
      </c>
      <c r="M408">
        <v>9.130951492653301</v>
      </c>
      <c r="N408">
        <v>49.4642150529611</v>
      </c>
      <c r="O408">
        <v>47.2649463290408</v>
      </c>
      <c r="P408">
        <v>-0.0483298462773849</v>
      </c>
      <c r="Q408">
        <v>0</v>
      </c>
      <c r="R408">
        <v>0.977309150881289</v>
      </c>
      <c r="S408" t="s">
        <v>2092</v>
      </c>
      <c r="T408" t="s">
        <v>3344</v>
      </c>
      <c r="U408" t="s">
        <v>3344</v>
      </c>
      <c r="V408" t="s">
        <v>3344</v>
      </c>
      <c r="W408" t="s">
        <v>3751</v>
      </c>
      <c r="X408">
        <v>6</v>
      </c>
      <c r="Y408" t="s">
        <v>5407</v>
      </c>
      <c r="Z408" t="s">
        <v>7065</v>
      </c>
      <c r="AA408">
        <v>0.4545093854346517</v>
      </c>
      <c r="AB408">
        <f>HYPERLINK("Melting_Curves/meltCurve_P0A9D2_gstA.pdf", "Melting_Curves/meltCurve_P0A9D2_gstA.pdf")</f>
        <v>0</v>
      </c>
    </row>
    <row r="409" spans="1:28">
      <c r="A409" t="s">
        <v>435</v>
      </c>
      <c r="B409">
        <v>0.999998419929286</v>
      </c>
      <c r="C409">
        <v>1.00881246235714</v>
      </c>
      <c r="D409">
        <v>1.00617502459168</v>
      </c>
      <c r="E409">
        <v>0.955212504853458</v>
      </c>
      <c r="F409">
        <v>1.10120945439245</v>
      </c>
      <c r="G409">
        <v>1.12397567391364</v>
      </c>
      <c r="H409">
        <v>0.974129762254585</v>
      </c>
      <c r="I409">
        <v>0.6379328496533569</v>
      </c>
      <c r="J409">
        <v>0.29726377694285</v>
      </c>
      <c r="K409">
        <v>0.162968921652732</v>
      </c>
      <c r="L409">
        <v>2588.8332401737</v>
      </c>
      <c r="M409">
        <v>42.0797508541489</v>
      </c>
      <c r="N409">
        <v>62.0373984450648</v>
      </c>
      <c r="O409">
        <v>61.3836108369295</v>
      </c>
      <c r="P409">
        <v>-0.146101914499155</v>
      </c>
      <c r="Q409">
        <v>0.14749991498477</v>
      </c>
      <c r="R409">
        <v>0.972483334410852</v>
      </c>
      <c r="S409" t="s">
        <v>2093</v>
      </c>
      <c r="T409" t="s">
        <v>3344</v>
      </c>
      <c r="U409" t="s">
        <v>3344</v>
      </c>
      <c r="V409" t="s">
        <v>3344</v>
      </c>
      <c r="W409" t="s">
        <v>3752</v>
      </c>
      <c r="X409">
        <v>6</v>
      </c>
      <c r="Y409" t="s">
        <v>5408</v>
      </c>
      <c r="Z409" t="s">
        <v>7066</v>
      </c>
      <c r="AA409">
        <v>0.8459666949540769</v>
      </c>
      <c r="AB409">
        <f>HYPERLINK("Melting_Curves/meltCurve_P0A9D4_cysE.pdf", "Melting_Curves/meltCurve_P0A9D4_cysE.pdf")</f>
        <v>0</v>
      </c>
    </row>
    <row r="410" spans="1:28">
      <c r="A410" t="s">
        <v>436</v>
      </c>
      <c r="B410">
        <v>0.999998419929286</v>
      </c>
      <c r="C410">
        <v>0.9102023652933799</v>
      </c>
      <c r="D410">
        <v>0.982932294293195</v>
      </c>
      <c r="E410">
        <v>1.13209758111107</v>
      </c>
      <c r="F410">
        <v>1.37783368786609</v>
      </c>
      <c r="G410">
        <v>1.66040305830154</v>
      </c>
      <c r="H410">
        <v>1.38832736496838</v>
      </c>
      <c r="I410">
        <v>0.437342902453416</v>
      </c>
      <c r="J410">
        <v>0.0557659430032836</v>
      </c>
      <c r="K410">
        <v>0.0447507217082187</v>
      </c>
      <c r="L410">
        <v>15000</v>
      </c>
      <c r="M410">
        <v>246.275657913976</v>
      </c>
      <c r="N410">
        <v>60.9335440605963</v>
      </c>
      <c r="O410">
        <v>60.9033459626568</v>
      </c>
      <c r="P410">
        <v>-0.960123142197182</v>
      </c>
      <c r="Q410">
        <v>0.0502559706592456</v>
      </c>
      <c r="R410">
        <v>0.7276375049046619</v>
      </c>
      <c r="S410" t="s">
        <v>2094</v>
      </c>
      <c r="T410" t="s">
        <v>3344</v>
      </c>
      <c r="U410" t="s">
        <v>3344</v>
      </c>
      <c r="V410" t="s">
        <v>3344</v>
      </c>
      <c r="W410" t="s">
        <v>3753</v>
      </c>
      <c r="X410">
        <v>12</v>
      </c>
      <c r="Y410" t="s">
        <v>5409</v>
      </c>
      <c r="Z410" t="s">
        <v>7067</v>
      </c>
      <c r="AA410">
        <v>0.8072229784849198</v>
      </c>
      <c r="AB410">
        <f>HYPERLINK("Melting_Curves/meltCurve_P0A9D8_dapD.pdf", "Melting_Curves/meltCurve_P0A9D8_dapD.pdf")</f>
        <v>0</v>
      </c>
    </row>
    <row r="411" spans="1:28">
      <c r="A411" t="s">
        <v>437</v>
      </c>
      <c r="B411">
        <v>0.999998419929286</v>
      </c>
      <c r="C411">
        <v>0.644184440536436</v>
      </c>
      <c r="D411">
        <v>0.630454798153043</v>
      </c>
      <c r="E411">
        <v>0.614727735928879</v>
      </c>
      <c r="F411">
        <v>0.665175097717024</v>
      </c>
      <c r="G411">
        <v>0.711717457815463</v>
      </c>
      <c r="H411">
        <v>0.446145658745174</v>
      </c>
      <c r="I411">
        <v>0.380440186174548</v>
      </c>
      <c r="J411">
        <v>0.321862042605599</v>
      </c>
      <c r="K411">
        <v>0.499699477648148</v>
      </c>
      <c r="L411">
        <v>192.879763714619</v>
      </c>
      <c r="M411">
        <v>3.8142561368008</v>
      </c>
      <c r="N411">
        <v>56.829783764789</v>
      </c>
      <c r="O411">
        <v>40.8735043768464</v>
      </c>
      <c r="P411">
        <v>-0.019616144193247</v>
      </c>
      <c r="Q411">
        <v>0.171563743680915</v>
      </c>
      <c r="R411">
        <v>0.650597045527453</v>
      </c>
      <c r="S411" t="s">
        <v>2095</v>
      </c>
      <c r="T411" t="s">
        <v>3344</v>
      </c>
      <c r="U411" t="s">
        <v>3344</v>
      </c>
      <c r="V411" t="s">
        <v>3344</v>
      </c>
      <c r="W411" t="s">
        <v>3754</v>
      </c>
      <c r="X411">
        <v>1</v>
      </c>
      <c r="Y411" t="s">
        <v>5410</v>
      </c>
      <c r="Z411" t="s">
        <v>7068</v>
      </c>
      <c r="AA411">
        <v>0.5847059667415223</v>
      </c>
      <c r="AB411">
        <f>HYPERLINK("Melting_Curves/meltCurve_P0A9E5_fnr.pdf", "Melting_Curves/meltCurve_P0A9E5_fnr.pdf")</f>
        <v>0</v>
      </c>
    </row>
    <row r="412" spans="1:28">
      <c r="A412" t="s">
        <v>438</v>
      </c>
      <c r="B412">
        <v>0.999998419929286</v>
      </c>
      <c r="C412">
        <v>0.904110689691457</v>
      </c>
      <c r="D412">
        <v>0.869177838853836</v>
      </c>
      <c r="E412">
        <v>0.829958244208956</v>
      </c>
      <c r="F412">
        <v>0.8223288980589391</v>
      </c>
      <c r="G412">
        <v>0.833560774405542</v>
      </c>
      <c r="H412">
        <v>0.6932065774923279</v>
      </c>
      <c r="I412">
        <v>0.554575694961205</v>
      </c>
      <c r="J412">
        <v>0.579777250317226</v>
      </c>
      <c r="K412">
        <v>0.579289653231585</v>
      </c>
      <c r="L412">
        <v>244.454036639351</v>
      </c>
      <c r="M412">
        <v>3.45559209976534</v>
      </c>
      <c r="O412">
        <v>55.1946380377928</v>
      </c>
      <c r="P412">
        <v>-0.0159698300119546</v>
      </c>
      <c r="Q412">
        <v>0</v>
      </c>
      <c r="R412">
        <v>0.909139944873162</v>
      </c>
      <c r="S412" t="s">
        <v>2096</v>
      </c>
      <c r="T412" t="s">
        <v>3344</v>
      </c>
      <c r="U412" t="s">
        <v>3344</v>
      </c>
      <c r="V412" t="s">
        <v>3344</v>
      </c>
      <c r="W412" t="s">
        <v>3755</v>
      </c>
      <c r="X412">
        <v>2</v>
      </c>
      <c r="Y412" t="s">
        <v>5411</v>
      </c>
      <c r="Z412" t="s">
        <v>7069</v>
      </c>
      <c r="AA412">
        <v>0.7691131304498501</v>
      </c>
      <c r="AB412">
        <f>HYPERLINK("Melting_Curves/meltCurve_P0A9F1_mntR.pdf", "Melting_Curves/meltCurve_P0A9F1_mntR.pdf")</f>
        <v>0</v>
      </c>
    </row>
    <row r="413" spans="1:28">
      <c r="A413" t="s">
        <v>439</v>
      </c>
      <c r="B413">
        <v>0.999998419929286</v>
      </c>
      <c r="C413">
        <v>0.662847713519375</v>
      </c>
      <c r="D413">
        <v>1.01515430110834</v>
      </c>
      <c r="E413">
        <v>0.493316792212322</v>
      </c>
      <c r="F413">
        <v>0.283313397635306</v>
      </c>
      <c r="G413">
        <v>0.112562741223685</v>
      </c>
      <c r="H413">
        <v>0.125319857173647</v>
      </c>
      <c r="I413">
        <v>0.183766813202153</v>
      </c>
      <c r="J413">
        <v>0.129271745121034</v>
      </c>
      <c r="K413">
        <v>0.08659821033512979</v>
      </c>
      <c r="L413">
        <v>1138.73564765798</v>
      </c>
      <c r="M413">
        <v>24.5373217253878</v>
      </c>
      <c r="N413">
        <v>46.9523066166492</v>
      </c>
      <c r="O413">
        <v>46.1033629638658</v>
      </c>
      <c r="P413">
        <v>-0.1165957517394</v>
      </c>
      <c r="Q413">
        <v>0.123722085424661</v>
      </c>
      <c r="R413">
        <v>0.892867777336411</v>
      </c>
      <c r="S413" t="s">
        <v>2097</v>
      </c>
      <c r="T413" t="s">
        <v>3344</v>
      </c>
      <c r="U413" t="s">
        <v>3344</v>
      </c>
      <c r="V413" t="s">
        <v>3344</v>
      </c>
      <c r="W413" t="s">
        <v>3756</v>
      </c>
      <c r="X413">
        <v>1</v>
      </c>
      <c r="Y413" t="s">
        <v>5412</v>
      </c>
      <c r="Z413" t="s">
        <v>7070</v>
      </c>
      <c r="AA413">
        <v>0.4061130631573617</v>
      </c>
      <c r="AB413">
        <f>HYPERLINK("Melting_Curves/meltCurve_P0A9F3_cysB.pdf", "Melting_Curves/meltCurve_P0A9F3_cysB.pdf")</f>
        <v>0</v>
      </c>
    </row>
    <row r="414" spans="1:28">
      <c r="A414" t="s">
        <v>440</v>
      </c>
      <c r="B414">
        <v>0.999998419929286</v>
      </c>
      <c r="C414">
        <v>0.573233602451326</v>
      </c>
      <c r="D414">
        <v>0.308686511810547</v>
      </c>
      <c r="E414">
        <v>0.128280943372313</v>
      </c>
      <c r="F414">
        <v>0.0602664497414873</v>
      </c>
      <c r="G414">
        <v>0.0397216083525541</v>
      </c>
      <c r="H414">
        <v>0.0236530664387599</v>
      </c>
      <c r="I414">
        <v>0.0146617490479593</v>
      </c>
      <c r="J414">
        <v>0.0139963678921948</v>
      </c>
      <c r="K414">
        <v>0.0106084498391075</v>
      </c>
      <c r="L414">
        <v>855.23066591706</v>
      </c>
      <c r="M414">
        <v>20.9053895683489</v>
      </c>
      <c r="N414">
        <v>41.0189963309526</v>
      </c>
      <c r="O414">
        <v>40.5407409904611</v>
      </c>
      <c r="P414">
        <v>-0.125423459124645</v>
      </c>
      <c r="Q414">
        <v>0.0271171374980423</v>
      </c>
      <c r="R414">
        <v>0.983567867778131</v>
      </c>
      <c r="S414" t="s">
        <v>2098</v>
      </c>
      <c r="T414" t="s">
        <v>3344</v>
      </c>
      <c r="U414" t="s">
        <v>3344</v>
      </c>
      <c r="V414" t="s">
        <v>3344</v>
      </c>
      <c r="W414" t="s">
        <v>3757</v>
      </c>
      <c r="X414">
        <v>16</v>
      </c>
      <c r="Y414" t="s">
        <v>5413</v>
      </c>
      <c r="Z414" t="s">
        <v>7071</v>
      </c>
      <c r="AA414">
        <v>0.1691537700297119</v>
      </c>
      <c r="AB414">
        <f>HYPERLINK("Melting_Curves/meltCurve_P0A9G6_aceA.pdf", "Melting_Curves/meltCurve_P0A9G6_aceA.pdf")</f>
        <v>0</v>
      </c>
    </row>
    <row r="415" spans="1:28">
      <c r="A415" t="s">
        <v>441</v>
      </c>
      <c r="B415">
        <v>0.999998419929286</v>
      </c>
      <c r="C415">
        <v>0.862465606760747</v>
      </c>
      <c r="D415">
        <v>0.6466576763381729</v>
      </c>
      <c r="E415">
        <v>0.24238284060385</v>
      </c>
      <c r="F415">
        <v>0.109828712193388</v>
      </c>
      <c r="G415">
        <v>0.0816029900089706</v>
      </c>
      <c r="H415">
        <v>0.052524823242158</v>
      </c>
      <c r="I415">
        <v>0.0439671370091449</v>
      </c>
      <c r="J415">
        <v>0.0375543716570525</v>
      </c>
      <c r="K415">
        <v>0.0347243052087458</v>
      </c>
      <c r="L415">
        <v>912.176441040301</v>
      </c>
      <c r="M415">
        <v>20.7820905679961</v>
      </c>
      <c r="N415">
        <v>44.0788799507846</v>
      </c>
      <c r="O415">
        <v>43.4920874842579</v>
      </c>
      <c r="P415">
        <v>-0.114435773607512</v>
      </c>
      <c r="Q415">
        <v>0.0420768993319151</v>
      </c>
      <c r="R415">
        <v>0.997802977496505</v>
      </c>
      <c r="S415" t="s">
        <v>2099</v>
      </c>
      <c r="T415" t="s">
        <v>3344</v>
      </c>
      <c r="U415" t="s">
        <v>3344</v>
      </c>
      <c r="V415" t="s">
        <v>3344</v>
      </c>
      <c r="W415" t="s">
        <v>3758</v>
      </c>
      <c r="X415">
        <v>2</v>
      </c>
      <c r="Y415" t="s">
        <v>5414</v>
      </c>
      <c r="Z415" t="s">
        <v>7072</v>
      </c>
      <c r="AA415">
        <v>0.2739748083400962</v>
      </c>
      <c r="AB415">
        <f>HYPERLINK("Melting_Curves/meltCurve_P0A9G8_modE.pdf", "Melting_Curves/meltCurve_P0A9G8_modE.pdf")</f>
        <v>0</v>
      </c>
    </row>
    <row r="416" spans="1:28">
      <c r="A416" t="s">
        <v>442</v>
      </c>
      <c r="B416">
        <v>0.999998419929286</v>
      </c>
      <c r="C416">
        <v>0.469228855318054</v>
      </c>
      <c r="D416">
        <v>0.200587793957559</v>
      </c>
      <c r="E416">
        <v>0.0886818237833211</v>
      </c>
      <c r="F416">
        <v>0.0563890684175165</v>
      </c>
      <c r="G416">
        <v>0.0492621544787822</v>
      </c>
      <c r="H416">
        <v>0.0258173484047881</v>
      </c>
      <c r="I416">
        <v>0.0406211339142721</v>
      </c>
      <c r="J416">
        <v>0.0382212030693745</v>
      </c>
      <c r="K416">
        <v>0.0329778001868368</v>
      </c>
      <c r="L416">
        <v>1288.00166457843</v>
      </c>
      <c r="M416">
        <v>32.3388814021448</v>
      </c>
      <c r="N416">
        <v>39.965416591453</v>
      </c>
      <c r="O416">
        <v>39.6768973497496</v>
      </c>
      <c r="P416">
        <v>-0.193063191535712</v>
      </c>
      <c r="Q416">
        <v>0.0525199290411358</v>
      </c>
      <c r="R416">
        <v>0.983840233396014</v>
      </c>
      <c r="S416" t="s">
        <v>2100</v>
      </c>
      <c r="T416" t="s">
        <v>3344</v>
      </c>
      <c r="U416" t="s">
        <v>3344</v>
      </c>
      <c r="V416" t="s">
        <v>3344</v>
      </c>
      <c r="W416" t="s">
        <v>3759</v>
      </c>
      <c r="X416">
        <v>4</v>
      </c>
      <c r="Y416" t="s">
        <v>5415</v>
      </c>
      <c r="Z416" t="s">
        <v>7073</v>
      </c>
      <c r="AA416">
        <v>0.1484284331881121</v>
      </c>
      <c r="AB416">
        <f>HYPERLINK("Melting_Curves/meltCurve_P0A9H1_mug.pdf", "Melting_Curves/meltCurve_P0A9H1_mug.pdf")</f>
        <v>0</v>
      </c>
    </row>
    <row r="417" spans="1:28">
      <c r="A417" t="s">
        <v>443</v>
      </c>
      <c r="B417">
        <v>0.999998419929286</v>
      </c>
      <c r="C417">
        <v>0.605434286559571</v>
      </c>
      <c r="D417">
        <v>0.457001306214177</v>
      </c>
      <c r="E417">
        <v>0.29573344255519</v>
      </c>
      <c r="F417">
        <v>0.156150781342179</v>
      </c>
      <c r="G417">
        <v>0.102006735351821</v>
      </c>
      <c r="H417">
        <v>0.0791170579383426</v>
      </c>
      <c r="I417">
        <v>0.0764073132616479</v>
      </c>
      <c r="J417">
        <v>0.0520201609126959</v>
      </c>
      <c r="K417">
        <v>0.0692815742448076</v>
      </c>
      <c r="L417">
        <v>596.338423661704</v>
      </c>
      <c r="M417">
        <v>14.1934491632656</v>
      </c>
      <c r="N417">
        <v>42.4297573820262</v>
      </c>
      <c r="O417">
        <v>41.2074257266465</v>
      </c>
      <c r="P417">
        <v>-0.08054279180082551</v>
      </c>
      <c r="Q417">
        <v>0.0647676196389368</v>
      </c>
      <c r="R417">
        <v>0.97071004163726</v>
      </c>
      <c r="S417" t="s">
        <v>2101</v>
      </c>
      <c r="T417" t="s">
        <v>3344</v>
      </c>
      <c r="U417" t="s">
        <v>3344</v>
      </c>
      <c r="V417" t="s">
        <v>3344</v>
      </c>
      <c r="W417" t="s">
        <v>3760</v>
      </c>
      <c r="X417">
        <v>1</v>
      </c>
      <c r="Y417" t="s">
        <v>5416</v>
      </c>
      <c r="Z417" t="s">
        <v>7074</v>
      </c>
      <c r="AA417">
        <v>0.2513753362204916</v>
      </c>
      <c r="AB417">
        <f>HYPERLINK("Melting_Curves/meltCurve_P0A9H5_btuR.pdf", "Melting_Curves/meltCurve_P0A9H5_btuR.pdf")</f>
        <v>0</v>
      </c>
    </row>
    <row r="418" spans="1:28">
      <c r="A418" t="s">
        <v>444</v>
      </c>
      <c r="B418">
        <v>0.999998419929286</v>
      </c>
      <c r="C418">
        <v>0.920216638675224</v>
      </c>
      <c r="D418">
        <v>0.6102643035847189</v>
      </c>
      <c r="E418">
        <v>0.505276380149134</v>
      </c>
      <c r="F418">
        <v>0.562618975766755</v>
      </c>
      <c r="G418">
        <v>0.493430391232963</v>
      </c>
      <c r="H418">
        <v>0.403086607306367</v>
      </c>
      <c r="I418">
        <v>0.385504181355839</v>
      </c>
      <c r="J418">
        <v>0.438420223182285</v>
      </c>
      <c r="K418">
        <v>0.455132247948692</v>
      </c>
      <c r="L418">
        <v>1317.70107287476</v>
      </c>
      <c r="M418">
        <v>31.4424668688967</v>
      </c>
      <c r="N418">
        <v>45.4996904349201</v>
      </c>
      <c r="O418">
        <v>41.7399074471226</v>
      </c>
      <c r="P418">
        <v>-0.102033617747265</v>
      </c>
      <c r="Q418">
        <v>0.458204133465269</v>
      </c>
      <c r="R418">
        <v>0.948072826274203</v>
      </c>
      <c r="S418" t="s">
        <v>2102</v>
      </c>
      <c r="T418" t="s">
        <v>3344</v>
      </c>
      <c r="U418" t="s">
        <v>3344</v>
      </c>
      <c r="V418" t="s">
        <v>3344</v>
      </c>
      <c r="W418" t="s">
        <v>3761</v>
      </c>
      <c r="X418">
        <v>1</v>
      </c>
      <c r="Y418" t="s">
        <v>5417</v>
      </c>
      <c r="Z418" t="s">
        <v>7075</v>
      </c>
      <c r="AA418">
        <v>0.5496746720196993</v>
      </c>
      <c r="AB418">
        <f>HYPERLINK("Melting_Curves/meltCurve_P0A9H7_cfa.pdf", "Melting_Curves/meltCurve_P0A9H7_cfa.pdf")</f>
        <v>0</v>
      </c>
    </row>
    <row r="419" spans="1:28">
      <c r="A419" t="s">
        <v>445</v>
      </c>
      <c r="B419">
        <v>0.999998419929286</v>
      </c>
      <c r="C419">
        <v>1.02882595240708</v>
      </c>
      <c r="D419">
        <v>0.766251056872708</v>
      </c>
      <c r="E419">
        <v>0.912953907441019</v>
      </c>
      <c r="F419">
        <v>1.2224385847909</v>
      </c>
      <c r="G419">
        <v>1.03504758029841</v>
      </c>
      <c r="H419">
        <v>1.07349597102985</v>
      </c>
      <c r="I419">
        <v>0.952679624145779</v>
      </c>
      <c r="J419">
        <v>1.13054620625134</v>
      </c>
      <c r="K419">
        <v>0.898381214824267</v>
      </c>
      <c r="L419">
        <v>15000</v>
      </c>
      <c r="M419">
        <v>221.701160247905</v>
      </c>
      <c r="Q419">
        <v>0</v>
      </c>
      <c r="R419">
        <v>0.0691408593376389</v>
      </c>
      <c r="S419" t="s">
        <v>2103</v>
      </c>
      <c r="T419" t="s">
        <v>3344</v>
      </c>
      <c r="U419" t="s">
        <v>3344</v>
      </c>
      <c r="V419" t="s">
        <v>3344</v>
      </c>
      <c r="W419" t="s">
        <v>3762</v>
      </c>
      <c r="X419">
        <v>1</v>
      </c>
      <c r="Y419" t="s">
        <v>5418</v>
      </c>
      <c r="Z419" t="s">
        <v>7076</v>
      </c>
      <c r="AA419">
        <v>0.9989407602492624</v>
      </c>
      <c r="AB419">
        <f>HYPERLINK("Melting_Curves/meltCurve_P0A9H9_cheZ.pdf", "Melting_Curves/meltCurve_P0A9H9_cheZ.pdf")</f>
        <v>0</v>
      </c>
    </row>
    <row r="420" spans="1:28">
      <c r="A420" t="s">
        <v>446</v>
      </c>
      <c r="B420">
        <v>0.999998419929286</v>
      </c>
      <c r="C420">
        <v>1.10881074153914</v>
      </c>
      <c r="D420">
        <v>0.7733239494787461</v>
      </c>
      <c r="E420">
        <v>0.454810362566523</v>
      </c>
      <c r="F420">
        <v>0.169803007950503</v>
      </c>
      <c r="G420">
        <v>0.137665801113209</v>
      </c>
      <c r="H420">
        <v>0.100019295931972</v>
      </c>
      <c r="I420">
        <v>0.09168660030733219</v>
      </c>
      <c r="J420">
        <v>0.050264579845617</v>
      </c>
      <c r="K420">
        <v>0.0488788057326575</v>
      </c>
      <c r="L420">
        <v>1056.50216059758</v>
      </c>
      <c r="M420">
        <v>23.1045928401902</v>
      </c>
      <c r="N420">
        <v>46.0561696869338</v>
      </c>
      <c r="O420">
        <v>45.3884941495439</v>
      </c>
      <c r="P420">
        <v>-0.117574856608365</v>
      </c>
      <c r="Q420">
        <v>0.0761231148922925</v>
      </c>
      <c r="R420">
        <v>0.983505475555745</v>
      </c>
      <c r="S420" t="s">
        <v>2104</v>
      </c>
      <c r="T420" t="s">
        <v>3344</v>
      </c>
      <c r="U420" t="s">
        <v>3344</v>
      </c>
      <c r="V420" t="s">
        <v>3344</v>
      </c>
      <c r="W420" t="s">
        <v>3763</v>
      </c>
      <c r="X420">
        <v>3</v>
      </c>
      <c r="Y420" t="s">
        <v>5419</v>
      </c>
      <c r="Z420" t="s">
        <v>7077</v>
      </c>
      <c r="AA420">
        <v>0.3538561977936776</v>
      </c>
      <c r="AB420">
        <f>HYPERLINK("Melting_Curves/meltCurve_P0A9J0_rng.pdf", "Melting_Curves/meltCurve_P0A9J0_rng.pdf")</f>
        <v>0</v>
      </c>
    </row>
    <row r="421" spans="1:28">
      <c r="A421" t="s">
        <v>447</v>
      </c>
      <c r="B421">
        <v>0.999998419929286</v>
      </c>
      <c r="C421">
        <v>0.982896848047639</v>
      </c>
      <c r="D421">
        <v>1.11742251849715</v>
      </c>
      <c r="E421">
        <v>1.22966576263837</v>
      </c>
      <c r="F421">
        <v>1.3601146140363</v>
      </c>
      <c r="G421">
        <v>1.50060639553582</v>
      </c>
      <c r="H421">
        <v>1.18903600521658</v>
      </c>
      <c r="I421">
        <v>0.914153902728461</v>
      </c>
      <c r="J421">
        <v>0.96516577772347</v>
      </c>
      <c r="K421">
        <v>0.859757992024995</v>
      </c>
      <c r="L421">
        <v>2187.66554658529</v>
      </c>
      <c r="M421">
        <v>32.4940005277442</v>
      </c>
      <c r="Q421">
        <v>0.698627779357298</v>
      </c>
      <c r="R421">
        <v>-0.267882846986584</v>
      </c>
      <c r="S421" t="s">
        <v>2105</v>
      </c>
      <c r="T421" t="s">
        <v>3344</v>
      </c>
      <c r="U421" t="s">
        <v>3344</v>
      </c>
      <c r="V421" t="s">
        <v>3344</v>
      </c>
      <c r="W421" t="s">
        <v>3764</v>
      </c>
      <c r="X421">
        <v>3</v>
      </c>
      <c r="Y421" t="s">
        <v>5420</v>
      </c>
      <c r="Z421" t="s">
        <v>7078</v>
      </c>
      <c r="AA421">
        <v>0.9881010490660934</v>
      </c>
      <c r="AB421">
        <f>HYPERLINK("Melting_Curves/meltCurve_P0A9J6_rbsK.pdf", "Melting_Curves/meltCurve_P0A9J6_rbsK.pdf")</f>
        <v>0</v>
      </c>
    </row>
    <row r="422" spans="1:28">
      <c r="A422" t="s">
        <v>448</v>
      </c>
      <c r="B422">
        <v>0.999998419929286</v>
      </c>
      <c r="C422">
        <v>1.09319008261167</v>
      </c>
      <c r="D422">
        <v>0.855345582048428</v>
      </c>
      <c r="E422">
        <v>0.473132951345335</v>
      </c>
      <c r="F422">
        <v>0.160015331139258</v>
      </c>
      <c r="G422">
        <v>0.0952136004379532</v>
      </c>
      <c r="H422">
        <v>0.0535053493160448</v>
      </c>
      <c r="I422">
        <v>0.0448326957316173</v>
      </c>
      <c r="J422">
        <v>0.0426579223725917</v>
      </c>
      <c r="K422">
        <v>0.0393715308100351</v>
      </c>
      <c r="L422">
        <v>1189.46130097181</v>
      </c>
      <c r="M422">
        <v>25.7403315111997</v>
      </c>
      <c r="N422">
        <v>46.3939118559137</v>
      </c>
      <c r="O422">
        <v>45.9338333925455</v>
      </c>
      <c r="P422">
        <v>-0.133302166997668</v>
      </c>
      <c r="Q422">
        <v>0.0484963992941707</v>
      </c>
      <c r="R422">
        <v>0.992309897832616</v>
      </c>
      <c r="S422" t="s">
        <v>2106</v>
      </c>
      <c r="T422" t="s">
        <v>3344</v>
      </c>
      <c r="U422" t="s">
        <v>3344</v>
      </c>
      <c r="V422" t="s">
        <v>3344</v>
      </c>
      <c r="W422" t="s">
        <v>3765</v>
      </c>
      <c r="X422">
        <v>8</v>
      </c>
      <c r="Y422" t="s">
        <v>5421</v>
      </c>
      <c r="Z422" t="s">
        <v>7079</v>
      </c>
      <c r="AA422">
        <v>0.3480562033435258</v>
      </c>
      <c r="AB422">
        <f>HYPERLINK("Melting_Curves/meltCurve_P0A9J8_pheA.pdf", "Melting_Curves/meltCurve_P0A9J8_pheA.pdf")</f>
        <v>0</v>
      </c>
    </row>
    <row r="423" spans="1:28">
      <c r="A423" t="s">
        <v>449</v>
      </c>
      <c r="B423">
        <v>0.999998419929286</v>
      </c>
      <c r="C423">
        <v>1.16219677419033</v>
      </c>
      <c r="D423">
        <v>1.05383753244978</v>
      </c>
      <c r="E423">
        <v>1.07454350717288</v>
      </c>
      <c r="F423">
        <v>1.04786130311376</v>
      </c>
      <c r="G423">
        <v>0.9915559754597431</v>
      </c>
      <c r="H423">
        <v>0.738508792672658</v>
      </c>
      <c r="I423">
        <v>0.411992654390362</v>
      </c>
      <c r="J423">
        <v>0.273366113587463</v>
      </c>
      <c r="K423">
        <v>0.159209629433261</v>
      </c>
      <c r="L423">
        <v>1690.65277883201</v>
      </c>
      <c r="M423">
        <v>28.5378224667323</v>
      </c>
      <c r="N423">
        <v>60.0203323503095</v>
      </c>
      <c r="O423">
        <v>58.9539011654973</v>
      </c>
      <c r="P423">
        <v>-0.102312730802293</v>
      </c>
      <c r="Q423">
        <v>0.1545692404528</v>
      </c>
      <c r="R423">
        <v>0.967256591982632</v>
      </c>
      <c r="S423" t="s">
        <v>2107</v>
      </c>
      <c r="T423" t="s">
        <v>3344</v>
      </c>
      <c r="U423" t="s">
        <v>3344</v>
      </c>
      <c r="V423" t="s">
        <v>3344</v>
      </c>
      <c r="W423" t="s">
        <v>3766</v>
      </c>
      <c r="X423">
        <v>11</v>
      </c>
      <c r="Y423" t="s">
        <v>5422</v>
      </c>
      <c r="Z423" t="s">
        <v>7080</v>
      </c>
      <c r="AA423">
        <v>0.7853040188301734</v>
      </c>
      <c r="AB423">
        <f>HYPERLINK("Melting_Curves/meltCurve_P0A9K3_ybeZ.pdf", "Melting_Curves/meltCurve_P0A9K3_ybeZ.pdf")</f>
        <v>0</v>
      </c>
    </row>
    <row r="424" spans="1:28">
      <c r="A424" t="s">
        <v>450</v>
      </c>
      <c r="B424">
        <v>0.999998419929286</v>
      </c>
      <c r="C424">
        <v>0.813815163640312</v>
      </c>
      <c r="D424">
        <v>0.851216537437813</v>
      </c>
      <c r="E424">
        <v>0.868331640565148</v>
      </c>
      <c r="F424">
        <v>0.910167292780073</v>
      </c>
      <c r="G424">
        <v>0.775402194388075</v>
      </c>
      <c r="H424">
        <v>0.556409409533795</v>
      </c>
      <c r="I424">
        <v>0.282887176099068</v>
      </c>
      <c r="J424">
        <v>0.22992782940159</v>
      </c>
      <c r="K424">
        <v>0.205942821709548</v>
      </c>
      <c r="L424">
        <v>702.383463151463</v>
      </c>
      <c r="M424">
        <v>12.0971972677519</v>
      </c>
      <c r="N424">
        <v>58.0616690593628</v>
      </c>
      <c r="O424">
        <v>56.5433616507514</v>
      </c>
      <c r="P424">
        <v>-0.0534988697862623</v>
      </c>
      <c r="Q424">
        <v>0</v>
      </c>
      <c r="R424">
        <v>0.915841953179789</v>
      </c>
      <c r="S424" t="s">
        <v>2108</v>
      </c>
      <c r="T424" t="s">
        <v>3344</v>
      </c>
      <c r="U424" t="s">
        <v>3344</v>
      </c>
      <c r="V424" t="s">
        <v>3344</v>
      </c>
      <c r="W424" t="s">
        <v>3767</v>
      </c>
      <c r="X424">
        <v>6</v>
      </c>
      <c r="Y424" t="s">
        <v>5423</v>
      </c>
      <c r="Z424" t="s">
        <v>7081</v>
      </c>
      <c r="AA424">
        <v>0.700577199088247</v>
      </c>
      <c r="AB424">
        <f>HYPERLINK("Melting_Curves/meltCurve_P0A9K7_phoU.pdf", "Melting_Curves/meltCurve_P0A9K7_phoU.pdf")</f>
        <v>0</v>
      </c>
    </row>
    <row r="425" spans="1:28">
      <c r="A425" t="s">
        <v>451</v>
      </c>
      <c r="B425">
        <v>0.999998419929286</v>
      </c>
      <c r="C425">
        <v>1.14849744042184</v>
      </c>
      <c r="D425">
        <v>1.2461430250629</v>
      </c>
      <c r="E425">
        <v>1.48667550958084</v>
      </c>
      <c r="F425">
        <v>1.73924391318963</v>
      </c>
      <c r="G425">
        <v>2.21125834994514</v>
      </c>
      <c r="H425">
        <v>1.99947609209569</v>
      </c>
      <c r="I425">
        <v>1.85460031793409</v>
      </c>
      <c r="J425">
        <v>2.22744603505219</v>
      </c>
      <c r="K425">
        <v>2.36647707669956</v>
      </c>
      <c r="L425">
        <v>1265.22180763116</v>
      </c>
      <c r="M425">
        <v>29.8759438936997</v>
      </c>
      <c r="O425">
        <v>42.1608065932065</v>
      </c>
      <c r="P425">
        <v>0.0885779547513733</v>
      </c>
      <c r="Q425">
        <v>1.5</v>
      </c>
      <c r="R425">
        <v>-0.044715146429005</v>
      </c>
      <c r="S425" t="s">
        <v>2109</v>
      </c>
      <c r="T425" t="s">
        <v>3344</v>
      </c>
      <c r="U425" t="s">
        <v>3344</v>
      </c>
      <c r="V425" t="s">
        <v>3344</v>
      </c>
      <c r="W425" t="s">
        <v>3768</v>
      </c>
      <c r="X425">
        <v>2</v>
      </c>
      <c r="Y425" t="s">
        <v>5424</v>
      </c>
      <c r="Z425" t="s">
        <v>7082</v>
      </c>
      <c r="AA425">
        <v>1.407979207463981</v>
      </c>
      <c r="AB425">
        <f>HYPERLINK("Melting_Curves/meltCurve_P0A9K9_slyD.pdf", "Melting_Curves/meltCurve_P0A9K9_slyD.pdf")</f>
        <v>0</v>
      </c>
    </row>
    <row r="426" spans="1:28">
      <c r="A426" t="s">
        <v>452</v>
      </c>
      <c r="B426">
        <v>0.999998419929286</v>
      </c>
      <c r="C426">
        <v>0.841150539454098</v>
      </c>
      <c r="D426">
        <v>0.960457331852716</v>
      </c>
      <c r="E426">
        <v>1.01850373692546</v>
      </c>
      <c r="F426">
        <v>1.14893998627156</v>
      </c>
      <c r="G426">
        <v>1.41661166445307</v>
      </c>
      <c r="H426">
        <v>1.18257100668877</v>
      </c>
      <c r="I426">
        <v>0.777813088632024</v>
      </c>
      <c r="J426">
        <v>0.817160221355504</v>
      </c>
      <c r="K426">
        <v>0.696447620397579</v>
      </c>
      <c r="L426">
        <v>15000</v>
      </c>
      <c r="M426">
        <v>248.259805486168</v>
      </c>
      <c r="O426">
        <v>60.4166389878043</v>
      </c>
      <c r="P426">
        <v>-0.249833433660549</v>
      </c>
      <c r="Q426">
        <v>0.75680155053806</v>
      </c>
      <c r="R426">
        <v>0.386041704015827</v>
      </c>
      <c r="S426" t="s">
        <v>2110</v>
      </c>
      <c r="T426" t="s">
        <v>3344</v>
      </c>
      <c r="U426" t="s">
        <v>3344</v>
      </c>
      <c r="V426" t="s">
        <v>3344</v>
      </c>
      <c r="W426" t="s">
        <v>3769</v>
      </c>
      <c r="X426">
        <v>8</v>
      </c>
      <c r="Y426" t="s">
        <v>5425</v>
      </c>
      <c r="Z426" t="s">
        <v>7083</v>
      </c>
      <c r="AA426">
        <v>0.9466892792430668</v>
      </c>
      <c r="AB426">
        <f>HYPERLINK("Melting_Curves/meltCurve_P0A9L3_fklB.pdf", "Melting_Curves/meltCurve_P0A9L3_fklB.pdf")</f>
        <v>0</v>
      </c>
    </row>
    <row r="427" spans="1:28">
      <c r="A427" t="s">
        <v>453</v>
      </c>
      <c r="B427">
        <v>0.999998419929286</v>
      </c>
      <c r="C427">
        <v>0.81057213666127</v>
      </c>
      <c r="D427">
        <v>0.846794423326453</v>
      </c>
      <c r="E427">
        <v>0.885263519864223</v>
      </c>
      <c r="F427">
        <v>0.707334603304521</v>
      </c>
      <c r="G427">
        <v>0.496684612070035</v>
      </c>
      <c r="H427">
        <v>0.277061395893061</v>
      </c>
      <c r="I427">
        <v>0.109711349273422</v>
      </c>
      <c r="J427">
        <v>0.0919216286464701</v>
      </c>
      <c r="K427">
        <v>0.0784782310415411</v>
      </c>
      <c r="L427">
        <v>670.5349846299609</v>
      </c>
      <c r="M427">
        <v>12.6035312428455</v>
      </c>
      <c r="N427">
        <v>53.2021519463314</v>
      </c>
      <c r="O427">
        <v>51.9160987059384</v>
      </c>
      <c r="P427">
        <v>-0.0607039178609049</v>
      </c>
      <c r="Q427">
        <v>0</v>
      </c>
      <c r="R427">
        <v>0.960059336954373</v>
      </c>
      <c r="S427" t="s">
        <v>2111</v>
      </c>
      <c r="T427" t="s">
        <v>3344</v>
      </c>
      <c r="U427" t="s">
        <v>3344</v>
      </c>
      <c r="V427" t="s">
        <v>3344</v>
      </c>
      <c r="W427" t="s">
        <v>3770</v>
      </c>
      <c r="X427">
        <v>3</v>
      </c>
      <c r="Y427" t="s">
        <v>5426</v>
      </c>
      <c r="Z427" t="s">
        <v>7084</v>
      </c>
      <c r="AA427">
        <v>0.5600433882137392</v>
      </c>
      <c r="AB427">
        <f>HYPERLINK("Melting_Curves/meltCurve_P0A9L5_ppiC.pdf", "Melting_Curves/meltCurve_P0A9L5_ppiC.pdf")</f>
        <v>0</v>
      </c>
    </row>
    <row r="428" spans="1:28">
      <c r="A428" t="s">
        <v>454</v>
      </c>
      <c r="B428">
        <v>0.999998419929286</v>
      </c>
      <c r="C428">
        <v>0.635311926546815</v>
      </c>
      <c r="D428">
        <v>0.654601703819046</v>
      </c>
      <c r="E428">
        <v>0.34597957504466</v>
      </c>
      <c r="F428">
        <v>0.211546815298269</v>
      </c>
      <c r="G428">
        <v>0.127075281113227</v>
      </c>
      <c r="H428">
        <v>0.0882433470855101</v>
      </c>
      <c r="I428">
        <v>0.0524395110884857</v>
      </c>
      <c r="J428">
        <v>0.0426920570250983</v>
      </c>
      <c r="K428">
        <v>0.0397764333572759</v>
      </c>
      <c r="L428">
        <v>498.33538048264</v>
      </c>
      <c r="M428">
        <v>11.3050542914379</v>
      </c>
      <c r="N428">
        <v>44.2095303473752</v>
      </c>
      <c r="O428">
        <v>42.7690077583689</v>
      </c>
      <c r="P428">
        <v>-0.06503157554003949</v>
      </c>
      <c r="Q428">
        <v>0.0161947042560966</v>
      </c>
      <c r="R428">
        <v>0.965550724562379</v>
      </c>
      <c r="S428" t="s">
        <v>2112</v>
      </c>
      <c r="T428" t="s">
        <v>3344</v>
      </c>
      <c r="U428" t="s">
        <v>3344</v>
      </c>
      <c r="V428" t="s">
        <v>3344</v>
      </c>
      <c r="W428" t="s">
        <v>3771</v>
      </c>
      <c r="X428">
        <v>4</v>
      </c>
      <c r="Y428" t="s">
        <v>5427</v>
      </c>
      <c r="Z428" t="s">
        <v>7085</v>
      </c>
      <c r="AA428">
        <v>0.2905939585704375</v>
      </c>
      <c r="AB428">
        <f>HYPERLINK("Melting_Curves/meltCurve_P0A9L8_proC.pdf", "Melting_Curves/meltCurve_P0A9L8_proC.pdf")</f>
        <v>0</v>
      </c>
    </row>
    <row r="429" spans="1:28">
      <c r="A429" t="s">
        <v>455</v>
      </c>
      <c r="B429">
        <v>0.999998419929286</v>
      </c>
      <c r="C429">
        <v>0.899206504761682</v>
      </c>
      <c r="D429">
        <v>0.500686138001577</v>
      </c>
      <c r="E429">
        <v>0.335612768868776</v>
      </c>
      <c r="F429">
        <v>0.354859554025623</v>
      </c>
      <c r="G429">
        <v>0.385979931059362</v>
      </c>
      <c r="H429">
        <v>0.340314350351868</v>
      </c>
      <c r="I429">
        <v>0.286483708998721</v>
      </c>
      <c r="J429">
        <v>0.25640354541353</v>
      </c>
      <c r="K429">
        <v>0.27894894745024</v>
      </c>
      <c r="L429">
        <v>1508.39715515142</v>
      </c>
      <c r="M429">
        <v>36.0649347249567</v>
      </c>
      <c r="N429">
        <v>43.023378083025</v>
      </c>
      <c r="O429">
        <v>41.6965107735803</v>
      </c>
      <c r="P429">
        <v>-0.14769390996004</v>
      </c>
      <c r="Q429">
        <v>0.316976258577001</v>
      </c>
      <c r="R429">
        <v>0.980086126932846</v>
      </c>
      <c r="S429" t="s">
        <v>2113</v>
      </c>
      <c r="T429" t="s">
        <v>3344</v>
      </c>
      <c r="U429" t="s">
        <v>3344</v>
      </c>
      <c r="V429" t="s">
        <v>3344</v>
      </c>
      <c r="W429" t="s">
        <v>3772</v>
      </c>
      <c r="X429">
        <v>19</v>
      </c>
      <c r="Y429" t="s">
        <v>5428</v>
      </c>
      <c r="Z429" t="s">
        <v>7086</v>
      </c>
      <c r="AA429">
        <v>0.4294301379417627</v>
      </c>
      <c r="AB429">
        <f>HYPERLINK("Melting_Curves/meltCurve_P0A9M0_lon.pdf", "Melting_Curves/meltCurve_P0A9M0_lon.pdf")</f>
        <v>0</v>
      </c>
    </row>
    <row r="430" spans="1:28">
      <c r="A430" t="s">
        <v>456</v>
      </c>
      <c r="B430">
        <v>0.999998419929286</v>
      </c>
      <c r="C430">
        <v>0.680259813489936</v>
      </c>
      <c r="D430">
        <v>0.697025897127722</v>
      </c>
      <c r="E430">
        <v>0.426387134960119</v>
      </c>
      <c r="F430">
        <v>0.265368278004899</v>
      </c>
      <c r="G430">
        <v>0.167332894070473</v>
      </c>
      <c r="H430">
        <v>0.111479340767304</v>
      </c>
      <c r="I430">
        <v>0.0769223700164459</v>
      </c>
      <c r="J430">
        <v>0.072967319209292</v>
      </c>
      <c r="K430">
        <v>0.060999904963764</v>
      </c>
      <c r="L430">
        <v>478.344311560164</v>
      </c>
      <c r="M430">
        <v>10.6189069479971</v>
      </c>
      <c r="N430">
        <v>45.2742382907193</v>
      </c>
      <c r="O430">
        <v>43.5370059944644</v>
      </c>
      <c r="P430">
        <v>-0.0594133212342221</v>
      </c>
      <c r="Q430">
        <v>0.0260093489351441</v>
      </c>
      <c r="R430">
        <v>0.972765896857949</v>
      </c>
      <c r="S430" t="s">
        <v>2114</v>
      </c>
      <c r="T430" t="s">
        <v>3344</v>
      </c>
      <c r="U430" t="s">
        <v>3344</v>
      </c>
      <c r="V430" t="s">
        <v>3344</v>
      </c>
      <c r="W430" t="s">
        <v>3773</v>
      </c>
      <c r="X430">
        <v>5</v>
      </c>
      <c r="Y430" t="s">
        <v>5429</v>
      </c>
      <c r="Z430" t="s">
        <v>7087</v>
      </c>
      <c r="AA430">
        <v>0.330899636997013</v>
      </c>
      <c r="AB430">
        <f>HYPERLINK("Melting_Curves/meltCurve_P0A9M2_hpt.pdf", "Melting_Curves/meltCurve_P0A9M2_hpt.pdf")</f>
        <v>0</v>
      </c>
    </row>
    <row r="431" spans="1:28">
      <c r="A431" t="s">
        <v>457</v>
      </c>
      <c r="B431">
        <v>0.999998419929286</v>
      </c>
      <c r="C431">
        <v>0.844916791131782</v>
      </c>
      <c r="D431">
        <v>0.99993251850997</v>
      </c>
      <c r="E431">
        <v>0.954759687438317</v>
      </c>
      <c r="F431">
        <v>1.12176312858548</v>
      </c>
      <c r="G431">
        <v>1.17145862309804</v>
      </c>
      <c r="H431">
        <v>0.957951797223626</v>
      </c>
      <c r="I431">
        <v>0.478665309863131</v>
      </c>
      <c r="J431">
        <v>0.166720057432646</v>
      </c>
      <c r="K431">
        <v>0.0848423863518171</v>
      </c>
      <c r="L431">
        <v>3133.74508151143</v>
      </c>
      <c r="M431">
        <v>51.6507864190317</v>
      </c>
      <c r="N431">
        <v>60.9160872432284</v>
      </c>
      <c r="O431">
        <v>60.5810493670723</v>
      </c>
      <c r="P431">
        <v>-0.19320701799794</v>
      </c>
      <c r="Q431">
        <v>0.093553188723231</v>
      </c>
      <c r="R431">
        <v>0.948380203156118</v>
      </c>
      <c r="S431" t="s">
        <v>2115</v>
      </c>
      <c r="T431" t="s">
        <v>3344</v>
      </c>
      <c r="U431" t="s">
        <v>3344</v>
      </c>
      <c r="V431" t="s">
        <v>3344</v>
      </c>
      <c r="W431" t="s">
        <v>3774</v>
      </c>
      <c r="X431">
        <v>4</v>
      </c>
      <c r="Y431" t="s">
        <v>5430</v>
      </c>
      <c r="Z431" t="s">
        <v>7088</v>
      </c>
      <c r="AA431">
        <v>0.8107228447373825</v>
      </c>
      <c r="AB431">
        <f>HYPERLINK("Melting_Curves/meltCurve_P0A9M5_gpt.pdf", "Melting_Curves/meltCurve_P0A9M5_gpt.pdf")</f>
        <v>0</v>
      </c>
    </row>
    <row r="432" spans="1:28">
      <c r="A432" t="s">
        <v>458</v>
      </c>
      <c r="B432">
        <v>0.999998419929286</v>
      </c>
      <c r="C432">
        <v>1.41748531949783</v>
      </c>
      <c r="D432">
        <v>1.30547698292007</v>
      </c>
      <c r="E432">
        <v>1.09412350202085</v>
      </c>
      <c r="F432">
        <v>0.363857231609459</v>
      </c>
      <c r="G432">
        <v>0.104465789252634</v>
      </c>
      <c r="H432">
        <v>0.0474521767310496</v>
      </c>
      <c r="I432">
        <v>0.0349355664023519</v>
      </c>
      <c r="J432">
        <v>0.0284690247965796</v>
      </c>
      <c r="K432">
        <v>0.0292804006360756</v>
      </c>
      <c r="L432">
        <v>12514.7068158522</v>
      </c>
      <c r="M432">
        <v>250</v>
      </c>
      <c r="N432">
        <v>50.079453371113</v>
      </c>
      <c r="O432">
        <v>50.0556232470893</v>
      </c>
      <c r="P432">
        <v>-1.1875281699117</v>
      </c>
      <c r="Q432">
        <v>0.0489205873332183</v>
      </c>
      <c r="R432">
        <v>0.909946160291857</v>
      </c>
      <c r="S432" t="s">
        <v>2116</v>
      </c>
      <c r="T432" t="s">
        <v>3344</v>
      </c>
      <c r="U432" t="s">
        <v>3344</v>
      </c>
      <c r="V432" t="s">
        <v>3344</v>
      </c>
      <c r="W432" t="s">
        <v>3775</v>
      </c>
      <c r="X432">
        <v>19</v>
      </c>
      <c r="Y432" t="s">
        <v>5431</v>
      </c>
      <c r="Z432" t="s">
        <v>7089</v>
      </c>
      <c r="AA432">
        <v>0.4630035341285604</v>
      </c>
      <c r="AB432">
        <f>HYPERLINK("Melting_Curves/meltCurve_P0A9M8_pta.pdf", "Melting_Curves/meltCurve_P0A9M8_pta.pdf")</f>
        <v>0</v>
      </c>
    </row>
    <row r="433" spans="1:28">
      <c r="A433" t="s">
        <v>459</v>
      </c>
      <c r="B433">
        <v>0.999998419929286</v>
      </c>
      <c r="C433">
        <v>0.853946229589426</v>
      </c>
      <c r="D433">
        <v>0.700992284474222</v>
      </c>
      <c r="E433">
        <v>0.676904434181498</v>
      </c>
      <c r="F433">
        <v>0.680331439160102</v>
      </c>
      <c r="G433">
        <v>0.763078382558499</v>
      </c>
      <c r="H433">
        <v>0.76372397070951</v>
      </c>
      <c r="I433">
        <v>0.776800603572297</v>
      </c>
      <c r="J433">
        <v>0.785329042646147</v>
      </c>
      <c r="K433">
        <v>0.668382805562912</v>
      </c>
      <c r="L433">
        <v>9969.42352318562</v>
      </c>
      <c r="M433">
        <v>250</v>
      </c>
      <c r="O433">
        <v>39.8751423164104</v>
      </c>
      <c r="P433">
        <v>-0.427987706326789</v>
      </c>
      <c r="Q433">
        <v>0.7269428700298241</v>
      </c>
      <c r="R433">
        <v>0.811637587172745</v>
      </c>
      <c r="S433" t="s">
        <v>2117</v>
      </c>
      <c r="T433" t="s">
        <v>3344</v>
      </c>
      <c r="U433" t="s">
        <v>3344</v>
      </c>
      <c r="V433" t="s">
        <v>3344</v>
      </c>
      <c r="W433" t="s">
        <v>3776</v>
      </c>
      <c r="X433">
        <v>1</v>
      </c>
      <c r="Y433" t="s">
        <v>5432</v>
      </c>
      <c r="Z433" t="s">
        <v>7090</v>
      </c>
      <c r="AA433">
        <v>0.7531544761943612</v>
      </c>
      <c r="AB433">
        <f>HYPERLINK("Melting_Curves/meltCurve_P0A9N0_ptsO.pdf", "Melting_Curves/meltCurve_P0A9N0_ptsO.pdf")</f>
        <v>0</v>
      </c>
    </row>
    <row r="434" spans="1:28">
      <c r="A434" t="s">
        <v>460</v>
      </c>
      <c r="B434">
        <v>0.999998419929286</v>
      </c>
      <c r="C434">
        <v>0.744754291030586</v>
      </c>
      <c r="D434">
        <v>0.603909566716284</v>
      </c>
      <c r="E434">
        <v>0.338720118554023</v>
      </c>
      <c r="F434">
        <v>0.274256920489353</v>
      </c>
      <c r="G434">
        <v>0.176273068322085</v>
      </c>
      <c r="H434">
        <v>0.103591830418006</v>
      </c>
      <c r="I434">
        <v>0.0927629702172503</v>
      </c>
      <c r="J434">
        <v>0.0966731508618494</v>
      </c>
      <c r="K434">
        <v>0.08316514418089101</v>
      </c>
      <c r="L434">
        <v>562.25599724914</v>
      </c>
      <c r="M434">
        <v>12.8427980741082</v>
      </c>
      <c r="N434">
        <v>44.3828213661677</v>
      </c>
      <c r="O434">
        <v>42.7591412120467</v>
      </c>
      <c r="P434">
        <v>-0.06909001021057259</v>
      </c>
      <c r="Q434">
        <v>0.08005009708194601</v>
      </c>
      <c r="R434">
        <v>0.986315360192527</v>
      </c>
      <c r="S434" t="s">
        <v>2118</v>
      </c>
      <c r="T434" t="s">
        <v>3344</v>
      </c>
      <c r="U434" t="s">
        <v>3344</v>
      </c>
      <c r="V434" t="s">
        <v>3344</v>
      </c>
      <c r="W434" t="s">
        <v>3777</v>
      </c>
      <c r="X434">
        <v>3</v>
      </c>
      <c r="Y434" t="s">
        <v>5433</v>
      </c>
      <c r="Z434" t="s">
        <v>7091</v>
      </c>
      <c r="AA434">
        <v>0.3196313007882021</v>
      </c>
      <c r="AB434">
        <f>HYPERLINK("Melting_Curves/meltCurve_P0A9N4_pflA.pdf", "Melting_Curves/meltCurve_P0A9N4_pflA.pdf")</f>
        <v>0</v>
      </c>
    </row>
    <row r="435" spans="1:28">
      <c r="A435" t="s">
        <v>461</v>
      </c>
      <c r="B435">
        <v>0.999998419929286</v>
      </c>
      <c r="C435">
        <v>1.22097878998097</v>
      </c>
      <c r="D435">
        <v>1.28210261271498</v>
      </c>
      <c r="E435">
        <v>0.875451683036514</v>
      </c>
      <c r="F435">
        <v>0.383406962374255</v>
      </c>
      <c r="G435">
        <v>0.210390497029634</v>
      </c>
      <c r="H435">
        <v>0.0822861807998507</v>
      </c>
      <c r="I435">
        <v>0.0458339508074265</v>
      </c>
      <c r="J435">
        <v>0.0266387717028051</v>
      </c>
      <c r="K435">
        <v>0.0275425975948026</v>
      </c>
      <c r="L435">
        <v>1575.8958365747</v>
      </c>
      <c r="M435">
        <v>31.8814217979722</v>
      </c>
      <c r="N435">
        <v>49.6205822247239</v>
      </c>
      <c r="O435">
        <v>49.2366592807773</v>
      </c>
      <c r="P435">
        <v>-0.15254695123735</v>
      </c>
      <c r="Q435">
        <v>0.0576502044251911</v>
      </c>
      <c r="R435">
        <v>0.941071798435288</v>
      </c>
      <c r="S435" t="s">
        <v>2119</v>
      </c>
      <c r="T435" t="s">
        <v>3344</v>
      </c>
      <c r="U435" t="s">
        <v>3344</v>
      </c>
      <c r="V435" t="s">
        <v>3344</v>
      </c>
      <c r="W435" t="s">
        <v>3778</v>
      </c>
      <c r="X435">
        <v>19</v>
      </c>
      <c r="Y435" t="s">
        <v>5434</v>
      </c>
      <c r="Z435" t="s">
        <v>7092</v>
      </c>
      <c r="AA435">
        <v>0.4531680325358566</v>
      </c>
      <c r="AB435">
        <f>HYPERLINK("Melting_Curves/meltCurve_P0A9P0_lpdA.pdf", "Melting_Curves/meltCurve_P0A9P0_lpdA.pdf")</f>
        <v>0</v>
      </c>
    </row>
    <row r="436" spans="1:28">
      <c r="A436" t="s">
        <v>462</v>
      </c>
      <c r="B436">
        <v>0.999998419929286</v>
      </c>
      <c r="C436">
        <v>0.884929445999484</v>
      </c>
      <c r="D436">
        <v>0.966020244568411</v>
      </c>
      <c r="E436">
        <v>1.02369583872219</v>
      </c>
      <c r="F436">
        <v>1.20621801827193</v>
      </c>
      <c r="G436">
        <v>1.24629778456</v>
      </c>
      <c r="H436">
        <v>1.04864519327514</v>
      </c>
      <c r="I436">
        <v>0.855585244398975</v>
      </c>
      <c r="J436">
        <v>0.803580462108634</v>
      </c>
      <c r="K436">
        <v>0.67113157164723</v>
      </c>
      <c r="L436">
        <v>2153.82630584497</v>
      </c>
      <c r="M436">
        <v>34.3183834332902</v>
      </c>
      <c r="O436">
        <v>62.5481964836463</v>
      </c>
      <c r="P436">
        <v>-0.0477278143273867</v>
      </c>
      <c r="Q436">
        <v>0.652049286401901</v>
      </c>
      <c r="R436">
        <v>0.546289559345372</v>
      </c>
      <c r="S436" t="s">
        <v>2120</v>
      </c>
      <c r="T436" t="s">
        <v>3344</v>
      </c>
      <c r="U436" t="s">
        <v>3344</v>
      </c>
      <c r="V436" t="s">
        <v>3344</v>
      </c>
      <c r="W436" t="s">
        <v>3779</v>
      </c>
      <c r="X436">
        <v>8</v>
      </c>
      <c r="Y436" t="s">
        <v>5435</v>
      </c>
      <c r="Z436" t="s">
        <v>7093</v>
      </c>
      <c r="AA436">
        <v>0.9500881719698507</v>
      </c>
      <c r="AB436">
        <f>HYPERLINK("Melting_Curves/meltCurve_P0A9P4_trxB.pdf", "Melting_Curves/meltCurve_P0A9P4_trxB.pdf")</f>
        <v>0</v>
      </c>
    </row>
    <row r="437" spans="1:28">
      <c r="A437" t="s">
        <v>463</v>
      </c>
      <c r="B437">
        <v>0.999998419929286</v>
      </c>
      <c r="C437">
        <v>1.01220055941959</v>
      </c>
      <c r="D437">
        <v>1.07330317640769</v>
      </c>
      <c r="E437">
        <v>1.13985000817007</v>
      </c>
      <c r="F437">
        <v>1.10894442986745</v>
      </c>
      <c r="G437">
        <v>1.20453882350039</v>
      </c>
      <c r="H437">
        <v>0.779163239130103</v>
      </c>
      <c r="I437">
        <v>0.371293957284806</v>
      </c>
      <c r="J437">
        <v>0.232117869645621</v>
      </c>
      <c r="K437">
        <v>0.177895574227419</v>
      </c>
      <c r="L437">
        <v>2589.2493430364</v>
      </c>
      <c r="M437">
        <v>43.8921654438735</v>
      </c>
      <c r="N437">
        <v>59.6716514427669</v>
      </c>
      <c r="O437">
        <v>58.8690907007336</v>
      </c>
      <c r="P437">
        <v>-0.14969564450408</v>
      </c>
      <c r="Q437">
        <v>0.196901426638568</v>
      </c>
      <c r="R437">
        <v>0.939592447145371</v>
      </c>
      <c r="S437" t="s">
        <v>2121</v>
      </c>
      <c r="T437" t="s">
        <v>3344</v>
      </c>
      <c r="U437" t="s">
        <v>3344</v>
      </c>
      <c r="V437" t="s">
        <v>3344</v>
      </c>
      <c r="W437" t="s">
        <v>3780</v>
      </c>
      <c r="X437">
        <v>9</v>
      </c>
      <c r="Y437" t="s">
        <v>5436</v>
      </c>
      <c r="Z437" t="s">
        <v>7094</v>
      </c>
      <c r="AA437">
        <v>0.7880624396606289</v>
      </c>
      <c r="AB437">
        <f>HYPERLINK("Melting_Curves/meltCurve_P0A9Q1_arcA.pdf", "Melting_Curves/meltCurve_P0A9Q1_arcA.pdf")</f>
        <v>0</v>
      </c>
    </row>
    <row r="438" spans="1:28">
      <c r="A438" t="s">
        <v>464</v>
      </c>
      <c r="B438">
        <v>0.999998419929286</v>
      </c>
      <c r="C438">
        <v>0.796312231954749</v>
      </c>
      <c r="D438">
        <v>0.859821292901621</v>
      </c>
      <c r="E438">
        <v>0.618123601236013</v>
      </c>
      <c r="F438">
        <v>0.568883750431413</v>
      </c>
      <c r="G438">
        <v>0.419932963986513</v>
      </c>
      <c r="H438">
        <v>0.146679368152516</v>
      </c>
      <c r="I438">
        <v>0.0977636243791786</v>
      </c>
      <c r="J438">
        <v>0.09601056369154699</v>
      </c>
      <c r="K438">
        <v>0.0805654943099479</v>
      </c>
      <c r="L438">
        <v>478.853932104873</v>
      </c>
      <c r="M438">
        <v>9.56889718967212</v>
      </c>
      <c r="N438">
        <v>50.0427478960841</v>
      </c>
      <c r="O438">
        <v>48.0035284224666</v>
      </c>
      <c r="P438">
        <v>-0.0498630197804823</v>
      </c>
      <c r="Q438">
        <v>0</v>
      </c>
      <c r="R438">
        <v>0.962214795343723</v>
      </c>
      <c r="S438" t="s">
        <v>2122</v>
      </c>
      <c r="T438" t="s">
        <v>3344</v>
      </c>
      <c r="U438" t="s">
        <v>3344</v>
      </c>
      <c r="V438" t="s">
        <v>3344</v>
      </c>
      <c r="W438" t="s">
        <v>3781</v>
      </c>
      <c r="X438">
        <v>11</v>
      </c>
      <c r="Y438" t="s">
        <v>5437</v>
      </c>
      <c r="Z438" t="s">
        <v>7095</v>
      </c>
      <c r="AA438">
        <v>0.4699377248955172</v>
      </c>
      <c r="AB438">
        <f>HYPERLINK("Melting_Curves/meltCurve_P0A9Q5_accD.pdf", "Melting_Curves/meltCurve_P0A9Q5_accD.pdf")</f>
        <v>0</v>
      </c>
    </row>
    <row r="439" spans="1:28">
      <c r="A439" t="s">
        <v>465</v>
      </c>
      <c r="B439">
        <v>0.999998419929286</v>
      </c>
      <c r="C439">
        <v>0.810538825153729</v>
      </c>
      <c r="D439">
        <v>0.419392698874726</v>
      </c>
      <c r="E439">
        <v>0.273039016198002</v>
      </c>
      <c r="F439">
        <v>0.211707638133894</v>
      </c>
      <c r="G439">
        <v>0.233626409960075</v>
      </c>
      <c r="H439">
        <v>0.186943049325286</v>
      </c>
      <c r="I439">
        <v>0.132619292561327</v>
      </c>
      <c r="J439">
        <v>0.12625118747855</v>
      </c>
      <c r="K439">
        <v>0.119024273104867</v>
      </c>
      <c r="L439">
        <v>1016.17500657061</v>
      </c>
      <c r="M439">
        <v>24.3082316586574</v>
      </c>
      <c r="N439">
        <v>42.5237183042033</v>
      </c>
      <c r="O439">
        <v>41.5238800834032</v>
      </c>
      <c r="P439">
        <v>-0.121664086248967</v>
      </c>
      <c r="Q439">
        <v>0.168694460295142</v>
      </c>
      <c r="R439">
        <v>0.983244306572533</v>
      </c>
      <c r="S439" t="s">
        <v>2123</v>
      </c>
      <c r="T439" t="s">
        <v>3344</v>
      </c>
      <c r="U439" t="s">
        <v>3344</v>
      </c>
      <c r="V439" t="s">
        <v>3344</v>
      </c>
      <c r="W439" t="s">
        <v>3782</v>
      </c>
      <c r="X439">
        <v>19</v>
      </c>
      <c r="Y439" t="s">
        <v>5438</v>
      </c>
      <c r="Z439" t="s">
        <v>7096</v>
      </c>
      <c r="AA439">
        <v>0.3098545927622291</v>
      </c>
      <c r="AB439">
        <f>HYPERLINK("Melting_Curves/meltCurve_P0A9Q7_adhE.pdf", "Melting_Curves/meltCurve_P0A9Q7_adhE.pdf")</f>
        <v>0</v>
      </c>
    </row>
    <row r="440" spans="1:28">
      <c r="A440" t="s">
        <v>466</v>
      </c>
      <c r="B440">
        <v>0.999998419929286</v>
      </c>
      <c r="C440">
        <v>0.951553014305496</v>
      </c>
      <c r="D440">
        <v>1.06556216194421</v>
      </c>
      <c r="E440">
        <v>1.20275894437217</v>
      </c>
      <c r="F440">
        <v>1.4344658269394</v>
      </c>
      <c r="G440">
        <v>1.7201293242906</v>
      </c>
      <c r="H440">
        <v>1.60155460123904</v>
      </c>
      <c r="I440">
        <v>0.64939523999841</v>
      </c>
      <c r="J440">
        <v>0.168015320397863</v>
      </c>
      <c r="K440">
        <v>0.108126431199647</v>
      </c>
      <c r="L440">
        <v>10660.922063897</v>
      </c>
      <c r="M440">
        <v>174.391251969077</v>
      </c>
      <c r="N440">
        <v>61.2455532153651</v>
      </c>
      <c r="O440">
        <v>61.1241683193823</v>
      </c>
      <c r="P440">
        <v>-0.614891434875689</v>
      </c>
      <c r="Q440">
        <v>0.137921730902672</v>
      </c>
      <c r="R440">
        <v>0.589680827678763</v>
      </c>
      <c r="S440" t="s">
        <v>2124</v>
      </c>
      <c r="T440" t="s">
        <v>3344</v>
      </c>
      <c r="U440" t="s">
        <v>3344</v>
      </c>
      <c r="V440" t="s">
        <v>3344</v>
      </c>
      <c r="W440" t="s">
        <v>3783</v>
      </c>
      <c r="X440">
        <v>5</v>
      </c>
      <c r="Y440" t="s">
        <v>5439</v>
      </c>
      <c r="Z440" t="s">
        <v>7097</v>
      </c>
      <c r="AA440">
        <v>0.8315735452336041</v>
      </c>
      <c r="AB440">
        <f>HYPERLINK("Melting_Curves/meltCurve_P0A9Q9_asd.pdf", "Melting_Curves/meltCurve_P0A9Q9_asd.pdf")</f>
        <v>0</v>
      </c>
    </row>
    <row r="441" spans="1:28">
      <c r="A441" t="s">
        <v>467</v>
      </c>
      <c r="B441">
        <v>0.999998419929286</v>
      </c>
      <c r="C441">
        <v>0.771760475175773</v>
      </c>
      <c r="D441">
        <v>0.919751513801094</v>
      </c>
      <c r="E441">
        <v>0.868205188315555</v>
      </c>
      <c r="F441">
        <v>0.946140733968048</v>
      </c>
      <c r="G441">
        <v>0.924764498249938</v>
      </c>
      <c r="H441">
        <v>0.985657385783076</v>
      </c>
      <c r="I441">
        <v>0.900004770228957</v>
      </c>
      <c r="J441">
        <v>1.16880290616573</v>
      </c>
      <c r="K441">
        <v>0.757857993239295</v>
      </c>
      <c r="L441">
        <v>1e-05</v>
      </c>
      <c r="M441">
        <v>15.1755966446905</v>
      </c>
      <c r="Q441">
        <v>0.924294368968785</v>
      </c>
      <c r="R441">
        <v>-1.77635683940025e-15</v>
      </c>
      <c r="S441" t="s">
        <v>2125</v>
      </c>
      <c r="T441" t="s">
        <v>3344</v>
      </c>
      <c r="U441" t="s">
        <v>3344</v>
      </c>
      <c r="V441" t="s">
        <v>3344</v>
      </c>
      <c r="W441" t="s">
        <v>3784</v>
      </c>
      <c r="X441">
        <v>2</v>
      </c>
      <c r="Y441" t="s">
        <v>5440</v>
      </c>
      <c r="Z441" t="s">
        <v>7098</v>
      </c>
      <c r="AA441">
        <v>0.9242943883977772</v>
      </c>
      <c r="AB441">
        <f>HYPERLINK("Melting_Curves/meltCurve_P0A9R4_fdx.pdf", "Melting_Curves/meltCurve_P0A9R4_fdx.pdf")</f>
        <v>0</v>
      </c>
    </row>
    <row r="442" spans="1:28">
      <c r="A442" t="s">
        <v>468</v>
      </c>
      <c r="B442">
        <v>0.999998419929286</v>
      </c>
      <c r="C442">
        <v>1.92972543200602</v>
      </c>
      <c r="D442">
        <v>1.35861629517089</v>
      </c>
      <c r="E442">
        <v>1.83998309150766</v>
      </c>
      <c r="F442">
        <v>2.05150586449423</v>
      </c>
      <c r="G442">
        <v>2.34305976199256</v>
      </c>
      <c r="H442">
        <v>2.17809738229902</v>
      </c>
      <c r="I442">
        <v>1.63671077241158</v>
      </c>
      <c r="J442">
        <v>1.75101569269167</v>
      </c>
      <c r="K442">
        <v>2.28483067572653</v>
      </c>
      <c r="L442">
        <v>9482.3784674692</v>
      </c>
      <c r="M442">
        <v>250</v>
      </c>
      <c r="O442">
        <v>37.927075423077</v>
      </c>
      <c r="P442">
        <v>0.823949392597945</v>
      </c>
      <c r="Q442">
        <v>1.5</v>
      </c>
      <c r="R442">
        <v>-0.553477732846539</v>
      </c>
      <c r="S442" t="s">
        <v>2126</v>
      </c>
      <c r="T442" t="s">
        <v>3344</v>
      </c>
      <c r="U442" t="s">
        <v>3344</v>
      </c>
      <c r="V442" t="s">
        <v>3344</v>
      </c>
      <c r="W442" t="s">
        <v>3785</v>
      </c>
      <c r="X442">
        <v>1</v>
      </c>
      <c r="Y442" t="s">
        <v>5441</v>
      </c>
      <c r="Z442" t="s">
        <v>7099</v>
      </c>
      <c r="AA442">
        <v>1.484470352707731</v>
      </c>
      <c r="AB442">
        <f>HYPERLINK("Melting_Curves/meltCurve_P0A9R7_ftsE.pdf", "Melting_Curves/meltCurve_P0A9R7_ftsE.pdf")</f>
        <v>0</v>
      </c>
    </row>
    <row r="443" spans="1:28">
      <c r="A443" t="s">
        <v>469</v>
      </c>
      <c r="B443">
        <v>0.999998419929286</v>
      </c>
      <c r="C443">
        <v>1.00934199349197</v>
      </c>
      <c r="D443">
        <v>0.886153200766849</v>
      </c>
      <c r="E443">
        <v>0.679016191217683</v>
      </c>
      <c r="F443">
        <v>0.725370546288382</v>
      </c>
      <c r="G443">
        <v>0.761250842879156</v>
      </c>
      <c r="H443">
        <v>0.609205710949022</v>
      </c>
      <c r="I443">
        <v>0.332462039152823</v>
      </c>
      <c r="J443">
        <v>0.124597865294499</v>
      </c>
      <c r="K443">
        <v>0.114444583375084</v>
      </c>
      <c r="L443">
        <v>522.204285197852</v>
      </c>
      <c r="M443">
        <v>9.22552847922138</v>
      </c>
      <c r="N443">
        <v>56.604259983869</v>
      </c>
      <c r="O443">
        <v>54.1352163112233</v>
      </c>
      <c r="P443">
        <v>-0.042632268879598</v>
      </c>
      <c r="Q443">
        <v>0</v>
      </c>
      <c r="R443">
        <v>0.888712266469508</v>
      </c>
      <c r="S443" t="s">
        <v>2127</v>
      </c>
      <c r="T443" t="s">
        <v>3344</v>
      </c>
      <c r="U443" t="s">
        <v>3344</v>
      </c>
      <c r="V443" t="s">
        <v>3344</v>
      </c>
      <c r="W443" t="s">
        <v>3786</v>
      </c>
      <c r="X443">
        <v>7</v>
      </c>
      <c r="Y443" t="s">
        <v>5442</v>
      </c>
      <c r="Z443" t="s">
        <v>7100</v>
      </c>
      <c r="AA443">
        <v>0.6525645787878079</v>
      </c>
      <c r="AB443">
        <f>HYPERLINK("Melting_Curves/meltCurve_P0A9S1_fucO.pdf", "Melting_Curves/meltCurve_P0A9S1_fucO.pdf")</f>
        <v>0</v>
      </c>
    </row>
    <row r="444" spans="1:28">
      <c r="A444" t="s">
        <v>470</v>
      </c>
      <c r="B444">
        <v>0.999998419929286</v>
      </c>
      <c r="C444">
        <v>0.833438444841113</v>
      </c>
      <c r="D444">
        <v>0.579133616903508</v>
      </c>
      <c r="E444">
        <v>0.457812031264426</v>
      </c>
      <c r="F444">
        <v>0.179901157649659</v>
      </c>
      <c r="G444">
        <v>0.123179972922034</v>
      </c>
      <c r="H444">
        <v>0.07919569503259451</v>
      </c>
      <c r="I444">
        <v>0.0587818202278502</v>
      </c>
      <c r="J444">
        <v>0.0525707480817023</v>
      </c>
      <c r="K444">
        <v>0.050157903730446</v>
      </c>
      <c r="L444">
        <v>594.999558432775</v>
      </c>
      <c r="M444">
        <v>13.3221636020525</v>
      </c>
      <c r="N444">
        <v>44.8979278162805</v>
      </c>
      <c r="O444">
        <v>43.692041751555</v>
      </c>
      <c r="P444">
        <v>-0.0736667860770364</v>
      </c>
      <c r="Q444">
        <v>0.0337499685434601</v>
      </c>
      <c r="R444">
        <v>0.988388085165507</v>
      </c>
      <c r="S444" t="s">
        <v>2128</v>
      </c>
      <c r="T444" t="s">
        <v>3344</v>
      </c>
      <c r="U444" t="s">
        <v>3344</v>
      </c>
      <c r="V444" t="s">
        <v>3344</v>
      </c>
      <c r="W444" t="s">
        <v>3787</v>
      </c>
      <c r="X444">
        <v>12</v>
      </c>
      <c r="Y444" t="s">
        <v>5443</v>
      </c>
      <c r="Z444" t="s">
        <v>7101</v>
      </c>
      <c r="AA444">
        <v>0.3099826883023627</v>
      </c>
      <c r="AB444">
        <f>HYPERLINK("Melting_Curves/meltCurve_P0A9S3_gatD.pdf", "Melting_Curves/meltCurve_P0A9S3_gatD.pdf")</f>
        <v>0</v>
      </c>
    </row>
    <row r="445" spans="1:28">
      <c r="A445" t="s">
        <v>471</v>
      </c>
      <c r="B445">
        <v>0.999998419929286</v>
      </c>
      <c r="C445">
        <v>1.22268021346527</v>
      </c>
      <c r="D445">
        <v>1.19552721030498</v>
      </c>
      <c r="E445">
        <v>1.18589411409195</v>
      </c>
      <c r="F445">
        <v>1.24443795514182</v>
      </c>
      <c r="G445">
        <v>1.28100209879878</v>
      </c>
      <c r="H445">
        <v>1.01795740200784</v>
      </c>
      <c r="I445">
        <v>0.988078156550342</v>
      </c>
      <c r="J445">
        <v>0.953171532963786</v>
      </c>
      <c r="K445">
        <v>1.07664863825356</v>
      </c>
      <c r="L445">
        <v>9484.696449343661</v>
      </c>
      <c r="M445">
        <v>250</v>
      </c>
      <c r="O445">
        <v>37.936362212042</v>
      </c>
      <c r="P445">
        <v>0.213331900109135</v>
      </c>
      <c r="Q445">
        <v>1.12948856512567</v>
      </c>
      <c r="R445">
        <v>0.112782759660731</v>
      </c>
      <c r="S445" t="s">
        <v>2129</v>
      </c>
      <c r="T445" t="s">
        <v>3344</v>
      </c>
      <c r="U445" t="s">
        <v>3344</v>
      </c>
      <c r="V445" t="s">
        <v>3344</v>
      </c>
      <c r="W445" t="s">
        <v>3788</v>
      </c>
      <c r="X445">
        <v>9</v>
      </c>
      <c r="Y445" t="s">
        <v>5444</v>
      </c>
      <c r="Z445" t="s">
        <v>7102</v>
      </c>
      <c r="AA445">
        <v>1.125426789689268</v>
      </c>
      <c r="AB445">
        <f>HYPERLINK("Melting_Curves/meltCurve_P0A9S5_gldA.pdf", "Melting_Curves/meltCurve_P0A9S5_gldA.pdf")</f>
        <v>0</v>
      </c>
    </row>
    <row r="446" spans="1:28">
      <c r="A446" t="s">
        <v>472</v>
      </c>
      <c r="B446">
        <v>0.999998419929286</v>
      </c>
      <c r="C446">
        <v>1.10069635348411</v>
      </c>
      <c r="D446">
        <v>0.736030074374929</v>
      </c>
      <c r="E446">
        <v>0.527322862384511</v>
      </c>
      <c r="F446">
        <v>0.537111526266185</v>
      </c>
      <c r="G446">
        <v>0.194073614272492</v>
      </c>
      <c r="H446">
        <v>0.0619831025505436</v>
      </c>
      <c r="I446">
        <v>0.0271569629882234</v>
      </c>
      <c r="J446">
        <v>0.0361612016711743</v>
      </c>
      <c r="K446">
        <v>0.029647370140475</v>
      </c>
      <c r="L446">
        <v>621.646391458572</v>
      </c>
      <c r="M446">
        <v>12.8583855675883</v>
      </c>
      <c r="N446">
        <v>48.3456020907572</v>
      </c>
      <c r="O446">
        <v>47.2210734133354</v>
      </c>
      <c r="P446">
        <v>-0.0680880353527567</v>
      </c>
      <c r="Q446">
        <v>0</v>
      </c>
      <c r="R446">
        <v>0.95342799103684</v>
      </c>
      <c r="S446" t="s">
        <v>2130</v>
      </c>
      <c r="T446" t="s">
        <v>3344</v>
      </c>
      <c r="U446" t="s">
        <v>3344</v>
      </c>
      <c r="V446" t="s">
        <v>3344</v>
      </c>
      <c r="W446" t="s">
        <v>3789</v>
      </c>
      <c r="X446">
        <v>8</v>
      </c>
      <c r="Y446" t="s">
        <v>5445</v>
      </c>
      <c r="Z446" t="s">
        <v>7103</v>
      </c>
      <c r="AA446">
        <v>0.4060150509424673</v>
      </c>
      <c r="AB446">
        <f>HYPERLINK("Melting_Curves/meltCurve_P0A9T0_serA.pdf", "Melting_Curves/meltCurve_P0A9T0_serA.pdf")</f>
        <v>0</v>
      </c>
    </row>
    <row r="447" spans="1:28">
      <c r="A447" t="s">
        <v>473</v>
      </c>
      <c r="B447">
        <v>0.999998419929286</v>
      </c>
      <c r="C447">
        <v>1.07500670774007</v>
      </c>
      <c r="D447">
        <v>1.13120307861276</v>
      </c>
      <c r="E447">
        <v>1.1935393620135</v>
      </c>
      <c r="F447">
        <v>0.491173544429826</v>
      </c>
      <c r="G447">
        <v>0.120546625272618</v>
      </c>
      <c r="H447">
        <v>0.0647863369310884</v>
      </c>
      <c r="I447">
        <v>0.0435788569573295</v>
      </c>
      <c r="J447">
        <v>0.027428687610226</v>
      </c>
      <c r="K447">
        <v>0.0302244241795839</v>
      </c>
      <c r="L447">
        <v>7676.46955652958</v>
      </c>
      <c r="M447">
        <v>153.077024787056</v>
      </c>
      <c r="N447">
        <v>50.1876671172079</v>
      </c>
      <c r="O447">
        <v>50.1391998247302</v>
      </c>
      <c r="P447">
        <v>-0.719521148593842</v>
      </c>
      <c r="Q447">
        <v>0.0573055791486796</v>
      </c>
      <c r="R447">
        <v>0.972912338397829</v>
      </c>
      <c r="S447" t="s">
        <v>2131</v>
      </c>
      <c r="T447" t="s">
        <v>3344</v>
      </c>
      <c r="U447" t="s">
        <v>3344</v>
      </c>
      <c r="V447" t="s">
        <v>3344</v>
      </c>
      <c r="W447" t="s">
        <v>3790</v>
      </c>
      <c r="X447">
        <v>5</v>
      </c>
      <c r="Y447" t="s">
        <v>5446</v>
      </c>
      <c r="Z447" t="s">
        <v>7104</v>
      </c>
      <c r="AA447">
        <v>0.4706708770908795</v>
      </c>
      <c r="AB447">
        <f>HYPERLINK("Melting_Curves/meltCurve_P0A9T4_tas.pdf", "Melting_Curves/meltCurve_P0A9T4_tas.pdf")</f>
        <v>0</v>
      </c>
    </row>
    <row r="448" spans="1:28">
      <c r="A448" t="s">
        <v>474</v>
      </c>
      <c r="B448">
        <v>0.999998419929286</v>
      </c>
      <c r="C448">
        <v>0.642192444865789</v>
      </c>
      <c r="D448">
        <v>0.538194991289342</v>
      </c>
      <c r="E448">
        <v>0.265407542119329</v>
      </c>
      <c r="F448">
        <v>0.166559786201276</v>
      </c>
      <c r="G448">
        <v>0.0736616372333561</v>
      </c>
      <c r="H448">
        <v>0.0373179181760376</v>
      </c>
      <c r="I448">
        <v>0.0310209110030377</v>
      </c>
      <c r="J448">
        <v>0.0222115233182829</v>
      </c>
      <c r="K448">
        <v>0.0238576197089447</v>
      </c>
      <c r="L448">
        <v>569.194641560091</v>
      </c>
      <c r="M448">
        <v>13.2451249779218</v>
      </c>
      <c r="N448">
        <v>43.0645861293391</v>
      </c>
      <c r="O448">
        <v>42.0297531707997</v>
      </c>
      <c r="P448">
        <v>-0.0777134385270538</v>
      </c>
      <c r="Q448">
        <v>0.013753603413702</v>
      </c>
      <c r="R448">
        <v>0.978459437313713</v>
      </c>
      <c r="S448" t="s">
        <v>2132</v>
      </c>
      <c r="T448" t="s">
        <v>3344</v>
      </c>
      <c r="U448" t="s">
        <v>3344</v>
      </c>
      <c r="V448" t="s">
        <v>3344</v>
      </c>
      <c r="W448" t="s">
        <v>3791</v>
      </c>
      <c r="X448">
        <v>1</v>
      </c>
      <c r="Y448" t="s">
        <v>5447</v>
      </c>
      <c r="Z448" t="s">
        <v>7105</v>
      </c>
      <c r="AA448">
        <v>0.2439688095232155</v>
      </c>
      <c r="AB448">
        <f>HYPERLINK("Melting_Curves/meltCurve_P0A9T8_ybbA.pdf", "Melting_Curves/meltCurve_P0A9T8_ybbA.pdf")</f>
        <v>0</v>
      </c>
    </row>
    <row r="449" spans="1:28">
      <c r="A449" t="s">
        <v>475</v>
      </c>
      <c r="B449">
        <v>0.999998419929286</v>
      </c>
      <c r="C449">
        <v>1.06186702712212</v>
      </c>
      <c r="D449">
        <v>0.582529193970899</v>
      </c>
      <c r="E449">
        <v>0.101654555592617</v>
      </c>
      <c r="F449">
        <v>0.0470403609418892</v>
      </c>
      <c r="G449">
        <v>0.0496769387909609</v>
      </c>
      <c r="H449">
        <v>0.029199809442382</v>
      </c>
      <c r="I449">
        <v>0.0237143264056832</v>
      </c>
      <c r="J449">
        <v>0.0235373613516395</v>
      </c>
      <c r="K449">
        <v>0.0180515043536655</v>
      </c>
      <c r="L449">
        <v>2227.53222469802</v>
      </c>
      <c r="M449">
        <v>51.5039383596454</v>
      </c>
      <c r="N449">
        <v>43.3161084439067</v>
      </c>
      <c r="O449">
        <v>43.1846918464702</v>
      </c>
      <c r="P449">
        <v>-0.28684966857356</v>
      </c>
      <c r="Q449">
        <v>0.0379372515077621</v>
      </c>
      <c r="R449">
        <v>0.99485796739576</v>
      </c>
      <c r="S449" t="s">
        <v>2133</v>
      </c>
      <c r="T449" t="s">
        <v>3344</v>
      </c>
      <c r="U449" t="s">
        <v>3344</v>
      </c>
      <c r="V449" t="s">
        <v>3344</v>
      </c>
      <c r="W449" t="s">
        <v>3792</v>
      </c>
      <c r="X449">
        <v>6</v>
      </c>
      <c r="Y449" t="s">
        <v>5448</v>
      </c>
      <c r="Z449" t="s">
        <v>7106</v>
      </c>
      <c r="AA449">
        <v>0.2400912135222027</v>
      </c>
      <c r="AB449">
        <f>HYPERLINK("Melting_Curves/meltCurve_P0A9U3_ybiT.pdf", "Melting_Curves/meltCurve_P0A9U3_ybiT.pdf")</f>
        <v>0</v>
      </c>
    </row>
    <row r="450" spans="1:28">
      <c r="A450" t="s">
        <v>476</v>
      </c>
      <c r="B450">
        <v>0.999998419929286</v>
      </c>
      <c r="C450">
        <v>0.827841501374089</v>
      </c>
      <c r="D450">
        <v>0.738559202183442</v>
      </c>
      <c r="E450">
        <v>0.685617314424121</v>
      </c>
      <c r="F450">
        <v>0.5174731619797071</v>
      </c>
      <c r="G450">
        <v>0.347926366355228</v>
      </c>
      <c r="H450">
        <v>0.305700781307209</v>
      </c>
      <c r="I450">
        <v>0.188720342352716</v>
      </c>
      <c r="J450">
        <v>0.135127149959646</v>
      </c>
      <c r="K450">
        <v>0.273034046871128</v>
      </c>
      <c r="L450">
        <v>420.242697267153</v>
      </c>
      <c r="M450">
        <v>8.64923080638755</v>
      </c>
      <c r="N450">
        <v>49.9360229069225</v>
      </c>
      <c r="O450">
        <v>46.1994544527904</v>
      </c>
      <c r="P450">
        <v>-0.0419638613176772</v>
      </c>
      <c r="Q450">
        <v>0.104164203490909</v>
      </c>
      <c r="R450">
        <v>0.965310393837343</v>
      </c>
      <c r="S450" t="s">
        <v>2134</v>
      </c>
      <c r="T450" t="s">
        <v>3344</v>
      </c>
      <c r="U450" t="s">
        <v>3344</v>
      </c>
      <c r="V450" t="s">
        <v>3344</v>
      </c>
      <c r="W450" t="s">
        <v>3793</v>
      </c>
      <c r="X450">
        <v>1</v>
      </c>
      <c r="Y450" t="s">
        <v>5449</v>
      </c>
      <c r="Z450" t="s">
        <v>7107</v>
      </c>
      <c r="AA450">
        <v>0.490550437360464</v>
      </c>
      <c r="AB450">
        <f>HYPERLINK("Melting_Curves/meltCurve_P0A9U6_puuR.pdf", "Melting_Curves/meltCurve_P0A9U6_puuR.pdf")</f>
        <v>0</v>
      </c>
    </row>
    <row r="451" spans="1:28">
      <c r="A451" t="s">
        <v>477</v>
      </c>
      <c r="B451">
        <v>0.999998419929286</v>
      </c>
      <c r="C451">
        <v>0.540595368306365</v>
      </c>
      <c r="D451">
        <v>0.28982027780065</v>
      </c>
      <c r="E451">
        <v>0.201633793269324</v>
      </c>
      <c r="F451">
        <v>0.159405716637362</v>
      </c>
      <c r="G451">
        <v>0.112766357292892</v>
      </c>
      <c r="H451">
        <v>0.0746897116478038</v>
      </c>
      <c r="I451">
        <v>0.0563526364573089</v>
      </c>
      <c r="J451">
        <v>0.0783353133554541</v>
      </c>
      <c r="K451">
        <v>0.0590774646636325</v>
      </c>
      <c r="L451">
        <v>957.1376027994</v>
      </c>
      <c r="M451">
        <v>23.7426187600783</v>
      </c>
      <c r="N451">
        <v>40.6917584978681</v>
      </c>
      <c r="O451">
        <v>40.0303427854554</v>
      </c>
      <c r="P451">
        <v>-0.13358278103952</v>
      </c>
      <c r="Q451">
        <v>0.09912612073633779</v>
      </c>
      <c r="R451">
        <v>0.968202014392617</v>
      </c>
      <c r="S451" t="s">
        <v>2135</v>
      </c>
      <c r="T451" t="s">
        <v>3344</v>
      </c>
      <c r="U451" t="s">
        <v>3344</v>
      </c>
      <c r="V451" t="s">
        <v>3344</v>
      </c>
      <c r="W451" t="s">
        <v>3794</v>
      </c>
      <c r="X451">
        <v>2</v>
      </c>
      <c r="Y451" t="s">
        <v>5450</v>
      </c>
      <c r="Z451" t="s">
        <v>7108</v>
      </c>
      <c r="AA451">
        <v>0.2103460481331238</v>
      </c>
      <c r="AB451">
        <f>HYPERLINK("Melting_Curves/meltCurve_P0A9V1_lptB.pdf", "Melting_Curves/meltCurve_P0A9V1_lptB.pdf")</f>
        <v>0</v>
      </c>
    </row>
    <row r="452" spans="1:28">
      <c r="A452" t="s">
        <v>478</v>
      </c>
      <c r="B452">
        <v>0.999998419929286</v>
      </c>
      <c r="C452">
        <v>0.844653233369329</v>
      </c>
      <c r="D452">
        <v>0.737294500422722</v>
      </c>
      <c r="E452">
        <v>0.682915611320996</v>
      </c>
      <c r="F452">
        <v>0.682938115982605</v>
      </c>
      <c r="G452">
        <v>0.635719171372973</v>
      </c>
      <c r="H452">
        <v>0.408512328711795</v>
      </c>
      <c r="I452">
        <v>0.296562318997924</v>
      </c>
      <c r="J452">
        <v>0.38166134379601</v>
      </c>
      <c r="K452">
        <v>0.320946004711212</v>
      </c>
      <c r="L452">
        <v>271.48358734539</v>
      </c>
      <c r="M452">
        <v>4.89099692760101</v>
      </c>
      <c r="N452">
        <v>55.5067998125235</v>
      </c>
      <c r="O452">
        <v>48.1920849227361</v>
      </c>
      <c r="P452">
        <v>-0.0255400483740359</v>
      </c>
      <c r="Q452">
        <v>0</v>
      </c>
      <c r="R452">
        <v>0.922805686277423</v>
      </c>
      <c r="S452" t="s">
        <v>2136</v>
      </c>
      <c r="T452" t="s">
        <v>3344</v>
      </c>
      <c r="U452" t="s">
        <v>3344</v>
      </c>
      <c r="V452" t="s">
        <v>3344</v>
      </c>
      <c r="W452" t="s">
        <v>3795</v>
      </c>
      <c r="X452">
        <v>1</v>
      </c>
      <c r="Y452" t="s">
        <v>5451</v>
      </c>
      <c r="Z452" t="s">
        <v>7109</v>
      </c>
      <c r="AA452">
        <v>0.5951286114547829</v>
      </c>
      <c r="AB452">
        <f>HYPERLINK("Melting_Curves/meltCurve_P0A9V5_yiaG.pdf", "Melting_Curves/meltCurve_P0A9V5_yiaG.pdf")</f>
        <v>0</v>
      </c>
    </row>
    <row r="453" spans="1:28">
      <c r="A453" t="s">
        <v>479</v>
      </c>
      <c r="B453">
        <v>0.999998419929286</v>
      </c>
      <c r="C453">
        <v>1.36927891230635</v>
      </c>
      <c r="D453">
        <v>0.64130085293392</v>
      </c>
      <c r="E453">
        <v>1.25205609156343</v>
      </c>
      <c r="F453">
        <v>1.15733416413175</v>
      </c>
      <c r="G453">
        <v>1.49366299263366</v>
      </c>
      <c r="H453">
        <v>0.331833148820508</v>
      </c>
      <c r="I453">
        <v>0.114470446108417</v>
      </c>
      <c r="J453">
        <v>0.0499423926847472</v>
      </c>
      <c r="K453">
        <v>0.0567313860466314</v>
      </c>
      <c r="L453">
        <v>14295.4059016399</v>
      </c>
      <c r="M453">
        <v>250</v>
      </c>
      <c r="N453">
        <v>57.2181330133951</v>
      </c>
      <c r="O453">
        <v>57.1779643946939</v>
      </c>
      <c r="P453">
        <v>-1.01250259438074</v>
      </c>
      <c r="Q453">
        <v>0.0737146049599799</v>
      </c>
      <c r="R453">
        <v>0.798691029558171</v>
      </c>
      <c r="S453" t="s">
        <v>2137</v>
      </c>
      <c r="T453" t="s">
        <v>3344</v>
      </c>
      <c r="U453" t="s">
        <v>3344</v>
      </c>
      <c r="V453" t="s">
        <v>3344</v>
      </c>
      <c r="W453" t="s">
        <v>3796</v>
      </c>
      <c r="X453">
        <v>2</v>
      </c>
      <c r="Y453" t="s">
        <v>5452</v>
      </c>
      <c r="Z453" t="s">
        <v>7110</v>
      </c>
      <c r="AA453">
        <v>0.6969390001797749</v>
      </c>
      <c r="AB453">
        <f>HYPERLINK("Melting_Curves/meltCurve_P0A9W0_ulaR.pdf", "Melting_Curves/meltCurve_P0A9W0_ulaR.pdf")</f>
        <v>0</v>
      </c>
    </row>
    <row r="454" spans="1:28">
      <c r="A454" t="s">
        <v>480</v>
      </c>
      <c r="B454">
        <v>0.999998419929286</v>
      </c>
      <c r="C454">
        <v>1.12494665162161</v>
      </c>
      <c r="D454">
        <v>0.792474401036221</v>
      </c>
      <c r="E454">
        <v>0.155772824564776</v>
      </c>
      <c r="F454">
        <v>0.0661368156012124</v>
      </c>
      <c r="G454">
        <v>0.0556661035706376</v>
      </c>
      <c r="H454">
        <v>0.0405580357772865</v>
      </c>
      <c r="I454">
        <v>0.0320388742310551</v>
      </c>
      <c r="J454">
        <v>0.0305951591228816</v>
      </c>
      <c r="K454">
        <v>0.0290653670205112</v>
      </c>
      <c r="L454">
        <v>1922.51566082128</v>
      </c>
      <c r="M454">
        <v>43.3481463720117</v>
      </c>
      <c r="N454">
        <v>44.4410293010994</v>
      </c>
      <c r="O454">
        <v>44.2565089595062</v>
      </c>
      <c r="P454">
        <v>-0.234530707420556</v>
      </c>
      <c r="Q454">
        <v>0.0422202026342648</v>
      </c>
      <c r="R454">
        <v>0.98975469455814</v>
      </c>
      <c r="S454" t="s">
        <v>2138</v>
      </c>
      <c r="T454" t="s">
        <v>3344</v>
      </c>
      <c r="U454" t="s">
        <v>3344</v>
      </c>
      <c r="V454" t="s">
        <v>3344</v>
      </c>
      <c r="W454" t="s">
        <v>3797</v>
      </c>
      <c r="X454">
        <v>19</v>
      </c>
      <c r="Y454" t="s">
        <v>5453</v>
      </c>
      <c r="Z454" t="s">
        <v>7111</v>
      </c>
      <c r="AA454">
        <v>0.2793964566769362</v>
      </c>
      <c r="AB454">
        <f>HYPERLINK("Melting_Curves/meltCurve_P0A9W3_ettA.pdf", "Melting_Curves/meltCurve_P0A9W3_ettA.pdf")</f>
        <v>0</v>
      </c>
    </row>
    <row r="455" spans="1:28">
      <c r="A455" t="s">
        <v>481</v>
      </c>
      <c r="B455">
        <v>0.999998419929286</v>
      </c>
      <c r="C455">
        <v>0.948413818001042</v>
      </c>
      <c r="D455">
        <v>1.0385469401223</v>
      </c>
      <c r="E455">
        <v>1.17502859602299</v>
      </c>
      <c r="F455">
        <v>1.33702137188409</v>
      </c>
      <c r="G455">
        <v>1.56225563909663</v>
      </c>
      <c r="H455">
        <v>1.2871042555177</v>
      </c>
      <c r="I455">
        <v>0.82767592400428</v>
      </c>
      <c r="J455">
        <v>0.6417789995402819</v>
      </c>
      <c r="K455">
        <v>0.485756189802273</v>
      </c>
      <c r="L455">
        <v>3079.06820009658</v>
      </c>
      <c r="M455">
        <v>49.2715427748185</v>
      </c>
      <c r="O455">
        <v>62.3891361835845</v>
      </c>
      <c r="P455">
        <v>-0.100873150538372</v>
      </c>
      <c r="Q455">
        <v>0.489085799535032</v>
      </c>
      <c r="R455">
        <v>0.421277956643918</v>
      </c>
      <c r="S455" t="s">
        <v>2139</v>
      </c>
      <c r="T455" t="s">
        <v>3344</v>
      </c>
      <c r="U455" t="s">
        <v>3344</v>
      </c>
      <c r="V455" t="s">
        <v>3344</v>
      </c>
      <c r="W455" t="s">
        <v>3798</v>
      </c>
      <c r="X455">
        <v>2</v>
      </c>
      <c r="Y455" t="s">
        <v>5454</v>
      </c>
      <c r="Z455" t="s">
        <v>7112</v>
      </c>
      <c r="AA455">
        <v>0.923746481495938</v>
      </c>
      <c r="AB455">
        <f>HYPERLINK("Melting_Curves/meltCurve_P0A9W6_ibaG.pdf", "Melting_Curves/meltCurve_P0A9W6_ibaG.pdf")</f>
        <v>0</v>
      </c>
    </row>
    <row r="456" spans="1:28">
      <c r="A456" t="s">
        <v>482</v>
      </c>
      <c r="B456">
        <v>0.999998419929286</v>
      </c>
      <c r="C456">
        <v>0.810768860055325</v>
      </c>
      <c r="D456">
        <v>0.463450968926075</v>
      </c>
      <c r="E456">
        <v>0.355735266651682</v>
      </c>
      <c r="F456">
        <v>0.291240462872814</v>
      </c>
      <c r="G456">
        <v>0.278301738343303</v>
      </c>
      <c r="H456">
        <v>0.222348092995329</v>
      </c>
      <c r="I456">
        <v>0.201190468945751</v>
      </c>
      <c r="J456">
        <v>0.183810258681776</v>
      </c>
      <c r="K456">
        <v>0.194789409254311</v>
      </c>
      <c r="L456">
        <v>880.403294404567</v>
      </c>
      <c r="M456">
        <v>21.017490505622</v>
      </c>
      <c r="N456">
        <v>43.1201896886324</v>
      </c>
      <c r="O456">
        <v>41.515393626808</v>
      </c>
      <c r="P456">
        <v>-0.0980127261682868</v>
      </c>
      <c r="Q456">
        <v>0.225611115607393</v>
      </c>
      <c r="R456">
        <v>0.980666829654954</v>
      </c>
      <c r="S456" t="s">
        <v>2140</v>
      </c>
      <c r="T456" t="s">
        <v>3344</v>
      </c>
      <c r="U456" t="s">
        <v>3344</v>
      </c>
      <c r="V456" t="s">
        <v>3344</v>
      </c>
      <c r="W456" t="s">
        <v>3799</v>
      </c>
      <c r="X456">
        <v>8</v>
      </c>
      <c r="Y456" t="s">
        <v>5455</v>
      </c>
      <c r="Z456" t="s">
        <v>7113</v>
      </c>
      <c r="AA456">
        <v>0.3623165512092969</v>
      </c>
      <c r="AB456">
        <f>HYPERLINK("Melting_Curves/meltCurve_P0A9X4_mreB.pdf", "Melting_Curves/meltCurve_P0A9X4_mreB.pdf")</f>
        <v>0</v>
      </c>
    </row>
    <row r="457" spans="1:28">
      <c r="A457" t="s">
        <v>483</v>
      </c>
      <c r="B457">
        <v>0.999998419929286</v>
      </c>
      <c r="C457">
        <v>1.03047227127149</v>
      </c>
      <c r="D457">
        <v>0.919080411125455</v>
      </c>
      <c r="E457">
        <v>1.3899018048255</v>
      </c>
      <c r="F457">
        <v>1.52792130924025</v>
      </c>
      <c r="G457">
        <v>2.32750960661084</v>
      </c>
      <c r="H457">
        <v>2.46766375457069</v>
      </c>
      <c r="I457">
        <v>1.8136405652274</v>
      </c>
      <c r="J457">
        <v>2.07390715631142</v>
      </c>
      <c r="K457">
        <v>1.62943780178885</v>
      </c>
      <c r="L457">
        <v>11591.0732625052</v>
      </c>
      <c r="M457">
        <v>250</v>
      </c>
      <c r="O457">
        <v>46.3613182132914</v>
      </c>
      <c r="P457">
        <v>0.67405319670591</v>
      </c>
      <c r="Q457">
        <v>1.5</v>
      </c>
      <c r="R457">
        <v>0.245124970833389</v>
      </c>
      <c r="S457" t="s">
        <v>2141</v>
      </c>
      <c r="T457" t="s">
        <v>3344</v>
      </c>
      <c r="U457" t="s">
        <v>3344</v>
      </c>
      <c r="V457" t="s">
        <v>3344</v>
      </c>
      <c r="W457" t="s">
        <v>3800</v>
      </c>
      <c r="X457">
        <v>2</v>
      </c>
      <c r="Y457" t="s">
        <v>5456</v>
      </c>
      <c r="Z457" t="s">
        <v>7114</v>
      </c>
      <c r="AA457">
        <v>1.343887764859962</v>
      </c>
      <c r="AB457">
        <f>HYPERLINK("Melting_Curves/meltCurve_P0A9X9_cspA.pdf", "Melting_Curves/meltCurve_P0A9X9_cspA.pdf")</f>
        <v>0</v>
      </c>
    </row>
    <row r="458" spans="1:28">
      <c r="A458" t="s">
        <v>484</v>
      </c>
      <c r="B458">
        <v>0.999998419929286</v>
      </c>
      <c r="C458">
        <v>0.9686382389106259</v>
      </c>
      <c r="D458">
        <v>0.972739262802097</v>
      </c>
      <c r="E458">
        <v>1.07775834411712</v>
      </c>
      <c r="F458">
        <v>1.31776119485851</v>
      </c>
      <c r="G458">
        <v>1.64633847638931</v>
      </c>
      <c r="H458">
        <v>1.58156038328193</v>
      </c>
      <c r="I458">
        <v>1.45970444558031</v>
      </c>
      <c r="J458">
        <v>1.55609935391231</v>
      </c>
      <c r="K458">
        <v>1.48829688351933</v>
      </c>
      <c r="L458">
        <v>2479.79395580328</v>
      </c>
      <c r="M458">
        <v>50.1593606888274</v>
      </c>
      <c r="O458">
        <v>49.359916840708</v>
      </c>
      <c r="P458">
        <v>0.127024633591525</v>
      </c>
      <c r="Q458">
        <v>1.5</v>
      </c>
      <c r="R458">
        <v>0.9400026651486491</v>
      </c>
      <c r="S458" t="s">
        <v>2142</v>
      </c>
      <c r="T458" t="s">
        <v>3344</v>
      </c>
      <c r="U458" t="s">
        <v>3344</v>
      </c>
      <c r="V458" t="s">
        <v>3344</v>
      </c>
      <c r="W458" t="s">
        <v>3801</v>
      </c>
      <c r="X458">
        <v>3</v>
      </c>
      <c r="Y458" t="s">
        <v>5457</v>
      </c>
      <c r="Z458" t="s">
        <v>7115</v>
      </c>
      <c r="AA458">
        <v>1.291611500798584</v>
      </c>
      <c r="AB458">
        <f>HYPERLINK("Melting_Curves/meltCurve_P0A9Y6_cspC.pdf", "Melting_Curves/meltCurve_P0A9Y6_cspC.pdf")</f>
        <v>0</v>
      </c>
    </row>
    <row r="459" spans="1:28">
      <c r="A459" t="s">
        <v>485</v>
      </c>
      <c r="B459">
        <v>0.999998419929286</v>
      </c>
      <c r="C459">
        <v>1.09243875305133</v>
      </c>
      <c r="D459">
        <v>0.854827068450274</v>
      </c>
      <c r="E459">
        <v>1.01408869206125</v>
      </c>
      <c r="F459">
        <v>1.00983054082089</v>
      </c>
      <c r="G459">
        <v>1.22827488255289</v>
      </c>
      <c r="H459">
        <v>1.05757854303119</v>
      </c>
      <c r="I459">
        <v>1.16604034772463</v>
      </c>
      <c r="J459">
        <v>0.986744975923628</v>
      </c>
      <c r="K459">
        <v>1.11870459527474</v>
      </c>
      <c r="L459">
        <v>12667.2597728671</v>
      </c>
      <c r="M459">
        <v>250</v>
      </c>
      <c r="O459">
        <v>50.6658164530288</v>
      </c>
      <c r="P459">
        <v>0.137504816084881</v>
      </c>
      <c r="Q459">
        <v>1.11146865684863</v>
      </c>
      <c r="R459">
        <v>0.345508669961107</v>
      </c>
      <c r="S459" t="s">
        <v>2143</v>
      </c>
      <c r="T459" t="s">
        <v>3344</v>
      </c>
      <c r="U459" t="s">
        <v>3344</v>
      </c>
      <c r="V459" t="s">
        <v>3344</v>
      </c>
      <c r="W459" t="s">
        <v>3802</v>
      </c>
      <c r="X459">
        <v>4</v>
      </c>
      <c r="Y459" t="s">
        <v>5458</v>
      </c>
      <c r="Z459" t="s">
        <v>7116</v>
      </c>
      <c r="AA459">
        <v>1.060669763748207</v>
      </c>
      <c r="AB459">
        <f>HYPERLINK("Melting_Curves/meltCurve_P0A9Z1_glnB.pdf", "Melting_Curves/meltCurve_P0A9Z1_glnB.pdf")</f>
        <v>0</v>
      </c>
    </row>
    <row r="460" spans="1:28">
      <c r="A460" t="s">
        <v>486</v>
      </c>
      <c r="B460">
        <v>0.999998419929286</v>
      </c>
      <c r="C460">
        <v>0.792583530599942</v>
      </c>
      <c r="D460">
        <v>0.958934895150437</v>
      </c>
      <c r="E460">
        <v>0.974093824075173</v>
      </c>
      <c r="F460">
        <v>1.09635322034665</v>
      </c>
      <c r="G460">
        <v>1.34794008245073</v>
      </c>
      <c r="H460">
        <v>1.19348575534721</v>
      </c>
      <c r="I460">
        <v>1.22037602861794</v>
      </c>
      <c r="J460">
        <v>1.17670968419648</v>
      </c>
      <c r="K460">
        <v>1.20788993613337</v>
      </c>
      <c r="L460">
        <v>12566.1533191865</v>
      </c>
      <c r="M460">
        <v>250</v>
      </c>
      <c r="O460">
        <v>50.2613966866674</v>
      </c>
      <c r="P460">
        <v>0.285109835336663</v>
      </c>
      <c r="Q460">
        <v>1.22928029620757</v>
      </c>
      <c r="R460">
        <v>0.735803538822863</v>
      </c>
      <c r="S460" t="s">
        <v>2144</v>
      </c>
      <c r="T460" t="s">
        <v>3344</v>
      </c>
      <c r="U460" t="s">
        <v>3344</v>
      </c>
      <c r="V460" t="s">
        <v>3344</v>
      </c>
      <c r="W460" t="s">
        <v>3803</v>
      </c>
      <c r="X460">
        <v>4</v>
      </c>
      <c r="Y460" t="s">
        <v>5459</v>
      </c>
      <c r="Z460" t="s">
        <v>7117</v>
      </c>
      <c r="AA460">
        <v>1.127882921858314</v>
      </c>
      <c r="AB460">
        <f>HYPERLINK("Melting_Curves/meltCurve_P0AA04_ptsH.pdf", "Melting_Curves/meltCurve_P0AA04_ptsH.pdf")</f>
        <v>0</v>
      </c>
    </row>
    <row r="461" spans="1:28">
      <c r="A461" t="s">
        <v>487</v>
      </c>
      <c r="B461">
        <v>0.999998419929286</v>
      </c>
      <c r="C461">
        <v>0.604521155548584</v>
      </c>
      <c r="D461">
        <v>0.379755175720027</v>
      </c>
      <c r="E461">
        <v>0.254927422093421</v>
      </c>
      <c r="F461">
        <v>0.217854205276923</v>
      </c>
      <c r="G461">
        <v>0.225346061932028</v>
      </c>
      <c r="H461">
        <v>0.221532546323714</v>
      </c>
      <c r="I461">
        <v>0.171249714235113</v>
      </c>
      <c r="J461">
        <v>0.296000671659679</v>
      </c>
      <c r="K461">
        <v>0.403785135065679</v>
      </c>
      <c r="L461">
        <v>1284.87580374563</v>
      </c>
      <c r="M461">
        <v>32.1723526851506</v>
      </c>
      <c r="N461">
        <v>40.8682193171709</v>
      </c>
      <c r="O461">
        <v>39.7839150305846</v>
      </c>
      <c r="P461">
        <v>-0.149659635811963</v>
      </c>
      <c r="Q461">
        <v>0.259734980755079</v>
      </c>
      <c r="R461">
        <v>0.928826191672387</v>
      </c>
      <c r="S461" t="s">
        <v>2145</v>
      </c>
      <c r="T461" t="s">
        <v>3344</v>
      </c>
      <c r="U461" t="s">
        <v>3344</v>
      </c>
      <c r="V461" t="s">
        <v>3344</v>
      </c>
      <c r="W461" t="s">
        <v>3804</v>
      </c>
      <c r="X461">
        <v>6</v>
      </c>
      <c r="Y461" t="s">
        <v>5460</v>
      </c>
      <c r="Z461" t="s">
        <v>7118</v>
      </c>
      <c r="AA461">
        <v>0.3372511913260922</v>
      </c>
      <c r="AB461">
        <f>HYPERLINK("Melting_Curves/meltCurve_P0AA10_rplM.pdf", "Melting_Curves/meltCurve_P0AA10_rplM.pdf")</f>
        <v>0</v>
      </c>
    </row>
    <row r="462" spans="1:28">
      <c r="A462" t="s">
        <v>488</v>
      </c>
      <c r="B462">
        <v>0.999998419929286</v>
      </c>
      <c r="C462">
        <v>0.804123254514039</v>
      </c>
      <c r="D462">
        <v>0.905275792693792</v>
      </c>
      <c r="E462">
        <v>0.732021936152809</v>
      </c>
      <c r="F462">
        <v>0.383775742075243</v>
      </c>
      <c r="G462">
        <v>0.120751147867789</v>
      </c>
      <c r="H462">
        <v>0.0505503273148006</v>
      </c>
      <c r="I462">
        <v>0.0355547912101607</v>
      </c>
      <c r="J462">
        <v>0.0346934044484857</v>
      </c>
      <c r="K462">
        <v>0.0271288128085825</v>
      </c>
      <c r="L462">
        <v>871.032829237756</v>
      </c>
      <c r="M462">
        <v>17.8728404524262</v>
      </c>
      <c r="N462">
        <v>48.7582730580251</v>
      </c>
      <c r="O462">
        <v>48.1371762368006</v>
      </c>
      <c r="P462">
        <v>-0.0924327805705058</v>
      </c>
      <c r="Q462">
        <v>0.00424841450159943</v>
      </c>
      <c r="R462">
        <v>0.976345082513041</v>
      </c>
      <c r="S462" t="s">
        <v>2146</v>
      </c>
      <c r="T462" t="s">
        <v>3344</v>
      </c>
      <c r="U462" t="s">
        <v>3344</v>
      </c>
      <c r="V462" t="s">
        <v>3344</v>
      </c>
      <c r="W462" t="s">
        <v>3805</v>
      </c>
      <c r="X462">
        <v>5</v>
      </c>
      <c r="Y462" t="s">
        <v>5461</v>
      </c>
      <c r="Z462" t="s">
        <v>7119</v>
      </c>
      <c r="AA462">
        <v>0.4098105926669857</v>
      </c>
      <c r="AB462">
        <f>HYPERLINK("Melting_Curves/meltCurve_P0AA16_ompR.pdf", "Melting_Curves/meltCurve_P0AA16_ompR.pdf")</f>
        <v>0</v>
      </c>
    </row>
    <row r="463" spans="1:28">
      <c r="A463" t="s">
        <v>489</v>
      </c>
      <c r="B463">
        <v>0.999998419929286</v>
      </c>
      <c r="C463">
        <v>0.931492962884263</v>
      </c>
      <c r="D463">
        <v>0.770340916219695</v>
      </c>
      <c r="E463">
        <v>0.93201404830929</v>
      </c>
      <c r="F463">
        <v>0.901383203163998</v>
      </c>
      <c r="G463">
        <v>1.05712783635951</v>
      </c>
      <c r="H463">
        <v>1.04507698199683</v>
      </c>
      <c r="I463">
        <v>1.21874906569572</v>
      </c>
      <c r="J463">
        <v>1.27385173550169</v>
      </c>
      <c r="K463">
        <v>1.11670265906021</v>
      </c>
      <c r="L463">
        <v>14422.0010376273</v>
      </c>
      <c r="M463">
        <v>250</v>
      </c>
      <c r="O463">
        <v>57.6843087643193</v>
      </c>
      <c r="P463">
        <v>0.220056823327313</v>
      </c>
      <c r="Q463">
        <v>1.20310122481155</v>
      </c>
      <c r="R463">
        <v>0.576959454168769</v>
      </c>
      <c r="S463" t="s">
        <v>2147</v>
      </c>
      <c r="T463" t="s">
        <v>3344</v>
      </c>
      <c r="U463" t="s">
        <v>3344</v>
      </c>
      <c r="V463" t="s">
        <v>3344</v>
      </c>
      <c r="W463" t="s">
        <v>3806</v>
      </c>
      <c r="X463">
        <v>2</v>
      </c>
      <c r="Y463" t="s">
        <v>5462</v>
      </c>
      <c r="Z463" t="s">
        <v>7120</v>
      </c>
      <c r="AA463">
        <v>1.063022029799691</v>
      </c>
      <c r="AB463">
        <f>HYPERLINK("Melting_Curves/meltCurve_P0AA25_trxA.pdf", "Melting_Curves/meltCurve_P0AA25_trxA.pdf")</f>
        <v>0</v>
      </c>
    </row>
    <row r="464" spans="1:28">
      <c r="A464" t="s">
        <v>490</v>
      </c>
      <c r="B464">
        <v>0.999998419929286</v>
      </c>
      <c r="C464">
        <v>1.04507751009557</v>
      </c>
      <c r="D464">
        <v>0.621104613850888</v>
      </c>
      <c r="E464">
        <v>0.427758398301722</v>
      </c>
      <c r="F464">
        <v>0.329292904645231</v>
      </c>
      <c r="G464">
        <v>0.188143983330586</v>
      </c>
      <c r="H464">
        <v>0.162414599117602</v>
      </c>
      <c r="I464">
        <v>0.155706684648388</v>
      </c>
      <c r="J464">
        <v>0.141251900203449</v>
      </c>
      <c r="K464">
        <v>0.124184229469145</v>
      </c>
      <c r="L464">
        <v>792.969684849166</v>
      </c>
      <c r="M464">
        <v>17.7455203153225</v>
      </c>
      <c r="N464">
        <v>45.6022103383897</v>
      </c>
      <c r="O464">
        <v>44.1297493715906</v>
      </c>
      <c r="P464">
        <v>-0.08545522728766269</v>
      </c>
      <c r="Q464">
        <v>0.150000527906859</v>
      </c>
      <c r="R464">
        <v>0.969613937116624</v>
      </c>
      <c r="S464" t="s">
        <v>2148</v>
      </c>
      <c r="T464" t="s">
        <v>3344</v>
      </c>
      <c r="U464" t="s">
        <v>3344</v>
      </c>
      <c r="V464" t="s">
        <v>3344</v>
      </c>
      <c r="W464" t="s">
        <v>3807</v>
      </c>
      <c r="X464">
        <v>1</v>
      </c>
      <c r="Y464" t="s">
        <v>5463</v>
      </c>
      <c r="Z464" t="s">
        <v>7121</v>
      </c>
      <c r="AA464">
        <v>0.3822126453509905</v>
      </c>
      <c r="AB464">
        <f>HYPERLINK("Melting_Curves/meltCurve_P0AA37_rluA.pdf", "Melting_Curves/meltCurve_P0AA37_rluA.pdf")</f>
        <v>0</v>
      </c>
    </row>
    <row r="465" spans="1:28">
      <c r="A465" t="s">
        <v>491</v>
      </c>
      <c r="B465">
        <v>0.999998419929286</v>
      </c>
      <c r="C465">
        <v>1.12664800139971</v>
      </c>
      <c r="D465">
        <v>1.2309937659497</v>
      </c>
      <c r="E465">
        <v>1.34765634985794</v>
      </c>
      <c r="F465">
        <v>1.64118637829594</v>
      </c>
      <c r="G465">
        <v>1.59205682489749</v>
      </c>
      <c r="H465">
        <v>0.899016264830706</v>
      </c>
      <c r="I465">
        <v>0.269130734293291</v>
      </c>
      <c r="J465">
        <v>0.175288888520561</v>
      </c>
      <c r="K465">
        <v>0.116307441347844</v>
      </c>
      <c r="L465">
        <v>3891.4957438512</v>
      </c>
      <c r="M465">
        <v>65.59712574874879</v>
      </c>
      <c r="N465">
        <v>59.6321109925566</v>
      </c>
      <c r="O465">
        <v>59.2691342316311</v>
      </c>
      <c r="P465">
        <v>-0.236941385111963</v>
      </c>
      <c r="Q465">
        <v>0.143663509385031</v>
      </c>
      <c r="R465">
        <v>0.673143290033407</v>
      </c>
      <c r="S465" t="s">
        <v>2149</v>
      </c>
      <c r="T465" t="s">
        <v>3344</v>
      </c>
      <c r="U465" t="s">
        <v>3344</v>
      </c>
      <c r="V465" t="s">
        <v>3344</v>
      </c>
      <c r="W465" t="s">
        <v>3808</v>
      </c>
      <c r="X465">
        <v>8</v>
      </c>
      <c r="Y465" t="s">
        <v>5464</v>
      </c>
      <c r="Z465" t="s">
        <v>7122</v>
      </c>
      <c r="AA465">
        <v>0.7821774820770017</v>
      </c>
      <c r="AB465">
        <f>HYPERLINK("Melting_Curves/meltCurve_P0AA39_rluC.pdf", "Melting_Curves/meltCurve_P0AA39_rluC.pdf")</f>
        <v>0</v>
      </c>
    </row>
    <row r="466" spans="1:28">
      <c r="A466" t="s">
        <v>492</v>
      </c>
      <c r="B466">
        <v>0.999998419929286</v>
      </c>
      <c r="C466">
        <v>0.86865730889557</v>
      </c>
      <c r="D466">
        <v>0.6523896894867121</v>
      </c>
      <c r="E466">
        <v>0.230886727390447</v>
      </c>
      <c r="F466">
        <v>0.122395742391862</v>
      </c>
      <c r="G466">
        <v>0.086435191803404</v>
      </c>
      <c r="H466">
        <v>0.07482687215394219</v>
      </c>
      <c r="I466">
        <v>0.0579485901692599</v>
      </c>
      <c r="J466">
        <v>0.059626019626854</v>
      </c>
      <c r="K466">
        <v>0.047449359559468</v>
      </c>
      <c r="L466">
        <v>970.481179345975</v>
      </c>
      <c r="M466">
        <v>22.1565693252964</v>
      </c>
      <c r="N466">
        <v>44.0547492144846</v>
      </c>
      <c r="O466">
        <v>43.4489360357455</v>
      </c>
      <c r="P466">
        <v>-0.119853376826003</v>
      </c>
      <c r="Q466">
        <v>0.0598926068671736</v>
      </c>
      <c r="R466">
        <v>0.997328563342058</v>
      </c>
      <c r="S466" t="s">
        <v>2150</v>
      </c>
      <c r="T466" t="s">
        <v>3344</v>
      </c>
      <c r="U466" t="s">
        <v>3344</v>
      </c>
      <c r="V466" t="s">
        <v>3344</v>
      </c>
      <c r="W466" t="s">
        <v>3809</v>
      </c>
      <c r="X466">
        <v>2</v>
      </c>
      <c r="Y466" t="s">
        <v>5465</v>
      </c>
      <c r="Z466" t="s">
        <v>7123</v>
      </c>
      <c r="AA466">
        <v>0.2831084632236749</v>
      </c>
      <c r="AB466">
        <f>HYPERLINK("Melting_Curves/meltCurve_P0AA43_rsuA.pdf", "Melting_Curves/meltCurve_P0AA43_rsuA.pdf")</f>
        <v>0</v>
      </c>
    </row>
    <row r="467" spans="1:28">
      <c r="A467" t="s">
        <v>493</v>
      </c>
      <c r="B467">
        <v>0.999998419929286</v>
      </c>
      <c r="C467">
        <v>0.928671195248292</v>
      </c>
      <c r="D467">
        <v>0.675393780726517</v>
      </c>
      <c r="E467">
        <v>0.573274682728908</v>
      </c>
      <c r="F467">
        <v>0.487446059360308</v>
      </c>
      <c r="G467">
        <v>0.538237155471606</v>
      </c>
      <c r="H467">
        <v>0.425496024227785</v>
      </c>
      <c r="I467">
        <v>0.403502832410611</v>
      </c>
      <c r="J467">
        <v>0.418737528837087</v>
      </c>
      <c r="K467">
        <v>0.383565055300985</v>
      </c>
      <c r="L467">
        <v>716.576462553815</v>
      </c>
      <c r="M467">
        <v>16.5412338735481</v>
      </c>
      <c r="N467">
        <v>48.940352359408</v>
      </c>
      <c r="O467">
        <v>42.7023141936789</v>
      </c>
      <c r="P467">
        <v>-0.055670508215361</v>
      </c>
      <c r="Q467">
        <v>0.425170830255698</v>
      </c>
      <c r="R467">
        <v>0.961251018070433</v>
      </c>
      <c r="S467" t="s">
        <v>2151</v>
      </c>
      <c r="T467" t="s">
        <v>3344</v>
      </c>
      <c r="U467" t="s">
        <v>3344</v>
      </c>
      <c r="V467" t="s">
        <v>3344</v>
      </c>
      <c r="W467" t="s">
        <v>3810</v>
      </c>
      <c r="X467">
        <v>4</v>
      </c>
      <c r="Y467" t="s">
        <v>5466</v>
      </c>
      <c r="Z467" t="s">
        <v>7124</v>
      </c>
      <c r="AA467">
        <v>0.5583126904518386</v>
      </c>
      <c r="AB467">
        <f>HYPERLINK("Melting_Curves/meltCurve_P0AA53_qmcA.pdf", "Melting_Curves/meltCurve_P0AA53_qmcA.pdf")</f>
        <v>0</v>
      </c>
    </row>
    <row r="468" spans="1:28">
      <c r="A468" t="s">
        <v>494</v>
      </c>
      <c r="B468">
        <v>0.999998419929286</v>
      </c>
      <c r="C468">
        <v>0.718634185327118</v>
      </c>
      <c r="D468">
        <v>0.902136154747976</v>
      </c>
      <c r="E468">
        <v>1.01807237903766</v>
      </c>
      <c r="F468">
        <v>1.09127430438644</v>
      </c>
      <c r="G468">
        <v>1.13008865785183</v>
      </c>
      <c r="H468">
        <v>1.41542090759439</v>
      </c>
      <c r="I468">
        <v>1.01360666425109</v>
      </c>
      <c r="J468">
        <v>1.20756252306628</v>
      </c>
      <c r="K468">
        <v>1.1757927389004</v>
      </c>
      <c r="L468">
        <v>1887.78652523555</v>
      </c>
      <c r="M468">
        <v>37.373874502701</v>
      </c>
      <c r="O468">
        <v>50.3668991001711</v>
      </c>
      <c r="P468">
        <v>0.0359022579439825</v>
      </c>
      <c r="Q468">
        <v>1.19353417650483</v>
      </c>
      <c r="R468">
        <v>0.44912812644806</v>
      </c>
      <c r="S468" t="s">
        <v>2152</v>
      </c>
      <c r="T468" t="s">
        <v>3344</v>
      </c>
      <c r="U468" t="s">
        <v>3344</v>
      </c>
      <c r="V468" t="s">
        <v>3344</v>
      </c>
      <c r="W468" t="s">
        <v>3811</v>
      </c>
      <c r="X468">
        <v>1</v>
      </c>
      <c r="Y468" t="s">
        <v>5467</v>
      </c>
      <c r="Z468" t="s">
        <v>7125</v>
      </c>
      <c r="AA468">
        <v>1.105600169889281</v>
      </c>
      <c r="AB468">
        <f>HYPERLINK("Melting_Curves/meltCurve_P0AA57_yobA.pdf", "Melting_Curves/meltCurve_P0AA57_yobA.pdf")</f>
        <v>0</v>
      </c>
    </row>
    <row r="469" spans="1:28">
      <c r="A469" t="s">
        <v>495</v>
      </c>
      <c r="B469">
        <v>0.999998419929286</v>
      </c>
      <c r="C469">
        <v>0.643463680082859</v>
      </c>
      <c r="D469">
        <v>0.671280573474071</v>
      </c>
      <c r="E469">
        <v>0.851339257372898</v>
      </c>
      <c r="F469">
        <v>0.8066668758230831</v>
      </c>
      <c r="G469">
        <v>0.985668798253156</v>
      </c>
      <c r="H469">
        <v>0.56817638610148</v>
      </c>
      <c r="I469">
        <v>0.258208268455001</v>
      </c>
      <c r="J469">
        <v>0.305637008858264</v>
      </c>
      <c r="K469">
        <v>0</v>
      </c>
      <c r="L469">
        <v>1082.92956566867</v>
      </c>
      <c r="M469">
        <v>18.4647006655335</v>
      </c>
      <c r="N469">
        <v>58.6486435545844</v>
      </c>
      <c r="O469">
        <v>57.9737262397943</v>
      </c>
      <c r="P469">
        <v>-0.079628850116577</v>
      </c>
      <c r="Q469">
        <v>0</v>
      </c>
      <c r="R469">
        <v>0.665382583682634</v>
      </c>
      <c r="S469" t="s">
        <v>2153</v>
      </c>
      <c r="T469" t="s">
        <v>3344</v>
      </c>
      <c r="U469" t="s">
        <v>3344</v>
      </c>
      <c r="V469" t="s">
        <v>3344</v>
      </c>
      <c r="W469" t="s">
        <v>3812</v>
      </c>
      <c r="X469">
        <v>1</v>
      </c>
      <c r="Y469" t="s">
        <v>5468</v>
      </c>
      <c r="Z469" t="s">
        <v>7126</v>
      </c>
      <c r="AA469">
        <v>0.7260506949656481</v>
      </c>
      <c r="AB469">
        <f>HYPERLINK("Melting_Curves/meltCurve_P0AA63_yqjA.pdf", "Melting_Curves/meltCurve_P0AA63_yqjA.pdf")</f>
        <v>0</v>
      </c>
    </row>
    <row r="470" spans="1:28">
      <c r="A470" t="s">
        <v>496</v>
      </c>
      <c r="B470">
        <v>0.999998419929286</v>
      </c>
      <c r="C470">
        <v>0.808293782291945</v>
      </c>
      <c r="D470">
        <v>0.8232590330137119</v>
      </c>
      <c r="E470">
        <v>0.858252116747759</v>
      </c>
      <c r="F470">
        <v>1.03945585159451</v>
      </c>
      <c r="G470">
        <v>1.01571138889787</v>
      </c>
      <c r="H470">
        <v>0.563162209157123</v>
      </c>
      <c r="I470">
        <v>0.237221792091877</v>
      </c>
      <c r="J470">
        <v>0.180318394080019</v>
      </c>
      <c r="K470">
        <v>0.169347586516244</v>
      </c>
      <c r="L470">
        <v>3502.14927013567</v>
      </c>
      <c r="M470">
        <v>61.140030054581</v>
      </c>
      <c r="N470">
        <v>57.7257731316718</v>
      </c>
      <c r="O470">
        <v>57.2196075335557</v>
      </c>
      <c r="P470">
        <v>-0.216935211562645</v>
      </c>
      <c r="Q470">
        <v>0.1879007859609</v>
      </c>
      <c r="R470">
        <v>0.9187585990584211</v>
      </c>
      <c r="S470" t="s">
        <v>2154</v>
      </c>
      <c r="T470" t="s">
        <v>3344</v>
      </c>
      <c r="U470" t="s">
        <v>3344</v>
      </c>
      <c r="V470" t="s">
        <v>3344</v>
      </c>
      <c r="W470" t="s">
        <v>3813</v>
      </c>
      <c r="X470">
        <v>4</v>
      </c>
      <c r="Y470" t="s">
        <v>5469</v>
      </c>
      <c r="Z470" t="s">
        <v>7127</v>
      </c>
      <c r="AA470">
        <v>0.7382659281938783</v>
      </c>
      <c r="AB470">
        <f>HYPERLINK("Melting_Curves/meltCurve_P0AA91_yeaY.pdf", "Melting_Curves/meltCurve_P0AA91_yeaY.pdf")</f>
        <v>0</v>
      </c>
    </row>
    <row r="471" spans="1:28">
      <c r="A471" t="s">
        <v>497</v>
      </c>
      <c r="B471">
        <v>0.999998419929286</v>
      </c>
      <c r="C471">
        <v>0.8318611033418269</v>
      </c>
      <c r="D471">
        <v>0.475623029131479</v>
      </c>
      <c r="E471">
        <v>0.610820792924463</v>
      </c>
      <c r="F471">
        <v>0.465485845960173</v>
      </c>
      <c r="G471">
        <v>0.477960953648831</v>
      </c>
      <c r="H471">
        <v>0.397005585815423</v>
      </c>
      <c r="I471">
        <v>0.248696146466441</v>
      </c>
      <c r="J471">
        <v>0.212072639264978</v>
      </c>
      <c r="K471">
        <v>0.197939962730266</v>
      </c>
      <c r="L471">
        <v>288.502812032732</v>
      </c>
      <c r="M471">
        <v>6.01637625424055</v>
      </c>
      <c r="N471">
        <v>49.364191701852</v>
      </c>
      <c r="O471">
        <v>43.4607326585403</v>
      </c>
      <c r="P471">
        <v>-0.0319759006643894</v>
      </c>
      <c r="Q471">
        <v>0.0790112438506225</v>
      </c>
      <c r="R471">
        <v>0.868155302351387</v>
      </c>
      <c r="S471" t="s">
        <v>2155</v>
      </c>
      <c r="T471" t="s">
        <v>3344</v>
      </c>
      <c r="U471" t="s">
        <v>3344</v>
      </c>
      <c r="V471" t="s">
        <v>3344</v>
      </c>
      <c r="W471" t="s">
        <v>3814</v>
      </c>
      <c r="X471">
        <v>3</v>
      </c>
      <c r="Y471" t="s">
        <v>5470</v>
      </c>
      <c r="Z471" t="s">
        <v>7128</v>
      </c>
      <c r="AA471">
        <v>0.477388024560977</v>
      </c>
      <c r="AB471">
        <f>HYPERLINK("Melting_Curves/meltCurve_P0AAA1_yagU.pdf", "Melting_Curves/meltCurve_P0AAA1_yagU.pdf")</f>
        <v>0</v>
      </c>
    </row>
    <row r="472" spans="1:28">
      <c r="A472" t="s">
        <v>498</v>
      </c>
      <c r="B472">
        <v>0.999998419929286</v>
      </c>
      <c r="C472">
        <v>1.30905148350758</v>
      </c>
      <c r="D472">
        <v>1.29038523251822</v>
      </c>
      <c r="E472">
        <v>1.06958267490323</v>
      </c>
      <c r="F472">
        <v>0.199935023796796</v>
      </c>
      <c r="G472">
        <v>0.112141897956028</v>
      </c>
      <c r="H472">
        <v>0.0305809070389617</v>
      </c>
      <c r="I472">
        <v>0.0280808771728585</v>
      </c>
      <c r="J472">
        <v>0.0264844141945176</v>
      </c>
      <c r="K472">
        <v>0.0337402835998188</v>
      </c>
      <c r="L472">
        <v>12467.1951406932</v>
      </c>
      <c r="M472">
        <v>250</v>
      </c>
      <c r="N472">
        <v>49.8881233034036</v>
      </c>
      <c r="O472">
        <v>49.8655840605848</v>
      </c>
      <c r="P472">
        <v>-1.19545655632086</v>
      </c>
      <c r="Q472">
        <v>0.0462056704984141</v>
      </c>
      <c r="R472">
        <v>0.936147579659855</v>
      </c>
      <c r="S472" t="s">
        <v>2156</v>
      </c>
      <c r="T472" t="s">
        <v>3344</v>
      </c>
      <c r="U472" t="s">
        <v>3344</v>
      </c>
      <c r="V472" t="s">
        <v>3344</v>
      </c>
      <c r="W472" t="s">
        <v>3815</v>
      </c>
      <c r="X472">
        <v>2</v>
      </c>
      <c r="Y472" t="s">
        <v>5471</v>
      </c>
      <c r="Z472" t="s">
        <v>7129</v>
      </c>
      <c r="AA472">
        <v>0.455428143173587</v>
      </c>
      <c r="AB472">
        <f>HYPERLINK("Melting_Curves/meltCurve_P0AAB4_ubiD.pdf", "Melting_Curves/meltCurve_P0AAB4_ubiD.pdf")</f>
        <v>0</v>
      </c>
    </row>
    <row r="473" spans="1:28">
      <c r="A473" t="s">
        <v>499</v>
      </c>
      <c r="B473">
        <v>0.999998419929286</v>
      </c>
      <c r="C473">
        <v>0.652722050594045</v>
      </c>
      <c r="D473">
        <v>0.431331880897902</v>
      </c>
      <c r="E473">
        <v>0.123794562305868</v>
      </c>
      <c r="F473">
        <v>0.0939817895286206</v>
      </c>
      <c r="G473">
        <v>0.0737040208581935</v>
      </c>
      <c r="H473">
        <v>0.0547872540052232</v>
      </c>
      <c r="I473">
        <v>0.0410499630326919</v>
      </c>
      <c r="J473">
        <v>0.0361691099183837</v>
      </c>
      <c r="K473">
        <v>0.0386459563756033</v>
      </c>
      <c r="L473">
        <v>804.806303536902</v>
      </c>
      <c r="M473">
        <v>19.3045297340812</v>
      </c>
      <c r="N473">
        <v>41.8946247649503</v>
      </c>
      <c r="O473">
        <v>41.2503868412672</v>
      </c>
      <c r="P473">
        <v>-0.111737171159239</v>
      </c>
      <c r="Q473">
        <v>0.0449849630983734</v>
      </c>
      <c r="R473">
        <v>0.986323115106758</v>
      </c>
      <c r="S473" t="s">
        <v>2157</v>
      </c>
      <c r="T473" t="s">
        <v>3344</v>
      </c>
      <c r="U473" t="s">
        <v>3344</v>
      </c>
      <c r="V473" t="s">
        <v>3344</v>
      </c>
      <c r="W473" t="s">
        <v>3816</v>
      </c>
      <c r="X473">
        <v>5</v>
      </c>
      <c r="Y473" t="s">
        <v>5472</v>
      </c>
      <c r="Z473" t="s">
        <v>7130</v>
      </c>
      <c r="AA473">
        <v>0.2104548199361268</v>
      </c>
      <c r="AB473">
        <f>HYPERLINK("Melting_Curves/meltCurve_P0AAB6_galF.pdf", "Melting_Curves/meltCurve_P0AAB6_galF.pdf")</f>
        <v>0</v>
      </c>
    </row>
    <row r="474" spans="1:28">
      <c r="A474" t="s">
        <v>500</v>
      </c>
      <c r="B474">
        <v>0.999998419929286</v>
      </c>
      <c r="C474">
        <v>0.948996159301405</v>
      </c>
      <c r="D474">
        <v>1.06442612994936</v>
      </c>
      <c r="E474">
        <v>1.01870775365862</v>
      </c>
      <c r="F474">
        <v>1.07354009370403</v>
      </c>
      <c r="G474">
        <v>0.994125907624654</v>
      </c>
      <c r="H474">
        <v>0.786293676804071</v>
      </c>
      <c r="I474">
        <v>1.00213602299091</v>
      </c>
      <c r="J474">
        <v>0.792478352122899</v>
      </c>
      <c r="K474">
        <v>0.735478277525471</v>
      </c>
      <c r="L474">
        <v>704.631907689373</v>
      </c>
      <c r="M474">
        <v>9.482097063824479</v>
      </c>
      <c r="Q474">
        <v>0</v>
      </c>
      <c r="R474">
        <v>0.614126493041888</v>
      </c>
      <c r="S474" t="s">
        <v>2158</v>
      </c>
      <c r="T474" t="s">
        <v>3344</v>
      </c>
      <c r="U474" t="s">
        <v>3344</v>
      </c>
      <c r="V474" t="s">
        <v>3344</v>
      </c>
      <c r="W474" t="s">
        <v>3817</v>
      </c>
      <c r="X474">
        <v>2</v>
      </c>
      <c r="Y474" t="s">
        <v>5473</v>
      </c>
      <c r="Z474" t="s">
        <v>7131</v>
      </c>
      <c r="AA474">
        <v>0.9458068683196106</v>
      </c>
      <c r="AB474">
        <f>HYPERLINK("Melting_Curves/meltCurve_P0AAB8_uspD.pdf", "Melting_Curves/meltCurve_P0AAB8_uspD.pdf")</f>
        <v>0</v>
      </c>
    </row>
    <row r="475" spans="1:28">
      <c r="A475" t="s">
        <v>501</v>
      </c>
      <c r="B475">
        <v>0.999998419929286</v>
      </c>
      <c r="C475">
        <v>0.877873135904169</v>
      </c>
      <c r="D475">
        <v>1.09486694533357</v>
      </c>
      <c r="E475">
        <v>1.20312200172261</v>
      </c>
      <c r="F475">
        <v>1.32048264380461</v>
      </c>
      <c r="G475">
        <v>0.788910457133979</v>
      </c>
      <c r="H475">
        <v>0.122998214462977</v>
      </c>
      <c r="I475">
        <v>0.0633787434023176</v>
      </c>
      <c r="J475">
        <v>0.0429591356001711</v>
      </c>
      <c r="K475">
        <v>0.0473881067282167</v>
      </c>
      <c r="L475">
        <v>3573.99090928025</v>
      </c>
      <c r="M475">
        <v>65.1267634771331</v>
      </c>
      <c r="N475">
        <v>54.976791379523</v>
      </c>
      <c r="O475">
        <v>54.8257814779165</v>
      </c>
      <c r="P475">
        <v>-0.28048691605387</v>
      </c>
      <c r="Q475">
        <v>0.0555090429538399</v>
      </c>
      <c r="R475">
        <v>0.932039395428862</v>
      </c>
      <c r="S475" t="s">
        <v>2159</v>
      </c>
      <c r="T475" t="s">
        <v>3344</v>
      </c>
      <c r="U475" t="s">
        <v>3344</v>
      </c>
      <c r="V475" t="s">
        <v>3344</v>
      </c>
      <c r="W475" t="s">
        <v>3818</v>
      </c>
      <c r="X475">
        <v>6</v>
      </c>
      <c r="Y475" t="s">
        <v>5474</v>
      </c>
      <c r="Z475" t="s">
        <v>7132</v>
      </c>
      <c r="AA475">
        <v>0.6196896319184959</v>
      </c>
      <c r="AB475">
        <f>HYPERLINK("Melting_Curves/meltCurve_P0AAC0_uspE.pdf", "Melting_Curves/meltCurve_P0AAC0_uspE.pdf")</f>
        <v>0</v>
      </c>
    </row>
    <row r="476" spans="1:28">
      <c r="A476" t="s">
        <v>502</v>
      </c>
      <c r="B476">
        <v>0.999998419929286</v>
      </c>
      <c r="C476">
        <v>0.9766199039558709</v>
      </c>
      <c r="D476">
        <v>0.964618026662638</v>
      </c>
      <c r="E476">
        <v>0.946825217683876</v>
      </c>
      <c r="F476">
        <v>0.888398323154898</v>
      </c>
      <c r="G476">
        <v>0.883283907975662</v>
      </c>
      <c r="H476">
        <v>0.709182091990067</v>
      </c>
      <c r="I476">
        <v>0.5577472954863389</v>
      </c>
      <c r="J476">
        <v>0.581687725417387</v>
      </c>
      <c r="K476">
        <v>0.530708989627613</v>
      </c>
      <c r="L476">
        <v>753.789080279315</v>
      </c>
      <c r="M476">
        <v>13.2728935609821</v>
      </c>
      <c r="O476">
        <v>55.5488837665839</v>
      </c>
      <c r="P476">
        <v>-0.0323254912306609</v>
      </c>
      <c r="Q476">
        <v>0.458941455333582</v>
      </c>
      <c r="R476">
        <v>0.9687709242574331</v>
      </c>
      <c r="S476" t="s">
        <v>2160</v>
      </c>
      <c r="T476" t="s">
        <v>3344</v>
      </c>
      <c r="U476" t="s">
        <v>3344</v>
      </c>
      <c r="V476" t="s">
        <v>3344</v>
      </c>
      <c r="W476" t="s">
        <v>3819</v>
      </c>
      <c r="X476">
        <v>1</v>
      </c>
      <c r="Y476" t="s">
        <v>5475</v>
      </c>
      <c r="Z476" t="s">
        <v>7133</v>
      </c>
      <c r="AA476">
        <v>0.8200019950299436</v>
      </c>
      <c r="AB476">
        <f>HYPERLINK("Melting_Curves/meltCurve_P0AAC4_ybhL.pdf", "Melting_Curves/meltCurve_P0AAC4_ybhL.pdf")</f>
        <v>0</v>
      </c>
    </row>
    <row r="477" spans="1:28">
      <c r="A477" t="s">
        <v>503</v>
      </c>
      <c r="B477">
        <v>0.999998419929286</v>
      </c>
      <c r="C477">
        <v>0.931111277722113</v>
      </c>
      <c r="D477">
        <v>0.758774703066104</v>
      </c>
      <c r="E477">
        <v>0.947574960912858</v>
      </c>
      <c r="F477">
        <v>0.923300232199101</v>
      </c>
      <c r="G477">
        <v>1.1230700755311</v>
      </c>
      <c r="H477">
        <v>1.03896217625913</v>
      </c>
      <c r="I477">
        <v>1.08471976165349</v>
      </c>
      <c r="J477">
        <v>1.0692277325618</v>
      </c>
      <c r="K477">
        <v>0.95418257777133</v>
      </c>
      <c r="L477">
        <v>3180.68068472784</v>
      </c>
      <c r="M477">
        <v>61.1734164173071</v>
      </c>
      <c r="O477">
        <v>51.9390134163186</v>
      </c>
      <c r="P477">
        <v>0.0152601899824984</v>
      </c>
      <c r="Q477">
        <v>1.05182636271928</v>
      </c>
      <c r="R477">
        <v>0.100651216801991</v>
      </c>
      <c r="S477" t="s">
        <v>2161</v>
      </c>
      <c r="T477" t="s">
        <v>3344</v>
      </c>
      <c r="U477" t="s">
        <v>3344</v>
      </c>
      <c r="V477" t="s">
        <v>3344</v>
      </c>
      <c r="W477" t="s">
        <v>3820</v>
      </c>
      <c r="X477">
        <v>4</v>
      </c>
      <c r="Y477" t="s">
        <v>5476</v>
      </c>
      <c r="Z477" t="s">
        <v>7134</v>
      </c>
      <c r="AA477">
        <v>1.025843440282993</v>
      </c>
      <c r="AB477">
        <f>HYPERLINK("Melting_Curves/meltCurve_P0AAC8_iscA.pdf", "Melting_Curves/meltCurve_P0AAC8_iscA.pdf")</f>
        <v>0</v>
      </c>
    </row>
    <row r="478" spans="1:28">
      <c r="A478" t="s">
        <v>504</v>
      </c>
      <c r="B478">
        <v>0.999998419929286</v>
      </c>
      <c r="C478">
        <v>0.8878737580502279</v>
      </c>
      <c r="D478">
        <v>0.360343837121903</v>
      </c>
      <c r="E478">
        <v>0.259055223345612</v>
      </c>
      <c r="F478">
        <v>0.165430509708639</v>
      </c>
      <c r="G478">
        <v>0.252212031747705</v>
      </c>
      <c r="H478">
        <v>0.109713089257719</v>
      </c>
      <c r="I478">
        <v>0.128197258149655</v>
      </c>
      <c r="J478">
        <v>0.115343142781576</v>
      </c>
      <c r="K478">
        <v>0.116527922521439</v>
      </c>
      <c r="L478">
        <v>1540.09101118963</v>
      </c>
      <c r="M478">
        <v>36.8567067733744</v>
      </c>
      <c r="N478">
        <v>42.2243753079472</v>
      </c>
      <c r="O478">
        <v>41.6634645591381</v>
      </c>
      <c r="P478">
        <v>-0.185994147013015</v>
      </c>
      <c r="Q478">
        <v>0.158998246846615</v>
      </c>
      <c r="R478">
        <v>0.976505586666133</v>
      </c>
      <c r="S478" t="s">
        <v>2162</v>
      </c>
      <c r="T478" t="s">
        <v>3344</v>
      </c>
      <c r="U478" t="s">
        <v>3344</v>
      </c>
      <c r="V478" t="s">
        <v>3344</v>
      </c>
      <c r="W478" t="s">
        <v>3821</v>
      </c>
      <c r="X478">
        <v>1</v>
      </c>
      <c r="Y478" t="s">
        <v>5477</v>
      </c>
      <c r="Z478" t="s">
        <v>7135</v>
      </c>
      <c r="AA478">
        <v>0.2962314247804091</v>
      </c>
      <c r="AB478">
        <f>HYPERLINK("Melting_Curves/meltCurve_P0AAF6_artP.pdf", "Melting_Curves/meltCurve_P0AAF6_artP.pdf")</f>
        <v>0</v>
      </c>
    </row>
    <row r="479" spans="1:28">
      <c r="A479" t="s">
        <v>505</v>
      </c>
      <c r="B479">
        <v>0.999998419929286</v>
      </c>
      <c r="C479">
        <v>0.662428812126022</v>
      </c>
      <c r="D479">
        <v>0.285352495197204</v>
      </c>
      <c r="E479">
        <v>0.128504664811679</v>
      </c>
      <c r="F479">
        <v>0.065223310609772</v>
      </c>
      <c r="G479">
        <v>0.0740371726054789</v>
      </c>
      <c r="H479">
        <v>0.05518328469959</v>
      </c>
      <c r="I479">
        <v>0.0516145462840509</v>
      </c>
      <c r="J479">
        <v>0.0674061432316264</v>
      </c>
      <c r="K479">
        <v>0.0553566970252479</v>
      </c>
      <c r="L479">
        <v>1057.60420992659</v>
      </c>
      <c r="M479">
        <v>25.8169446920261</v>
      </c>
      <c r="N479">
        <v>41.1836300357379</v>
      </c>
      <c r="O479">
        <v>40.7220881961582</v>
      </c>
      <c r="P479">
        <v>-0.148368449104408</v>
      </c>
      <c r="Q479">
        <v>0.063901380370636</v>
      </c>
      <c r="R479">
        <v>0.994994625589707</v>
      </c>
      <c r="S479" t="s">
        <v>2163</v>
      </c>
      <c r="T479" t="s">
        <v>3344</v>
      </c>
      <c r="U479" t="s">
        <v>3344</v>
      </c>
      <c r="V479" t="s">
        <v>3344</v>
      </c>
      <c r="W479" t="s">
        <v>3822</v>
      </c>
      <c r="X479">
        <v>3</v>
      </c>
      <c r="Y479" t="s">
        <v>5478</v>
      </c>
      <c r="Z479" t="s">
        <v>7136</v>
      </c>
      <c r="AA479">
        <v>0.1963818397703057</v>
      </c>
      <c r="AB479">
        <f>HYPERLINK("Melting_Curves/meltCurve_P0AAG0_dppD.pdf", "Melting_Curves/meltCurve_P0AAG0_dppD.pdf")</f>
        <v>0</v>
      </c>
    </row>
    <row r="480" spans="1:28">
      <c r="A480" t="s">
        <v>506</v>
      </c>
      <c r="B480">
        <v>0.999998419929286</v>
      </c>
      <c r="C480">
        <v>0.514636117114154</v>
      </c>
      <c r="D480">
        <v>0.296769873282679</v>
      </c>
      <c r="E480">
        <v>0.197661171787499</v>
      </c>
      <c r="F480">
        <v>0.202180927644327</v>
      </c>
      <c r="G480">
        <v>0.159686650795654</v>
      </c>
      <c r="H480">
        <v>0.0997555331169835</v>
      </c>
      <c r="I480">
        <v>0.0588988059034849</v>
      </c>
      <c r="J480">
        <v>0.039094218301511</v>
      </c>
      <c r="K480">
        <v>0.0532382964112832</v>
      </c>
      <c r="L480">
        <v>976.399523193719</v>
      </c>
      <c r="M480">
        <v>24.3304443440368</v>
      </c>
      <c r="N480">
        <v>40.5507067742521</v>
      </c>
      <c r="O480">
        <v>39.862625433266</v>
      </c>
      <c r="P480">
        <v>-0.135599083950451</v>
      </c>
      <c r="Q480">
        <v>0.111359629321611</v>
      </c>
      <c r="R480">
        <v>0.948159432105496</v>
      </c>
      <c r="S480" t="s">
        <v>2164</v>
      </c>
      <c r="T480" t="s">
        <v>3344</v>
      </c>
      <c r="U480" t="s">
        <v>3344</v>
      </c>
      <c r="V480" t="s">
        <v>3344</v>
      </c>
      <c r="W480" t="s">
        <v>3823</v>
      </c>
      <c r="X480">
        <v>1</v>
      </c>
      <c r="Y480" t="s">
        <v>5479</v>
      </c>
      <c r="Z480" t="s">
        <v>7137</v>
      </c>
      <c r="AA480">
        <v>0.2154954474543726</v>
      </c>
      <c r="AB480">
        <f>HYPERLINK("Melting_Curves/meltCurve_P0AAG8_mglA.pdf", "Melting_Curves/meltCurve_P0AAG8_mglA.pdf")</f>
        <v>0</v>
      </c>
    </row>
    <row r="481" spans="1:28">
      <c r="A481" t="s">
        <v>507</v>
      </c>
      <c r="B481">
        <v>0.999998419929286</v>
      </c>
      <c r="C481">
        <v>2.73534005463824</v>
      </c>
      <c r="D481">
        <v>1.05570092617985</v>
      </c>
      <c r="E481">
        <v>1.48805571295113</v>
      </c>
      <c r="F481">
        <v>2.19910530590736</v>
      </c>
      <c r="G481">
        <v>1.1958200414809</v>
      </c>
      <c r="H481">
        <v>0.26604285186351</v>
      </c>
      <c r="I481">
        <v>0.265418414955691</v>
      </c>
      <c r="J481">
        <v>0.118760828408204</v>
      </c>
      <c r="K481">
        <v>0.181820294590594</v>
      </c>
      <c r="L481">
        <v>14220.8647606977</v>
      </c>
      <c r="M481">
        <v>250</v>
      </c>
      <c r="N481">
        <v>56.9914582710128</v>
      </c>
      <c r="O481">
        <v>56.87980770824</v>
      </c>
      <c r="P481">
        <v>-0.891500193085535</v>
      </c>
      <c r="Q481">
        <v>0.188666088252371</v>
      </c>
      <c r="R481">
        <v>0.344217918755395</v>
      </c>
      <c r="S481" t="s">
        <v>2165</v>
      </c>
      <c r="T481" t="s">
        <v>3344</v>
      </c>
      <c r="U481" t="s">
        <v>3344</v>
      </c>
      <c r="V481" t="s">
        <v>3344</v>
      </c>
      <c r="W481" t="s">
        <v>3824</v>
      </c>
      <c r="X481">
        <v>1</v>
      </c>
      <c r="Y481" t="s">
        <v>5480</v>
      </c>
      <c r="Z481" t="s">
        <v>7138</v>
      </c>
      <c r="AA481">
        <v>0.7264845701890329</v>
      </c>
      <c r="AB481">
        <f>HYPERLINK("Melting_Curves/meltCurve_P0AAH0_pstB.pdf", "Melting_Curves/meltCurve_P0AAH0_pstB.pdf")</f>
        <v>0</v>
      </c>
    </row>
    <row r="482" spans="1:28">
      <c r="A482" t="s">
        <v>508</v>
      </c>
      <c r="B482">
        <v>0.999998419929286</v>
      </c>
      <c r="C482">
        <v>1.12072609712992</v>
      </c>
      <c r="D482">
        <v>1.15081187812674</v>
      </c>
      <c r="E482">
        <v>0.791772615285967</v>
      </c>
      <c r="F482">
        <v>1.26997139385238</v>
      </c>
      <c r="G482">
        <v>0.607262286531874</v>
      </c>
      <c r="H482">
        <v>0.630136941095054</v>
      </c>
      <c r="I482">
        <v>0.326921291842011</v>
      </c>
      <c r="J482">
        <v>0.156617395555265</v>
      </c>
      <c r="K482">
        <v>0.157063670188721</v>
      </c>
      <c r="L482">
        <v>1110.53089369451</v>
      </c>
      <c r="M482">
        <v>19.3025434717184</v>
      </c>
      <c r="N482">
        <v>58.0988629046774</v>
      </c>
      <c r="O482">
        <v>56.9260516864813</v>
      </c>
      <c r="P482">
        <v>-0.0775077276119804</v>
      </c>
      <c r="Q482">
        <v>0.08570730636895441</v>
      </c>
      <c r="R482">
        <v>0.8510905654398629</v>
      </c>
      <c r="S482" t="s">
        <v>2166</v>
      </c>
      <c r="T482" t="s">
        <v>3344</v>
      </c>
      <c r="U482" t="s">
        <v>3344</v>
      </c>
      <c r="V482" t="s">
        <v>3344</v>
      </c>
      <c r="W482" t="s">
        <v>3825</v>
      </c>
      <c r="X482">
        <v>1</v>
      </c>
      <c r="Y482" t="s">
        <v>5481</v>
      </c>
      <c r="Z482" t="s">
        <v>7139</v>
      </c>
      <c r="AA482">
        <v>0.7185938032373681</v>
      </c>
      <c r="AB482">
        <f>HYPERLINK("Melting_Curves/meltCurve_P0AAH8_sapF.pdf", "Melting_Curves/meltCurve_P0AAH8_sapF.pdf")</f>
        <v>0</v>
      </c>
    </row>
    <row r="483" spans="1:28">
      <c r="A483" t="s">
        <v>509</v>
      </c>
      <c r="B483">
        <v>0.999998419929286</v>
      </c>
      <c r="C483">
        <v>2.63517494718489</v>
      </c>
      <c r="D483">
        <v>1.68474840425837</v>
      </c>
      <c r="E483">
        <v>1.20637576333251</v>
      </c>
      <c r="F483">
        <v>0.926054397715749</v>
      </c>
      <c r="G483">
        <v>0.634202233626911</v>
      </c>
      <c r="H483">
        <v>0.573151830680331</v>
      </c>
      <c r="I483">
        <v>0.6592483172900721</v>
      </c>
      <c r="J483">
        <v>0.777948191709952</v>
      </c>
      <c r="K483">
        <v>0.751747099061926</v>
      </c>
      <c r="L483">
        <v>12610.5024012686</v>
      </c>
      <c r="M483">
        <v>250</v>
      </c>
      <c r="O483">
        <v>50.4387819228683</v>
      </c>
      <c r="P483">
        <v>-0.397437822476111</v>
      </c>
      <c r="Q483">
        <v>0.679259527612056</v>
      </c>
      <c r="R483">
        <v>0.122295883315662</v>
      </c>
      <c r="S483" t="s">
        <v>2167</v>
      </c>
      <c r="T483" t="s">
        <v>3344</v>
      </c>
      <c r="U483" t="s">
        <v>3344</v>
      </c>
      <c r="V483" t="s">
        <v>3344</v>
      </c>
      <c r="W483" t="s">
        <v>3826</v>
      </c>
      <c r="X483">
        <v>17</v>
      </c>
      <c r="Y483" t="s">
        <v>5482</v>
      </c>
      <c r="Z483" t="s">
        <v>7140</v>
      </c>
      <c r="AA483">
        <v>0.8230011381628705</v>
      </c>
      <c r="AB483">
        <f>HYPERLINK("Melting_Curves/meltCurve_P0AAI3_ftsH.pdf", "Melting_Curves/meltCurve_P0AAI3_ftsH.pdf")</f>
        <v>0</v>
      </c>
    </row>
    <row r="484" spans="1:28">
      <c r="A484" t="s">
        <v>510</v>
      </c>
      <c r="B484">
        <v>0.999998419929286</v>
      </c>
      <c r="C484">
        <v>0.958639276541713</v>
      </c>
      <c r="D484">
        <v>0.518790105721865</v>
      </c>
      <c r="E484">
        <v>0.41076482921359</v>
      </c>
      <c r="F484">
        <v>0.415577886395652</v>
      </c>
      <c r="G484">
        <v>0.452350032310487</v>
      </c>
      <c r="H484">
        <v>0.359165072410104</v>
      </c>
      <c r="I484">
        <v>0.354964569501213</v>
      </c>
      <c r="J484">
        <v>0.372205077991482</v>
      </c>
      <c r="K484">
        <v>0.387526844334036</v>
      </c>
      <c r="L484">
        <v>2164.13213603812</v>
      </c>
      <c r="M484">
        <v>51.6568847831299</v>
      </c>
      <c r="N484">
        <v>43.1801680036128</v>
      </c>
      <c r="O484">
        <v>41.8317168676126</v>
      </c>
      <c r="P484">
        <v>-0.187509835714768</v>
      </c>
      <c r="Q484">
        <v>0.392619008913599</v>
      </c>
      <c r="R484">
        <v>0.986560155167221</v>
      </c>
      <c r="S484" t="s">
        <v>2168</v>
      </c>
      <c r="T484" t="s">
        <v>3344</v>
      </c>
      <c r="U484" t="s">
        <v>3344</v>
      </c>
      <c r="V484" t="s">
        <v>3344</v>
      </c>
      <c r="W484" t="s">
        <v>3827</v>
      </c>
      <c r="X484">
        <v>3</v>
      </c>
      <c r="Y484" t="s">
        <v>5483</v>
      </c>
      <c r="Z484" t="s">
        <v>7141</v>
      </c>
      <c r="AA484">
        <v>0.492774933730456</v>
      </c>
      <c r="AB484">
        <f>HYPERLINK("Melting_Curves/meltCurve_P0AAI5_fabF.pdf", "Melting_Curves/meltCurve_P0AAI5_fabF.pdf")</f>
        <v>0</v>
      </c>
    </row>
    <row r="485" spans="1:28">
      <c r="A485" t="s">
        <v>511</v>
      </c>
      <c r="B485">
        <v>0.999998419929286</v>
      </c>
      <c r="C485">
        <v>0.968270902933459</v>
      </c>
      <c r="D485">
        <v>1.12004668505318</v>
      </c>
      <c r="E485">
        <v>1.20696321981334</v>
      </c>
      <c r="F485">
        <v>1.38155470774468</v>
      </c>
      <c r="G485">
        <v>1.49055889261829</v>
      </c>
      <c r="H485">
        <v>0.758062979097368</v>
      </c>
      <c r="I485">
        <v>0.141066887182746</v>
      </c>
      <c r="J485">
        <v>0.0939530405375367</v>
      </c>
      <c r="K485">
        <v>0.0601838821145676</v>
      </c>
      <c r="L485">
        <v>5216.27303384763</v>
      </c>
      <c r="M485">
        <v>89.8411601130271</v>
      </c>
      <c r="N485">
        <v>58.195968720421</v>
      </c>
      <c r="O485">
        <v>58.032310669033</v>
      </c>
      <c r="P485">
        <v>-0.350649848251433</v>
      </c>
      <c r="Q485">
        <v>0.0940001560766113</v>
      </c>
      <c r="R485">
        <v>0.829697962338656</v>
      </c>
      <c r="S485" t="s">
        <v>2169</v>
      </c>
      <c r="T485" t="s">
        <v>3344</v>
      </c>
      <c r="U485" t="s">
        <v>3344</v>
      </c>
      <c r="V485" t="s">
        <v>3344</v>
      </c>
      <c r="W485" t="s">
        <v>3828</v>
      </c>
      <c r="X485">
        <v>9</v>
      </c>
      <c r="Y485" t="s">
        <v>5484</v>
      </c>
      <c r="Z485" t="s">
        <v>7142</v>
      </c>
      <c r="AA485">
        <v>0.730759829175648</v>
      </c>
      <c r="AB485">
        <f>HYPERLINK("Melting_Curves/meltCurve_P0AAI9_fabD.pdf", "Melting_Curves/meltCurve_P0AAI9_fabD.pdf")</f>
        <v>0</v>
      </c>
    </row>
    <row r="486" spans="1:28">
      <c r="A486" t="s">
        <v>512</v>
      </c>
      <c r="B486">
        <v>0.999998419929286</v>
      </c>
      <c r="C486">
        <v>1.42318401686949</v>
      </c>
      <c r="D486">
        <v>1.30254099259063</v>
      </c>
      <c r="E486">
        <v>1.18974475036422</v>
      </c>
      <c r="F486">
        <v>1.4924884719779</v>
      </c>
      <c r="G486">
        <v>1.26260909455463</v>
      </c>
      <c r="H486">
        <v>1.12993749155836</v>
      </c>
      <c r="I486">
        <v>1.09194515590489</v>
      </c>
      <c r="J486">
        <v>1.55035422748125</v>
      </c>
      <c r="K486">
        <v>1.64728675393693</v>
      </c>
      <c r="L486">
        <v>164.575846990151</v>
      </c>
      <c r="M486">
        <v>3.79859640383527</v>
      </c>
      <c r="Q486">
        <v>1.5</v>
      </c>
      <c r="R486">
        <v>0.154987956037779</v>
      </c>
      <c r="S486" t="s">
        <v>2170</v>
      </c>
      <c r="T486" t="s">
        <v>3344</v>
      </c>
      <c r="U486" t="s">
        <v>3344</v>
      </c>
      <c r="V486" t="s">
        <v>3344</v>
      </c>
      <c r="W486" t="s">
        <v>3829</v>
      </c>
      <c r="X486">
        <v>4</v>
      </c>
      <c r="Y486" t="s">
        <v>5485</v>
      </c>
      <c r="Z486" t="s">
        <v>7143</v>
      </c>
      <c r="AA486">
        <v>1.312134057221948</v>
      </c>
      <c r="AB486">
        <f>HYPERLINK("Melting_Curves/meltCurve_P0AAJ5_fdoH.pdf", "Melting_Curves/meltCurve_P0AAJ5_fdoH.pdf")</f>
        <v>0</v>
      </c>
    </row>
    <row r="487" spans="1:28">
      <c r="A487" t="s">
        <v>513</v>
      </c>
      <c r="B487">
        <v>0.999998419929286</v>
      </c>
      <c r="C487">
        <v>1.05028120000386</v>
      </c>
      <c r="D487">
        <v>0.860712834723786</v>
      </c>
      <c r="E487">
        <v>0.754475108763496</v>
      </c>
      <c r="F487">
        <v>0.815988077544885</v>
      </c>
      <c r="G487">
        <v>0.749466346627936</v>
      </c>
      <c r="H487">
        <v>0.629994463606196</v>
      </c>
      <c r="I487">
        <v>0.584672549034215</v>
      </c>
      <c r="J487">
        <v>0.45332389162081</v>
      </c>
      <c r="K487">
        <v>0.559760216061814</v>
      </c>
      <c r="L487">
        <v>368.788975040967</v>
      </c>
      <c r="M487">
        <v>6.74865847628797</v>
      </c>
      <c r="O487">
        <v>50.4489338649478</v>
      </c>
      <c r="P487">
        <v>-0.0212392618999629</v>
      </c>
      <c r="Q487">
        <v>0.366254870691471</v>
      </c>
      <c r="R487">
        <v>0.8928457503821901</v>
      </c>
      <c r="S487" t="s">
        <v>2171</v>
      </c>
      <c r="T487" t="s">
        <v>3344</v>
      </c>
      <c r="U487" t="s">
        <v>3344</v>
      </c>
      <c r="V487" t="s">
        <v>3344</v>
      </c>
      <c r="W487" t="s">
        <v>3830</v>
      </c>
      <c r="X487">
        <v>2</v>
      </c>
      <c r="Y487" t="s">
        <v>5486</v>
      </c>
      <c r="Z487" t="s">
        <v>7144</v>
      </c>
      <c r="AA487">
        <v>0.7416582719441931</v>
      </c>
      <c r="AB487">
        <f>HYPERLINK("Melting_Curves/meltCurve_P0AAJ8_hybA.pdf", "Melting_Curves/meltCurve_P0AAJ8_hybA.pdf")</f>
        <v>0</v>
      </c>
    </row>
    <row r="488" spans="1:28">
      <c r="A488" t="s">
        <v>514</v>
      </c>
      <c r="B488">
        <v>0.999998419929286</v>
      </c>
      <c r="C488">
        <v>0.97812777146797</v>
      </c>
      <c r="D488">
        <v>0.7628325623865519</v>
      </c>
      <c r="E488">
        <v>0.660457745210503</v>
      </c>
      <c r="F488">
        <v>0.647353740216472</v>
      </c>
      <c r="G488">
        <v>0.564121040751251</v>
      </c>
      <c r="H488">
        <v>0.486352158546658</v>
      </c>
      <c r="I488">
        <v>0.369947876176209</v>
      </c>
      <c r="J488">
        <v>0.372320907276143</v>
      </c>
      <c r="K488">
        <v>0.363266869870888</v>
      </c>
      <c r="L488">
        <v>393.59942577436</v>
      </c>
      <c r="M488">
        <v>7.98807678844287</v>
      </c>
      <c r="N488">
        <v>55.0230776026291</v>
      </c>
      <c r="O488">
        <v>46.4728588721241</v>
      </c>
      <c r="P488">
        <v>-0.0308456251163202</v>
      </c>
      <c r="Q488">
        <v>0.283003419343505</v>
      </c>
      <c r="R488">
        <v>0.958669404794284</v>
      </c>
      <c r="S488" t="s">
        <v>2172</v>
      </c>
      <c r="T488" t="s">
        <v>3344</v>
      </c>
      <c r="U488" t="s">
        <v>3344</v>
      </c>
      <c r="V488" t="s">
        <v>3344</v>
      </c>
      <c r="W488" t="s">
        <v>3831</v>
      </c>
      <c r="X488">
        <v>2</v>
      </c>
      <c r="Y488" t="s">
        <v>5487</v>
      </c>
      <c r="Z488" t="s">
        <v>7145</v>
      </c>
      <c r="AA488">
        <v>0.6085518298737141</v>
      </c>
      <c r="AB488">
        <f>HYPERLINK("Melting_Curves/meltCurve_P0AAN3_hypB.pdf", "Melting_Curves/meltCurve_P0AAN3_hypB.pdf")</f>
        <v>0</v>
      </c>
    </row>
    <row r="489" spans="1:28">
      <c r="A489" t="s">
        <v>515</v>
      </c>
      <c r="B489">
        <v>0.999998419929286</v>
      </c>
      <c r="C489">
        <v>0.805718991617289</v>
      </c>
      <c r="D489">
        <v>0.482612668587317</v>
      </c>
      <c r="E489">
        <v>0.651290249656164</v>
      </c>
      <c r="F489">
        <v>0.735474264578717</v>
      </c>
      <c r="G489">
        <v>0.535026634126723</v>
      </c>
      <c r="H489">
        <v>0.6877335677387491</v>
      </c>
      <c r="I489">
        <v>0.761936726780153</v>
      </c>
      <c r="J489">
        <v>1.30841683852211</v>
      </c>
      <c r="K489">
        <v>1.09857187854195</v>
      </c>
      <c r="L489">
        <v>4136.80529906927</v>
      </c>
      <c r="M489">
        <v>65.72347940313681</v>
      </c>
      <c r="O489">
        <v>62.8843830734308</v>
      </c>
      <c r="P489">
        <v>0.0509735833049498</v>
      </c>
      <c r="Q489">
        <v>1.19508653218846</v>
      </c>
      <c r="R489">
        <v>-0.524098209867517</v>
      </c>
      <c r="S489" t="s">
        <v>2173</v>
      </c>
      <c r="T489" t="s">
        <v>3344</v>
      </c>
      <c r="U489" t="s">
        <v>3344</v>
      </c>
      <c r="V489" t="s">
        <v>3344</v>
      </c>
      <c r="W489" t="s">
        <v>3832</v>
      </c>
      <c r="X489">
        <v>1</v>
      </c>
      <c r="Y489" t="s">
        <v>5488</v>
      </c>
      <c r="Z489" t="s">
        <v>7146</v>
      </c>
      <c r="AA489">
        <v>1.026207294249527</v>
      </c>
      <c r="AB489">
        <f>HYPERLINK("Melting_Curves/meltCurve_P0AAN5_yaiA.pdf", "Melting_Curves/meltCurve_P0AAN5_yaiA.pdf")</f>
        <v>0</v>
      </c>
    </row>
    <row r="490" spans="1:28">
      <c r="A490" t="s">
        <v>516</v>
      </c>
      <c r="B490">
        <v>0.999998419929286</v>
      </c>
      <c r="C490">
        <v>1.12900509854189</v>
      </c>
      <c r="D490">
        <v>0.371824170946465</v>
      </c>
      <c r="E490">
        <v>1.05475643547019</v>
      </c>
      <c r="F490">
        <v>1.08346490863272</v>
      </c>
      <c r="G490">
        <v>1.07260854988173</v>
      </c>
      <c r="H490">
        <v>1.54292540622796</v>
      </c>
      <c r="I490">
        <v>1.37877150278076</v>
      </c>
      <c r="J490">
        <v>1.41457007250361</v>
      </c>
      <c r="K490">
        <v>1.02534646202157</v>
      </c>
      <c r="L490">
        <v>13520.2158784633</v>
      </c>
      <c r="M490">
        <v>250</v>
      </c>
      <c r="O490">
        <v>54.077392193747</v>
      </c>
      <c r="P490">
        <v>0.393421432282901</v>
      </c>
      <c r="Q490">
        <v>1.34040334737505</v>
      </c>
      <c r="R490">
        <v>0.383474552668599</v>
      </c>
      <c r="S490" t="s">
        <v>2174</v>
      </c>
      <c r="T490" t="s">
        <v>3344</v>
      </c>
      <c r="U490" t="s">
        <v>3344</v>
      </c>
      <c r="V490" t="s">
        <v>3344</v>
      </c>
      <c r="W490" t="s">
        <v>3833</v>
      </c>
      <c r="X490">
        <v>1</v>
      </c>
      <c r="Y490" t="s">
        <v>5489</v>
      </c>
      <c r="Z490" t="s">
        <v>7147</v>
      </c>
      <c r="AA490">
        <v>1.146558268788766</v>
      </c>
      <c r="AB490">
        <f>HYPERLINK("Melting_Curves/meltCurve_P0AAN9_iraP.pdf", "Melting_Curves/meltCurve_P0AAN9_iraP.pdf")</f>
        <v>0</v>
      </c>
    </row>
    <row r="491" spans="1:28">
      <c r="A491" t="s">
        <v>517</v>
      </c>
      <c r="B491">
        <v>0.999998419929286</v>
      </c>
      <c r="C491">
        <v>0.8757616339377871</v>
      </c>
      <c r="D491">
        <v>0.721799812886778</v>
      </c>
      <c r="E491">
        <v>0.703946689165814</v>
      </c>
      <c r="F491">
        <v>0.756487976034064</v>
      </c>
      <c r="G491">
        <v>0.730889731544892</v>
      </c>
      <c r="H491">
        <v>0.679822101063735</v>
      </c>
      <c r="I491">
        <v>0.6821162036313611</v>
      </c>
      <c r="J491">
        <v>0.749032925726726</v>
      </c>
      <c r="K491">
        <v>0.646302698958535</v>
      </c>
      <c r="L491">
        <v>1900.60574969451</v>
      </c>
      <c r="M491">
        <v>47.3188624415967</v>
      </c>
      <c r="O491">
        <v>40.0943826779383</v>
      </c>
      <c r="P491">
        <v>-0.0864030730816203</v>
      </c>
      <c r="Q491">
        <v>0.70715491843196</v>
      </c>
      <c r="R491">
        <v>0.902967125187392</v>
      </c>
      <c r="S491" t="s">
        <v>2175</v>
      </c>
      <c r="T491" t="s">
        <v>3344</v>
      </c>
      <c r="U491" t="s">
        <v>3344</v>
      </c>
      <c r="V491" t="s">
        <v>3344</v>
      </c>
      <c r="W491" t="s">
        <v>3834</v>
      </c>
      <c r="X491">
        <v>4</v>
      </c>
      <c r="Y491" t="s">
        <v>5490</v>
      </c>
      <c r="Z491" t="s">
        <v>7148</v>
      </c>
      <c r="AA491">
        <v>0.7387558512188414</v>
      </c>
      <c r="AB491">
        <f>HYPERLINK("Melting_Curves/meltCurve_P0AAP3_frmR.pdf", "Melting_Curves/meltCurve_P0AAP3_frmR.pdf")</f>
        <v>0</v>
      </c>
    </row>
    <row r="492" spans="1:28">
      <c r="A492" t="s">
        <v>518</v>
      </c>
      <c r="B492">
        <v>0.999998419929286</v>
      </c>
      <c r="C492">
        <v>0.943329695973656</v>
      </c>
      <c r="D492">
        <v>1.02974912636533</v>
      </c>
      <c r="E492">
        <v>0.9423424315568451</v>
      </c>
      <c r="F492">
        <v>1.08722774974444</v>
      </c>
      <c r="G492">
        <v>1.05973637079301</v>
      </c>
      <c r="H492">
        <v>1.06435953208627</v>
      </c>
      <c r="I492">
        <v>0.951825311085048</v>
      </c>
      <c r="J492">
        <v>1.01262578289208</v>
      </c>
      <c r="K492">
        <v>1.08091431048821</v>
      </c>
      <c r="S492" t="s">
        <v>2176</v>
      </c>
      <c r="T492" t="s">
        <v>3344</v>
      </c>
      <c r="U492" t="s">
        <v>3345</v>
      </c>
      <c r="V492" t="s">
        <v>3344</v>
      </c>
      <c r="W492" t="s">
        <v>3835</v>
      </c>
      <c r="X492">
        <v>2</v>
      </c>
      <c r="Y492" t="s">
        <v>5491</v>
      </c>
      <c r="Z492" t="s">
        <v>7149</v>
      </c>
      <c r="AB492">
        <f>HYPERLINK("Melting_Curves/meltCurve_P0AAQ2_yajD.pdf", "Melting_Curves/meltCurve_P0AAQ2_yajD.pdf")</f>
        <v>0</v>
      </c>
    </row>
    <row r="493" spans="1:28">
      <c r="A493" t="s">
        <v>519</v>
      </c>
      <c r="B493">
        <v>0.999998419929286</v>
      </c>
      <c r="C493">
        <v>0.901953834494222</v>
      </c>
      <c r="D493">
        <v>0.712188764957115</v>
      </c>
      <c r="E493">
        <v>0.741308443829096</v>
      </c>
      <c r="F493">
        <v>0.763813128316926</v>
      </c>
      <c r="G493">
        <v>0.946849329266924</v>
      </c>
      <c r="H493">
        <v>0.862936525922711</v>
      </c>
      <c r="I493">
        <v>0.926060955815232</v>
      </c>
      <c r="J493">
        <v>1.06574828828001</v>
      </c>
      <c r="K493">
        <v>0.902074023772178</v>
      </c>
      <c r="S493" t="s">
        <v>2177</v>
      </c>
      <c r="T493" t="s">
        <v>3344</v>
      </c>
      <c r="U493" t="s">
        <v>3345</v>
      </c>
      <c r="V493" t="s">
        <v>3344</v>
      </c>
      <c r="W493" t="s">
        <v>3836</v>
      </c>
      <c r="X493">
        <v>4</v>
      </c>
      <c r="Y493" t="s">
        <v>5492</v>
      </c>
      <c r="Z493" t="s">
        <v>7150</v>
      </c>
      <c r="AB493">
        <f>HYPERLINK("Melting_Curves/meltCurve_P0AAQ6_ybaA.pdf", "Melting_Curves/meltCurve_P0AAQ6_ybaA.pdf")</f>
        <v>0</v>
      </c>
    </row>
    <row r="494" spans="1:28">
      <c r="A494" t="s">
        <v>520</v>
      </c>
      <c r="B494">
        <v>0.999998419929286</v>
      </c>
      <c r="C494">
        <v>0.917595962188164</v>
      </c>
      <c r="D494">
        <v>0.940767447406857</v>
      </c>
      <c r="E494">
        <v>0.991508638757202</v>
      </c>
      <c r="F494">
        <v>0.999528154905119</v>
      </c>
      <c r="G494">
        <v>0.745195817063546</v>
      </c>
      <c r="H494">
        <v>0.307776865870551</v>
      </c>
      <c r="I494">
        <v>0.148815490963773</v>
      </c>
      <c r="J494">
        <v>0.100316395844836</v>
      </c>
      <c r="K494">
        <v>0.0698484775153032</v>
      </c>
      <c r="L494">
        <v>1804.23458365272</v>
      </c>
      <c r="M494">
        <v>32.5509673602786</v>
      </c>
      <c r="N494">
        <v>55.7489020187901</v>
      </c>
      <c r="O494">
        <v>55.2200483358052</v>
      </c>
      <c r="P494">
        <v>-0.134779511613946</v>
      </c>
      <c r="Q494">
        <v>0.0854347675894106</v>
      </c>
      <c r="R494">
        <v>0.992155638474562</v>
      </c>
      <c r="S494" t="s">
        <v>2178</v>
      </c>
      <c r="T494" t="s">
        <v>3344</v>
      </c>
      <c r="U494" t="s">
        <v>3344</v>
      </c>
      <c r="V494" t="s">
        <v>3344</v>
      </c>
      <c r="W494" t="s">
        <v>3837</v>
      </c>
      <c r="X494">
        <v>2</v>
      </c>
      <c r="Y494" t="s">
        <v>5493</v>
      </c>
      <c r="Z494" t="s">
        <v>7151</v>
      </c>
      <c r="AA494">
        <v>0.6522414931900442</v>
      </c>
      <c r="AB494">
        <f>HYPERLINK("Melting_Curves/meltCurve_P0AAR3_ybaK.pdf", "Melting_Curves/meltCurve_P0AAR3_ybaK.pdf")</f>
        <v>0</v>
      </c>
    </row>
    <row r="495" spans="1:28">
      <c r="A495" t="s">
        <v>521</v>
      </c>
      <c r="B495">
        <v>0.999998419929286</v>
      </c>
      <c r="C495">
        <v>0.782013953151517</v>
      </c>
      <c r="D495">
        <v>0.829029054737643</v>
      </c>
      <c r="E495">
        <v>0.69320442957617</v>
      </c>
      <c r="F495">
        <v>0.770178499066371</v>
      </c>
      <c r="G495">
        <v>0.515185664919392</v>
      </c>
      <c r="H495">
        <v>0.483339050578546</v>
      </c>
      <c r="I495">
        <v>0.330820993200387</v>
      </c>
      <c r="J495">
        <v>0.310328316367485</v>
      </c>
      <c r="K495">
        <v>0.293004241857918</v>
      </c>
      <c r="L495">
        <v>300.285981165088</v>
      </c>
      <c r="M495">
        <v>5.40589607495995</v>
      </c>
      <c r="N495">
        <v>55.5478642209022</v>
      </c>
      <c r="O495">
        <v>49.322644458623</v>
      </c>
      <c r="P495">
        <v>-0.0275288843432712</v>
      </c>
      <c r="Q495">
        <v>0</v>
      </c>
      <c r="R495">
        <v>0.928593088467527</v>
      </c>
      <c r="S495" t="s">
        <v>2179</v>
      </c>
      <c r="T495" t="s">
        <v>3344</v>
      </c>
      <c r="U495" t="s">
        <v>3344</v>
      </c>
      <c r="V495" t="s">
        <v>3344</v>
      </c>
      <c r="W495" t="s">
        <v>3838</v>
      </c>
      <c r="X495">
        <v>1</v>
      </c>
      <c r="Y495" t="s">
        <v>5494</v>
      </c>
      <c r="Z495" t="s">
        <v>7152</v>
      </c>
      <c r="AA495">
        <v>0.6016428631171352</v>
      </c>
      <c r="AB495">
        <f>HYPERLINK("Melting_Curves/meltCurve_P0AAS0_ylaC.pdf", "Melting_Curves/meltCurve_P0AAS0_ylaC.pdf")</f>
        <v>0</v>
      </c>
    </row>
    <row r="496" spans="1:28">
      <c r="A496" t="s">
        <v>522</v>
      </c>
      <c r="B496">
        <v>0.999998419929286</v>
      </c>
      <c r="C496">
        <v>0.831642673190632</v>
      </c>
      <c r="D496">
        <v>0.888405408833629</v>
      </c>
      <c r="E496">
        <v>0.957755931060128</v>
      </c>
      <c r="F496">
        <v>1.00668051258112</v>
      </c>
      <c r="G496">
        <v>1.17497145831406</v>
      </c>
      <c r="H496">
        <v>1.07445819160144</v>
      </c>
      <c r="I496">
        <v>1.07325005243232</v>
      </c>
      <c r="J496">
        <v>1.07427927765422</v>
      </c>
      <c r="K496">
        <v>1.06398060055295</v>
      </c>
      <c r="L496">
        <v>12677.974832611</v>
      </c>
      <c r="M496">
        <v>250</v>
      </c>
      <c r="O496">
        <v>50.7086613539975</v>
      </c>
      <c r="P496">
        <v>0.11362447537987</v>
      </c>
      <c r="Q496">
        <v>1.09218790744016</v>
      </c>
      <c r="R496">
        <v>0.441069437859288</v>
      </c>
      <c r="S496" t="s">
        <v>2180</v>
      </c>
      <c r="T496" t="s">
        <v>3344</v>
      </c>
      <c r="U496" t="s">
        <v>3344</v>
      </c>
      <c r="V496" t="s">
        <v>3344</v>
      </c>
      <c r="W496" t="s">
        <v>3839</v>
      </c>
      <c r="X496">
        <v>2</v>
      </c>
      <c r="Y496" t="s">
        <v>5495</v>
      </c>
      <c r="Z496" t="s">
        <v>7153</v>
      </c>
      <c r="AA496">
        <v>1.050043992635883</v>
      </c>
      <c r="AB496">
        <f>HYPERLINK("Melting_Curves/meltCurve_P0AAS3_ybbJ.pdf", "Melting_Curves/meltCurve_P0AAS3_ybbJ.pdf")</f>
        <v>0</v>
      </c>
    </row>
    <row r="497" spans="1:28">
      <c r="A497" t="s">
        <v>523</v>
      </c>
      <c r="B497">
        <v>0.999998419929286</v>
      </c>
      <c r="C497">
        <v>0.769345575583806</v>
      </c>
      <c r="D497">
        <v>0.936548471648976</v>
      </c>
      <c r="E497">
        <v>1.1092479420732</v>
      </c>
      <c r="F497">
        <v>1.30923734207991</v>
      </c>
      <c r="G497">
        <v>1.5005467803693</v>
      </c>
      <c r="H497">
        <v>1.33828192101606</v>
      </c>
      <c r="I497">
        <v>1.06245469581186</v>
      </c>
      <c r="J497">
        <v>1.38947203278906</v>
      </c>
      <c r="K497">
        <v>1.42495316440496</v>
      </c>
      <c r="L497">
        <v>2646.73089166671</v>
      </c>
      <c r="M497">
        <v>56.0042295285332</v>
      </c>
      <c r="O497">
        <v>47.1993348636996</v>
      </c>
      <c r="P497">
        <v>0.10080353980778</v>
      </c>
      <c r="Q497">
        <v>1.33982132683829</v>
      </c>
      <c r="R497">
        <v>0.67697898616997</v>
      </c>
      <c r="S497" t="s">
        <v>2181</v>
      </c>
      <c r="T497" t="s">
        <v>3344</v>
      </c>
      <c r="U497" t="s">
        <v>3344</v>
      </c>
      <c r="V497" t="s">
        <v>3344</v>
      </c>
      <c r="W497" t="s">
        <v>3840</v>
      </c>
      <c r="X497">
        <v>4</v>
      </c>
      <c r="Y497" t="s">
        <v>5496</v>
      </c>
      <c r="Z497" t="s">
        <v>7154</v>
      </c>
      <c r="AA497">
        <v>1.223044292350098</v>
      </c>
      <c r="AB497">
        <f>HYPERLINK("Melting_Curves/meltCurve_P0AAS7_ybcJ.pdf", "Melting_Curves/meltCurve_P0AAS7_ybcJ.pdf")</f>
        <v>0</v>
      </c>
    </row>
    <row r="498" spans="1:28">
      <c r="A498" t="s">
        <v>524</v>
      </c>
      <c r="B498">
        <v>0.999998419929286</v>
      </c>
      <c r="C498">
        <v>0.910975613902458</v>
      </c>
      <c r="D498">
        <v>0.848489588792642</v>
      </c>
      <c r="E498">
        <v>0.852062636721357</v>
      </c>
      <c r="F498">
        <v>0.7053541631536639</v>
      </c>
      <c r="G498">
        <v>0.521697158475939</v>
      </c>
      <c r="H498">
        <v>0.379300301809001</v>
      </c>
      <c r="I498">
        <v>0.226914467213767</v>
      </c>
      <c r="J498">
        <v>0.211931894787932</v>
      </c>
      <c r="K498">
        <v>0.210943665259295</v>
      </c>
      <c r="L498">
        <v>492.405712920559</v>
      </c>
      <c r="M498">
        <v>9.140735577036841</v>
      </c>
      <c r="N498">
        <v>54.2792654716021</v>
      </c>
      <c r="O498">
        <v>51.4789890782427</v>
      </c>
      <c r="P498">
        <v>-0.0429395346481313</v>
      </c>
      <c r="Q498">
        <v>0.0333507900583012</v>
      </c>
      <c r="R498">
        <v>0.984139326065563</v>
      </c>
      <c r="S498" t="s">
        <v>2182</v>
      </c>
      <c r="T498" t="s">
        <v>3344</v>
      </c>
      <c r="U498" t="s">
        <v>3344</v>
      </c>
      <c r="V498" t="s">
        <v>3344</v>
      </c>
      <c r="W498" t="s">
        <v>3841</v>
      </c>
      <c r="X498">
        <v>1</v>
      </c>
      <c r="Y498" t="s">
        <v>5497</v>
      </c>
      <c r="Z498" t="s">
        <v>7155</v>
      </c>
      <c r="AA498">
        <v>0.5938452340394453</v>
      </c>
      <c r="AB498">
        <f>HYPERLINK("Melting_Curves/meltCurve_P0AAT2_ybdF.pdf", "Melting_Curves/meltCurve_P0AAT2_ybdF.pdf")</f>
        <v>0</v>
      </c>
    </row>
    <row r="499" spans="1:28">
      <c r="A499" t="s">
        <v>525</v>
      </c>
      <c r="B499">
        <v>0.999998419929286</v>
      </c>
      <c r="C499">
        <v>1.02706733555519</v>
      </c>
      <c r="D499">
        <v>0.822197528974795</v>
      </c>
      <c r="E499">
        <v>0.961832747799121</v>
      </c>
      <c r="F499">
        <v>0.989260497678322</v>
      </c>
      <c r="G499">
        <v>1.31242480271607</v>
      </c>
      <c r="H499">
        <v>1.13819725026494</v>
      </c>
      <c r="I499">
        <v>1.35361740917019</v>
      </c>
      <c r="J499">
        <v>1.34576349899403</v>
      </c>
      <c r="K499">
        <v>1.51446172832478</v>
      </c>
      <c r="L499">
        <v>802.493909459015</v>
      </c>
      <c r="M499">
        <v>13.9330444032661</v>
      </c>
      <c r="O499">
        <v>56.448896653633</v>
      </c>
      <c r="P499">
        <v>0.0308573856240255</v>
      </c>
      <c r="Q499">
        <v>1.5</v>
      </c>
      <c r="R499">
        <v>0.791111199300919</v>
      </c>
      <c r="S499" t="s">
        <v>2183</v>
      </c>
      <c r="T499" t="s">
        <v>3344</v>
      </c>
      <c r="U499" t="s">
        <v>3344</v>
      </c>
      <c r="V499" t="s">
        <v>3344</v>
      </c>
      <c r="W499" t="s">
        <v>3842</v>
      </c>
      <c r="X499">
        <v>1</v>
      </c>
      <c r="Y499" t="s">
        <v>5498</v>
      </c>
      <c r="Z499" t="s">
        <v>7156</v>
      </c>
      <c r="AA499">
        <v>1.154375929848522</v>
      </c>
      <c r="AB499">
        <f>HYPERLINK("Melting_Curves/meltCurve_P0AAT9_ybeL.pdf", "Melting_Curves/meltCurve_P0AAT9_ybeL.pdf")</f>
        <v>0</v>
      </c>
    </row>
    <row r="500" spans="1:28">
      <c r="A500" t="s">
        <v>526</v>
      </c>
      <c r="B500">
        <v>0.999998419929286</v>
      </c>
      <c r="C500">
        <v>0.811722870958917</v>
      </c>
      <c r="D500">
        <v>0.585469496168049</v>
      </c>
      <c r="E500">
        <v>0.798178650075261</v>
      </c>
      <c r="F500">
        <v>0.843694176190792</v>
      </c>
      <c r="G500">
        <v>0.852218125764599</v>
      </c>
      <c r="H500">
        <v>0.876607672629177</v>
      </c>
      <c r="I500">
        <v>0.598329161695733</v>
      </c>
      <c r="J500">
        <v>0.503786160396647</v>
      </c>
      <c r="K500">
        <v>0.5557616967619</v>
      </c>
      <c r="L500">
        <v>146.441900143762</v>
      </c>
      <c r="M500">
        <v>1.77271583365747</v>
      </c>
      <c r="O500">
        <v>45.4236819668379</v>
      </c>
      <c r="P500">
        <v>-0.0109149106538019</v>
      </c>
      <c r="Q500">
        <v>0</v>
      </c>
      <c r="R500">
        <v>0.374656416001848</v>
      </c>
      <c r="S500" t="s">
        <v>2184</v>
      </c>
      <c r="T500" t="s">
        <v>3344</v>
      </c>
      <c r="U500" t="s">
        <v>3344</v>
      </c>
      <c r="V500" t="s">
        <v>3344</v>
      </c>
      <c r="W500" t="s">
        <v>3843</v>
      </c>
      <c r="X500">
        <v>1</v>
      </c>
      <c r="Y500" t="s">
        <v>5499</v>
      </c>
      <c r="Z500" t="s">
        <v>7157</v>
      </c>
      <c r="AA500">
        <v>0.7436382938469503</v>
      </c>
      <c r="AB500">
        <f>HYPERLINK("Melting_Curves/meltCurve_P0AAU7_ybfE.pdf", "Melting_Curves/meltCurve_P0AAU7_ybfE.pdf")</f>
        <v>0</v>
      </c>
    </row>
    <row r="501" spans="1:28">
      <c r="A501" t="s">
        <v>527</v>
      </c>
      <c r="B501">
        <v>0.999998419929286</v>
      </c>
      <c r="C501">
        <v>0.826166621050636</v>
      </c>
      <c r="D501">
        <v>0.652617927146821</v>
      </c>
      <c r="E501">
        <v>0.992005190233655</v>
      </c>
      <c r="F501">
        <v>1.01864542946101</v>
      </c>
      <c r="G501">
        <v>1.08305276990338</v>
      </c>
      <c r="H501">
        <v>0.75608753258633</v>
      </c>
      <c r="I501">
        <v>0.444787430291012</v>
      </c>
      <c r="J501">
        <v>0.264304128284835</v>
      </c>
      <c r="K501">
        <v>0.218045292435381</v>
      </c>
      <c r="L501">
        <v>2012.85857478932</v>
      </c>
      <c r="M501">
        <v>34.0141756485626</v>
      </c>
      <c r="N501">
        <v>60.1540109666214</v>
      </c>
      <c r="O501">
        <v>58.9736268425931</v>
      </c>
      <c r="P501">
        <v>-0.113591766709339</v>
      </c>
      <c r="Q501">
        <v>0.212223506677014</v>
      </c>
      <c r="R501">
        <v>0.821318852931334</v>
      </c>
      <c r="S501" t="s">
        <v>2185</v>
      </c>
      <c r="T501" t="s">
        <v>3344</v>
      </c>
      <c r="U501" t="s">
        <v>3344</v>
      </c>
      <c r="V501" t="s">
        <v>3344</v>
      </c>
      <c r="W501" t="s">
        <v>3844</v>
      </c>
      <c r="X501">
        <v>1</v>
      </c>
      <c r="Y501" t="s">
        <v>5500</v>
      </c>
      <c r="Z501" t="s">
        <v>7158</v>
      </c>
      <c r="AA501">
        <v>0.7978734671712288</v>
      </c>
      <c r="AB501">
        <f>HYPERLINK("Melting_Curves/meltCurve_P0AAV0_ybgE.pdf", "Melting_Curves/meltCurve_P0AAV0_ybgE.pdf")</f>
        <v>0</v>
      </c>
    </row>
    <row r="502" spans="1:28">
      <c r="A502" t="s">
        <v>528</v>
      </c>
      <c r="B502">
        <v>0.999998419929286</v>
      </c>
      <c r="C502">
        <v>0.9528002050069661</v>
      </c>
      <c r="D502">
        <v>0.839815731228188</v>
      </c>
      <c r="E502">
        <v>0.85923757581875</v>
      </c>
      <c r="F502">
        <v>0.575395927288549</v>
      </c>
      <c r="G502">
        <v>0.355786405264903</v>
      </c>
      <c r="H502">
        <v>0.124440016322762</v>
      </c>
      <c r="I502">
        <v>0.102907653316136</v>
      </c>
      <c r="J502">
        <v>0.0813478872203517</v>
      </c>
      <c r="K502">
        <v>0.06517124894047339</v>
      </c>
      <c r="L502">
        <v>748.1598420418831</v>
      </c>
      <c r="M502">
        <v>14.6445036938259</v>
      </c>
      <c r="N502">
        <v>51.2246293875227</v>
      </c>
      <c r="O502">
        <v>50.1638338973741</v>
      </c>
      <c r="P502">
        <v>-0.0715944058472997</v>
      </c>
      <c r="Q502">
        <v>0.0191401676579648</v>
      </c>
      <c r="R502">
        <v>0.986892193215546</v>
      </c>
      <c r="S502" t="s">
        <v>2186</v>
      </c>
      <c r="T502" t="s">
        <v>3344</v>
      </c>
      <c r="U502" t="s">
        <v>3344</v>
      </c>
      <c r="V502" t="s">
        <v>3344</v>
      </c>
      <c r="W502" t="s">
        <v>3845</v>
      </c>
      <c r="X502">
        <v>1</v>
      </c>
      <c r="Y502" t="s">
        <v>5501</v>
      </c>
      <c r="Z502" t="s">
        <v>7159</v>
      </c>
      <c r="AA502">
        <v>0.5000383588988841</v>
      </c>
      <c r="AB502">
        <f>HYPERLINK("Melting_Curves/meltCurve_P0AAV4_ybgJ.pdf", "Melting_Curves/meltCurve_P0AAV4_ybgJ.pdf")</f>
        <v>0</v>
      </c>
    </row>
    <row r="503" spans="1:28">
      <c r="A503" t="s">
        <v>529</v>
      </c>
      <c r="B503">
        <v>0.999998419929286</v>
      </c>
      <c r="C503">
        <v>0.97541278563042</v>
      </c>
      <c r="D503">
        <v>0.482028691556615</v>
      </c>
      <c r="E503">
        <v>0.750563010273651</v>
      </c>
      <c r="F503">
        <v>0.683986778519638</v>
      </c>
      <c r="G503">
        <v>0.6751252209606891</v>
      </c>
      <c r="H503">
        <v>0.720771229240448</v>
      </c>
      <c r="I503">
        <v>1.12846888750169</v>
      </c>
      <c r="J503">
        <v>4.76700114345804</v>
      </c>
      <c r="K503">
        <v>2.87524108491671</v>
      </c>
      <c r="L503">
        <v>15000</v>
      </c>
      <c r="M503">
        <v>244.843218187575</v>
      </c>
      <c r="O503">
        <v>61.259583146211</v>
      </c>
      <c r="P503">
        <v>0.49960167725616</v>
      </c>
      <c r="Q503">
        <v>1.5</v>
      </c>
      <c r="R503">
        <v>0.21038547978193</v>
      </c>
      <c r="S503" t="s">
        <v>2187</v>
      </c>
      <c r="T503" t="s">
        <v>3344</v>
      </c>
      <c r="U503" t="s">
        <v>3344</v>
      </c>
      <c r="V503" t="s">
        <v>3344</v>
      </c>
      <c r="W503" t="s">
        <v>3846</v>
      </c>
      <c r="X503">
        <v>1</v>
      </c>
      <c r="Y503" t="s">
        <v>5502</v>
      </c>
      <c r="Z503" t="s">
        <v>7160</v>
      </c>
      <c r="AA503">
        <v>1.095549052538848</v>
      </c>
      <c r="AB503">
        <f>HYPERLINK("Melting_Curves/meltCurve_P0AAV6_ybgS.pdf", "Melting_Curves/meltCurve_P0AAV6_ybgS.pdf")</f>
        <v>0</v>
      </c>
    </row>
    <row r="504" spans="1:28">
      <c r="A504" t="s">
        <v>530</v>
      </c>
      <c r="B504">
        <v>0.999998419929286</v>
      </c>
      <c r="C504">
        <v>0.748418607637138</v>
      </c>
      <c r="D504">
        <v>0.296622896437002</v>
      </c>
      <c r="E504">
        <v>0.063933949217828</v>
      </c>
      <c r="F504">
        <v>0.0572084047142148</v>
      </c>
      <c r="G504">
        <v>0.0375990069943152</v>
      </c>
      <c r="H504">
        <v>0.0532753185651145</v>
      </c>
      <c r="I504">
        <v>0</v>
      </c>
      <c r="J504">
        <v>0</v>
      </c>
      <c r="K504">
        <v>0</v>
      </c>
      <c r="L504">
        <v>1148.38729518299</v>
      </c>
      <c r="M504">
        <v>27.6676870942193</v>
      </c>
      <c r="N504">
        <v>41.5755987370012</v>
      </c>
      <c r="O504">
        <v>41.2914284153732</v>
      </c>
      <c r="P504">
        <v>-0.163748882911271</v>
      </c>
      <c r="Q504">
        <v>0.022489374523433</v>
      </c>
      <c r="R504">
        <v>0.99606895775184</v>
      </c>
      <c r="S504" t="s">
        <v>2188</v>
      </c>
      <c r="T504" t="s">
        <v>3344</v>
      </c>
      <c r="U504" t="s">
        <v>3344</v>
      </c>
      <c r="V504" t="s">
        <v>3344</v>
      </c>
      <c r="W504" t="s">
        <v>3847</v>
      </c>
      <c r="X504">
        <v>2</v>
      </c>
      <c r="Y504" t="s">
        <v>5503</v>
      </c>
      <c r="Z504" t="s">
        <v>7161</v>
      </c>
      <c r="AA504">
        <v>0.1764794786162495</v>
      </c>
      <c r="AB504">
        <f>HYPERLINK("Melting_Curves/meltCurve_P0AAW1_ybhP.pdf", "Melting_Curves/meltCurve_P0AAW1_ybhP.pdf")</f>
        <v>0</v>
      </c>
    </row>
    <row r="505" spans="1:28">
      <c r="A505" t="s">
        <v>531</v>
      </c>
      <c r="B505">
        <v>0.999998419929286</v>
      </c>
      <c r="C505">
        <v>1.09268291340005</v>
      </c>
      <c r="D505">
        <v>1.06192057018999</v>
      </c>
      <c r="E505">
        <v>0.697999059009468</v>
      </c>
      <c r="F505">
        <v>0.194547718631781</v>
      </c>
      <c r="G505">
        <v>0.127890139603433</v>
      </c>
      <c r="H505">
        <v>0.0770309296176153</v>
      </c>
      <c r="I505">
        <v>0.0563146580909088</v>
      </c>
      <c r="J505">
        <v>0.0444299568917839</v>
      </c>
      <c r="K505">
        <v>0.0479734880259433</v>
      </c>
      <c r="L505">
        <v>1758.29043041373</v>
      </c>
      <c r="M505">
        <v>36.9305761075137</v>
      </c>
      <c r="N505">
        <v>47.8000215994911</v>
      </c>
      <c r="O505">
        <v>47.4717389277417</v>
      </c>
      <c r="P505">
        <v>-0.18125368001595</v>
      </c>
      <c r="Q505">
        <v>0.0680456105115165</v>
      </c>
      <c r="R505">
        <v>0.9904217477639971</v>
      </c>
      <c r="S505" t="s">
        <v>2189</v>
      </c>
      <c r="T505" t="s">
        <v>3344</v>
      </c>
      <c r="U505" t="s">
        <v>3344</v>
      </c>
      <c r="V505" t="s">
        <v>3344</v>
      </c>
      <c r="W505" t="s">
        <v>3848</v>
      </c>
      <c r="X505">
        <v>6</v>
      </c>
      <c r="Y505" t="s">
        <v>5504</v>
      </c>
      <c r="Z505" t="s">
        <v>7162</v>
      </c>
      <c r="AA505">
        <v>0.4012717246151605</v>
      </c>
      <c r="AB505">
        <f>HYPERLINK("Melting_Curves/meltCurve_P0AAX8_ybiS.pdf", "Melting_Curves/meltCurve_P0AAX8_ybiS.pdf")</f>
        <v>0</v>
      </c>
    </row>
    <row r="506" spans="1:28">
      <c r="A506" t="s">
        <v>532</v>
      </c>
      <c r="B506">
        <v>0.999998419929286</v>
      </c>
      <c r="C506">
        <v>1.00084585551767</v>
      </c>
      <c r="D506">
        <v>0.946086711071122</v>
      </c>
      <c r="E506">
        <v>0.747166499237582</v>
      </c>
      <c r="F506">
        <v>0.742375322998111</v>
      </c>
      <c r="G506">
        <v>0.8936781965813581</v>
      </c>
      <c r="H506">
        <v>0.6418515760821391</v>
      </c>
      <c r="I506">
        <v>0.329764059300929</v>
      </c>
      <c r="J506">
        <v>0.226465922682045</v>
      </c>
      <c r="K506">
        <v>0.238738297669067</v>
      </c>
      <c r="L506">
        <v>587.211501914934</v>
      </c>
      <c r="M506">
        <v>10.0023532655595</v>
      </c>
      <c r="N506">
        <v>58.707334812543</v>
      </c>
      <c r="O506">
        <v>56.5054536915261</v>
      </c>
      <c r="P506">
        <v>-0.0442754337267654</v>
      </c>
      <c r="Q506">
        <v>0</v>
      </c>
      <c r="R506">
        <v>0.886927784784268</v>
      </c>
      <c r="S506" t="s">
        <v>2190</v>
      </c>
      <c r="T506" t="s">
        <v>3344</v>
      </c>
      <c r="U506" t="s">
        <v>3344</v>
      </c>
      <c r="V506" t="s">
        <v>3344</v>
      </c>
      <c r="W506" t="s">
        <v>3849</v>
      </c>
      <c r="X506">
        <v>1</v>
      </c>
      <c r="Y506" t="s">
        <v>5505</v>
      </c>
      <c r="Z506" t="s">
        <v>7163</v>
      </c>
      <c r="AA506">
        <v>0.70898543512609</v>
      </c>
      <c r="AB506">
        <f>HYPERLINK("Melting_Curves/meltCurve_P0AAY6_ybjN.pdf", "Melting_Curves/meltCurve_P0AAY6_ybjN.pdf")</f>
        <v>0</v>
      </c>
    </row>
    <row r="507" spans="1:28">
      <c r="A507" t="s">
        <v>533</v>
      </c>
      <c r="B507">
        <v>0.999998419929286</v>
      </c>
      <c r="C507">
        <v>1.07701078188362</v>
      </c>
      <c r="D507">
        <v>0.682100991231219</v>
      </c>
      <c r="E507">
        <v>1.08805711200725</v>
      </c>
      <c r="F507">
        <v>1.11296149937475</v>
      </c>
      <c r="G507">
        <v>1.4237959115757</v>
      </c>
      <c r="H507">
        <v>1.16296905652452</v>
      </c>
      <c r="I507">
        <v>1.08586241127115</v>
      </c>
      <c r="J507">
        <v>0.946727272926874</v>
      </c>
      <c r="K507">
        <v>0.903015900778474</v>
      </c>
      <c r="L507">
        <v>15000</v>
      </c>
      <c r="M507">
        <v>234.206963504783</v>
      </c>
      <c r="O507">
        <v>64.0412482916125</v>
      </c>
      <c r="P507">
        <v>-0.08867448927132809</v>
      </c>
      <c r="Q507">
        <v>0.903011850914304</v>
      </c>
      <c r="R507">
        <v>-0.0334446168345299</v>
      </c>
      <c r="S507" t="s">
        <v>2191</v>
      </c>
      <c r="T507" t="s">
        <v>3344</v>
      </c>
      <c r="U507" t="s">
        <v>3344</v>
      </c>
      <c r="V507" t="s">
        <v>3344</v>
      </c>
      <c r="W507" t="s">
        <v>3850</v>
      </c>
      <c r="X507">
        <v>4</v>
      </c>
      <c r="Y507" t="s">
        <v>5506</v>
      </c>
      <c r="Z507" t="s">
        <v>7164</v>
      </c>
      <c r="AA507">
        <v>0.9904620250435214</v>
      </c>
      <c r="AB507">
        <f>HYPERLINK("Melting_Curves/meltCurve_P0AAZ7_ycaR.pdf", "Melting_Curves/meltCurve_P0AAZ7_ycaR.pdf")</f>
        <v>0</v>
      </c>
    </row>
    <row r="508" spans="1:28">
      <c r="A508" t="s">
        <v>534</v>
      </c>
      <c r="B508">
        <v>0.999998419929286</v>
      </c>
      <c r="C508">
        <v>0.706208282395724</v>
      </c>
      <c r="D508">
        <v>0.551822053524084</v>
      </c>
      <c r="E508">
        <v>0.42533237780099</v>
      </c>
      <c r="F508">
        <v>0.45031493763728</v>
      </c>
      <c r="G508">
        <v>0.387839083698177</v>
      </c>
      <c r="H508">
        <v>0.324398800470169</v>
      </c>
      <c r="I508">
        <v>0.305247555496752</v>
      </c>
      <c r="J508">
        <v>0.358332200987018</v>
      </c>
      <c r="K508">
        <v>0.293811186968478</v>
      </c>
      <c r="L508">
        <v>713.147662677245</v>
      </c>
      <c r="M508">
        <v>17.3299827330614</v>
      </c>
      <c r="N508">
        <v>44.1102120416449</v>
      </c>
      <c r="O508">
        <v>40.614869739149</v>
      </c>
      <c r="P508">
        <v>-0.07001748884932391</v>
      </c>
      <c r="Q508">
        <v>0.34366042871031</v>
      </c>
      <c r="R508">
        <v>0.950625468536288</v>
      </c>
      <c r="S508" t="s">
        <v>2192</v>
      </c>
      <c r="T508" t="s">
        <v>3344</v>
      </c>
      <c r="U508" t="s">
        <v>3344</v>
      </c>
      <c r="V508" t="s">
        <v>3344</v>
      </c>
      <c r="W508" t="s">
        <v>3851</v>
      </c>
      <c r="X508">
        <v>2</v>
      </c>
      <c r="Y508" t="s">
        <v>5507</v>
      </c>
      <c r="Z508" t="s">
        <v>7165</v>
      </c>
      <c r="AA508">
        <v>0.4497276468581265</v>
      </c>
      <c r="AB508">
        <f>HYPERLINK("Melting_Curves/meltCurve_P0AB03_ycbJ.pdf", "Melting_Curves/meltCurve_P0AB03_ycbJ.pdf")</f>
        <v>0</v>
      </c>
    </row>
    <row r="509" spans="1:28">
      <c r="A509" t="s">
        <v>535</v>
      </c>
      <c r="B509">
        <v>0.999998419929286</v>
      </c>
      <c r="C509">
        <v>0.79727445644468</v>
      </c>
      <c r="D509">
        <v>0.962526648419694</v>
      </c>
      <c r="E509">
        <v>0.917527157110575</v>
      </c>
      <c r="F509">
        <v>0.697667830227214</v>
      </c>
      <c r="G509">
        <v>0.362703621794233</v>
      </c>
      <c r="H509">
        <v>0.305668287007709</v>
      </c>
      <c r="I509">
        <v>0</v>
      </c>
      <c r="J509">
        <v>0.132531222004313</v>
      </c>
      <c r="K509">
        <v>0</v>
      </c>
      <c r="L509">
        <v>825.554385383949</v>
      </c>
      <c r="M509">
        <v>15.6772296864389</v>
      </c>
      <c r="N509">
        <v>52.6594575483505</v>
      </c>
      <c r="O509">
        <v>51.8249681928203</v>
      </c>
      <c r="P509">
        <v>-0.0756322807815771</v>
      </c>
      <c r="Q509">
        <v>0</v>
      </c>
      <c r="R509">
        <v>0.952657901232131</v>
      </c>
      <c r="S509" t="s">
        <v>2193</v>
      </c>
      <c r="T509" t="s">
        <v>3344</v>
      </c>
      <c r="U509" t="s">
        <v>3344</v>
      </c>
      <c r="V509" t="s">
        <v>3344</v>
      </c>
      <c r="W509" t="s">
        <v>3852</v>
      </c>
      <c r="X509">
        <v>1</v>
      </c>
      <c r="Y509" t="s">
        <v>5508</v>
      </c>
      <c r="Z509" t="s">
        <v>7166</v>
      </c>
      <c r="AA509">
        <v>0.5394605636606078</v>
      </c>
      <c r="AB509">
        <f>HYPERLINK("Melting_Curves/meltCurve_P0AB12_yccF.pdf", "Melting_Curves/meltCurve_P0AB12_yccF.pdf")</f>
        <v>0</v>
      </c>
    </row>
    <row r="510" spans="1:28">
      <c r="A510" t="s">
        <v>536</v>
      </c>
      <c r="B510">
        <v>0.999998419929286</v>
      </c>
      <c r="C510">
        <v>0.525231257298287</v>
      </c>
      <c r="D510">
        <v>1.49392011294224</v>
      </c>
      <c r="E510">
        <v>0.851386334443004</v>
      </c>
      <c r="F510">
        <v>1.29513227058022</v>
      </c>
      <c r="G510">
        <v>1.07871227579857</v>
      </c>
      <c r="H510">
        <v>1.10290894912111</v>
      </c>
      <c r="I510">
        <v>0.670548609051589</v>
      </c>
      <c r="J510">
        <v>0.992523302905111</v>
      </c>
      <c r="K510">
        <v>0.584927138462858</v>
      </c>
      <c r="L510">
        <v>1393.97421105514</v>
      </c>
      <c r="M510">
        <v>20.2466497637448</v>
      </c>
      <c r="Q510">
        <v>0</v>
      </c>
      <c r="R510">
        <v>0.184460898473392</v>
      </c>
      <c r="S510" t="s">
        <v>2194</v>
      </c>
      <c r="T510" t="s">
        <v>3344</v>
      </c>
      <c r="U510" t="s">
        <v>3344</v>
      </c>
      <c r="V510" t="s">
        <v>3344</v>
      </c>
      <c r="W510" t="s">
        <v>3853</v>
      </c>
      <c r="X510">
        <v>1</v>
      </c>
      <c r="Y510" t="s">
        <v>5509</v>
      </c>
      <c r="Z510" t="s">
        <v>7167</v>
      </c>
      <c r="AA510">
        <v>0.9560062472419771</v>
      </c>
      <c r="AB510">
        <f>HYPERLINK("Melting_Curves/meltCurve_P0AB18_tusE.pdf", "Melting_Curves/meltCurve_P0AB18_tusE.pdf")</f>
        <v>0</v>
      </c>
    </row>
    <row r="511" spans="1:28">
      <c r="A511" t="s">
        <v>537</v>
      </c>
      <c r="B511">
        <v>0.999998419929286</v>
      </c>
      <c r="C511">
        <v>0.817286540170525</v>
      </c>
      <c r="D511">
        <v>0.6188250683829301</v>
      </c>
      <c r="E511">
        <v>0.7455543445216209</v>
      </c>
      <c r="F511">
        <v>0.75692248225659</v>
      </c>
      <c r="G511">
        <v>0.765011276409354</v>
      </c>
      <c r="H511">
        <v>0.765263950253703</v>
      </c>
      <c r="I511">
        <v>0.914824624357217</v>
      </c>
      <c r="J511">
        <v>0.906724713323534</v>
      </c>
      <c r="K511">
        <v>0.764914572163732</v>
      </c>
      <c r="L511">
        <v>9911.848632315379</v>
      </c>
      <c r="M511">
        <v>250</v>
      </c>
      <c r="O511">
        <v>39.644859867099</v>
      </c>
      <c r="P511">
        <v>-0.347215385377578</v>
      </c>
      <c r="Q511">
        <v>0.779755129426229</v>
      </c>
      <c r="R511">
        <v>0.408705635286919</v>
      </c>
      <c r="S511" t="s">
        <v>2195</v>
      </c>
      <c r="T511" t="s">
        <v>3344</v>
      </c>
      <c r="U511" t="s">
        <v>3344</v>
      </c>
      <c r="V511" t="s">
        <v>3344</v>
      </c>
      <c r="W511" t="s">
        <v>3854</v>
      </c>
      <c r="X511">
        <v>1</v>
      </c>
      <c r="Y511" t="s">
        <v>5510</v>
      </c>
      <c r="Z511" t="s">
        <v>7168</v>
      </c>
      <c r="AA511">
        <v>0.7992062897200503</v>
      </c>
      <c r="AB511">
        <f>HYPERLINK("Melting_Curves/meltCurve_P0AB20_hspQ.pdf", "Melting_Curves/meltCurve_P0AB20_hspQ.pdf")</f>
        <v>0</v>
      </c>
    </row>
    <row r="512" spans="1:28">
      <c r="A512" t="s">
        <v>538</v>
      </c>
      <c r="B512">
        <v>0.999998419929286</v>
      </c>
      <c r="C512">
        <v>1.0577116790059</v>
      </c>
      <c r="D512">
        <v>1.14055030786379</v>
      </c>
      <c r="E512">
        <v>1.21114726601389</v>
      </c>
      <c r="F512">
        <v>1.48179796976747</v>
      </c>
      <c r="G512">
        <v>1.5857351088491</v>
      </c>
      <c r="H512">
        <v>1.37186412128198</v>
      </c>
      <c r="I512">
        <v>1.2331486413905</v>
      </c>
      <c r="J512">
        <v>1.38437908499719</v>
      </c>
      <c r="K512">
        <v>1.31152775032397</v>
      </c>
      <c r="L512">
        <v>1100.7361809025</v>
      </c>
      <c r="M512">
        <v>24.7517655790468</v>
      </c>
      <c r="O512">
        <v>44.183784883846</v>
      </c>
      <c r="P512">
        <v>0.0545078488525094</v>
      </c>
      <c r="Q512">
        <v>1.38919718886317</v>
      </c>
      <c r="R512">
        <v>0.698452689718176</v>
      </c>
      <c r="S512" t="s">
        <v>2196</v>
      </c>
      <c r="T512" t="s">
        <v>3344</v>
      </c>
      <c r="U512" t="s">
        <v>3344</v>
      </c>
      <c r="V512" t="s">
        <v>3344</v>
      </c>
      <c r="W512" t="s">
        <v>3855</v>
      </c>
      <c r="X512">
        <v>13</v>
      </c>
      <c r="Y512" t="s">
        <v>5511</v>
      </c>
      <c r="Z512" t="s">
        <v>7169</v>
      </c>
      <c r="AA512">
        <v>1.289014880568824</v>
      </c>
      <c r="AB512">
        <f>HYPERLINK("Melting_Curves/meltCurve_P0AB24_efeO.pdf", "Melting_Curves/meltCurve_P0AB24_efeO.pdf")</f>
        <v>0</v>
      </c>
    </row>
    <row r="513" spans="1:28">
      <c r="A513" t="s">
        <v>539</v>
      </c>
      <c r="B513">
        <v>0.999998419929286</v>
      </c>
      <c r="C513">
        <v>0.935157028523967</v>
      </c>
      <c r="D513">
        <v>1.05868278993589</v>
      </c>
      <c r="E513">
        <v>1.14229717494069</v>
      </c>
      <c r="F513">
        <v>1.41679606400807</v>
      </c>
      <c r="G513">
        <v>1.85928926688289</v>
      </c>
      <c r="H513">
        <v>1.79865040253275</v>
      </c>
      <c r="I513">
        <v>1.28366307385927</v>
      </c>
      <c r="J513">
        <v>1.5166979229477</v>
      </c>
      <c r="K513">
        <v>1.5490465817068</v>
      </c>
      <c r="L513">
        <v>2180.30719515305</v>
      </c>
      <c r="M513">
        <v>45.8228599586371</v>
      </c>
      <c r="O513">
        <v>47.4908527404722</v>
      </c>
      <c r="P513">
        <v>0.120609836841258</v>
      </c>
      <c r="Q513">
        <v>1.5</v>
      </c>
      <c r="R513">
        <v>0.709516606882167</v>
      </c>
      <c r="S513" t="s">
        <v>2197</v>
      </c>
      <c r="T513" t="s">
        <v>3344</v>
      </c>
      <c r="U513" t="s">
        <v>3344</v>
      </c>
      <c r="V513" t="s">
        <v>3344</v>
      </c>
      <c r="W513" t="s">
        <v>3856</v>
      </c>
      <c r="X513">
        <v>2</v>
      </c>
      <c r="Y513" t="s">
        <v>5512</v>
      </c>
      <c r="Z513" t="s">
        <v>7170</v>
      </c>
      <c r="AA513">
        <v>1.322395708504548</v>
      </c>
      <c r="AB513">
        <f>HYPERLINK("Melting_Curves/meltCurve_P0AB26_yceB.pdf", "Melting_Curves/meltCurve_P0AB26_yceB.pdf")</f>
        <v>0</v>
      </c>
    </row>
    <row r="514" spans="1:28">
      <c r="A514" t="s">
        <v>540</v>
      </c>
      <c r="B514">
        <v>0.999998419929286</v>
      </c>
      <c r="C514">
        <v>1.08558178545656</v>
      </c>
      <c r="D514">
        <v>0.954206696388633</v>
      </c>
      <c r="E514">
        <v>1.14804118856882</v>
      </c>
      <c r="F514">
        <v>1.32113866197211</v>
      </c>
      <c r="G514">
        <v>1.61992983915704</v>
      </c>
      <c r="H514">
        <v>1.37082973105692</v>
      </c>
      <c r="I514">
        <v>1.54695286260052</v>
      </c>
      <c r="J514">
        <v>1.4596495510167</v>
      </c>
      <c r="K514">
        <v>1.55133325131633</v>
      </c>
      <c r="L514">
        <v>1486.03855210961</v>
      </c>
      <c r="M514">
        <v>30.6860149605738</v>
      </c>
      <c r="O514">
        <v>48.2229588829009</v>
      </c>
      <c r="P514">
        <v>0.0795425089725551</v>
      </c>
      <c r="Q514">
        <v>1.5</v>
      </c>
      <c r="R514">
        <v>0.894423958650164</v>
      </c>
      <c r="S514" t="s">
        <v>2198</v>
      </c>
      <c r="T514" t="s">
        <v>3344</v>
      </c>
      <c r="U514" t="s">
        <v>3344</v>
      </c>
      <c r="V514" t="s">
        <v>3344</v>
      </c>
      <c r="W514" t="s">
        <v>3857</v>
      </c>
      <c r="X514">
        <v>5</v>
      </c>
      <c r="Y514" t="s">
        <v>5513</v>
      </c>
      <c r="Z514" t="s">
        <v>7171</v>
      </c>
      <c r="AA514">
        <v>1.306693620980739</v>
      </c>
      <c r="AB514">
        <f>HYPERLINK("Melting_Curves/meltCurve_P0AB28_yceD.pdf", "Melting_Curves/meltCurve_P0AB28_yceD.pdf")</f>
        <v>0</v>
      </c>
    </row>
    <row r="515" spans="1:28">
      <c r="A515" t="s">
        <v>541</v>
      </c>
      <c r="B515">
        <v>0.999998419929286</v>
      </c>
      <c r="C515">
        <v>1.02777822300076</v>
      </c>
      <c r="D515">
        <v>1.10761765239023</v>
      </c>
      <c r="E515">
        <v>1.31062821080885</v>
      </c>
      <c r="F515">
        <v>1.44878169993976</v>
      </c>
      <c r="G515">
        <v>1.37464500812387</v>
      </c>
      <c r="H515">
        <v>0.33613537998317</v>
      </c>
      <c r="I515">
        <v>0.064626187459006</v>
      </c>
      <c r="J515">
        <v>0.0422774242174097</v>
      </c>
      <c r="K515">
        <v>0.0418660712016493</v>
      </c>
      <c r="L515">
        <v>14301.7737127258</v>
      </c>
      <c r="M515">
        <v>250</v>
      </c>
      <c r="N515">
        <v>57.2310062740441</v>
      </c>
      <c r="O515">
        <v>57.2034340266294</v>
      </c>
      <c r="P515">
        <v>-1.03841037093282</v>
      </c>
      <c r="Q515">
        <v>0.0495897756109842</v>
      </c>
      <c r="R515">
        <v>0.854402329055221</v>
      </c>
      <c r="S515" t="s">
        <v>2199</v>
      </c>
      <c r="T515" t="s">
        <v>3344</v>
      </c>
      <c r="U515" t="s">
        <v>3344</v>
      </c>
      <c r="V515" t="s">
        <v>3344</v>
      </c>
      <c r="W515" t="s">
        <v>3858</v>
      </c>
      <c r="X515">
        <v>6</v>
      </c>
      <c r="Y515" t="s">
        <v>5514</v>
      </c>
      <c r="Z515" t="s">
        <v>7172</v>
      </c>
      <c r="AA515">
        <v>0.6898528461961507</v>
      </c>
      <c r="AB515">
        <f>HYPERLINK("Melting_Curves/meltCurve_P0AB38_lpoB.pdf", "Melting_Curves/meltCurve_P0AB38_lpoB.pdf")</f>
        <v>0</v>
      </c>
    </row>
    <row r="516" spans="1:28">
      <c r="A516" t="s">
        <v>542</v>
      </c>
      <c r="B516">
        <v>0.999998419929286</v>
      </c>
      <c r="C516">
        <v>0.770293164115799</v>
      </c>
      <c r="D516">
        <v>1.04588210812437</v>
      </c>
      <c r="E516">
        <v>1.04433508472179</v>
      </c>
      <c r="F516">
        <v>1.27176376413198</v>
      </c>
      <c r="G516">
        <v>1.46534121660135</v>
      </c>
      <c r="H516">
        <v>1.53228728433445</v>
      </c>
      <c r="I516">
        <v>1.06441171306951</v>
      </c>
      <c r="J516">
        <v>1.25500142868049</v>
      </c>
      <c r="K516">
        <v>1.19575536694807</v>
      </c>
      <c r="L516">
        <v>2833.41678130033</v>
      </c>
      <c r="M516">
        <v>59.0074353935498</v>
      </c>
      <c r="O516">
        <v>47.9629041952022</v>
      </c>
      <c r="P516">
        <v>0.0926364031581325</v>
      </c>
      <c r="Q516">
        <v>1.30118976881546</v>
      </c>
      <c r="R516">
        <v>0.561956991435026</v>
      </c>
      <c r="S516" t="s">
        <v>2200</v>
      </c>
      <c r="T516" t="s">
        <v>3344</v>
      </c>
      <c r="U516" t="s">
        <v>3344</v>
      </c>
      <c r="V516" t="s">
        <v>3344</v>
      </c>
      <c r="W516" t="s">
        <v>3859</v>
      </c>
      <c r="X516">
        <v>5</v>
      </c>
      <c r="Y516" t="s">
        <v>5515</v>
      </c>
      <c r="Z516" t="s">
        <v>7173</v>
      </c>
      <c r="AA516">
        <v>1.190115866902463</v>
      </c>
      <c r="AB516">
        <f>HYPERLINK("Melting_Curves/meltCurve_P0AB43_ycgL.pdf", "Melting_Curves/meltCurve_P0AB43_ycgL.pdf")</f>
        <v>0</v>
      </c>
    </row>
    <row r="517" spans="1:28">
      <c r="A517" t="s">
        <v>543</v>
      </c>
      <c r="B517">
        <v>0.999998419929286</v>
      </c>
      <c r="C517">
        <v>0.674441857227893</v>
      </c>
      <c r="D517">
        <v>1.00694010203471</v>
      </c>
      <c r="E517">
        <v>0.704525519437416</v>
      </c>
      <c r="F517">
        <v>1.00320826901313</v>
      </c>
      <c r="G517">
        <v>0.707452958261777</v>
      </c>
      <c r="H517">
        <v>0.651678562559177</v>
      </c>
      <c r="I517">
        <v>0.941544181343382</v>
      </c>
      <c r="J517">
        <v>1.1320669182019</v>
      </c>
      <c r="K517">
        <v>0.899711987298959</v>
      </c>
      <c r="L517">
        <v>9477.1382347158</v>
      </c>
      <c r="M517">
        <v>250</v>
      </c>
      <c r="O517">
        <v>37.9061262694815</v>
      </c>
      <c r="P517">
        <v>-0.2342095775781</v>
      </c>
      <c r="Q517">
        <v>0.857952352128063</v>
      </c>
      <c r="R517">
        <v>0.0678233823644644</v>
      </c>
      <c r="S517" t="s">
        <v>2201</v>
      </c>
      <c r="T517" t="s">
        <v>3344</v>
      </c>
      <c r="U517" t="s">
        <v>3344</v>
      </c>
      <c r="V517" t="s">
        <v>3344</v>
      </c>
      <c r="W517" t="s">
        <v>3860</v>
      </c>
      <c r="X517">
        <v>3</v>
      </c>
      <c r="Y517" t="s">
        <v>5516</v>
      </c>
      <c r="Z517" t="s">
        <v>7174</v>
      </c>
      <c r="AA517">
        <v>0.8622651919382774</v>
      </c>
      <c r="AB517">
        <f>HYPERLINK("Melting_Curves/meltCurve_P0AB52_ychN.pdf", "Melting_Curves/meltCurve_P0AB52_ychN.pdf")</f>
        <v>0</v>
      </c>
    </row>
    <row r="518" spans="1:28">
      <c r="A518" t="s">
        <v>544</v>
      </c>
      <c r="B518">
        <v>0.999998419929286</v>
      </c>
      <c r="C518">
        <v>0.911711815733192</v>
      </c>
      <c r="D518">
        <v>0.859349882658492</v>
      </c>
      <c r="E518">
        <v>1.15131788613872</v>
      </c>
      <c r="F518">
        <v>1.35012723407126</v>
      </c>
      <c r="G518">
        <v>1.93149577433365</v>
      </c>
      <c r="H518">
        <v>1.87724225445991</v>
      </c>
      <c r="I518">
        <v>1.32651480184703</v>
      </c>
      <c r="J518">
        <v>1.39020541875782</v>
      </c>
      <c r="K518">
        <v>1.39810249577334</v>
      </c>
      <c r="L518">
        <v>2045.42388423014</v>
      </c>
      <c r="M518">
        <v>42.6914595707487</v>
      </c>
      <c r="O518">
        <v>47.8070135073888</v>
      </c>
      <c r="P518">
        <v>0.111624650014973</v>
      </c>
      <c r="Q518">
        <v>1.5</v>
      </c>
      <c r="R518">
        <v>0.649353277912959</v>
      </c>
      <c r="S518" t="s">
        <v>2202</v>
      </c>
      <c r="T518" t="s">
        <v>3344</v>
      </c>
      <c r="U518" t="s">
        <v>3344</v>
      </c>
      <c r="V518" t="s">
        <v>3344</v>
      </c>
      <c r="W518" t="s">
        <v>3861</v>
      </c>
      <c r="X518">
        <v>4</v>
      </c>
      <c r="Y518" t="s">
        <v>5517</v>
      </c>
      <c r="Z518" t="s">
        <v>7175</v>
      </c>
      <c r="AA518">
        <v>1.316684611503501</v>
      </c>
      <c r="AB518">
        <f>HYPERLINK("Melting_Curves/meltCurve_P0AB55_yciI.pdf", "Melting_Curves/meltCurve_P0AB55_yciI.pdf")</f>
        <v>0</v>
      </c>
    </row>
    <row r="519" spans="1:28">
      <c r="A519" t="s">
        <v>545</v>
      </c>
      <c r="B519">
        <v>0.999998419929286</v>
      </c>
      <c r="C519">
        <v>1.02129634972213</v>
      </c>
      <c r="D519">
        <v>0.706858638400072</v>
      </c>
      <c r="E519">
        <v>1.00547264752368</v>
      </c>
      <c r="F519">
        <v>1.11581434389445</v>
      </c>
      <c r="G519">
        <v>1.42313922991431</v>
      </c>
      <c r="H519">
        <v>1.44399999731749</v>
      </c>
      <c r="I519">
        <v>1.36227959060619</v>
      </c>
      <c r="J519">
        <v>1.32638360941327</v>
      </c>
      <c r="K519">
        <v>1.25125675405149</v>
      </c>
      <c r="L519">
        <v>12587.7356016133</v>
      </c>
      <c r="M519">
        <v>250</v>
      </c>
      <c r="O519">
        <v>50.3477243334364</v>
      </c>
      <c r="P519">
        <v>0.448644744170454</v>
      </c>
      <c r="Q519">
        <v>1.36141184096697</v>
      </c>
      <c r="R519">
        <v>0.7802884471621589</v>
      </c>
      <c r="S519" t="s">
        <v>2203</v>
      </c>
      <c r="T519" t="s">
        <v>3344</v>
      </c>
      <c r="U519" t="s">
        <v>3344</v>
      </c>
      <c r="V519" t="s">
        <v>3344</v>
      </c>
      <c r="W519" t="s">
        <v>3862</v>
      </c>
      <c r="X519">
        <v>2</v>
      </c>
      <c r="Y519" t="s">
        <v>5518</v>
      </c>
      <c r="Z519" t="s">
        <v>7176</v>
      </c>
      <c r="AA519">
        <v>1.200540282307496</v>
      </c>
      <c r="AB519">
        <f>HYPERLINK("Melting_Curves/meltCurve_P0AB61_yciN.pdf", "Melting_Curves/meltCurve_P0AB61_yciN.pdf")</f>
        <v>0</v>
      </c>
    </row>
    <row r="520" spans="1:28">
      <c r="A520" t="s">
        <v>546</v>
      </c>
      <c r="B520">
        <v>0.999998419929286</v>
      </c>
      <c r="C520">
        <v>0.89307859725401</v>
      </c>
      <c r="D520">
        <v>1.1388199069419</v>
      </c>
      <c r="E520">
        <v>1.17693274749228</v>
      </c>
      <c r="F520">
        <v>1.28815835776131</v>
      </c>
      <c r="G520">
        <v>1.40293199857905</v>
      </c>
      <c r="H520">
        <v>1.37409625913869</v>
      </c>
      <c r="I520">
        <v>1.21406842749992</v>
      </c>
      <c r="J520">
        <v>1.33932127874525</v>
      </c>
      <c r="K520">
        <v>1.55201142259355</v>
      </c>
      <c r="L520">
        <v>847.606467176366</v>
      </c>
      <c r="M520">
        <v>18.2098881980938</v>
      </c>
      <c r="O520">
        <v>45.9960502641839</v>
      </c>
      <c r="P520">
        <v>0.0379700588669959</v>
      </c>
      <c r="Q520">
        <v>1.38361365074025</v>
      </c>
      <c r="R520">
        <v>0.766755706572936</v>
      </c>
      <c r="S520" t="s">
        <v>2204</v>
      </c>
      <c r="T520" t="s">
        <v>3344</v>
      </c>
      <c r="U520" t="s">
        <v>3344</v>
      </c>
      <c r="V520" t="s">
        <v>3344</v>
      </c>
      <c r="W520" t="s">
        <v>3863</v>
      </c>
      <c r="X520">
        <v>4</v>
      </c>
      <c r="Y520" t="s">
        <v>5519</v>
      </c>
      <c r="Z520" t="s">
        <v>7177</v>
      </c>
      <c r="AA520">
        <v>1.255505724732946</v>
      </c>
      <c r="AB520">
        <f>HYPERLINK("Melting_Curves/meltCurve_P0AB65_yccX.pdf", "Melting_Curves/meltCurve_P0AB65_yccX.pdf")</f>
        <v>0</v>
      </c>
    </row>
    <row r="521" spans="1:28">
      <c r="A521" t="s">
        <v>547</v>
      </c>
      <c r="B521">
        <v>0.999998419929286</v>
      </c>
      <c r="C521">
        <v>1.37424857909581</v>
      </c>
      <c r="D521">
        <v>0.724137561458425</v>
      </c>
      <c r="E521">
        <v>0.479278124380477</v>
      </c>
      <c r="F521">
        <v>0.263688371692522</v>
      </c>
      <c r="G521">
        <v>0.164741520316275</v>
      </c>
      <c r="H521">
        <v>0.107631385851081</v>
      </c>
      <c r="I521">
        <v>0.08250940710438361</v>
      </c>
      <c r="J521">
        <v>0.0812862875627698</v>
      </c>
      <c r="K521">
        <v>0.0824810718973132</v>
      </c>
      <c r="L521">
        <v>1052.23885571504</v>
      </c>
      <c r="M521">
        <v>22.888057195726</v>
      </c>
      <c r="N521">
        <v>46.4300520058397</v>
      </c>
      <c r="O521">
        <v>45.6266418478635</v>
      </c>
      <c r="P521">
        <v>-0.112769035374158</v>
      </c>
      <c r="Q521">
        <v>0.100810686402226</v>
      </c>
      <c r="R521">
        <v>0.903439968135811</v>
      </c>
      <c r="S521" t="s">
        <v>2205</v>
      </c>
      <c r="T521" t="s">
        <v>3344</v>
      </c>
      <c r="U521" t="s">
        <v>3344</v>
      </c>
      <c r="V521" t="s">
        <v>3344</v>
      </c>
      <c r="W521" t="s">
        <v>3864</v>
      </c>
      <c r="X521">
        <v>3</v>
      </c>
      <c r="Y521" t="s">
        <v>5520</v>
      </c>
      <c r="Z521" t="s">
        <v>7178</v>
      </c>
      <c r="AA521">
        <v>0.3786923829275084</v>
      </c>
      <c r="AB521">
        <f>HYPERLINK("Melting_Curves/meltCurve_P0AB67_pntB.pdf", "Melting_Curves/meltCurve_P0AB67_pntB.pdf")</f>
        <v>0</v>
      </c>
    </row>
    <row r="522" spans="1:28">
      <c r="A522" t="s">
        <v>548</v>
      </c>
      <c r="B522">
        <v>0.999998419929286</v>
      </c>
      <c r="C522">
        <v>1.20408115552614</v>
      </c>
      <c r="D522">
        <v>1.42976817658485</v>
      </c>
      <c r="E522">
        <v>1.63328960195718</v>
      </c>
      <c r="F522">
        <v>0.762309622295295</v>
      </c>
      <c r="G522">
        <v>0.250584800055984</v>
      </c>
      <c r="H522">
        <v>0.0519767848094526</v>
      </c>
      <c r="I522">
        <v>0.0280646542722753</v>
      </c>
      <c r="J522">
        <v>0.0228193648525458</v>
      </c>
      <c r="K522">
        <v>0.0216810583226153</v>
      </c>
      <c r="L522">
        <v>2228.87105241</v>
      </c>
      <c r="M522">
        <v>42.8636919252849</v>
      </c>
      <c r="N522">
        <v>52.0774340130207</v>
      </c>
      <c r="O522">
        <v>51.8862467042189</v>
      </c>
      <c r="P522">
        <v>-0.200075508328978</v>
      </c>
      <c r="Q522">
        <v>0.0312406276585193</v>
      </c>
      <c r="R522">
        <v>0.826946275163288</v>
      </c>
      <c r="S522" t="s">
        <v>2206</v>
      </c>
      <c r="T522" t="s">
        <v>3344</v>
      </c>
      <c r="U522" t="s">
        <v>3344</v>
      </c>
      <c r="V522" t="s">
        <v>3344</v>
      </c>
      <c r="W522" t="s">
        <v>3865</v>
      </c>
      <c r="X522">
        <v>9</v>
      </c>
      <c r="Y522" t="s">
        <v>5521</v>
      </c>
      <c r="Z522" t="s">
        <v>7179</v>
      </c>
      <c r="AA522">
        <v>0.5186144734131861</v>
      </c>
      <c r="AB522">
        <f>HYPERLINK("Melting_Curves/meltCurve_P0AB71_fbaA.pdf", "Melting_Curves/meltCurve_P0AB71_fbaA.pdf")</f>
        <v>0</v>
      </c>
    </row>
    <row r="523" spans="1:28">
      <c r="A523" t="s">
        <v>549</v>
      </c>
      <c r="B523">
        <v>0.999998419929286</v>
      </c>
      <c r="C523">
        <v>0.845494242082595</v>
      </c>
      <c r="D523">
        <v>0.76087068429125</v>
      </c>
      <c r="E523">
        <v>0.62834429252454</v>
      </c>
      <c r="F523">
        <v>0.355681934635883</v>
      </c>
      <c r="G523">
        <v>0.131933865337009</v>
      </c>
      <c r="H523">
        <v>0.052253011944708</v>
      </c>
      <c r="I523">
        <v>0.0397109228193591</v>
      </c>
      <c r="J523">
        <v>0.0327735388127311</v>
      </c>
      <c r="K523">
        <v>0.0301430794168266</v>
      </c>
      <c r="L523">
        <v>621.718086700541</v>
      </c>
      <c r="M523">
        <v>13.0888624593944</v>
      </c>
      <c r="N523">
        <v>47.4997787169708</v>
      </c>
      <c r="O523">
        <v>46.4320471184591</v>
      </c>
      <c r="P523">
        <v>-0.070485335631639</v>
      </c>
      <c r="Q523">
        <v>0</v>
      </c>
      <c r="R523">
        <v>0.987253018889241</v>
      </c>
      <c r="S523" t="s">
        <v>2207</v>
      </c>
      <c r="T523" t="s">
        <v>3344</v>
      </c>
      <c r="U523" t="s">
        <v>3344</v>
      </c>
      <c r="V523" t="s">
        <v>3344</v>
      </c>
      <c r="W523" t="s">
        <v>3866</v>
      </c>
      <c r="X523">
        <v>6</v>
      </c>
      <c r="Y523" t="s">
        <v>5522</v>
      </c>
      <c r="Z523" t="s">
        <v>7180</v>
      </c>
      <c r="AA523">
        <v>0.377979664472178</v>
      </c>
      <c r="AB523">
        <f>HYPERLINK("Melting_Curves/meltCurve_P0AB77_kbl.pdf", "Melting_Curves/meltCurve_P0AB77_kbl.pdf")</f>
        <v>0</v>
      </c>
    </row>
    <row r="524" spans="1:28">
      <c r="A524" t="s">
        <v>550</v>
      </c>
      <c r="B524">
        <v>0.999998419929286</v>
      </c>
      <c r="C524">
        <v>0.589242200408316</v>
      </c>
      <c r="D524">
        <v>0.217651582521178</v>
      </c>
      <c r="E524">
        <v>0.133243553840078</v>
      </c>
      <c r="F524">
        <v>0.128910274847523</v>
      </c>
      <c r="G524">
        <v>0.126699609718549</v>
      </c>
      <c r="H524">
        <v>0.111325405885813</v>
      </c>
      <c r="I524">
        <v>0.105334929911361</v>
      </c>
      <c r="J524">
        <v>0.112871284274121</v>
      </c>
      <c r="K524">
        <v>0.107908389326411</v>
      </c>
      <c r="L524">
        <v>1433.50960746162</v>
      </c>
      <c r="M524">
        <v>35.7243237872706</v>
      </c>
      <c r="N524">
        <v>40.4361212618767</v>
      </c>
      <c r="O524">
        <v>40.0018770268338</v>
      </c>
      <c r="P524">
        <v>-0.196588241470862</v>
      </c>
      <c r="Q524">
        <v>0.119493711435953</v>
      </c>
      <c r="R524">
        <v>0.996100798663841</v>
      </c>
      <c r="S524" t="s">
        <v>2208</v>
      </c>
      <c r="T524" t="s">
        <v>3344</v>
      </c>
      <c r="U524" t="s">
        <v>3344</v>
      </c>
      <c r="V524" t="s">
        <v>3344</v>
      </c>
      <c r="W524" t="s">
        <v>3867</v>
      </c>
      <c r="X524">
        <v>5</v>
      </c>
      <c r="Y524" t="s">
        <v>5523</v>
      </c>
      <c r="Z524" t="s">
        <v>7181</v>
      </c>
      <c r="AA524">
        <v>0.215612895763102</v>
      </c>
      <c r="AB524">
        <f>HYPERLINK("Melting_Curves/meltCurve_P0AB80_ilvE.pdf", "Melting_Curves/meltCurve_P0AB80_ilvE.pdf")</f>
        <v>0</v>
      </c>
    </row>
    <row r="525" spans="1:28">
      <c r="A525" t="s">
        <v>551</v>
      </c>
      <c r="B525">
        <v>0.999998419929286</v>
      </c>
      <c r="C525">
        <v>1.00376471041796</v>
      </c>
      <c r="D525">
        <v>0.611220894392408</v>
      </c>
      <c r="E525">
        <v>0.53508021709391</v>
      </c>
      <c r="F525">
        <v>0.383371565288324</v>
      </c>
      <c r="G525">
        <v>0.247139872702668</v>
      </c>
      <c r="H525">
        <v>0.114788253509324</v>
      </c>
      <c r="I525">
        <v>0.0628189711140235</v>
      </c>
      <c r="J525">
        <v>0.0423456278762971</v>
      </c>
      <c r="K525">
        <v>0.0365555663319941</v>
      </c>
      <c r="L525">
        <v>511.812293502692</v>
      </c>
      <c r="M525">
        <v>10.8318315917339</v>
      </c>
      <c r="N525">
        <v>47.2507616919526</v>
      </c>
      <c r="O525">
        <v>45.725807740535</v>
      </c>
      <c r="P525">
        <v>-0.0592428562367788</v>
      </c>
      <c r="Q525">
        <v>0</v>
      </c>
      <c r="R525">
        <v>0.969463217553498</v>
      </c>
      <c r="S525" t="s">
        <v>2209</v>
      </c>
      <c r="T525" t="s">
        <v>3344</v>
      </c>
      <c r="U525" t="s">
        <v>3344</v>
      </c>
      <c r="V525" t="s">
        <v>3344</v>
      </c>
      <c r="W525" t="s">
        <v>3868</v>
      </c>
      <c r="X525">
        <v>9</v>
      </c>
      <c r="Y525" t="s">
        <v>5524</v>
      </c>
      <c r="Z525" t="s">
        <v>7182</v>
      </c>
      <c r="AA525">
        <v>0.3795758713838897</v>
      </c>
      <c r="AB525">
        <f>HYPERLINK("Melting_Curves/meltCurve_P0AB89_purB.pdf", "Melting_Curves/meltCurve_P0AB89_purB.pdf")</f>
        <v>0</v>
      </c>
    </row>
    <row r="526" spans="1:28">
      <c r="A526" t="s">
        <v>552</v>
      </c>
      <c r="B526">
        <v>0.999998419929286</v>
      </c>
      <c r="C526">
        <v>1.06543618672138</v>
      </c>
      <c r="D526">
        <v>0.866803792881598</v>
      </c>
      <c r="E526">
        <v>0.431931203994804</v>
      </c>
      <c r="F526">
        <v>0.162499518834729</v>
      </c>
      <c r="G526">
        <v>0.108310867833759</v>
      </c>
      <c r="H526">
        <v>0.0569757259307638</v>
      </c>
      <c r="I526">
        <v>0.0329054710208338</v>
      </c>
      <c r="J526">
        <v>0.0336943657612359</v>
      </c>
      <c r="K526">
        <v>0.0296252903673467</v>
      </c>
      <c r="L526">
        <v>1202.88421501303</v>
      </c>
      <c r="M526">
        <v>26.1398364722838</v>
      </c>
      <c r="N526">
        <v>46.1956918384312</v>
      </c>
      <c r="O526">
        <v>45.7504947689594</v>
      </c>
      <c r="P526">
        <v>-0.135982628820917</v>
      </c>
      <c r="Q526">
        <v>0.0480120336115451</v>
      </c>
      <c r="R526">
        <v>0.994219794562114</v>
      </c>
      <c r="S526" t="s">
        <v>2210</v>
      </c>
      <c r="T526" t="s">
        <v>3344</v>
      </c>
      <c r="U526" t="s">
        <v>3344</v>
      </c>
      <c r="V526" t="s">
        <v>3344</v>
      </c>
      <c r="W526" t="s">
        <v>3869</v>
      </c>
      <c r="X526">
        <v>5</v>
      </c>
      <c r="Y526" t="s">
        <v>5525</v>
      </c>
      <c r="Z526" t="s">
        <v>7183</v>
      </c>
      <c r="AA526">
        <v>0.3413577150999609</v>
      </c>
      <c r="AB526">
        <f>HYPERLINK("Melting_Curves/meltCurve_P0AB91_aroG.pdf", "Melting_Curves/meltCurve_P0AB91_aroG.pdf")</f>
        <v>0</v>
      </c>
    </row>
    <row r="527" spans="1:28">
      <c r="A527" t="s">
        <v>553</v>
      </c>
      <c r="B527">
        <v>0.999998419929286</v>
      </c>
      <c r="C527">
        <v>0.564335858104851</v>
      </c>
      <c r="D527">
        <v>0.824923225185899</v>
      </c>
      <c r="E527">
        <v>0.70179171778414</v>
      </c>
      <c r="F527">
        <v>0.7158953730409811</v>
      </c>
      <c r="G527">
        <v>0.880251259157944</v>
      </c>
      <c r="H527">
        <v>0.934765000877939</v>
      </c>
      <c r="I527">
        <v>0.529802710269261</v>
      </c>
      <c r="J527">
        <v>0.5605889898210979</v>
      </c>
      <c r="K527">
        <v>0.45342619232382</v>
      </c>
      <c r="L527">
        <v>126.561326797358</v>
      </c>
      <c r="M527">
        <v>1.53322655043867</v>
      </c>
      <c r="O527">
        <v>41.0791749998198</v>
      </c>
      <c r="P527">
        <v>-0.0108485340332862</v>
      </c>
      <c r="Q527">
        <v>0</v>
      </c>
      <c r="R527">
        <v>0.256945045821019</v>
      </c>
      <c r="S527" t="s">
        <v>2211</v>
      </c>
      <c r="T527" t="s">
        <v>3344</v>
      </c>
      <c r="U527" t="s">
        <v>3344</v>
      </c>
      <c r="V527" t="s">
        <v>3344</v>
      </c>
      <c r="W527" t="s">
        <v>3870</v>
      </c>
      <c r="X527">
        <v>3</v>
      </c>
      <c r="Y527" t="s">
        <v>5526</v>
      </c>
      <c r="Z527" t="s">
        <v>7184</v>
      </c>
      <c r="AA527">
        <v>0.717214750989739</v>
      </c>
      <c r="AB527">
        <f>HYPERLINK("Melting_Curves/meltCurve_P0AB98_atpB.pdf", "Melting_Curves/meltCurve_P0AB98_atpB.pdf")</f>
        <v>0</v>
      </c>
    </row>
    <row r="528" spans="1:28">
      <c r="A528" t="s">
        <v>554</v>
      </c>
      <c r="B528">
        <v>0.999998419929286</v>
      </c>
      <c r="C528">
        <v>0.824952685345249</v>
      </c>
      <c r="D528">
        <v>0.855189310909387</v>
      </c>
      <c r="E528">
        <v>1.04359757535661</v>
      </c>
      <c r="F528">
        <v>1.13124184541795</v>
      </c>
      <c r="G528">
        <v>1.25221405266622</v>
      </c>
      <c r="H528">
        <v>1.22460200682386</v>
      </c>
      <c r="I528">
        <v>1.1754735259687</v>
      </c>
      <c r="J528">
        <v>1.28213935518813</v>
      </c>
      <c r="K528">
        <v>1.24225353945728</v>
      </c>
      <c r="L528">
        <v>1908.80607802683</v>
      </c>
      <c r="M528">
        <v>38.428532791998</v>
      </c>
      <c r="O528">
        <v>49.5376451354613</v>
      </c>
      <c r="P528">
        <v>0.0459191563544895</v>
      </c>
      <c r="Q528">
        <v>1.23677420658871</v>
      </c>
      <c r="R528">
        <v>0.7604227670489651</v>
      </c>
      <c r="S528" t="s">
        <v>2212</v>
      </c>
      <c r="T528" t="s">
        <v>3344</v>
      </c>
      <c r="U528" t="s">
        <v>3344</v>
      </c>
      <c r="V528" t="s">
        <v>3344</v>
      </c>
      <c r="W528" t="s">
        <v>3871</v>
      </c>
      <c r="X528">
        <v>9</v>
      </c>
      <c r="Y528" t="s">
        <v>5527</v>
      </c>
      <c r="Z528" t="s">
        <v>7185</v>
      </c>
      <c r="AA528">
        <v>1.135883315325129</v>
      </c>
      <c r="AB528">
        <f>HYPERLINK("Melting_Curves/meltCurve_P0ABA0_atpF.pdf", "Melting_Curves/meltCurve_P0ABA0_atpF.pdf")</f>
        <v>0</v>
      </c>
    </row>
    <row r="529" spans="1:28">
      <c r="A529" t="s">
        <v>555</v>
      </c>
      <c r="B529">
        <v>0.999998419929286</v>
      </c>
      <c r="C529">
        <v>0.97163471515078</v>
      </c>
      <c r="D529">
        <v>0.930750460983883</v>
      </c>
      <c r="E529">
        <v>1.04026204861201</v>
      </c>
      <c r="F529">
        <v>1.07527142617492</v>
      </c>
      <c r="G529">
        <v>1.12486051991618</v>
      </c>
      <c r="H529">
        <v>0.9019016152838431</v>
      </c>
      <c r="I529">
        <v>0.743165776313168</v>
      </c>
      <c r="J529">
        <v>0.619794948020337</v>
      </c>
      <c r="K529">
        <v>0.533435859316868</v>
      </c>
      <c r="L529">
        <v>1929.57079449048</v>
      </c>
      <c r="M529">
        <v>31.7835973024921</v>
      </c>
      <c r="O529">
        <v>60.4708090595004</v>
      </c>
      <c r="P529">
        <v>-0.0623897217488972</v>
      </c>
      <c r="Q529">
        <v>0.525196773947834</v>
      </c>
      <c r="R529">
        <v>0.908846105248078</v>
      </c>
      <c r="S529" t="s">
        <v>2213</v>
      </c>
      <c r="T529" t="s">
        <v>3344</v>
      </c>
      <c r="U529" t="s">
        <v>3344</v>
      </c>
      <c r="V529" t="s">
        <v>3344</v>
      </c>
      <c r="W529" t="s">
        <v>3872</v>
      </c>
      <c r="X529">
        <v>5</v>
      </c>
      <c r="Y529" t="s">
        <v>5528</v>
      </c>
      <c r="Z529" t="s">
        <v>7186</v>
      </c>
      <c r="AA529">
        <v>0.9016567464299343</v>
      </c>
      <c r="AB529">
        <f>HYPERLINK("Melting_Curves/meltCurve_P0ABA4_atpH.pdf", "Melting_Curves/meltCurve_P0ABA4_atpH.pdf")</f>
        <v>0</v>
      </c>
    </row>
    <row r="530" spans="1:28">
      <c r="A530" t="s">
        <v>556</v>
      </c>
      <c r="B530">
        <v>0.999998419929286</v>
      </c>
      <c r="C530">
        <v>0.537740473243715</v>
      </c>
      <c r="D530">
        <v>0.360533030587492</v>
      </c>
      <c r="E530">
        <v>0.191551309685604</v>
      </c>
      <c r="F530">
        <v>0.141713521950724</v>
      </c>
      <c r="G530">
        <v>0.109829222809629</v>
      </c>
      <c r="H530">
        <v>0.0805736248595692</v>
      </c>
      <c r="I530">
        <v>0.0773635367224805</v>
      </c>
      <c r="J530">
        <v>0.07308011930072229</v>
      </c>
      <c r="K530">
        <v>0.0668397775188036</v>
      </c>
      <c r="L530">
        <v>802.964911520581</v>
      </c>
      <c r="M530">
        <v>19.7486334478962</v>
      </c>
      <c r="N530">
        <v>41.0803809440378</v>
      </c>
      <c r="O530">
        <v>40.2492468462194</v>
      </c>
      <c r="P530">
        <v>-0.111428274139545</v>
      </c>
      <c r="Q530">
        <v>0.09163323259151999</v>
      </c>
      <c r="R530">
        <v>0.967867782722733</v>
      </c>
      <c r="S530" t="s">
        <v>2214</v>
      </c>
      <c r="T530" t="s">
        <v>3344</v>
      </c>
      <c r="U530" t="s">
        <v>3344</v>
      </c>
      <c r="V530" t="s">
        <v>3344</v>
      </c>
      <c r="W530" t="s">
        <v>3873</v>
      </c>
      <c r="X530">
        <v>7</v>
      </c>
      <c r="Y530" t="s">
        <v>5529</v>
      </c>
      <c r="Z530" t="s">
        <v>7187</v>
      </c>
      <c r="AA530">
        <v>0.2194035749790258</v>
      </c>
      <c r="AB530">
        <f>HYPERLINK("Melting_Curves/meltCurve_P0ABA6_atpG.pdf", "Melting_Curves/meltCurve_P0ABA6_atpG.pdf")</f>
        <v>0</v>
      </c>
    </row>
    <row r="531" spans="1:28">
      <c r="A531" t="s">
        <v>557</v>
      </c>
      <c r="B531">
        <v>0.999998419929286</v>
      </c>
      <c r="C531">
        <v>1.17477366890481</v>
      </c>
      <c r="D531">
        <v>0.997639356004495</v>
      </c>
      <c r="E531">
        <v>0.409476373991258</v>
      </c>
      <c r="F531">
        <v>0.0579172982296594</v>
      </c>
      <c r="G531">
        <v>0.0451980664647817</v>
      </c>
      <c r="H531">
        <v>0.0218428061237382</v>
      </c>
      <c r="I531">
        <v>0.0178199443288715</v>
      </c>
      <c r="J531">
        <v>0.0152590735548279</v>
      </c>
      <c r="K531">
        <v>0.0148520913806032</v>
      </c>
      <c r="L531">
        <v>2593.66616626089</v>
      </c>
      <c r="M531">
        <v>56.0837969216067</v>
      </c>
      <c r="N531">
        <v>46.291436088576</v>
      </c>
      <c r="O531">
        <v>46.187578508166</v>
      </c>
      <c r="P531">
        <v>-0.29548236716948</v>
      </c>
      <c r="Q531">
        <v>0.0266274087217813</v>
      </c>
      <c r="R531">
        <v>0.985132170290411</v>
      </c>
      <c r="S531" t="s">
        <v>2215</v>
      </c>
      <c r="T531" t="s">
        <v>3344</v>
      </c>
      <c r="U531" t="s">
        <v>3344</v>
      </c>
      <c r="V531" t="s">
        <v>3344</v>
      </c>
      <c r="W531" t="s">
        <v>3874</v>
      </c>
      <c r="X531">
        <v>24</v>
      </c>
      <c r="Y531" t="s">
        <v>5530</v>
      </c>
      <c r="Z531" t="s">
        <v>7188</v>
      </c>
      <c r="AA531">
        <v>0.3282058501876907</v>
      </c>
      <c r="AB531">
        <f>HYPERLINK("Melting_Curves/meltCurve_P0ABB0_atpA.pdf", "Melting_Curves/meltCurve_P0ABB0_atpA.pdf")</f>
        <v>0</v>
      </c>
    </row>
    <row r="532" spans="1:28">
      <c r="A532" t="s">
        <v>558</v>
      </c>
      <c r="B532">
        <v>0.999998419929286</v>
      </c>
      <c r="C532">
        <v>0.903227441481733</v>
      </c>
      <c r="D532">
        <v>0.528088095006388</v>
      </c>
      <c r="E532">
        <v>0.471745995696592</v>
      </c>
      <c r="F532">
        <v>0.43261361271231</v>
      </c>
      <c r="G532">
        <v>0.474093336089977</v>
      </c>
      <c r="H532">
        <v>0.410178926829292</v>
      </c>
      <c r="I532">
        <v>0.344900795931838</v>
      </c>
      <c r="J532">
        <v>0.35052030624997</v>
      </c>
      <c r="K532">
        <v>0.312660376483215</v>
      </c>
      <c r="L532">
        <v>1473.36549856843</v>
      </c>
      <c r="M532">
        <v>35.3850663864862</v>
      </c>
      <c r="N532">
        <v>43.567108398118</v>
      </c>
      <c r="O532">
        <v>41.5057266030005</v>
      </c>
      <c r="P532">
        <v>-0.128809698259894</v>
      </c>
      <c r="Q532">
        <v>0.39564058670757</v>
      </c>
      <c r="R532">
        <v>0.953547236687995</v>
      </c>
      <c r="S532" t="s">
        <v>2216</v>
      </c>
      <c r="T532" t="s">
        <v>3344</v>
      </c>
      <c r="U532" t="s">
        <v>3344</v>
      </c>
      <c r="V532" t="s">
        <v>3344</v>
      </c>
      <c r="W532" t="s">
        <v>3875</v>
      </c>
      <c r="X532">
        <v>13</v>
      </c>
      <c r="Y532" t="s">
        <v>5531</v>
      </c>
      <c r="Z532" t="s">
        <v>7189</v>
      </c>
      <c r="AA532">
        <v>0.4915146832263343</v>
      </c>
      <c r="AB532">
        <f>HYPERLINK("Melting_Curves/meltCurve_P0ABB4_atpD.pdf", "Melting_Curves/meltCurve_P0ABB4_atpD.pdf")</f>
        <v>0</v>
      </c>
    </row>
    <row r="533" spans="1:28">
      <c r="A533" t="s">
        <v>559</v>
      </c>
      <c r="B533">
        <v>0.999998419929286</v>
      </c>
      <c r="C533">
        <v>0.984599448162946</v>
      </c>
      <c r="D533">
        <v>0.639030295290813</v>
      </c>
      <c r="E533">
        <v>0.488142547071065</v>
      </c>
      <c r="F533">
        <v>0.552488125910542</v>
      </c>
      <c r="G533">
        <v>0.5231277743464799</v>
      </c>
      <c r="H533">
        <v>0.488295899822792</v>
      </c>
      <c r="I533">
        <v>0.39038005293064</v>
      </c>
      <c r="J533">
        <v>0.406552877540001</v>
      </c>
      <c r="K533">
        <v>0.3784621230487</v>
      </c>
      <c r="L533">
        <v>2081.10841469946</v>
      </c>
      <c r="M533">
        <v>49.0739637574132</v>
      </c>
      <c r="N533">
        <v>44.704628436614</v>
      </c>
      <c r="O533">
        <v>42.3373540215629</v>
      </c>
      <c r="P533">
        <v>-0.15652933250476</v>
      </c>
      <c r="Q533">
        <v>0.459833300376444</v>
      </c>
      <c r="R533">
        <v>0.9401300064764579</v>
      </c>
      <c r="S533" t="s">
        <v>2217</v>
      </c>
      <c r="T533" t="s">
        <v>3344</v>
      </c>
      <c r="U533" t="s">
        <v>3344</v>
      </c>
      <c r="V533" t="s">
        <v>3344</v>
      </c>
      <c r="W533" t="s">
        <v>3876</v>
      </c>
      <c r="X533">
        <v>2</v>
      </c>
      <c r="Y533" t="s">
        <v>5532</v>
      </c>
      <c r="Z533" t="s">
        <v>7190</v>
      </c>
      <c r="AA533">
        <v>0.5582578705697079</v>
      </c>
      <c r="AB533">
        <f>HYPERLINK("Melting_Curves/meltCurve_P0ABB8_mgtA.pdf", "Melting_Curves/meltCurve_P0ABB8_mgtA.pdf")</f>
        <v>0</v>
      </c>
    </row>
    <row r="534" spans="1:28">
      <c r="A534" t="s">
        <v>560</v>
      </c>
      <c r="B534">
        <v>0.999998419929286</v>
      </c>
      <c r="C534">
        <v>1.84016617901414</v>
      </c>
      <c r="D534">
        <v>0.969018014661669</v>
      </c>
      <c r="E534">
        <v>0.728119393023226</v>
      </c>
      <c r="F534">
        <v>0.598687602358669</v>
      </c>
      <c r="G534">
        <v>0.215257124777884</v>
      </c>
      <c r="H534">
        <v>0.180417285770566</v>
      </c>
      <c r="I534">
        <v>0.199419859305443</v>
      </c>
      <c r="J534">
        <v>0.102356528804726</v>
      </c>
      <c r="K534">
        <v>0.0689820048233976</v>
      </c>
      <c r="L534">
        <v>1061.40643101717</v>
      </c>
      <c r="M534">
        <v>21.2766376388606</v>
      </c>
      <c r="N534">
        <v>50.4864469119742</v>
      </c>
      <c r="O534">
        <v>49.4515962695542</v>
      </c>
      <c r="P534">
        <v>-0.09554162470244661</v>
      </c>
      <c r="Q534">
        <v>0.11178344465891</v>
      </c>
      <c r="R534">
        <v>0.741329740738078</v>
      </c>
      <c r="S534" t="s">
        <v>2218</v>
      </c>
      <c r="T534" t="s">
        <v>3344</v>
      </c>
      <c r="U534" t="s">
        <v>3344</v>
      </c>
      <c r="V534" t="s">
        <v>3344</v>
      </c>
      <c r="W534" t="s">
        <v>3877</v>
      </c>
      <c r="X534">
        <v>11</v>
      </c>
      <c r="Y534" t="s">
        <v>5533</v>
      </c>
      <c r="Z534" t="s">
        <v>7191</v>
      </c>
      <c r="AA534">
        <v>0.5037792775048883</v>
      </c>
      <c r="AB534">
        <f>HYPERLINK("Melting_Curves/meltCurve_P0ABC3_hflC.pdf", "Melting_Curves/meltCurve_P0ABC3_hflC.pdf")</f>
        <v>0</v>
      </c>
    </row>
    <row r="535" spans="1:28">
      <c r="A535" t="s">
        <v>561</v>
      </c>
      <c r="B535">
        <v>0.999998419929286</v>
      </c>
      <c r="C535">
        <v>3.50909231572836</v>
      </c>
      <c r="D535">
        <v>1.62141110776513</v>
      </c>
      <c r="E535">
        <v>1.48369924345171</v>
      </c>
      <c r="F535">
        <v>1.07688748964224</v>
      </c>
      <c r="G535">
        <v>0.459103296114072</v>
      </c>
      <c r="H535">
        <v>0.363629399840055</v>
      </c>
      <c r="I535">
        <v>0.408912525275902</v>
      </c>
      <c r="J535">
        <v>0.191007383775068</v>
      </c>
      <c r="K535">
        <v>0.180048950837352</v>
      </c>
      <c r="L535">
        <v>13388.7347478717</v>
      </c>
      <c r="M535">
        <v>250</v>
      </c>
      <c r="N535">
        <v>53.7372456849273</v>
      </c>
      <c r="O535">
        <v>53.5515118501807</v>
      </c>
      <c r="P535">
        <v>-0.833427046736845</v>
      </c>
      <c r="Q535">
        <v>0.285899547184519</v>
      </c>
      <c r="R535">
        <v>0.250218901936968</v>
      </c>
      <c r="S535" t="s">
        <v>2219</v>
      </c>
      <c r="T535" t="s">
        <v>3344</v>
      </c>
      <c r="U535" t="s">
        <v>3344</v>
      </c>
      <c r="V535" t="s">
        <v>3344</v>
      </c>
      <c r="W535" t="s">
        <v>3878</v>
      </c>
      <c r="X535">
        <v>8</v>
      </c>
      <c r="Y535" t="s">
        <v>5534</v>
      </c>
      <c r="Z535" t="s">
        <v>7192</v>
      </c>
      <c r="AA535">
        <v>0.6800296451232835</v>
      </c>
      <c r="AB535">
        <f>HYPERLINK("Melting_Curves/meltCurve_P0ABC7_hflK.pdf", "Melting_Curves/meltCurve_P0ABC7_hflK.pdf")</f>
        <v>0</v>
      </c>
    </row>
    <row r="536" spans="1:28">
      <c r="A536" t="s">
        <v>562</v>
      </c>
      <c r="B536">
        <v>0.999998419929286</v>
      </c>
      <c r="C536">
        <v>1.84591657541507</v>
      </c>
      <c r="D536">
        <v>1.28025968037587</v>
      </c>
      <c r="E536">
        <v>1.3183989490761</v>
      </c>
      <c r="F536">
        <v>1.29134834468612</v>
      </c>
      <c r="G536">
        <v>1.19288242318329</v>
      </c>
      <c r="H536">
        <v>0.952390365557393</v>
      </c>
      <c r="I536">
        <v>1.05264040251346</v>
      </c>
      <c r="J536">
        <v>0.458569038295262</v>
      </c>
      <c r="K536">
        <v>0.670649289351124</v>
      </c>
      <c r="L536">
        <v>15000</v>
      </c>
      <c r="M536">
        <v>240.295386453026</v>
      </c>
      <c r="O536">
        <v>62.4188472497841</v>
      </c>
      <c r="P536">
        <v>-0.419232417169186</v>
      </c>
      <c r="Q536">
        <v>0.564402720537001</v>
      </c>
      <c r="R536">
        <v>0.202694121056344</v>
      </c>
      <c r="S536" t="s">
        <v>2220</v>
      </c>
      <c r="T536" t="s">
        <v>3344</v>
      </c>
      <c r="U536" t="s">
        <v>3344</v>
      </c>
      <c r="V536" t="s">
        <v>3344</v>
      </c>
      <c r="W536" t="s">
        <v>3879</v>
      </c>
      <c r="X536">
        <v>6</v>
      </c>
      <c r="Y536" t="s">
        <v>5535</v>
      </c>
      <c r="Z536" t="s">
        <v>7193</v>
      </c>
      <c r="AA536">
        <v>0.9335965113849437</v>
      </c>
      <c r="AB536">
        <f>HYPERLINK("Melting_Curves/meltCurve_P0ABD3_bfr.pdf", "Melting_Curves/meltCurve_P0ABD3_bfr.pdf")</f>
        <v>0</v>
      </c>
    </row>
    <row r="537" spans="1:28">
      <c r="A537" t="s">
        <v>563</v>
      </c>
      <c r="B537">
        <v>0.999998419929286</v>
      </c>
      <c r="C537">
        <v>0.844264259566999</v>
      </c>
      <c r="D537">
        <v>0.771167572435195</v>
      </c>
      <c r="E537">
        <v>0.793678485405662</v>
      </c>
      <c r="F537">
        <v>0.827585543028283</v>
      </c>
      <c r="G537">
        <v>0.806134374728613</v>
      </c>
      <c r="H537">
        <v>0.142571744655367</v>
      </c>
      <c r="I537">
        <v>0.08113631304822511</v>
      </c>
      <c r="J537">
        <v>0.07175745357604869</v>
      </c>
      <c r="K537">
        <v>0.06952572263857119</v>
      </c>
      <c r="L537">
        <v>3059.50629015096</v>
      </c>
      <c r="M537">
        <v>55.5989133892483</v>
      </c>
      <c r="N537">
        <v>55.1767629739909</v>
      </c>
      <c r="O537">
        <v>54.9571216848491</v>
      </c>
      <c r="P537">
        <v>-0.235335424784607</v>
      </c>
      <c r="Q537">
        <v>0.0695250691934907</v>
      </c>
      <c r="R537">
        <v>0.893322410671827</v>
      </c>
      <c r="S537" t="s">
        <v>2221</v>
      </c>
      <c r="T537" t="s">
        <v>3344</v>
      </c>
      <c r="U537" t="s">
        <v>3344</v>
      </c>
      <c r="V537" t="s">
        <v>3344</v>
      </c>
      <c r="W537" t="s">
        <v>3880</v>
      </c>
      <c r="X537">
        <v>6</v>
      </c>
      <c r="Y537" t="s">
        <v>5536</v>
      </c>
      <c r="Z537" t="s">
        <v>7194</v>
      </c>
      <c r="AA537">
        <v>0.6305059556521569</v>
      </c>
      <c r="AB537">
        <f>HYPERLINK("Melting_Curves/meltCurve_P0ABD5_accA.pdf", "Melting_Curves/meltCurve_P0ABD5_accA.pdf")</f>
        <v>0</v>
      </c>
    </row>
    <row r="538" spans="1:28">
      <c r="A538" t="s">
        <v>564</v>
      </c>
      <c r="B538">
        <v>0.999998419929286</v>
      </c>
      <c r="C538">
        <v>1.16679982017387</v>
      </c>
      <c r="D538">
        <v>0.804807848363965</v>
      </c>
      <c r="E538">
        <v>1.09220045496211</v>
      </c>
      <c r="F538">
        <v>1.05049082733608</v>
      </c>
      <c r="G538">
        <v>1.26459101703439</v>
      </c>
      <c r="H538">
        <v>1.17139910356539</v>
      </c>
      <c r="I538">
        <v>1.39331307109416</v>
      </c>
      <c r="J538">
        <v>1.22661787209974</v>
      </c>
      <c r="K538">
        <v>1.15558961759204</v>
      </c>
      <c r="L538">
        <v>12617.0029373846</v>
      </c>
      <c r="M538">
        <v>250</v>
      </c>
      <c r="O538">
        <v>50.464782175959</v>
      </c>
      <c r="P538">
        <v>0.300088167430681</v>
      </c>
      <c r="Q538">
        <v>1.24230214355024</v>
      </c>
      <c r="R538">
        <v>0.521243593590308</v>
      </c>
      <c r="S538" t="s">
        <v>2222</v>
      </c>
      <c r="T538" t="s">
        <v>3344</v>
      </c>
      <c r="U538" t="s">
        <v>3344</v>
      </c>
      <c r="V538" t="s">
        <v>3344</v>
      </c>
      <c r="W538" t="s">
        <v>3881</v>
      </c>
      <c r="X538">
        <v>3</v>
      </c>
      <c r="Y538" t="s">
        <v>5537</v>
      </c>
      <c r="Z538" t="s">
        <v>7195</v>
      </c>
      <c r="AA538">
        <v>1.133503078834256</v>
      </c>
      <c r="AB538">
        <f>HYPERLINK("Melting_Curves/meltCurve_P0ABD8_accB.pdf", "Melting_Curves/meltCurve_P0ABD8_accB.pdf")</f>
        <v>0</v>
      </c>
    </row>
    <row r="539" spans="1:28">
      <c r="A539" t="s">
        <v>565</v>
      </c>
      <c r="B539">
        <v>0.999998419929286</v>
      </c>
      <c r="C539">
        <v>0.8304057319716071</v>
      </c>
      <c r="D539">
        <v>0.77521234153262</v>
      </c>
      <c r="E539">
        <v>0.852737149699388</v>
      </c>
      <c r="F539">
        <v>1.0893881824727</v>
      </c>
      <c r="G539">
        <v>0.764706230692795</v>
      </c>
      <c r="H539">
        <v>0.612123289848279</v>
      </c>
      <c r="I539">
        <v>0.687286273130937</v>
      </c>
      <c r="J539">
        <v>0.415690068049265</v>
      </c>
      <c r="K539">
        <v>0.293130439935691</v>
      </c>
      <c r="L539">
        <v>557.651718752551</v>
      </c>
      <c r="M539">
        <v>8.9350488335858</v>
      </c>
      <c r="N539">
        <v>62.4117096173938</v>
      </c>
      <c r="O539">
        <v>59.5230207278565</v>
      </c>
      <c r="P539">
        <v>-0.0375557122733548</v>
      </c>
      <c r="Q539">
        <v>0</v>
      </c>
      <c r="R539">
        <v>0.726948695524161</v>
      </c>
      <c r="S539" t="s">
        <v>2223</v>
      </c>
      <c r="T539" t="s">
        <v>3344</v>
      </c>
      <c r="U539" t="s">
        <v>3344</v>
      </c>
      <c r="V539" t="s">
        <v>3344</v>
      </c>
      <c r="W539" t="s">
        <v>3882</v>
      </c>
      <c r="X539">
        <v>2</v>
      </c>
      <c r="Y539" t="s">
        <v>5538</v>
      </c>
      <c r="Z539" t="s">
        <v>7196</v>
      </c>
      <c r="AA539">
        <v>0.7824175914296851</v>
      </c>
      <c r="AB539">
        <f>HYPERLINK("Melting_Curves/meltCurve_P0ABE2_bolA.pdf", "Melting_Curves/meltCurve_P0ABE2_bolA.pdf")</f>
        <v>0</v>
      </c>
    </row>
    <row r="540" spans="1:28">
      <c r="A540" t="s">
        <v>566</v>
      </c>
      <c r="B540">
        <v>0.999998419929286</v>
      </c>
      <c r="C540">
        <v>0.657069171716153</v>
      </c>
      <c r="D540">
        <v>0.755885779169265</v>
      </c>
      <c r="E540">
        <v>0.530485147122909</v>
      </c>
      <c r="F540">
        <v>0.565548657925195</v>
      </c>
      <c r="G540">
        <v>0.584723641340647</v>
      </c>
      <c r="H540">
        <v>0.483516785508736</v>
      </c>
      <c r="I540">
        <v>0.335141293558421</v>
      </c>
      <c r="J540">
        <v>0.353579771400423</v>
      </c>
      <c r="K540">
        <v>0.428088669636455</v>
      </c>
      <c r="L540">
        <v>319.909372580748</v>
      </c>
      <c r="M540">
        <v>7.2120711113335</v>
      </c>
      <c r="N540">
        <v>52.5902717147771</v>
      </c>
      <c r="O540">
        <v>41.3276980629059</v>
      </c>
      <c r="P540">
        <v>-0.0289150841902943</v>
      </c>
      <c r="Q540">
        <v>0.338324817622315</v>
      </c>
      <c r="R540">
        <v>0.810873281044567</v>
      </c>
      <c r="S540" t="s">
        <v>2224</v>
      </c>
      <c r="T540" t="s">
        <v>3344</v>
      </c>
      <c r="U540" t="s">
        <v>3344</v>
      </c>
      <c r="V540" t="s">
        <v>3344</v>
      </c>
      <c r="W540" t="s">
        <v>3883</v>
      </c>
      <c r="X540">
        <v>1</v>
      </c>
      <c r="Y540" t="s">
        <v>5539</v>
      </c>
      <c r="Z540" t="s">
        <v>7197</v>
      </c>
      <c r="AA540">
        <v>0.5555666092312651</v>
      </c>
      <c r="AB540">
        <f>HYPERLINK("Melting_Curves/meltCurve_P0ABE5_cybB.pdf", "Melting_Curves/meltCurve_P0ABE5_cybB.pdf")</f>
        <v>0</v>
      </c>
    </row>
    <row r="541" spans="1:28">
      <c r="A541" t="s">
        <v>567</v>
      </c>
      <c r="B541">
        <v>0.999998419929286</v>
      </c>
      <c r="C541">
        <v>0.805679428602997</v>
      </c>
      <c r="D541">
        <v>1.01039132442191</v>
      </c>
      <c r="E541">
        <v>1.06602254996225</v>
      </c>
      <c r="F541">
        <v>1.24287352712844</v>
      </c>
      <c r="G541">
        <v>1.37209204910562</v>
      </c>
      <c r="H541">
        <v>1.10771933596452</v>
      </c>
      <c r="I541">
        <v>0.575902759504706</v>
      </c>
      <c r="J541">
        <v>0.212354137106782</v>
      </c>
      <c r="K541">
        <v>0.0849261862601625</v>
      </c>
      <c r="L541">
        <v>4380.73344971988</v>
      </c>
      <c r="M541">
        <v>71.7150982198899</v>
      </c>
      <c r="N541">
        <v>61.3440930612332</v>
      </c>
      <c r="O541">
        <v>61.0377856217961</v>
      </c>
      <c r="P541">
        <v>-0.255382282327314</v>
      </c>
      <c r="Q541">
        <v>0.130561562771336</v>
      </c>
      <c r="R541">
        <v>0.844077925297998</v>
      </c>
      <c r="S541" t="s">
        <v>2225</v>
      </c>
      <c r="T541" t="s">
        <v>3344</v>
      </c>
      <c r="U541" t="s">
        <v>3344</v>
      </c>
      <c r="V541" t="s">
        <v>3344</v>
      </c>
      <c r="W541" t="s">
        <v>3884</v>
      </c>
      <c r="X541">
        <v>8</v>
      </c>
      <c r="Y541" t="s">
        <v>5540</v>
      </c>
      <c r="Z541" t="s">
        <v>7198</v>
      </c>
      <c r="AA541">
        <v>0.8296634337463706</v>
      </c>
      <c r="AB541">
        <f>HYPERLINK("Melting_Curves/meltCurve_P0ABF6_cdd.pdf", "Melting_Curves/meltCurve_P0ABF6_cdd.pdf")</f>
        <v>0</v>
      </c>
    </row>
    <row r="542" spans="1:28">
      <c r="A542" t="s">
        <v>568</v>
      </c>
      <c r="B542">
        <v>0.999998419929286</v>
      </c>
      <c r="C542">
        <v>0.715245795456156</v>
      </c>
      <c r="D542">
        <v>0.939879064591726</v>
      </c>
      <c r="E542">
        <v>0.972838276908049</v>
      </c>
      <c r="F542">
        <v>0.65738841398704</v>
      </c>
      <c r="G542">
        <v>0.555257434628016</v>
      </c>
      <c r="H542">
        <v>0.49599956773354</v>
      </c>
      <c r="I542">
        <v>0.242219245354745</v>
      </c>
      <c r="J542">
        <v>0.241038599523323</v>
      </c>
      <c r="K542">
        <v>0.170039086298876</v>
      </c>
      <c r="L542">
        <v>489.987943812574</v>
      </c>
      <c r="M542">
        <v>8.84078399741577</v>
      </c>
      <c r="N542">
        <v>55.4235849447604</v>
      </c>
      <c r="O542">
        <v>52.8075671276441</v>
      </c>
      <c r="P542">
        <v>-0.0418862948743729</v>
      </c>
      <c r="Q542">
        <v>0</v>
      </c>
      <c r="R542">
        <v>0.8929524639423539</v>
      </c>
      <c r="S542" t="s">
        <v>2226</v>
      </c>
      <c r="T542" t="s">
        <v>3344</v>
      </c>
      <c r="U542" t="s">
        <v>3344</v>
      </c>
      <c r="V542" t="s">
        <v>3344</v>
      </c>
      <c r="W542" t="s">
        <v>3885</v>
      </c>
      <c r="X542">
        <v>2</v>
      </c>
      <c r="Y542" t="s">
        <v>5541</v>
      </c>
      <c r="Z542" t="s">
        <v>7199</v>
      </c>
      <c r="AA542">
        <v>0.6206646952249371</v>
      </c>
      <c r="AB542">
        <f>HYPERLINK("Melting_Curves/meltCurve_P0ABF8_pgsA.pdf", "Melting_Curves/meltCurve_P0ABF8_pgsA.pdf")</f>
        <v>0</v>
      </c>
    </row>
    <row r="543" spans="1:28">
      <c r="A543" t="s">
        <v>569</v>
      </c>
      <c r="B543">
        <v>0.999998419929286</v>
      </c>
      <c r="C543">
        <v>1.10958227615135</v>
      </c>
      <c r="D543">
        <v>0.571339247900289</v>
      </c>
      <c r="E543">
        <v>0.566190638652591</v>
      </c>
      <c r="F543">
        <v>0.393237349506792</v>
      </c>
      <c r="G543">
        <v>0.397636421282608</v>
      </c>
      <c r="H543">
        <v>0.307967416270676</v>
      </c>
      <c r="I543">
        <v>0.254244197165021</v>
      </c>
      <c r="J543">
        <v>0.165675589819259</v>
      </c>
      <c r="K543">
        <v>0.3087581829058</v>
      </c>
      <c r="L543">
        <v>724.556000726931</v>
      </c>
      <c r="M543">
        <v>16.2213628739658</v>
      </c>
      <c r="N543">
        <v>46.9404222612629</v>
      </c>
      <c r="O543">
        <v>44.0044984904398</v>
      </c>
      <c r="P543">
        <v>-0.0670861159548488</v>
      </c>
      <c r="Q543">
        <v>0.272102798173521</v>
      </c>
      <c r="R543">
        <v>0.893308526799372</v>
      </c>
      <c r="S543" t="s">
        <v>2227</v>
      </c>
      <c r="T543" t="s">
        <v>3344</v>
      </c>
      <c r="U543" t="s">
        <v>3344</v>
      </c>
      <c r="V543" t="s">
        <v>3344</v>
      </c>
      <c r="W543" t="s">
        <v>3886</v>
      </c>
      <c r="X543">
        <v>1</v>
      </c>
      <c r="Y543" t="s">
        <v>5542</v>
      </c>
      <c r="Z543" t="s">
        <v>7200</v>
      </c>
      <c r="AA543">
        <v>0.4730634037087957</v>
      </c>
      <c r="AB543">
        <f>HYPERLINK("Melting_Curves/meltCurve_P0ABG7_mrdB.pdf", "Melting_Curves/meltCurve_P0ABG7_mrdB.pdf")</f>
        <v>0</v>
      </c>
    </row>
    <row r="544" spans="1:28">
      <c r="A544" t="s">
        <v>570</v>
      </c>
      <c r="B544">
        <v>0.999998419929286</v>
      </c>
      <c r="C544">
        <v>1.55777671572731</v>
      </c>
      <c r="D544">
        <v>0.8720616825705459</v>
      </c>
      <c r="E544">
        <v>1.02998839876177</v>
      </c>
      <c r="F544">
        <v>1.14779754833005</v>
      </c>
      <c r="G544">
        <v>1.37353463999616</v>
      </c>
      <c r="H544">
        <v>0.883011417938968</v>
      </c>
      <c r="I544">
        <v>0.816980671308655</v>
      </c>
      <c r="J544">
        <v>0.41404104012034</v>
      </c>
      <c r="K544">
        <v>0.747772291971069</v>
      </c>
      <c r="L544">
        <v>15000</v>
      </c>
      <c r="M544">
        <v>245.647145412191</v>
      </c>
      <c r="O544">
        <v>61.0591495486538</v>
      </c>
      <c r="P544">
        <v>-0.421513535879325</v>
      </c>
      <c r="Q544">
        <v>0.5809068663910359</v>
      </c>
      <c r="R544">
        <v>0.406088731746161</v>
      </c>
      <c r="S544" t="s">
        <v>2228</v>
      </c>
      <c r="T544" t="s">
        <v>3344</v>
      </c>
      <c r="U544" t="s">
        <v>3344</v>
      </c>
      <c r="V544" t="s">
        <v>3344</v>
      </c>
      <c r="W544" t="s">
        <v>3887</v>
      </c>
      <c r="X544">
        <v>3</v>
      </c>
      <c r="Y544" t="s">
        <v>5543</v>
      </c>
      <c r="Z544" t="s">
        <v>7201</v>
      </c>
      <c r="AA544">
        <v>0.917110737286631</v>
      </c>
      <c r="AB544">
        <f>HYPERLINK("Melting_Curves/meltCurve_P0ABH0_ftsA.pdf", "Melting_Curves/meltCurve_P0ABH0_ftsA.pdf")</f>
        <v>0</v>
      </c>
    </row>
    <row r="545" spans="1:28">
      <c r="A545" t="s">
        <v>571</v>
      </c>
      <c r="B545">
        <v>0.999998419929286</v>
      </c>
      <c r="C545">
        <v>1.03271846374113</v>
      </c>
      <c r="D545">
        <v>0.902115300538714</v>
      </c>
      <c r="E545">
        <v>0.841274765471788</v>
      </c>
      <c r="F545">
        <v>0.806548426356506</v>
      </c>
      <c r="G545">
        <v>0.824831110631795</v>
      </c>
      <c r="H545">
        <v>0.551517256679631</v>
      </c>
      <c r="I545">
        <v>0.141936891086859</v>
      </c>
      <c r="J545">
        <v>0.109078955980742</v>
      </c>
      <c r="K545">
        <v>0.0968543803932588</v>
      </c>
      <c r="L545">
        <v>1047.22977623002</v>
      </c>
      <c r="M545">
        <v>18.3073331485436</v>
      </c>
      <c r="N545">
        <v>57.2027496939189</v>
      </c>
      <c r="O545">
        <v>56.5333382746746</v>
      </c>
      <c r="P545">
        <v>-0.0809618781175412</v>
      </c>
      <c r="Q545">
        <v>0</v>
      </c>
      <c r="R545">
        <v>0.949155478616687</v>
      </c>
      <c r="S545" t="s">
        <v>2229</v>
      </c>
      <c r="T545" t="s">
        <v>3344</v>
      </c>
      <c r="U545" t="s">
        <v>3344</v>
      </c>
      <c r="V545" t="s">
        <v>3344</v>
      </c>
      <c r="W545" t="s">
        <v>3888</v>
      </c>
      <c r="X545">
        <v>9</v>
      </c>
      <c r="Y545" t="s">
        <v>5544</v>
      </c>
      <c r="Z545" t="s">
        <v>7202</v>
      </c>
      <c r="AA545">
        <v>0.6819296552984788</v>
      </c>
      <c r="AB545">
        <f>HYPERLINK("Melting_Curves/meltCurve_P0ABH7_gltA.pdf", "Melting_Curves/meltCurve_P0ABH7_gltA.pdf")</f>
        <v>0</v>
      </c>
    </row>
    <row r="546" spans="1:28">
      <c r="A546" t="s">
        <v>572</v>
      </c>
      <c r="B546">
        <v>0.999998419929286</v>
      </c>
      <c r="C546">
        <v>1.13742855361477</v>
      </c>
      <c r="D546">
        <v>0.85843049175054</v>
      </c>
      <c r="E546">
        <v>0.423986817743139</v>
      </c>
      <c r="F546">
        <v>0.247604452534403</v>
      </c>
      <c r="G546">
        <v>0.135373458799323</v>
      </c>
      <c r="H546">
        <v>0.0818198090349576</v>
      </c>
      <c r="I546">
        <v>0.0681095151473802</v>
      </c>
      <c r="J546">
        <v>0.0539304557058443</v>
      </c>
      <c r="K546">
        <v>0.0512333353276246</v>
      </c>
      <c r="L546">
        <v>1134.50182024619</v>
      </c>
      <c r="M546">
        <v>24.6599686142978</v>
      </c>
      <c r="N546">
        <v>46.3248292608185</v>
      </c>
      <c r="O546">
        <v>45.706472720272</v>
      </c>
      <c r="P546">
        <v>-0.124350773807361</v>
      </c>
      <c r="Q546">
        <v>0.0780921672414881</v>
      </c>
      <c r="R546">
        <v>0.979700206386561</v>
      </c>
      <c r="S546" t="s">
        <v>2230</v>
      </c>
      <c r="T546" t="s">
        <v>3344</v>
      </c>
      <c r="U546" t="s">
        <v>3344</v>
      </c>
      <c r="V546" t="s">
        <v>3344</v>
      </c>
      <c r="W546" t="s">
        <v>3889</v>
      </c>
      <c r="X546">
        <v>12</v>
      </c>
      <c r="Y546" t="s">
        <v>5545</v>
      </c>
      <c r="Z546" t="s">
        <v>7203</v>
      </c>
      <c r="AA546">
        <v>0.3626998982263671</v>
      </c>
      <c r="AB546">
        <f>HYPERLINK("Melting_Curves/meltCurve_P0ABH9_clpA.pdf", "Melting_Curves/meltCurve_P0ABH9_clpA.pdf")</f>
        <v>0</v>
      </c>
    </row>
    <row r="547" spans="1:28">
      <c r="A547" t="s">
        <v>573</v>
      </c>
      <c r="B547">
        <v>0.999998419929286</v>
      </c>
      <c r="C547">
        <v>1.10634590433829</v>
      </c>
      <c r="D547">
        <v>0.899942969010423</v>
      </c>
      <c r="E547">
        <v>0.770355200779902</v>
      </c>
      <c r="F547">
        <v>0.545886218123051</v>
      </c>
      <c r="G547">
        <v>0.324535848055373</v>
      </c>
      <c r="H547">
        <v>0.165899500963733</v>
      </c>
      <c r="I547">
        <v>0.09729249780874399</v>
      </c>
      <c r="J547">
        <v>0.09020906221995011</v>
      </c>
      <c r="K547">
        <v>0.0818667833534524</v>
      </c>
      <c r="L547">
        <v>772.934971719203</v>
      </c>
      <c r="M547">
        <v>15.3474775574243</v>
      </c>
      <c r="N547">
        <v>50.7228681611387</v>
      </c>
      <c r="O547">
        <v>49.5305415215336</v>
      </c>
      <c r="P547">
        <v>-0.07346856515790599</v>
      </c>
      <c r="Q547">
        <v>0.0516743190732723</v>
      </c>
      <c r="R547">
        <v>0.9883467827396401</v>
      </c>
      <c r="S547" t="s">
        <v>2231</v>
      </c>
      <c r="T547" t="s">
        <v>3344</v>
      </c>
      <c r="U547" t="s">
        <v>3344</v>
      </c>
      <c r="V547" t="s">
        <v>3344</v>
      </c>
      <c r="W547" t="s">
        <v>3890</v>
      </c>
      <c r="X547">
        <v>4</v>
      </c>
      <c r="Y547" t="s">
        <v>5546</v>
      </c>
      <c r="Z547" t="s">
        <v>7204</v>
      </c>
      <c r="AA547">
        <v>0.4930247396963851</v>
      </c>
      <c r="AB547">
        <f>HYPERLINK("Melting_Curves/meltCurve_P0ABI8_cyoB.pdf", "Melting_Curves/meltCurve_P0ABI8_cyoB.pdf")</f>
        <v>0</v>
      </c>
    </row>
    <row r="548" spans="1:28">
      <c r="A548" t="s">
        <v>574</v>
      </c>
      <c r="B548">
        <v>0.999998419929286</v>
      </c>
      <c r="C548">
        <v>1.03652923865659</v>
      </c>
      <c r="D548">
        <v>1.01051931065609</v>
      </c>
      <c r="E548">
        <v>1.07801865184487</v>
      </c>
      <c r="F548">
        <v>1.07427516023656</v>
      </c>
      <c r="G548">
        <v>0.704842907738056</v>
      </c>
      <c r="H548">
        <v>0.320931843203757</v>
      </c>
      <c r="I548">
        <v>0.14528832146233</v>
      </c>
      <c r="J548">
        <v>0.0857741215948099</v>
      </c>
      <c r="K548">
        <v>0.0695192665065628</v>
      </c>
      <c r="L548">
        <v>1797.59452494566</v>
      </c>
      <c r="M548">
        <v>32.470776470258</v>
      </c>
      <c r="N548">
        <v>55.6718969323015</v>
      </c>
      <c r="O548">
        <v>55.1516745021489</v>
      </c>
      <c r="P548">
        <v>-0.134962030587992</v>
      </c>
      <c r="Q548">
        <v>0.0830713547556418</v>
      </c>
      <c r="R548">
        <v>0.987966024363486</v>
      </c>
      <c r="S548" t="s">
        <v>2232</v>
      </c>
      <c r="T548" t="s">
        <v>3344</v>
      </c>
      <c r="U548" t="s">
        <v>3344</v>
      </c>
      <c r="V548" t="s">
        <v>3344</v>
      </c>
      <c r="W548" t="s">
        <v>3891</v>
      </c>
      <c r="X548">
        <v>7</v>
      </c>
      <c r="Y548" t="s">
        <v>5547</v>
      </c>
      <c r="Z548" t="s">
        <v>7205</v>
      </c>
      <c r="AA548">
        <v>0.6493010546185297</v>
      </c>
      <c r="AB548">
        <f>HYPERLINK("Melting_Curves/meltCurve_P0ABJ1_cyoA.pdf", "Melting_Curves/meltCurve_P0ABJ1_cyoA.pdf")</f>
        <v>0</v>
      </c>
    </row>
    <row r="549" spans="1:28">
      <c r="A549" t="s">
        <v>575</v>
      </c>
      <c r="B549">
        <v>0.999998419929286</v>
      </c>
      <c r="C549">
        <v>0.778301250744</v>
      </c>
      <c r="D549">
        <v>0.68351460558253</v>
      </c>
      <c r="E549">
        <v>0.571046125787815</v>
      </c>
      <c r="F549">
        <v>0.543580340137288</v>
      </c>
      <c r="G549">
        <v>0.447003685190076</v>
      </c>
      <c r="H549">
        <v>0.232361247995417</v>
      </c>
      <c r="I549">
        <v>0.0839277101014199</v>
      </c>
      <c r="J549">
        <v>0.0343260387349469</v>
      </c>
      <c r="K549">
        <v>0.032965846400105</v>
      </c>
      <c r="L549">
        <v>399.005697996617</v>
      </c>
      <c r="M549">
        <v>8.16486335186636</v>
      </c>
      <c r="N549">
        <v>48.8686251247273</v>
      </c>
      <c r="O549">
        <v>46.1995776130497</v>
      </c>
      <c r="P549">
        <v>-0.0442288661607011</v>
      </c>
      <c r="Q549">
        <v>0</v>
      </c>
      <c r="R549">
        <v>0.939147551222164</v>
      </c>
      <c r="S549" t="s">
        <v>2233</v>
      </c>
      <c r="T549" t="s">
        <v>3344</v>
      </c>
      <c r="U549" t="s">
        <v>3344</v>
      </c>
      <c r="V549" t="s">
        <v>3344</v>
      </c>
      <c r="W549" t="s">
        <v>3892</v>
      </c>
      <c r="X549">
        <v>12</v>
      </c>
      <c r="Y549" t="s">
        <v>5548</v>
      </c>
      <c r="Z549" t="s">
        <v>7206</v>
      </c>
      <c r="AA549">
        <v>0.4418803714214674</v>
      </c>
      <c r="AB549">
        <f>HYPERLINK("Melting_Curves/meltCurve_P0ABJ9_cydA.pdf", "Melting_Curves/meltCurve_P0ABJ9_cydA.pdf")</f>
        <v>0</v>
      </c>
    </row>
    <row r="550" spans="1:28">
      <c r="A550" t="s">
        <v>576</v>
      </c>
      <c r="B550">
        <v>0.999998419929286</v>
      </c>
      <c r="C550">
        <v>0.969820118083363</v>
      </c>
      <c r="D550">
        <v>1.13235733470316</v>
      </c>
      <c r="E550">
        <v>1.06032269934239</v>
      </c>
      <c r="F550">
        <v>0.878333638660007</v>
      </c>
      <c r="G550">
        <v>0.840969281109779</v>
      </c>
      <c r="H550">
        <v>0.65136090329657</v>
      </c>
      <c r="I550">
        <v>0.339532054079739</v>
      </c>
      <c r="J550">
        <v>0.21967944148531</v>
      </c>
      <c r="K550">
        <v>0.187868785104695</v>
      </c>
      <c r="L550">
        <v>1096.14367690629</v>
      </c>
      <c r="M550">
        <v>18.8087324801855</v>
      </c>
      <c r="N550">
        <v>58.9413184311523</v>
      </c>
      <c r="O550">
        <v>57.6316385697062</v>
      </c>
      <c r="P550">
        <v>-0.073815666037129</v>
      </c>
      <c r="Q550">
        <v>0.0953260735205539</v>
      </c>
      <c r="R550">
        <v>0.971481702682087</v>
      </c>
      <c r="S550" t="s">
        <v>2234</v>
      </c>
      <c r="T550" t="s">
        <v>3344</v>
      </c>
      <c r="U550" t="s">
        <v>3344</v>
      </c>
      <c r="V550" t="s">
        <v>3344</v>
      </c>
      <c r="W550" t="s">
        <v>3893</v>
      </c>
      <c r="X550">
        <v>3</v>
      </c>
      <c r="Y550" t="s">
        <v>5549</v>
      </c>
      <c r="Z550" t="s">
        <v>7207</v>
      </c>
      <c r="AA550">
        <v>0.7422048776975156</v>
      </c>
      <c r="AB550">
        <f>HYPERLINK("Melting_Curves/meltCurve_P0ABK2_cydB.pdf", "Melting_Curves/meltCurve_P0ABK2_cydB.pdf")</f>
        <v>0</v>
      </c>
    </row>
    <row r="551" spans="1:28">
      <c r="A551" t="s">
        <v>577</v>
      </c>
      <c r="B551">
        <v>0.999998419929286</v>
      </c>
      <c r="C551">
        <v>1.09195747238777</v>
      </c>
      <c r="D551">
        <v>1.13405256695461</v>
      </c>
      <c r="E551">
        <v>1.31695722166708</v>
      </c>
      <c r="F551">
        <v>1.53559217129898</v>
      </c>
      <c r="G551">
        <v>1.74107629188319</v>
      </c>
      <c r="H551">
        <v>1.62070597547966</v>
      </c>
      <c r="I551">
        <v>1.31108001237591</v>
      </c>
      <c r="J551">
        <v>1.23058970736432</v>
      </c>
      <c r="K551">
        <v>1.12922615516377</v>
      </c>
      <c r="L551">
        <v>1339.79612069984</v>
      </c>
      <c r="M551">
        <v>30.4649115715974</v>
      </c>
      <c r="O551">
        <v>43.7901481602715</v>
      </c>
      <c r="P551">
        <v>0.0736594969439892</v>
      </c>
      <c r="Q551">
        <v>1.4235089202904</v>
      </c>
      <c r="R551">
        <v>0.452565913604972</v>
      </c>
      <c r="S551" t="s">
        <v>2235</v>
      </c>
      <c r="T551" t="s">
        <v>3344</v>
      </c>
      <c r="U551" t="s">
        <v>3344</v>
      </c>
      <c r="V551" t="s">
        <v>3344</v>
      </c>
      <c r="W551" t="s">
        <v>3894</v>
      </c>
      <c r="X551">
        <v>13</v>
      </c>
      <c r="Y551" t="s">
        <v>5550</v>
      </c>
      <c r="Z551" t="s">
        <v>7208</v>
      </c>
      <c r="AA551">
        <v>1.3227191994673</v>
      </c>
      <c r="AB551">
        <f>HYPERLINK("Melting_Curves/meltCurve_P0ABK5_cysK.pdf", "Melting_Curves/meltCurve_P0ABK5_cysK.pdf")</f>
        <v>0</v>
      </c>
    </row>
    <row r="552" spans="1:28">
      <c r="A552" t="s">
        <v>578</v>
      </c>
      <c r="B552">
        <v>0.999998419929286</v>
      </c>
      <c r="C552">
        <v>0.793690376796322</v>
      </c>
      <c r="D552">
        <v>0.849476931922854</v>
      </c>
      <c r="E552">
        <v>0.903400627530016</v>
      </c>
      <c r="F552">
        <v>0.949907206182513</v>
      </c>
      <c r="G552">
        <v>0.86926655144952</v>
      </c>
      <c r="H552">
        <v>0.779922668864812</v>
      </c>
      <c r="I552">
        <v>0.475342137261974</v>
      </c>
      <c r="J552">
        <v>0.33847442258432</v>
      </c>
      <c r="K552">
        <v>0.302217622716758</v>
      </c>
      <c r="L552">
        <v>1009.65880534042</v>
      </c>
      <c r="M552">
        <v>16.8951629717996</v>
      </c>
      <c r="N552">
        <v>61.154741443717</v>
      </c>
      <c r="O552">
        <v>58.9418623695106</v>
      </c>
      <c r="P552">
        <v>-0.0602083065074227</v>
      </c>
      <c r="Q552">
        <v>0.159862705930675</v>
      </c>
      <c r="R552">
        <v>0.866001603999217</v>
      </c>
      <c r="S552" t="s">
        <v>2236</v>
      </c>
      <c r="T552" t="s">
        <v>3344</v>
      </c>
      <c r="U552" t="s">
        <v>3344</v>
      </c>
      <c r="V552" t="s">
        <v>3344</v>
      </c>
      <c r="W552" t="s">
        <v>3895</v>
      </c>
      <c r="X552">
        <v>3</v>
      </c>
      <c r="Y552" t="s">
        <v>5551</v>
      </c>
      <c r="Z552" t="s">
        <v>7209</v>
      </c>
      <c r="AA552">
        <v>0.7957033207180189</v>
      </c>
      <c r="AB552">
        <f>HYPERLINK("Melting_Curves/meltCurve_P0ABN1_dgkA.pdf", "Melting_Curves/meltCurve_P0ABN1_dgkA.pdf")</f>
        <v>0</v>
      </c>
    </row>
    <row r="553" spans="1:28">
      <c r="A553" t="s">
        <v>579</v>
      </c>
      <c r="B553">
        <v>0.999998419929286</v>
      </c>
      <c r="C553">
        <v>0.954822879314035</v>
      </c>
      <c r="D553">
        <v>0.605739728671238</v>
      </c>
      <c r="E553">
        <v>0.259026525711247</v>
      </c>
      <c r="F553">
        <v>0.118487213769542</v>
      </c>
      <c r="G553">
        <v>0.0913602712577383</v>
      </c>
      <c r="H553">
        <v>0.0581794092788798</v>
      </c>
      <c r="I553">
        <v>0.0497239998170354</v>
      </c>
      <c r="J553">
        <v>0.0383205350727468</v>
      </c>
      <c r="K553">
        <v>0.0348645569765605</v>
      </c>
      <c r="L553">
        <v>1008.68898677461</v>
      </c>
      <c r="M553">
        <v>22.9988756800994</v>
      </c>
      <c r="N553">
        <v>44.0763602155942</v>
      </c>
      <c r="O553">
        <v>43.5306523786541</v>
      </c>
      <c r="P553">
        <v>-0.124980535902129</v>
      </c>
      <c r="Q553">
        <v>0.0538004683508992</v>
      </c>
      <c r="R553">
        <v>0.996753625954047</v>
      </c>
      <c r="S553" t="s">
        <v>2237</v>
      </c>
      <c r="T553" t="s">
        <v>3344</v>
      </c>
      <c r="U553" t="s">
        <v>3344</v>
      </c>
      <c r="V553" t="s">
        <v>3344</v>
      </c>
      <c r="W553" t="s">
        <v>3896</v>
      </c>
      <c r="X553">
        <v>2</v>
      </c>
      <c r="Y553" t="s">
        <v>5552</v>
      </c>
      <c r="Z553" t="s">
        <v>7210</v>
      </c>
      <c r="AA553">
        <v>0.2794512984637375</v>
      </c>
      <c r="AB553">
        <f>HYPERLINK("Melting_Curves/meltCurve_P0ABN5_dcuA.pdf", "Melting_Curves/meltCurve_P0ABN5_dcuA.pdf")</f>
        <v>0</v>
      </c>
    </row>
    <row r="554" spans="1:28">
      <c r="A554" t="s">
        <v>580</v>
      </c>
      <c r="B554">
        <v>0.999998419929286</v>
      </c>
      <c r="C554">
        <v>0.836385556234905</v>
      </c>
      <c r="D554">
        <v>0.991317898376785</v>
      </c>
      <c r="E554">
        <v>0.869840372381797</v>
      </c>
      <c r="F554">
        <v>0.908820738955606</v>
      </c>
      <c r="G554">
        <v>0.920229434324397</v>
      </c>
      <c r="H554">
        <v>0.84016052704255</v>
      </c>
      <c r="I554">
        <v>0.736809853604927</v>
      </c>
      <c r="J554">
        <v>0.706976829293297</v>
      </c>
      <c r="K554">
        <v>0.173250800564949</v>
      </c>
      <c r="L554">
        <v>1400.64311861717</v>
      </c>
      <c r="M554">
        <v>21.710599877705</v>
      </c>
      <c r="N554">
        <v>64.5142523217631</v>
      </c>
      <c r="O554">
        <v>63.974383266924</v>
      </c>
      <c r="P554">
        <v>-0.0848429802514967</v>
      </c>
      <c r="Q554">
        <v>0</v>
      </c>
      <c r="R554">
        <v>0.777189331351453</v>
      </c>
      <c r="S554" t="s">
        <v>2238</v>
      </c>
      <c r="T554" t="s">
        <v>3344</v>
      </c>
      <c r="U554" t="s">
        <v>3344</v>
      </c>
      <c r="V554" t="s">
        <v>3344</v>
      </c>
      <c r="W554" t="s">
        <v>3897</v>
      </c>
      <c r="X554">
        <v>12</v>
      </c>
      <c r="Y554" t="s">
        <v>5553</v>
      </c>
      <c r="Z554" t="s">
        <v>7211</v>
      </c>
      <c r="AA554">
        <v>0.8882339425057501</v>
      </c>
      <c r="AB554">
        <f>HYPERLINK("Melting_Curves/meltCurve_P0ABP8_deoD.pdf", "Melting_Curves/meltCurve_P0ABP8_deoD.pdf")</f>
        <v>0</v>
      </c>
    </row>
    <row r="555" spans="1:28">
      <c r="A555" t="s">
        <v>581</v>
      </c>
      <c r="B555">
        <v>0.999998419929286</v>
      </c>
      <c r="C555">
        <v>1.49535042710224</v>
      </c>
      <c r="D555">
        <v>1.29970468671728</v>
      </c>
      <c r="E555">
        <v>1.0631146734425</v>
      </c>
      <c r="F555">
        <v>0.304171417454536</v>
      </c>
      <c r="G555">
        <v>0.129624587496527</v>
      </c>
      <c r="H555">
        <v>0.0793608718337435</v>
      </c>
      <c r="I555">
        <v>0.0540516629037183</v>
      </c>
      <c r="J555">
        <v>0.051318601852759</v>
      </c>
      <c r="K555">
        <v>0.0554798179157425</v>
      </c>
      <c r="L555">
        <v>12110.3059619949</v>
      </c>
      <c r="M555">
        <v>242.347291776131</v>
      </c>
      <c r="N555">
        <v>50.0039054080281</v>
      </c>
      <c r="O555">
        <v>49.9674691763749</v>
      </c>
      <c r="P555">
        <v>-1.12283832738309</v>
      </c>
      <c r="Q555">
        <v>0.0739670979231189</v>
      </c>
      <c r="R555">
        <v>0.8898600274356</v>
      </c>
      <c r="S555" t="s">
        <v>2239</v>
      </c>
      <c r="T555" t="s">
        <v>3344</v>
      </c>
      <c r="U555" t="s">
        <v>3344</v>
      </c>
      <c r="V555" t="s">
        <v>3344</v>
      </c>
      <c r="W555" t="s">
        <v>3898</v>
      </c>
      <c r="X555">
        <v>6</v>
      </c>
      <c r="Y555" t="s">
        <v>5554</v>
      </c>
      <c r="Z555" t="s">
        <v>7212</v>
      </c>
      <c r="AA555">
        <v>0.4744353876138528</v>
      </c>
      <c r="AB555">
        <f>HYPERLINK("Melting_Curves/meltCurve_P0ABQ0_coaBC.pdf", "Melting_Curves/meltCurve_P0ABQ0_coaBC.pdf")</f>
        <v>0</v>
      </c>
    </row>
    <row r="556" spans="1:28">
      <c r="A556" t="s">
        <v>582</v>
      </c>
      <c r="B556">
        <v>0.999998419929286</v>
      </c>
      <c r="C556">
        <v>1.07519339233754</v>
      </c>
      <c r="D556">
        <v>1.04563691461748</v>
      </c>
      <c r="E556">
        <v>1.15870625613899</v>
      </c>
      <c r="F556">
        <v>1.14023969860384</v>
      </c>
      <c r="G556">
        <v>0.7986463936063199</v>
      </c>
      <c r="H556">
        <v>0.301322980904691</v>
      </c>
      <c r="I556">
        <v>0.176613891177964</v>
      </c>
      <c r="J556">
        <v>0.109771628569428</v>
      </c>
      <c r="K556">
        <v>0.118081713448035</v>
      </c>
      <c r="L556">
        <v>2384.18598162182</v>
      </c>
      <c r="M556">
        <v>42.9839961589095</v>
      </c>
      <c r="N556">
        <v>55.8539582275362</v>
      </c>
      <c r="O556">
        <v>55.3471846242581</v>
      </c>
      <c r="P556">
        <v>-0.169145213474635</v>
      </c>
      <c r="Q556">
        <v>0.128820343554614</v>
      </c>
      <c r="R556">
        <v>0.969542402330652</v>
      </c>
      <c r="S556" t="s">
        <v>2240</v>
      </c>
      <c r="T556" t="s">
        <v>3344</v>
      </c>
      <c r="U556" t="s">
        <v>3344</v>
      </c>
      <c r="V556" t="s">
        <v>3344</v>
      </c>
      <c r="W556" t="s">
        <v>3899</v>
      </c>
      <c r="X556">
        <v>6</v>
      </c>
      <c r="Y556" t="s">
        <v>5555</v>
      </c>
      <c r="Z556" t="s">
        <v>7213</v>
      </c>
      <c r="AA556">
        <v>0.6679389073412618</v>
      </c>
      <c r="AB556">
        <f>HYPERLINK("Melting_Curves/meltCurve_P0ABQ2_garR.pdf", "Melting_Curves/meltCurve_P0ABQ2_garR.pdf")</f>
        <v>0</v>
      </c>
    </row>
    <row r="557" spans="1:28">
      <c r="A557" t="s">
        <v>583</v>
      </c>
      <c r="B557">
        <v>0.999998419929286</v>
      </c>
      <c r="C557">
        <v>0.814356728323421</v>
      </c>
      <c r="D557">
        <v>0.802461713226454</v>
      </c>
      <c r="E557">
        <v>0.659417643686423</v>
      </c>
      <c r="F557">
        <v>0.34230831336166</v>
      </c>
      <c r="G557">
        <v>0.179274351509227</v>
      </c>
      <c r="H557">
        <v>0.124613365684218</v>
      </c>
      <c r="I557">
        <v>0.123278661577326</v>
      </c>
      <c r="J557">
        <v>0.134721042601583</v>
      </c>
      <c r="K557">
        <v>0.120675633472448</v>
      </c>
      <c r="L557">
        <v>633.753376488016</v>
      </c>
      <c r="M557">
        <v>13.4292823460955</v>
      </c>
      <c r="N557">
        <v>47.8027122511974</v>
      </c>
      <c r="O557">
        <v>46.1823206992438</v>
      </c>
      <c r="P557">
        <v>-0.06697607193205959</v>
      </c>
      <c r="Q557">
        <v>0.0788401558878364</v>
      </c>
      <c r="R557">
        <v>0.977353834010922</v>
      </c>
      <c r="S557" t="s">
        <v>2241</v>
      </c>
      <c r="T557" t="s">
        <v>3344</v>
      </c>
      <c r="U557" t="s">
        <v>3344</v>
      </c>
      <c r="V557" t="s">
        <v>3344</v>
      </c>
      <c r="W557" t="s">
        <v>3900</v>
      </c>
      <c r="X557">
        <v>2</v>
      </c>
      <c r="Y557" t="s">
        <v>5556</v>
      </c>
      <c r="Z557" t="s">
        <v>7214</v>
      </c>
      <c r="AA557">
        <v>0.4167743140329009</v>
      </c>
      <c r="AB557">
        <f>HYPERLINK("Melting_Curves/meltCurve_P0ABQ4_folA.pdf", "Melting_Curves/meltCurve_P0ABQ4_folA.pdf")</f>
        <v>0</v>
      </c>
    </row>
    <row r="558" spans="1:28">
      <c r="A558" t="s">
        <v>584</v>
      </c>
      <c r="B558">
        <v>0.999998419929286</v>
      </c>
      <c r="C558">
        <v>0.750205038695926</v>
      </c>
      <c r="D558">
        <v>0.881090037155867</v>
      </c>
      <c r="E558">
        <v>0.922138938655816</v>
      </c>
      <c r="F558">
        <v>0.835263215385998</v>
      </c>
      <c r="G558">
        <v>1.13636404699836</v>
      </c>
      <c r="H558">
        <v>1.07869612758238</v>
      </c>
      <c r="I558">
        <v>1.04389621499418</v>
      </c>
      <c r="J558">
        <v>1.22259864825099</v>
      </c>
      <c r="K558">
        <v>0.856454607623806</v>
      </c>
      <c r="L558">
        <v>2544.40063334668</v>
      </c>
      <c r="M558">
        <v>48.4897207590062</v>
      </c>
      <c r="O558">
        <v>52.3839887920672</v>
      </c>
      <c r="P558">
        <v>0.0146101270648681</v>
      </c>
      <c r="Q558">
        <v>1.0631338577776</v>
      </c>
      <c r="R558">
        <v>0.0539498084258613</v>
      </c>
      <c r="S558" t="s">
        <v>2242</v>
      </c>
      <c r="T558" t="s">
        <v>3344</v>
      </c>
      <c r="U558" t="s">
        <v>3344</v>
      </c>
      <c r="V558" t="s">
        <v>3344</v>
      </c>
      <c r="W558" t="s">
        <v>3901</v>
      </c>
      <c r="X558">
        <v>6</v>
      </c>
      <c r="Y558" t="s">
        <v>5557</v>
      </c>
      <c r="Z558" t="s">
        <v>7215</v>
      </c>
      <c r="AA558">
        <v>1.030416215894481</v>
      </c>
      <c r="AB558">
        <f>HYPERLINK("Melting_Curves/meltCurve_P0ABS1_dksA.pdf", "Melting_Curves/meltCurve_P0ABS1_dksA.pdf")</f>
        <v>0</v>
      </c>
    </row>
    <row r="559" spans="1:28">
      <c r="A559" t="s">
        <v>585</v>
      </c>
      <c r="B559">
        <v>0.999998419929286</v>
      </c>
      <c r="C559">
        <v>1.05022228312068</v>
      </c>
      <c r="D559">
        <v>0.679966000335872</v>
      </c>
      <c r="E559">
        <v>0.221174381481959</v>
      </c>
      <c r="F559">
        <v>0.104086362767337</v>
      </c>
      <c r="G559">
        <v>0.0531550313249629</v>
      </c>
      <c r="H559">
        <v>0.0597109218629583</v>
      </c>
      <c r="I559">
        <v>0.0478305636172748</v>
      </c>
      <c r="J559">
        <v>0</v>
      </c>
      <c r="K559">
        <v>0</v>
      </c>
      <c r="L559">
        <v>1301.24599463502</v>
      </c>
      <c r="M559">
        <v>29.4342651307103</v>
      </c>
      <c r="N559">
        <v>44.3295025676291</v>
      </c>
      <c r="O559">
        <v>44.0059980393015</v>
      </c>
      <c r="P559">
        <v>-0.160766028167612</v>
      </c>
      <c r="Q559">
        <v>0.0385873214172414</v>
      </c>
      <c r="R559">
        <v>0.991442884973073</v>
      </c>
      <c r="S559" t="s">
        <v>2243</v>
      </c>
      <c r="T559" t="s">
        <v>3344</v>
      </c>
      <c r="U559" t="s">
        <v>3344</v>
      </c>
      <c r="V559" t="s">
        <v>3344</v>
      </c>
      <c r="W559" t="s">
        <v>3902</v>
      </c>
      <c r="X559">
        <v>1</v>
      </c>
      <c r="Y559" t="s">
        <v>5558</v>
      </c>
      <c r="Z559" t="s">
        <v>7216</v>
      </c>
      <c r="AA559">
        <v>0.2751666127529048</v>
      </c>
      <c r="AB559">
        <f>HYPERLINK("Melting_Curves/meltCurve_P0ABS5_dnaG.pdf", "Melting_Curves/meltCurve_P0ABS5_dnaG.pdf")</f>
        <v>0</v>
      </c>
    </row>
    <row r="560" spans="1:28">
      <c r="A560" t="s">
        <v>586</v>
      </c>
      <c r="B560">
        <v>0.999998419929286</v>
      </c>
      <c r="C560">
        <v>1.09695882457437</v>
      </c>
      <c r="D560">
        <v>1.59241761713156</v>
      </c>
      <c r="E560">
        <v>1.59189497865324</v>
      </c>
      <c r="F560">
        <v>4.69895216127306</v>
      </c>
      <c r="G560">
        <v>5.05486503555948</v>
      </c>
      <c r="H560">
        <v>5.1619988820737</v>
      </c>
      <c r="I560">
        <v>3.77079357038035</v>
      </c>
      <c r="J560">
        <v>3.53670226887915</v>
      </c>
      <c r="K560">
        <v>2.10069768195803</v>
      </c>
      <c r="L560">
        <v>10031.8476050204</v>
      </c>
      <c r="M560">
        <v>250</v>
      </c>
      <c r="O560">
        <v>40.1248225167661</v>
      </c>
      <c r="P560">
        <v>0.778819644890155</v>
      </c>
      <c r="Q560">
        <v>1.5</v>
      </c>
      <c r="R560">
        <v>-0.835285417140146</v>
      </c>
      <c r="S560" t="s">
        <v>2244</v>
      </c>
      <c r="T560" t="s">
        <v>3344</v>
      </c>
      <c r="U560" t="s">
        <v>3344</v>
      </c>
      <c r="V560" t="s">
        <v>3344</v>
      </c>
      <c r="W560" t="s">
        <v>3903</v>
      </c>
      <c r="X560">
        <v>10</v>
      </c>
      <c r="Y560" t="s">
        <v>5559</v>
      </c>
      <c r="Z560" t="s">
        <v>7217</v>
      </c>
      <c r="AA560">
        <v>1.447841614857638</v>
      </c>
      <c r="AB560">
        <f>HYPERLINK("Melting_Curves/meltCurve_P0ABT2_dps.pdf", "Melting_Curves/meltCurve_P0ABT2_dps.pdf")</f>
        <v>0</v>
      </c>
    </row>
    <row r="561" spans="1:28">
      <c r="A561" t="s">
        <v>587</v>
      </c>
      <c r="B561">
        <v>0.999998419929286</v>
      </c>
      <c r="C561">
        <v>1.05787048732144</v>
      </c>
      <c r="D561">
        <v>1.14731072671333</v>
      </c>
      <c r="E561">
        <v>0.9423803161268089</v>
      </c>
      <c r="F561">
        <v>0.373283703918455</v>
      </c>
      <c r="G561">
        <v>0.13327369216885</v>
      </c>
      <c r="H561">
        <v>0.09210977746457349</v>
      </c>
      <c r="I561">
        <v>0.06288270883774739</v>
      </c>
      <c r="J561">
        <v>0.07333220400290839</v>
      </c>
      <c r="K561">
        <v>0.0597020911887924</v>
      </c>
      <c r="L561">
        <v>2183.83859729772</v>
      </c>
      <c r="M561">
        <v>44.2275752451146</v>
      </c>
      <c r="N561">
        <v>49.5680556056985</v>
      </c>
      <c r="O561">
        <v>49.2766790669392</v>
      </c>
      <c r="P561">
        <v>-0.206826246364378</v>
      </c>
      <c r="Q561">
        <v>0.07824959710526801</v>
      </c>
      <c r="R561">
        <v>0.986780966921163</v>
      </c>
      <c r="S561" t="s">
        <v>2245</v>
      </c>
      <c r="T561" t="s">
        <v>3344</v>
      </c>
      <c r="U561" t="s">
        <v>3344</v>
      </c>
      <c r="V561" t="s">
        <v>3344</v>
      </c>
      <c r="W561" t="s">
        <v>3904</v>
      </c>
      <c r="X561">
        <v>7</v>
      </c>
      <c r="Y561" t="s">
        <v>5560</v>
      </c>
      <c r="Z561" t="s">
        <v>7218</v>
      </c>
      <c r="AA561">
        <v>0.4611118705418046</v>
      </c>
      <c r="AB561">
        <f>HYPERLINK("Melting_Curves/meltCurve_P0ABU0_menB.pdf", "Melting_Curves/meltCurve_P0ABU0_menB.pdf")</f>
        <v>0</v>
      </c>
    </row>
    <row r="562" spans="1:28">
      <c r="A562" t="s">
        <v>588</v>
      </c>
      <c r="B562">
        <v>0.999998419929286</v>
      </c>
      <c r="C562">
        <v>0.849619811047543</v>
      </c>
      <c r="D562">
        <v>0.427907073712431</v>
      </c>
      <c r="E562">
        <v>0.167883497949987</v>
      </c>
      <c r="F562">
        <v>0.109938066801163</v>
      </c>
      <c r="G562">
        <v>0.111612234305825</v>
      </c>
      <c r="H562">
        <v>0.08486885139888239</v>
      </c>
      <c r="I562">
        <v>0.0709849918037196</v>
      </c>
      <c r="J562">
        <v>0.0653983723199511</v>
      </c>
      <c r="K562">
        <v>0.0703101827857945</v>
      </c>
      <c r="L562">
        <v>1136.65654600397</v>
      </c>
      <c r="M562">
        <v>26.8973476313239</v>
      </c>
      <c r="N562">
        <v>42.5504830440451</v>
      </c>
      <c r="O562">
        <v>42.0275210699983</v>
      </c>
      <c r="P562">
        <v>-0.146540279844749</v>
      </c>
      <c r="Q562">
        <v>0.0841229950529319</v>
      </c>
      <c r="R562">
        <v>0.997989399543571</v>
      </c>
      <c r="S562" t="s">
        <v>2246</v>
      </c>
      <c r="T562" t="s">
        <v>3344</v>
      </c>
      <c r="U562" t="s">
        <v>3344</v>
      </c>
      <c r="V562" t="s">
        <v>3344</v>
      </c>
      <c r="W562" t="s">
        <v>3905</v>
      </c>
      <c r="X562">
        <v>10</v>
      </c>
      <c r="Y562" t="s">
        <v>5561</v>
      </c>
      <c r="Z562" t="s">
        <v>7219</v>
      </c>
      <c r="AA562">
        <v>0.2514029019337457</v>
      </c>
      <c r="AB562">
        <f>HYPERLINK("Melting_Curves/meltCurve_P0ABU2_ychF.pdf", "Melting_Curves/meltCurve_P0ABU2_ychF.pdf")</f>
        <v>0</v>
      </c>
    </row>
    <row r="563" spans="1:28">
      <c r="A563" t="s">
        <v>589</v>
      </c>
      <c r="B563">
        <v>0.999998419929286</v>
      </c>
      <c r="C563">
        <v>0.721263572075145</v>
      </c>
      <c r="D563">
        <v>0.831780717185116</v>
      </c>
      <c r="E563">
        <v>0.858451259933217</v>
      </c>
      <c r="F563">
        <v>0.8712816109679981</v>
      </c>
      <c r="G563">
        <v>0.917886764511204</v>
      </c>
      <c r="H563">
        <v>0.865166329752041</v>
      </c>
      <c r="I563">
        <v>1.11708671582411</v>
      </c>
      <c r="J563">
        <v>1.07469990605826</v>
      </c>
      <c r="K563">
        <v>0.947208849783024</v>
      </c>
      <c r="L563">
        <v>9470.60279820566</v>
      </c>
      <c r="M563">
        <v>250</v>
      </c>
      <c r="O563">
        <v>37.8799867786809</v>
      </c>
      <c r="P563">
        <v>-0.145777169330381</v>
      </c>
      <c r="Q563">
        <v>0.911647403707916</v>
      </c>
      <c r="R563">
        <v>0.0555943841693398</v>
      </c>
      <c r="S563" t="s">
        <v>2247</v>
      </c>
      <c r="T563" t="s">
        <v>3344</v>
      </c>
      <c r="U563" t="s">
        <v>3344</v>
      </c>
      <c r="V563" t="s">
        <v>3344</v>
      </c>
      <c r="W563" t="s">
        <v>3906</v>
      </c>
      <c r="X563">
        <v>5</v>
      </c>
      <c r="Y563" t="s">
        <v>5562</v>
      </c>
      <c r="Z563" t="s">
        <v>7220</v>
      </c>
      <c r="AA563">
        <v>0.9142531409849165</v>
      </c>
      <c r="AB563">
        <f>HYPERLINK("Melting_Curves/meltCurve_P0ABU5_elbB.pdf", "Melting_Curves/meltCurve_P0ABU5_elbB.pdf")</f>
        <v>0</v>
      </c>
    </row>
    <row r="564" spans="1:28">
      <c r="A564" t="s">
        <v>590</v>
      </c>
      <c r="B564">
        <v>0.999998419929286</v>
      </c>
      <c r="C564">
        <v>0.73717882763422</v>
      </c>
      <c r="D564">
        <v>0.801963114190831</v>
      </c>
      <c r="E564">
        <v>0.7395799225478989</v>
      </c>
      <c r="F564">
        <v>0.771625928557139</v>
      </c>
      <c r="G564">
        <v>0.844077694052152</v>
      </c>
      <c r="H564">
        <v>0.806463546801</v>
      </c>
      <c r="I564">
        <v>0.71340217751799</v>
      </c>
      <c r="J564">
        <v>0.724357687248695</v>
      </c>
      <c r="K564">
        <v>0.743196639011669</v>
      </c>
      <c r="L564">
        <v>9507.642280905289</v>
      </c>
      <c r="M564">
        <v>250</v>
      </c>
      <c r="O564">
        <v>38.028149981462</v>
      </c>
      <c r="P564">
        <v>-0.386803512101258</v>
      </c>
      <c r="Q564">
        <v>0.764649338314637</v>
      </c>
      <c r="R564">
        <v>0.761749810895916</v>
      </c>
      <c r="S564" t="s">
        <v>2248</v>
      </c>
      <c r="T564" t="s">
        <v>3344</v>
      </c>
      <c r="U564" t="s">
        <v>3344</v>
      </c>
      <c r="V564" t="s">
        <v>3344</v>
      </c>
      <c r="W564" t="s">
        <v>3907</v>
      </c>
      <c r="X564">
        <v>2</v>
      </c>
      <c r="Y564" t="s">
        <v>5563</v>
      </c>
      <c r="Z564" t="s">
        <v>7221</v>
      </c>
      <c r="AA564">
        <v>0.7727509436805156</v>
      </c>
      <c r="AB564">
        <f>HYPERLINK("Melting_Curves/meltCurve_P0ABU7_exbB.pdf", "Melting_Curves/meltCurve_P0ABU7_exbB.pdf")</f>
        <v>0</v>
      </c>
    </row>
    <row r="565" spans="1:28">
      <c r="A565" t="s">
        <v>591</v>
      </c>
      <c r="B565">
        <v>0.999998419929286</v>
      </c>
      <c r="C565">
        <v>0.778046912468331</v>
      </c>
      <c r="D565">
        <v>0.760591779109012</v>
      </c>
      <c r="E565">
        <v>0.695474943904426</v>
      </c>
      <c r="F565">
        <v>0.710399951269464</v>
      </c>
      <c r="G565">
        <v>0.611451818448422</v>
      </c>
      <c r="H565">
        <v>0.558688392282032</v>
      </c>
      <c r="I565">
        <v>0.48866278926175</v>
      </c>
      <c r="J565">
        <v>0.535794627612265</v>
      </c>
      <c r="K565">
        <v>0.542707070470578</v>
      </c>
      <c r="L565">
        <v>329.745881676201</v>
      </c>
      <c r="M565">
        <v>7.32482617733158</v>
      </c>
      <c r="O565">
        <v>42.0265660956096</v>
      </c>
      <c r="P565">
        <v>-0.0227790310945496</v>
      </c>
      <c r="Q565">
        <v>0.478035261358568</v>
      </c>
      <c r="R565">
        <v>0.895639698275624</v>
      </c>
      <c r="S565" t="s">
        <v>2249</v>
      </c>
      <c r="T565" t="s">
        <v>3344</v>
      </c>
      <c r="U565" t="s">
        <v>3344</v>
      </c>
      <c r="V565" t="s">
        <v>3344</v>
      </c>
      <c r="W565" t="s">
        <v>3908</v>
      </c>
      <c r="X565">
        <v>3</v>
      </c>
      <c r="Y565" t="s">
        <v>5564</v>
      </c>
      <c r="Z565" t="s">
        <v>7222</v>
      </c>
      <c r="AA565">
        <v>0.6575859307039345</v>
      </c>
      <c r="AB565">
        <f>HYPERLINK("Melting_Curves/meltCurve_P0ABU9_tolQ.pdf", "Melting_Curves/meltCurve_P0ABU9_tolQ.pdf")</f>
        <v>0</v>
      </c>
    </row>
    <row r="566" spans="1:28">
      <c r="A566" t="s">
        <v>592</v>
      </c>
      <c r="B566">
        <v>0.999998419929286</v>
      </c>
      <c r="C566">
        <v>0.896103634165458</v>
      </c>
      <c r="D566">
        <v>0.74144020931106</v>
      </c>
      <c r="E566">
        <v>0.901619342529673</v>
      </c>
      <c r="F566">
        <v>1.10944078050936</v>
      </c>
      <c r="G566">
        <v>1.03893033241719</v>
      </c>
      <c r="H566">
        <v>0.987911872353298</v>
      </c>
      <c r="I566">
        <v>1.00176809649852</v>
      </c>
      <c r="J566">
        <v>0.964354292279608</v>
      </c>
      <c r="K566">
        <v>1.06465794104948</v>
      </c>
      <c r="L566">
        <v>15000</v>
      </c>
      <c r="M566">
        <v>221.97354253891</v>
      </c>
      <c r="Q566">
        <v>1.5</v>
      </c>
      <c r="R566">
        <v>-0.0455053748728409</v>
      </c>
      <c r="S566" t="s">
        <v>2250</v>
      </c>
      <c r="T566" t="s">
        <v>3344</v>
      </c>
      <c r="U566" t="s">
        <v>3344</v>
      </c>
      <c r="V566" t="s">
        <v>3344</v>
      </c>
      <c r="W566" t="s">
        <v>3909</v>
      </c>
      <c r="X566">
        <v>2</v>
      </c>
      <c r="Y566" t="s">
        <v>5565</v>
      </c>
      <c r="Z566" t="s">
        <v>7223</v>
      </c>
      <c r="AA566">
        <v>1.000684364914121</v>
      </c>
      <c r="AB566">
        <f>HYPERLINK("Melting_Curves/meltCurve_P0ABV2_exbD.pdf", "Melting_Curves/meltCurve_P0ABV2_exbD.pdf")</f>
        <v>0</v>
      </c>
    </row>
    <row r="567" spans="1:28">
      <c r="A567" t="s">
        <v>593</v>
      </c>
      <c r="B567">
        <v>0.999998419929286</v>
      </c>
      <c r="C567">
        <v>0.904782093679344</v>
      </c>
      <c r="D567">
        <v>0.738200825427981</v>
      </c>
      <c r="E567">
        <v>0.529968370838691</v>
      </c>
      <c r="F567">
        <v>0.707841743622925</v>
      </c>
      <c r="G567">
        <v>0.5863854130742699</v>
      </c>
      <c r="H567">
        <v>0.401450685177476</v>
      </c>
      <c r="I567">
        <v>0.296611713668836</v>
      </c>
      <c r="J567">
        <v>0.346686117921345</v>
      </c>
      <c r="K567">
        <v>0.23457680535612</v>
      </c>
      <c r="L567">
        <v>284.741733323423</v>
      </c>
      <c r="M567">
        <v>5.27790252073515</v>
      </c>
      <c r="N567">
        <v>53.9497901282952</v>
      </c>
      <c r="O567">
        <v>47.6612633515991</v>
      </c>
      <c r="P567">
        <v>-0.0278252367128249</v>
      </c>
      <c r="Q567">
        <v>0</v>
      </c>
      <c r="R567">
        <v>0.894568470482503</v>
      </c>
      <c r="S567" t="s">
        <v>2251</v>
      </c>
      <c r="T567" t="s">
        <v>3344</v>
      </c>
      <c r="U567" t="s">
        <v>3344</v>
      </c>
      <c r="V567" t="s">
        <v>3344</v>
      </c>
      <c r="W567" t="s">
        <v>3910</v>
      </c>
      <c r="X567">
        <v>1</v>
      </c>
      <c r="Y567" t="s">
        <v>5566</v>
      </c>
      <c r="Z567" t="s">
        <v>7224</v>
      </c>
      <c r="AA567">
        <v>0.5678800007328273</v>
      </c>
      <c r="AB567">
        <f>HYPERLINK("Melting_Curves/meltCurve_P0ABV6_tolR.pdf", "Melting_Curves/meltCurve_P0ABV6_tolR.pdf")</f>
        <v>0</v>
      </c>
    </row>
    <row r="568" spans="1:28">
      <c r="A568" t="s">
        <v>594</v>
      </c>
      <c r="B568">
        <v>0.999998419929286</v>
      </c>
      <c r="C568">
        <v>0.772564987297682</v>
      </c>
      <c r="D568">
        <v>0.818098469178298</v>
      </c>
      <c r="E568">
        <v>0.736815642149856</v>
      </c>
      <c r="F568">
        <v>0.726968426148541</v>
      </c>
      <c r="G568">
        <v>0.582194664088211</v>
      </c>
      <c r="H568">
        <v>0.252568271856734</v>
      </c>
      <c r="I568">
        <v>0.125890117016504</v>
      </c>
      <c r="J568">
        <v>0.101303549432555</v>
      </c>
      <c r="K568">
        <v>0.0732435797960416</v>
      </c>
      <c r="L568">
        <v>525.662644359479</v>
      </c>
      <c r="M568">
        <v>9.96641959947949</v>
      </c>
      <c r="N568">
        <v>52.7433788132256</v>
      </c>
      <c r="O568">
        <v>50.7517793220221</v>
      </c>
      <c r="P568">
        <v>-0.0491181342928207</v>
      </c>
      <c r="Q568">
        <v>0</v>
      </c>
      <c r="R568">
        <v>0.919780494575472</v>
      </c>
      <c r="S568" t="s">
        <v>2252</v>
      </c>
      <c r="T568" t="s">
        <v>3344</v>
      </c>
      <c r="U568" t="s">
        <v>3344</v>
      </c>
      <c r="V568" t="s">
        <v>3344</v>
      </c>
      <c r="W568" t="s">
        <v>3911</v>
      </c>
      <c r="X568">
        <v>1</v>
      </c>
      <c r="Y568" t="s">
        <v>5567</v>
      </c>
      <c r="Z568" t="s">
        <v>7225</v>
      </c>
      <c r="AA568">
        <v>0.5483337004117624</v>
      </c>
      <c r="AB568">
        <f>HYPERLINK("Melting_Curves/meltCurve_P0ABX8_fliL.pdf", "Melting_Curves/meltCurve_P0ABX8_fliL.pdf")</f>
        <v>0</v>
      </c>
    </row>
    <row r="569" spans="1:28">
      <c r="A569" t="s">
        <v>595</v>
      </c>
      <c r="B569">
        <v>0.999998419929286</v>
      </c>
      <c r="C569">
        <v>0.63416802142263</v>
      </c>
      <c r="D569">
        <v>0.899750564555608</v>
      </c>
      <c r="E569">
        <v>0.83089577365685</v>
      </c>
      <c r="F569">
        <v>0.881561034972927</v>
      </c>
      <c r="G569">
        <v>1.15830438087483</v>
      </c>
      <c r="H569">
        <v>1.06267742287417</v>
      </c>
      <c r="I569">
        <v>0.771448267629254</v>
      </c>
      <c r="J569">
        <v>0.819003778653461</v>
      </c>
      <c r="K569">
        <v>0.930589406795046</v>
      </c>
      <c r="L569">
        <v>1e-05</v>
      </c>
      <c r="M569">
        <v>1e-05</v>
      </c>
      <c r="Q569">
        <v>0.797680405997083</v>
      </c>
      <c r="R569">
        <v>-4.30263047412893e-09</v>
      </c>
      <c r="S569" t="s">
        <v>2253</v>
      </c>
      <c r="T569" t="s">
        <v>3344</v>
      </c>
      <c r="U569" t="s">
        <v>3344</v>
      </c>
      <c r="V569" t="s">
        <v>3344</v>
      </c>
      <c r="W569" t="s">
        <v>3912</v>
      </c>
      <c r="X569">
        <v>1</v>
      </c>
      <c r="Y569" t="s">
        <v>5568</v>
      </c>
      <c r="Z569" t="s">
        <v>7226</v>
      </c>
      <c r="AA569">
        <v>0.898839707210578</v>
      </c>
      <c r="AB569">
        <f>HYPERLINK("Melting_Curves/meltCurve_P0ABY4_fldB.pdf", "Melting_Curves/meltCurve_P0ABY4_fldB.pdf")</f>
        <v>0</v>
      </c>
    </row>
    <row r="570" spans="1:28">
      <c r="A570" t="s">
        <v>596</v>
      </c>
      <c r="B570">
        <v>0.999998419929286</v>
      </c>
      <c r="C570">
        <v>0.849353482629852</v>
      </c>
      <c r="D570">
        <v>0.92635820027319</v>
      </c>
      <c r="E570">
        <v>0.853291389306901</v>
      </c>
      <c r="F570">
        <v>0.87659132640227</v>
      </c>
      <c r="G570">
        <v>0.868443951090008</v>
      </c>
      <c r="H570">
        <v>0.821793427530404</v>
      </c>
      <c r="I570">
        <v>0.593005767024369</v>
      </c>
      <c r="J570">
        <v>0.696643392006557</v>
      </c>
      <c r="K570">
        <v>0.640335021057493</v>
      </c>
      <c r="L570">
        <v>226.718297464718</v>
      </c>
      <c r="M570">
        <v>2.80990676661877</v>
      </c>
      <c r="O570">
        <v>57.6629164117572</v>
      </c>
      <c r="P570">
        <v>-0.0126356672439095</v>
      </c>
      <c r="Q570">
        <v>0</v>
      </c>
      <c r="R570">
        <v>0.760502102062807</v>
      </c>
      <c r="S570" t="s">
        <v>2254</v>
      </c>
      <c r="T570" t="s">
        <v>3344</v>
      </c>
      <c r="U570" t="s">
        <v>3344</v>
      </c>
      <c r="V570" t="s">
        <v>3344</v>
      </c>
      <c r="W570" t="s">
        <v>3913</v>
      </c>
      <c r="X570">
        <v>6</v>
      </c>
      <c r="Y570" t="s">
        <v>5569</v>
      </c>
      <c r="Z570" t="s">
        <v>7227</v>
      </c>
      <c r="AA570">
        <v>0.8174594191991745</v>
      </c>
      <c r="AB570">
        <f>HYPERLINK("Melting_Curves/meltCurve_P0ABZ1_fliG.pdf", "Melting_Curves/meltCurve_P0ABZ1_fliG.pdf")</f>
        <v>0</v>
      </c>
    </row>
    <row r="571" spans="1:28">
      <c r="A571" t="s">
        <v>597</v>
      </c>
      <c r="B571">
        <v>0.999998419929286</v>
      </c>
      <c r="C571">
        <v>0.9295120370908621</v>
      </c>
      <c r="D571">
        <v>0.943762127757162</v>
      </c>
      <c r="E571">
        <v>1.23699958997061</v>
      </c>
      <c r="F571">
        <v>1.47715555135596</v>
      </c>
      <c r="G571">
        <v>2.79983400393542</v>
      </c>
      <c r="H571">
        <v>2.4564399638076</v>
      </c>
      <c r="I571">
        <v>1.88125107085929</v>
      </c>
      <c r="J571">
        <v>2.25508609272433</v>
      </c>
      <c r="K571">
        <v>1.4115424841754</v>
      </c>
      <c r="S571" t="s">
        <v>2255</v>
      </c>
      <c r="T571" t="s">
        <v>3344</v>
      </c>
      <c r="U571" t="s">
        <v>3345</v>
      </c>
      <c r="V571" t="s">
        <v>3344</v>
      </c>
      <c r="W571" t="s">
        <v>3914</v>
      </c>
      <c r="X571">
        <v>1</v>
      </c>
      <c r="Y571" t="s">
        <v>5570</v>
      </c>
      <c r="Z571" t="s">
        <v>7228</v>
      </c>
      <c r="AB571">
        <f>HYPERLINK("Melting_Curves/meltCurve_P0ABZ4_kdsC.pdf", "Melting_Curves/meltCurve_P0ABZ4_kdsC.pdf")</f>
        <v>0</v>
      </c>
    </row>
    <row r="572" spans="1:28">
      <c r="A572" t="s">
        <v>598</v>
      </c>
      <c r="B572">
        <v>0.999998419929286</v>
      </c>
      <c r="C572">
        <v>1.11267004694302</v>
      </c>
      <c r="D572">
        <v>1.11099951113397</v>
      </c>
      <c r="E572">
        <v>1.28153942618634</v>
      </c>
      <c r="F572">
        <v>1.43780821745204</v>
      </c>
      <c r="G572">
        <v>1.63499154792253</v>
      </c>
      <c r="H572">
        <v>1.35715391547375</v>
      </c>
      <c r="I572">
        <v>0.927097032586171</v>
      </c>
      <c r="J572">
        <v>0.617588239195305</v>
      </c>
      <c r="K572">
        <v>0.401658334633345</v>
      </c>
      <c r="L572">
        <v>3699.6952358416</v>
      </c>
      <c r="M572">
        <v>58.1952776134976</v>
      </c>
      <c r="N572">
        <v>65.10700416569939</v>
      </c>
      <c r="O572">
        <v>63.498856027268</v>
      </c>
      <c r="P572">
        <v>-0.143657871239761</v>
      </c>
      <c r="Q572">
        <v>0.373000143830387</v>
      </c>
      <c r="R572">
        <v>0.341982086703733</v>
      </c>
      <c r="S572" t="s">
        <v>2256</v>
      </c>
      <c r="T572" t="s">
        <v>3344</v>
      </c>
      <c r="U572" t="s">
        <v>3344</v>
      </c>
      <c r="V572" t="s">
        <v>3344</v>
      </c>
      <c r="W572" t="s">
        <v>3915</v>
      </c>
      <c r="X572">
        <v>16</v>
      </c>
      <c r="Y572" t="s">
        <v>5571</v>
      </c>
      <c r="Z572" t="s">
        <v>7229</v>
      </c>
      <c r="AA572">
        <v>0.9283781920380555</v>
      </c>
      <c r="AB572">
        <f>HYPERLINK("Melting_Curves/meltCurve_P0ABZ6_surA.pdf", "Melting_Curves/meltCurve_P0ABZ6_surA.pdf")</f>
        <v>0</v>
      </c>
    </row>
    <row r="573" spans="1:28">
      <c r="A573" t="s">
        <v>599</v>
      </c>
      <c r="B573">
        <v>0.999998419929286</v>
      </c>
      <c r="C573">
        <v>1.0052367895989</v>
      </c>
      <c r="D573">
        <v>0.840185698297386</v>
      </c>
      <c r="E573">
        <v>0.768998783309381</v>
      </c>
      <c r="F573">
        <v>0.359365015022675</v>
      </c>
      <c r="G573">
        <v>0.115946884235035</v>
      </c>
      <c r="H573">
        <v>0.0621513906703548</v>
      </c>
      <c r="I573">
        <v>0.0387824973841508</v>
      </c>
      <c r="J573">
        <v>0.0354259121965258</v>
      </c>
      <c r="K573">
        <v>0.0413846908059231</v>
      </c>
      <c r="L573">
        <v>1004.61084851798</v>
      </c>
      <c r="M573">
        <v>20.6358550765321</v>
      </c>
      <c r="N573">
        <v>48.794328553058</v>
      </c>
      <c r="O573">
        <v>48.2325265685341</v>
      </c>
      <c r="P573">
        <v>-0.104498962556902</v>
      </c>
      <c r="Q573">
        <v>0.0230394645123711</v>
      </c>
      <c r="R573">
        <v>0.991790611176805</v>
      </c>
      <c r="S573" t="s">
        <v>2257</v>
      </c>
      <c r="T573" t="s">
        <v>3344</v>
      </c>
      <c r="U573" t="s">
        <v>3344</v>
      </c>
      <c r="V573" t="s">
        <v>3344</v>
      </c>
      <c r="W573" t="s">
        <v>3916</v>
      </c>
      <c r="X573">
        <v>3</v>
      </c>
      <c r="Y573" t="s">
        <v>5572</v>
      </c>
      <c r="Z573" t="s">
        <v>7230</v>
      </c>
      <c r="AA573">
        <v>0.4156306206039661</v>
      </c>
      <c r="AB573">
        <f>HYPERLINK("Melting_Curves/meltCurve_P0AC02_bamD.pdf", "Melting_Curves/meltCurve_P0AC02_bamD.pdf")</f>
        <v>0</v>
      </c>
    </row>
    <row r="574" spans="1:28">
      <c r="A574" t="s">
        <v>600</v>
      </c>
      <c r="B574">
        <v>0.999998419929286</v>
      </c>
      <c r="C574">
        <v>0.900175007604009</v>
      </c>
      <c r="D574">
        <v>0.963987899249428</v>
      </c>
      <c r="E574">
        <v>0.622664285806081</v>
      </c>
      <c r="F574">
        <v>0.211525563808701</v>
      </c>
      <c r="G574">
        <v>0.117932178761299</v>
      </c>
      <c r="H574">
        <v>0.0732913188574809</v>
      </c>
      <c r="I574">
        <v>0.0535197032172521</v>
      </c>
      <c r="J574">
        <v>0.0391994651921884</v>
      </c>
      <c r="K574">
        <v>0.0445369822969019</v>
      </c>
      <c r="L574">
        <v>1254.38240279303</v>
      </c>
      <c r="M574">
        <v>26.5041754682306</v>
      </c>
      <c r="N574">
        <v>47.5308304626032</v>
      </c>
      <c r="O574">
        <v>47.0607725743078</v>
      </c>
      <c r="P574">
        <v>-0.13326101402584</v>
      </c>
      <c r="Q574">
        <v>0.0535380493842257</v>
      </c>
      <c r="R574">
        <v>0.993256496554913</v>
      </c>
      <c r="S574" t="s">
        <v>2258</v>
      </c>
      <c r="T574" t="s">
        <v>3344</v>
      </c>
      <c r="U574" t="s">
        <v>3344</v>
      </c>
      <c r="V574" t="s">
        <v>3344</v>
      </c>
      <c r="W574" t="s">
        <v>3917</v>
      </c>
      <c r="X574">
        <v>4</v>
      </c>
      <c r="Y574" t="s">
        <v>5573</v>
      </c>
      <c r="Z574" t="s">
        <v>7231</v>
      </c>
      <c r="AA574">
        <v>0.3864685034809992</v>
      </c>
      <c r="AB574">
        <f>HYPERLINK("Melting_Curves/meltCurve_P0AC13_folP.pdf", "Melting_Curves/meltCurve_P0AC13_folP.pdf")</f>
        <v>0</v>
      </c>
    </row>
    <row r="575" spans="1:28">
      <c r="A575" t="s">
        <v>601</v>
      </c>
      <c r="B575">
        <v>0.999998419929286</v>
      </c>
      <c r="C575">
        <v>0.743530306986788</v>
      </c>
      <c r="D575">
        <v>0.957507046813257</v>
      </c>
      <c r="E575">
        <v>0.990454250546513</v>
      </c>
      <c r="F575">
        <v>1.03918302639589</v>
      </c>
      <c r="G575">
        <v>1.15820269707176</v>
      </c>
      <c r="H575">
        <v>1.12784596944521</v>
      </c>
      <c r="I575">
        <v>0.931069136003997</v>
      </c>
      <c r="J575">
        <v>1.00342257058719</v>
      </c>
      <c r="K575">
        <v>1.14546633928232</v>
      </c>
      <c r="L575">
        <v>12542.9044584985</v>
      </c>
      <c r="M575">
        <v>250</v>
      </c>
      <c r="O575">
        <v>50.1683919981672</v>
      </c>
      <c r="P575">
        <v>0.0911945194976721</v>
      </c>
      <c r="Q575">
        <v>1.07320134061175</v>
      </c>
      <c r="R575">
        <v>0.202055851537365</v>
      </c>
      <c r="S575" t="s">
        <v>2259</v>
      </c>
      <c r="T575" t="s">
        <v>3344</v>
      </c>
      <c r="U575" t="s">
        <v>3344</v>
      </c>
      <c r="V575" t="s">
        <v>3344</v>
      </c>
      <c r="W575" t="s">
        <v>3918</v>
      </c>
      <c r="X575">
        <v>2</v>
      </c>
      <c r="Y575" t="s">
        <v>5574</v>
      </c>
      <c r="Z575" t="s">
        <v>7232</v>
      </c>
      <c r="AA575">
        <v>1.04105555908801</v>
      </c>
      <c r="AB575">
        <f>HYPERLINK("Melting_Curves/meltCurve_P0AC19_folX.pdf", "Melting_Curves/meltCurve_P0AC19_folX.pdf")</f>
        <v>0</v>
      </c>
    </row>
    <row r="576" spans="1:28">
      <c r="A576" t="s">
        <v>602</v>
      </c>
      <c r="B576">
        <v>0.999998419929286</v>
      </c>
      <c r="C576">
        <v>1.23987508315694</v>
      </c>
      <c r="D576">
        <v>1.08824853524204</v>
      </c>
      <c r="E576">
        <v>1.29387201733441</v>
      </c>
      <c r="F576">
        <v>1.00323590144</v>
      </c>
      <c r="G576">
        <v>0.816253871216908</v>
      </c>
      <c r="H576">
        <v>0.291586535367035</v>
      </c>
      <c r="I576">
        <v>0.09179810057805871</v>
      </c>
      <c r="J576">
        <v>0.0484291276338675</v>
      </c>
      <c r="K576">
        <v>0.0408667908405344</v>
      </c>
      <c r="L576">
        <v>2159.22903967669</v>
      </c>
      <c r="M576">
        <v>38.6733824896819</v>
      </c>
      <c r="N576">
        <v>55.9713580052</v>
      </c>
      <c r="O576">
        <v>55.6837517881834</v>
      </c>
      <c r="P576">
        <v>-0.165684383231598</v>
      </c>
      <c r="Q576">
        <v>0.0457612684209914</v>
      </c>
      <c r="R576">
        <v>0.936111464014267</v>
      </c>
      <c r="S576" t="s">
        <v>2260</v>
      </c>
      <c r="T576" t="s">
        <v>3344</v>
      </c>
      <c r="U576" t="s">
        <v>3344</v>
      </c>
      <c r="V576" t="s">
        <v>3344</v>
      </c>
      <c r="W576" t="s">
        <v>3919</v>
      </c>
      <c r="X576">
        <v>1</v>
      </c>
      <c r="Y576" t="s">
        <v>5575</v>
      </c>
      <c r="Z576" t="s">
        <v>7233</v>
      </c>
      <c r="AA576">
        <v>0.64861372594663</v>
      </c>
      <c r="AB576">
        <f>HYPERLINK("Melting_Curves/meltCurve_P0AC23_focA.pdf", "Melting_Curves/meltCurve_P0AC23_focA.pdf")</f>
        <v>0</v>
      </c>
    </row>
    <row r="577" spans="1:28">
      <c r="A577" t="s">
        <v>603</v>
      </c>
      <c r="B577">
        <v>0.999998419929286</v>
      </c>
      <c r="C577">
        <v>0.7313653472349</v>
      </c>
      <c r="D577">
        <v>0.781977896952833</v>
      </c>
      <c r="E577">
        <v>0.664253253439919</v>
      </c>
      <c r="F577">
        <v>0.47594370019688</v>
      </c>
      <c r="G577">
        <v>0.253409810533407</v>
      </c>
      <c r="H577">
        <v>0.158838224270959</v>
      </c>
      <c r="I577">
        <v>0.088426840043273</v>
      </c>
      <c r="J577">
        <v>0.0685729908332529</v>
      </c>
      <c r="K577">
        <v>0.0706254945350108</v>
      </c>
      <c r="L577">
        <v>466.157468211117</v>
      </c>
      <c r="M577">
        <v>9.594490825288091</v>
      </c>
      <c r="N577">
        <v>48.5859329212626</v>
      </c>
      <c r="O577">
        <v>46.6159458632624</v>
      </c>
      <c r="P577">
        <v>-0.0514842947231654</v>
      </c>
      <c r="Q577">
        <v>0</v>
      </c>
      <c r="R577">
        <v>0.965206535490147</v>
      </c>
      <c r="S577" t="s">
        <v>2261</v>
      </c>
      <c r="T577" t="s">
        <v>3344</v>
      </c>
      <c r="U577" t="s">
        <v>3344</v>
      </c>
      <c r="V577" t="s">
        <v>3344</v>
      </c>
      <c r="W577" t="s">
        <v>3920</v>
      </c>
      <c r="X577">
        <v>4</v>
      </c>
      <c r="Y577" t="s">
        <v>5576</v>
      </c>
      <c r="Z577" t="s">
        <v>7234</v>
      </c>
      <c r="AA577">
        <v>0.4264857859896713</v>
      </c>
      <c r="AB577">
        <f>HYPERLINK("Melting_Curves/meltCurve_P0AC30_ftsX.pdf", "Melting_Curves/meltCurve_P0AC30_ftsX.pdf")</f>
        <v>0</v>
      </c>
    </row>
    <row r="578" spans="1:28">
      <c r="A578" t="s">
        <v>604</v>
      </c>
      <c r="B578">
        <v>0.999998419929286</v>
      </c>
      <c r="C578">
        <v>1.40676599007271</v>
      </c>
      <c r="D578">
        <v>1.2886908018972</v>
      </c>
      <c r="E578">
        <v>0.788446230927524</v>
      </c>
      <c r="F578">
        <v>0.451100819721008</v>
      </c>
      <c r="G578">
        <v>0.244955357887885</v>
      </c>
      <c r="H578">
        <v>0.108882721592965</v>
      </c>
      <c r="I578">
        <v>0.0508055618427164</v>
      </c>
      <c r="J578">
        <v>0.0369769021275473</v>
      </c>
      <c r="K578">
        <v>0.0373628219555645</v>
      </c>
      <c r="L578">
        <v>1248.24316774793</v>
      </c>
      <c r="M578">
        <v>25.093988917126</v>
      </c>
      <c r="N578">
        <v>49.9829205466892</v>
      </c>
      <c r="O578">
        <v>49.4300526409675</v>
      </c>
      <c r="P578">
        <v>-0.119708943740396</v>
      </c>
      <c r="Q578">
        <v>0.0568035296937243</v>
      </c>
      <c r="R578">
        <v>0.895938448800584</v>
      </c>
      <c r="S578" t="s">
        <v>2262</v>
      </c>
      <c r="T578" t="s">
        <v>3344</v>
      </c>
      <c r="U578" t="s">
        <v>3344</v>
      </c>
      <c r="V578" t="s">
        <v>3344</v>
      </c>
      <c r="W578" t="s">
        <v>3921</v>
      </c>
      <c r="X578">
        <v>13</v>
      </c>
      <c r="Y578" t="s">
        <v>5577</v>
      </c>
      <c r="Z578" t="s">
        <v>7235</v>
      </c>
      <c r="AA578">
        <v>0.4655993511274811</v>
      </c>
      <c r="AB578">
        <f>HYPERLINK("Melting_Curves/meltCurve_P0AC33_fumA.pdf", "Melting_Curves/meltCurve_P0AC33_fumA.pdf")</f>
        <v>0</v>
      </c>
    </row>
    <row r="579" spans="1:28">
      <c r="A579" t="s">
        <v>605</v>
      </c>
      <c r="B579">
        <v>0.999998419929286</v>
      </c>
      <c r="C579">
        <v>1.27813809948211</v>
      </c>
      <c r="D579">
        <v>1.51462490846493</v>
      </c>
      <c r="E579">
        <v>1.688121544366</v>
      </c>
      <c r="F579">
        <v>1.62884403516582</v>
      </c>
      <c r="G579">
        <v>0.229306853020643</v>
      </c>
      <c r="H579">
        <v>0.075171150280482</v>
      </c>
      <c r="I579">
        <v>0.0356905694603532</v>
      </c>
      <c r="J579">
        <v>0.0295573201053936</v>
      </c>
      <c r="K579">
        <v>0.0260140092274589</v>
      </c>
      <c r="L579">
        <v>13374.0101738934</v>
      </c>
      <c r="M579">
        <v>250</v>
      </c>
      <c r="N579">
        <v>53.5146361325962</v>
      </c>
      <c r="O579">
        <v>53.4926174617031</v>
      </c>
      <c r="P579">
        <v>-1.11977112802881</v>
      </c>
      <c r="Q579">
        <v>0.0416081864114163</v>
      </c>
      <c r="R579">
        <v>0.750393139871127</v>
      </c>
      <c r="S579" t="s">
        <v>2263</v>
      </c>
      <c r="T579" t="s">
        <v>3344</v>
      </c>
      <c r="U579" t="s">
        <v>3344</v>
      </c>
      <c r="V579" t="s">
        <v>3344</v>
      </c>
      <c r="W579" t="s">
        <v>3922</v>
      </c>
      <c r="X579">
        <v>21</v>
      </c>
      <c r="Y579" t="s">
        <v>5578</v>
      </c>
      <c r="Z579" t="s">
        <v>7236</v>
      </c>
      <c r="AA579">
        <v>0.5686871767327676</v>
      </c>
      <c r="AB579">
        <f>HYPERLINK("Melting_Curves/meltCurve_P0AC38_aspA.pdf", "Melting_Curves/meltCurve_P0AC38_aspA.pdf")</f>
        <v>0</v>
      </c>
    </row>
    <row r="580" spans="1:28">
      <c r="A580" t="s">
        <v>606</v>
      </c>
      <c r="B580">
        <v>0.999998419929286</v>
      </c>
      <c r="C580">
        <v>1.079963207863</v>
      </c>
      <c r="D580">
        <v>1.22541917639116</v>
      </c>
      <c r="E580">
        <v>1.28648625738093</v>
      </c>
      <c r="F580">
        <v>0.832395557506118</v>
      </c>
      <c r="G580">
        <v>0.159003935018168</v>
      </c>
      <c r="H580">
        <v>0.0876588307840367</v>
      </c>
      <c r="I580">
        <v>0.05833247869126</v>
      </c>
      <c r="J580">
        <v>0.0429505618707356</v>
      </c>
      <c r="K580">
        <v>0.0357233496577675</v>
      </c>
      <c r="L580">
        <v>2845.62573372403</v>
      </c>
      <c r="M580">
        <v>55.0746630804985</v>
      </c>
      <c r="N580">
        <v>51.7810792581693</v>
      </c>
      <c r="O580">
        <v>51.6005217081073</v>
      </c>
      <c r="P580">
        <v>-0.25177805315475</v>
      </c>
      <c r="Q580">
        <v>0.0564175502051502</v>
      </c>
      <c r="R580">
        <v>0.946995568194924</v>
      </c>
      <c r="S580" t="s">
        <v>2264</v>
      </c>
      <c r="T580" t="s">
        <v>3344</v>
      </c>
      <c r="U580" t="s">
        <v>3344</v>
      </c>
      <c r="V580" t="s">
        <v>3344</v>
      </c>
      <c r="W580" t="s">
        <v>3923</v>
      </c>
      <c r="X580">
        <v>17</v>
      </c>
      <c r="Y580" t="s">
        <v>5579</v>
      </c>
      <c r="Z580" t="s">
        <v>7237</v>
      </c>
      <c r="AA580">
        <v>0.5195530379223843</v>
      </c>
      <c r="AB580">
        <f>HYPERLINK("Melting_Curves/meltCurve_P0AC41_sdhA.pdf", "Melting_Curves/meltCurve_P0AC41_sdhA.pdf")</f>
        <v>0</v>
      </c>
    </row>
    <row r="581" spans="1:28">
      <c r="A581" t="s">
        <v>607</v>
      </c>
      <c r="B581">
        <v>0.999998419929286</v>
      </c>
      <c r="C581">
        <v>0.998561402535604</v>
      </c>
      <c r="D581">
        <v>0.935780034980694</v>
      </c>
      <c r="E581">
        <v>1.06532564405133</v>
      </c>
      <c r="F581">
        <v>0.935352272112062</v>
      </c>
      <c r="G581">
        <v>0.846771826337408</v>
      </c>
      <c r="H581">
        <v>0.80016251019172</v>
      </c>
      <c r="I581">
        <v>0.740077445426321</v>
      </c>
      <c r="J581">
        <v>0.796988878321404</v>
      </c>
      <c r="K581">
        <v>0.826865057205237</v>
      </c>
      <c r="L581">
        <v>1831.73078648302</v>
      </c>
      <c r="M581">
        <v>35.3077041960051</v>
      </c>
      <c r="O581">
        <v>51.7134914663256</v>
      </c>
      <c r="P581">
        <v>-0.0357806555373607</v>
      </c>
      <c r="Q581">
        <v>0.7903759119580031</v>
      </c>
      <c r="R581">
        <v>0.872270055253896</v>
      </c>
      <c r="S581" t="s">
        <v>2265</v>
      </c>
      <c r="T581" t="s">
        <v>3344</v>
      </c>
      <c r="U581" t="s">
        <v>3344</v>
      </c>
      <c r="V581" t="s">
        <v>3344</v>
      </c>
      <c r="W581" t="s">
        <v>3924</v>
      </c>
      <c r="X581">
        <v>3</v>
      </c>
      <c r="Y581" t="s">
        <v>5580</v>
      </c>
      <c r="Z581" t="s">
        <v>7238</v>
      </c>
      <c r="AA581">
        <v>0.8953040617762055</v>
      </c>
      <c r="AB581">
        <f>HYPERLINK("Melting_Curves/meltCurve_P0AC44_sdhD.pdf", "Melting_Curves/meltCurve_P0AC44_sdhD.pdf")</f>
        <v>0</v>
      </c>
    </row>
    <row r="582" spans="1:28">
      <c r="A582" t="s">
        <v>608</v>
      </c>
      <c r="B582">
        <v>0.999998419929286</v>
      </c>
      <c r="C582">
        <v>0.8864849941942931</v>
      </c>
      <c r="D582">
        <v>0.883176517282902</v>
      </c>
      <c r="E582">
        <v>0.905484502461484</v>
      </c>
      <c r="F582">
        <v>0.915922032881523</v>
      </c>
      <c r="G582">
        <v>1.0516352562175</v>
      </c>
      <c r="H582">
        <v>0.835118021890321</v>
      </c>
      <c r="I582">
        <v>0.467086722002678</v>
      </c>
      <c r="J582">
        <v>0.356861677655082</v>
      </c>
      <c r="K582">
        <v>0.284298609390428</v>
      </c>
      <c r="L582">
        <v>2329.82539388015</v>
      </c>
      <c r="M582">
        <v>39.3299547970831</v>
      </c>
      <c r="N582">
        <v>60.6379833982655</v>
      </c>
      <c r="O582">
        <v>59.0854103846814</v>
      </c>
      <c r="P582">
        <v>-0.116763238793805</v>
      </c>
      <c r="Q582">
        <v>0.298347671508088</v>
      </c>
      <c r="R582">
        <v>0.9317169710045869</v>
      </c>
      <c r="S582" t="s">
        <v>2266</v>
      </c>
      <c r="T582" t="s">
        <v>3344</v>
      </c>
      <c r="U582" t="s">
        <v>3344</v>
      </c>
      <c r="V582" t="s">
        <v>3344</v>
      </c>
      <c r="W582" t="s">
        <v>3925</v>
      </c>
      <c r="X582">
        <v>7</v>
      </c>
      <c r="Y582" t="s">
        <v>5581</v>
      </c>
      <c r="Z582" t="s">
        <v>7239</v>
      </c>
      <c r="AA582">
        <v>0.8209307582481593</v>
      </c>
      <c r="AB582">
        <f>HYPERLINK("Melting_Curves/meltCurve_P0AC47_frdB.pdf", "Melting_Curves/meltCurve_P0AC47_frdB.pdf")</f>
        <v>0</v>
      </c>
    </row>
    <row r="583" spans="1:28">
      <c r="A583" t="s">
        <v>609</v>
      </c>
      <c r="B583">
        <v>0.999998419929286</v>
      </c>
      <c r="C583">
        <v>0.894694716948507</v>
      </c>
      <c r="D583">
        <v>1.11710857412518</v>
      </c>
      <c r="E583">
        <v>1.26795609669229</v>
      </c>
      <c r="F583">
        <v>1.49533085945048</v>
      </c>
      <c r="G583">
        <v>1.81181877019868</v>
      </c>
      <c r="H583">
        <v>1.58122963898213</v>
      </c>
      <c r="I583">
        <v>1.16659675668997</v>
      </c>
      <c r="J583">
        <v>1.30857659841234</v>
      </c>
      <c r="K583">
        <v>1.31361462285909</v>
      </c>
      <c r="L583">
        <v>1557.67703618598</v>
      </c>
      <c r="M583">
        <v>34.3269313313847</v>
      </c>
      <c r="O583">
        <v>45.2245216677752</v>
      </c>
      <c r="P583">
        <v>0.0842567240209028</v>
      </c>
      <c r="Q583">
        <v>1.44401936067291</v>
      </c>
      <c r="R583">
        <v>0.5768416790846</v>
      </c>
      <c r="S583" t="s">
        <v>2267</v>
      </c>
      <c r="T583" t="s">
        <v>3344</v>
      </c>
      <c r="U583" t="s">
        <v>3344</v>
      </c>
      <c r="V583" t="s">
        <v>3344</v>
      </c>
      <c r="W583" t="s">
        <v>3926</v>
      </c>
      <c r="X583">
        <v>3</v>
      </c>
      <c r="Y583" t="s">
        <v>5582</v>
      </c>
      <c r="Z583" t="s">
        <v>7240</v>
      </c>
      <c r="AA583">
        <v>1.318121819305032</v>
      </c>
      <c r="AB583">
        <f>HYPERLINK("Melting_Curves/meltCurve_P0AC51_zur.pdf", "Melting_Curves/meltCurve_P0AC51_zur.pdf")</f>
        <v>0</v>
      </c>
    </row>
    <row r="584" spans="1:28">
      <c r="A584" t="s">
        <v>610</v>
      </c>
      <c r="B584">
        <v>0.999998419929286</v>
      </c>
      <c r="C584">
        <v>1.44220598467644</v>
      </c>
      <c r="D584">
        <v>1.19831823061454</v>
      </c>
      <c r="E584">
        <v>0.794589199135379</v>
      </c>
      <c r="F584">
        <v>0.154310986491638</v>
      </c>
      <c r="G584">
        <v>0.0696697374126064</v>
      </c>
      <c r="H584">
        <v>0.042445160392298</v>
      </c>
      <c r="I584">
        <v>0.0404409462069526</v>
      </c>
      <c r="J584">
        <v>0.0323006860984108</v>
      </c>
      <c r="K584">
        <v>0.0304286807445429</v>
      </c>
      <c r="L584">
        <v>2270.7762996784</v>
      </c>
      <c r="M584">
        <v>47.3588034513732</v>
      </c>
      <c r="N584">
        <v>48.0399204573203</v>
      </c>
      <c r="O584">
        <v>47.8630866046611</v>
      </c>
      <c r="P584">
        <v>-0.236689954095695</v>
      </c>
      <c r="Q584">
        <v>0.0431599666261667</v>
      </c>
      <c r="R584">
        <v>0.917321740481144</v>
      </c>
      <c r="S584" t="s">
        <v>2268</v>
      </c>
      <c r="T584" t="s">
        <v>3344</v>
      </c>
      <c r="U584" t="s">
        <v>3344</v>
      </c>
      <c r="V584" t="s">
        <v>3344</v>
      </c>
      <c r="W584" t="s">
        <v>3927</v>
      </c>
      <c r="X584">
        <v>16</v>
      </c>
      <c r="Y584" t="s">
        <v>5583</v>
      </c>
      <c r="Z584" t="s">
        <v>7241</v>
      </c>
      <c r="AA584">
        <v>0.3946109699096966</v>
      </c>
      <c r="AB584">
        <f>HYPERLINK("Melting_Curves/meltCurve_P0AC53_zwf.pdf", "Melting_Curves/meltCurve_P0AC53_zwf.pdf")</f>
        <v>0</v>
      </c>
    </row>
    <row r="585" spans="1:28">
      <c r="A585" t="s">
        <v>611</v>
      </c>
      <c r="B585">
        <v>0.999998419929286</v>
      </c>
      <c r="C585">
        <v>0.682139337462243</v>
      </c>
      <c r="D585">
        <v>0.820801141293989</v>
      </c>
      <c r="E585">
        <v>0.649976966497172</v>
      </c>
      <c r="F585">
        <v>0.446686858589076</v>
      </c>
      <c r="G585">
        <v>0.201860563650361</v>
      </c>
      <c r="H585">
        <v>0.059189672808702</v>
      </c>
      <c r="I585">
        <v>0.045131108158209</v>
      </c>
      <c r="J585">
        <v>0.0360869581030673</v>
      </c>
      <c r="K585">
        <v>0.0312608274942164</v>
      </c>
      <c r="L585">
        <v>539.807178540514</v>
      </c>
      <c r="M585">
        <v>11.2386206131632</v>
      </c>
      <c r="N585">
        <v>48.0314442287604</v>
      </c>
      <c r="O585">
        <v>46.5860508818718</v>
      </c>
      <c r="P585">
        <v>-0.0603298293839206</v>
      </c>
      <c r="Q585">
        <v>0</v>
      </c>
      <c r="R585">
        <v>0.942551445222812</v>
      </c>
      <c r="S585" t="s">
        <v>2269</v>
      </c>
      <c r="T585" t="s">
        <v>3344</v>
      </c>
      <c r="U585" t="s">
        <v>3344</v>
      </c>
      <c r="V585" t="s">
        <v>3344</v>
      </c>
      <c r="W585" t="s">
        <v>3928</v>
      </c>
      <c r="X585">
        <v>12</v>
      </c>
      <c r="Y585" t="s">
        <v>5584</v>
      </c>
      <c r="Z585" t="s">
        <v>7242</v>
      </c>
      <c r="AA585">
        <v>0.402032818607139</v>
      </c>
      <c r="AB585">
        <f>HYPERLINK("Melting_Curves/meltCurve_P0AC59_grxB.pdf", "Melting_Curves/meltCurve_P0AC59_grxB.pdf")</f>
        <v>0</v>
      </c>
    </row>
    <row r="586" spans="1:28">
      <c r="A586" t="s">
        <v>612</v>
      </c>
      <c r="B586">
        <v>0.999998419929286</v>
      </c>
      <c r="C586">
        <v>0.990240627285245</v>
      </c>
      <c r="D586">
        <v>0.843700313496241</v>
      </c>
      <c r="E586">
        <v>0.964837344030408</v>
      </c>
      <c r="F586">
        <v>0.983138100642675</v>
      </c>
      <c r="G586">
        <v>0.997630403190668</v>
      </c>
      <c r="H586">
        <v>0.88277731470585</v>
      </c>
      <c r="I586">
        <v>1.07221282541426</v>
      </c>
      <c r="J586">
        <v>1.16330690173942</v>
      </c>
      <c r="K586">
        <v>1.03941885671532</v>
      </c>
      <c r="L586">
        <v>15000</v>
      </c>
      <c r="M586">
        <v>246.808832619148</v>
      </c>
      <c r="O586">
        <v>60.7717923427366</v>
      </c>
      <c r="P586">
        <v>0.102914571647119</v>
      </c>
      <c r="Q586">
        <v>1.10136270895935</v>
      </c>
      <c r="R586">
        <v>0.348313359490313</v>
      </c>
      <c r="S586" t="s">
        <v>2270</v>
      </c>
      <c r="T586" t="s">
        <v>3344</v>
      </c>
      <c r="U586" t="s">
        <v>3344</v>
      </c>
      <c r="V586" t="s">
        <v>3344</v>
      </c>
      <c r="W586" t="s">
        <v>3929</v>
      </c>
      <c r="X586">
        <v>4</v>
      </c>
      <c r="Y586" t="s">
        <v>5585</v>
      </c>
      <c r="Z586" t="s">
        <v>7243</v>
      </c>
      <c r="AA586">
        <v>1.021019024427678</v>
      </c>
      <c r="AB586">
        <f>HYPERLINK("Melting_Curves/meltCurve_P0AC62_grxC.pdf", "Melting_Curves/meltCurve_P0AC62_grxC.pdf")</f>
        <v>0</v>
      </c>
    </row>
    <row r="587" spans="1:28">
      <c r="A587" t="s">
        <v>613</v>
      </c>
      <c r="B587">
        <v>0.999998419929286</v>
      </c>
      <c r="C587">
        <v>0.8551097361701629</v>
      </c>
      <c r="D587">
        <v>0.8147263063356029</v>
      </c>
      <c r="E587">
        <v>0.829406005398387</v>
      </c>
      <c r="F587">
        <v>0.858083209241616</v>
      </c>
      <c r="G587">
        <v>0.961746980897484</v>
      </c>
      <c r="H587">
        <v>0.796594131819311</v>
      </c>
      <c r="I587">
        <v>0.804646441614189</v>
      </c>
      <c r="J587">
        <v>0.841863598493412</v>
      </c>
      <c r="K587">
        <v>0.6822400950067951</v>
      </c>
      <c r="L587">
        <v>105.123069924886</v>
      </c>
      <c r="M587">
        <v>0.348986168952054</v>
      </c>
      <c r="O587">
        <v>41.7679972365348</v>
      </c>
      <c r="P587">
        <v>-0.0055517020340253</v>
      </c>
      <c r="Q587">
        <v>0</v>
      </c>
      <c r="R587">
        <v>0.360233221669733</v>
      </c>
      <c r="S587" t="s">
        <v>2271</v>
      </c>
      <c r="T587" t="s">
        <v>3344</v>
      </c>
      <c r="U587" t="s">
        <v>3344</v>
      </c>
      <c r="V587" t="s">
        <v>3344</v>
      </c>
      <c r="W587" t="s">
        <v>3930</v>
      </c>
      <c r="X587">
        <v>4</v>
      </c>
      <c r="Y587" t="s">
        <v>5586</v>
      </c>
      <c r="Z587" t="s">
        <v>7244</v>
      </c>
      <c r="AA587">
        <v>0.8440282958597151</v>
      </c>
      <c r="AB587">
        <f>HYPERLINK("Melting_Curves/meltCurve_P0AC69_grxD.pdf", "Melting_Curves/meltCurve_P0AC69_grxD.pdf")</f>
        <v>0</v>
      </c>
    </row>
    <row r="588" spans="1:28">
      <c r="A588" t="s">
        <v>614</v>
      </c>
      <c r="B588">
        <v>0.999998419929286</v>
      </c>
      <c r="C588">
        <v>0.983974369618591</v>
      </c>
      <c r="D588">
        <v>0.89726415222656</v>
      </c>
      <c r="E588">
        <v>0.905310171378138</v>
      </c>
      <c r="F588">
        <v>0.586587396855599</v>
      </c>
      <c r="G588">
        <v>0.438669024153914</v>
      </c>
      <c r="H588">
        <v>0.262631343767842</v>
      </c>
      <c r="I588">
        <v>0.217926270634228</v>
      </c>
      <c r="J588">
        <v>0.157809289815351</v>
      </c>
      <c r="K588">
        <v>0.136177418750857</v>
      </c>
      <c r="L588">
        <v>750.540321885435</v>
      </c>
      <c r="M588">
        <v>14.6083686957514</v>
      </c>
      <c r="N588">
        <v>52.3299813137548</v>
      </c>
      <c r="O588">
        <v>50.4434574339323</v>
      </c>
      <c r="P588">
        <v>-0.0639543665129884</v>
      </c>
      <c r="Q588">
        <v>0.11674794710305</v>
      </c>
      <c r="R588">
        <v>0.990853942505412</v>
      </c>
      <c r="S588" t="s">
        <v>2272</v>
      </c>
      <c r="T588" t="s">
        <v>3344</v>
      </c>
      <c r="U588" t="s">
        <v>3344</v>
      </c>
      <c r="V588" t="s">
        <v>3344</v>
      </c>
      <c r="W588" t="s">
        <v>3931</v>
      </c>
      <c r="X588">
        <v>3</v>
      </c>
      <c r="Y588" t="s">
        <v>5587</v>
      </c>
      <c r="Z588" t="s">
        <v>7245</v>
      </c>
      <c r="AA588">
        <v>0.5580995716167935</v>
      </c>
      <c r="AB588">
        <f>HYPERLINK("Melting_Curves/meltCurve_P0AC81_gloA.pdf", "Melting_Curves/meltCurve_P0AC81_gloA.pdf")</f>
        <v>0</v>
      </c>
    </row>
    <row r="589" spans="1:28">
      <c r="A589" t="s">
        <v>615</v>
      </c>
      <c r="B589">
        <v>0.999998419929286</v>
      </c>
      <c r="C589">
        <v>0.929305086641789</v>
      </c>
      <c r="D589">
        <v>0.910274416210903</v>
      </c>
      <c r="E589">
        <v>1.07531618493805</v>
      </c>
      <c r="F589">
        <v>1.2105844313503</v>
      </c>
      <c r="G589">
        <v>1.31982996210885</v>
      </c>
      <c r="H589">
        <v>1.04445327336757</v>
      </c>
      <c r="I589">
        <v>0.767929349699948</v>
      </c>
      <c r="J589">
        <v>0.48032263212171</v>
      </c>
      <c r="K589">
        <v>0.246931745151558</v>
      </c>
      <c r="L589">
        <v>2351.76476000194</v>
      </c>
      <c r="M589">
        <v>37.3801257528861</v>
      </c>
      <c r="N589">
        <v>63.6860297492248</v>
      </c>
      <c r="O589">
        <v>62.7356111736886</v>
      </c>
      <c r="P589">
        <v>-0.121844712021172</v>
      </c>
      <c r="Q589">
        <v>0.182027445199818</v>
      </c>
      <c r="R589">
        <v>0.818920272390314</v>
      </c>
      <c r="S589" t="s">
        <v>2273</v>
      </c>
      <c r="T589" t="s">
        <v>3344</v>
      </c>
      <c r="U589" t="s">
        <v>3344</v>
      </c>
      <c r="V589" t="s">
        <v>3344</v>
      </c>
      <c r="W589" t="s">
        <v>3932</v>
      </c>
      <c r="X589">
        <v>6</v>
      </c>
      <c r="Y589" t="s">
        <v>5588</v>
      </c>
      <c r="Z589" t="s">
        <v>7246</v>
      </c>
      <c r="AA589">
        <v>0.8872973677444846</v>
      </c>
      <c r="AB589">
        <f>HYPERLINK("Melting_Curves/meltCurve_P0AC84_gloB.pdf", "Melting_Curves/meltCurve_P0AC84_gloB.pdf")</f>
        <v>0</v>
      </c>
    </row>
    <row r="590" spans="1:28">
      <c r="A590" t="s">
        <v>616</v>
      </c>
      <c r="B590">
        <v>0.999998419929286</v>
      </c>
      <c r="C590">
        <v>1.40974134040534</v>
      </c>
      <c r="D590">
        <v>0.530079722219045</v>
      </c>
      <c r="E590">
        <v>1.25272574654023</v>
      </c>
      <c r="F590">
        <v>1.18170106743794</v>
      </c>
      <c r="G590">
        <v>1.72843235571917</v>
      </c>
      <c r="H590">
        <v>1.47618527086513</v>
      </c>
      <c r="I590">
        <v>1.54200692201026</v>
      </c>
      <c r="J590">
        <v>0.782262103740838</v>
      </c>
      <c r="K590">
        <v>1.11432278971728</v>
      </c>
      <c r="L590">
        <v>11575.8053255301</v>
      </c>
      <c r="M590">
        <v>250</v>
      </c>
      <c r="O590">
        <v>46.3002582180409</v>
      </c>
      <c r="P590">
        <v>0.410569733945917</v>
      </c>
      <c r="Q590">
        <v>1.30415175471654</v>
      </c>
      <c r="R590">
        <v>0.178042966236188</v>
      </c>
      <c r="S590" t="s">
        <v>2274</v>
      </c>
      <c r="T590" t="s">
        <v>3344</v>
      </c>
      <c r="U590" t="s">
        <v>3344</v>
      </c>
      <c r="V590" t="s">
        <v>3344</v>
      </c>
      <c r="W590" t="s">
        <v>3933</v>
      </c>
      <c r="X590">
        <v>3</v>
      </c>
      <c r="Y590" t="s">
        <v>5589</v>
      </c>
      <c r="Z590" t="s">
        <v>7247</v>
      </c>
      <c r="AA590">
        <v>1.209807336123972</v>
      </c>
      <c r="AB590">
        <f>HYPERLINK("Melting_Curves/meltCurve_P0AC92_gnsA.pdf", "Melting_Curves/meltCurve_P0AC92_gnsA.pdf")</f>
        <v>0</v>
      </c>
    </row>
    <row r="591" spans="1:28">
      <c r="A591" t="s">
        <v>617</v>
      </c>
      <c r="B591">
        <v>0.999998419929286</v>
      </c>
      <c r="C591">
        <v>0.797913671920517</v>
      </c>
      <c r="D591">
        <v>0.704988243017929</v>
      </c>
      <c r="E591">
        <v>0.503039266388437</v>
      </c>
      <c r="F591">
        <v>0.313214227956894</v>
      </c>
      <c r="G591">
        <v>0.190391790872941</v>
      </c>
      <c r="H591">
        <v>0.106513528727223</v>
      </c>
      <c r="I591">
        <v>0.0634244280135185</v>
      </c>
      <c r="J591">
        <v>0.0577404285138114</v>
      </c>
      <c r="K591">
        <v>0.0441217550836357</v>
      </c>
      <c r="L591">
        <v>494.502232705933</v>
      </c>
      <c r="M591">
        <v>10.6476140351631</v>
      </c>
      <c r="N591">
        <v>46.4475309806396</v>
      </c>
      <c r="O591">
        <v>44.8942144524293</v>
      </c>
      <c r="P591">
        <v>-0.059281662266186</v>
      </c>
      <c r="Q591">
        <v>0.000569999456626191</v>
      </c>
      <c r="R591">
        <v>0.993564048189306</v>
      </c>
      <c r="S591" t="s">
        <v>2275</v>
      </c>
      <c r="T591" t="s">
        <v>3344</v>
      </c>
      <c r="U591" t="s">
        <v>3344</v>
      </c>
      <c r="V591" t="s">
        <v>3344</v>
      </c>
      <c r="W591" t="s">
        <v>3934</v>
      </c>
      <c r="X591">
        <v>5</v>
      </c>
      <c r="Y591" t="s">
        <v>5590</v>
      </c>
      <c r="Z591" t="s">
        <v>7248</v>
      </c>
      <c r="AA591">
        <v>0.355955107338549</v>
      </c>
      <c r="AB591">
        <f>HYPERLINK("Melting_Curves/meltCurve_P0ACA1_yibF.pdf", "Melting_Curves/meltCurve_P0ACA1_yibF.pdf")</f>
        <v>0</v>
      </c>
    </row>
    <row r="592" spans="1:28">
      <c r="A592" t="s">
        <v>618</v>
      </c>
      <c r="B592">
        <v>0.999998419929286</v>
      </c>
      <c r="C592">
        <v>0.816678124099589</v>
      </c>
      <c r="D592">
        <v>0.987154253058079</v>
      </c>
      <c r="E592">
        <v>1.12719795083361</v>
      </c>
      <c r="F592">
        <v>0.804833989157673</v>
      </c>
      <c r="G592">
        <v>0.111325206210933</v>
      </c>
      <c r="H592">
        <v>0.054288246141969</v>
      </c>
      <c r="I592">
        <v>0.0249524537200263</v>
      </c>
      <c r="J592">
        <v>0.07288280903865289</v>
      </c>
      <c r="K592">
        <v>0.0302057075079906</v>
      </c>
      <c r="L592">
        <v>3067.19949336144</v>
      </c>
      <c r="M592">
        <v>59.7172079013218</v>
      </c>
      <c r="N592">
        <v>51.4456925522491</v>
      </c>
      <c r="O592">
        <v>51.3045890221251</v>
      </c>
      <c r="P592">
        <v>-0.277535464758743</v>
      </c>
      <c r="Q592">
        <v>0.0462493682165642</v>
      </c>
      <c r="R592">
        <v>0.974661826336086</v>
      </c>
      <c r="S592" t="s">
        <v>2276</v>
      </c>
      <c r="T592" t="s">
        <v>3344</v>
      </c>
      <c r="U592" t="s">
        <v>3344</v>
      </c>
      <c r="V592" t="s">
        <v>3344</v>
      </c>
      <c r="W592" t="s">
        <v>3935</v>
      </c>
      <c r="X592">
        <v>4</v>
      </c>
      <c r="Y592" t="s">
        <v>5591</v>
      </c>
      <c r="Z592" t="s">
        <v>7249</v>
      </c>
      <c r="AA592">
        <v>0.5043560850759923</v>
      </c>
      <c r="AB592">
        <f>HYPERLINK("Melting_Curves/meltCurve_P0ACA3_sspA.pdf", "Melting_Curves/meltCurve_P0ACA3_sspA.pdf")</f>
        <v>0</v>
      </c>
    </row>
    <row r="593" spans="1:28">
      <c r="A593" t="s">
        <v>619</v>
      </c>
      <c r="B593">
        <v>0.999998419929286</v>
      </c>
      <c r="C593">
        <v>0.667466531777208</v>
      </c>
      <c r="D593">
        <v>0.546600243112928</v>
      </c>
      <c r="E593">
        <v>0.468921496016975</v>
      </c>
      <c r="F593">
        <v>0.372072980949785</v>
      </c>
      <c r="G593">
        <v>0.241646980683589</v>
      </c>
      <c r="H593">
        <v>0.120623376962634</v>
      </c>
      <c r="I593">
        <v>0.0589624760716812</v>
      </c>
      <c r="J593">
        <v>0.0446781571510563</v>
      </c>
      <c r="K593">
        <v>0.0362084655463745</v>
      </c>
      <c r="L593">
        <v>387.545226463007</v>
      </c>
      <c r="M593">
        <v>8.55653363558873</v>
      </c>
      <c r="N593">
        <v>45.2923168888128</v>
      </c>
      <c r="O593">
        <v>43.0218691028574</v>
      </c>
      <c r="P593">
        <v>-0.0497656999507127</v>
      </c>
      <c r="Q593">
        <v>0</v>
      </c>
      <c r="R593">
        <v>0.956479810520563</v>
      </c>
      <c r="S593" t="s">
        <v>2277</v>
      </c>
      <c r="T593" t="s">
        <v>3344</v>
      </c>
      <c r="U593" t="s">
        <v>3344</v>
      </c>
      <c r="V593" t="s">
        <v>3344</v>
      </c>
      <c r="W593" t="s">
        <v>3936</v>
      </c>
      <c r="X593">
        <v>4</v>
      </c>
      <c r="Y593" t="s">
        <v>5592</v>
      </c>
      <c r="Z593" t="s">
        <v>7250</v>
      </c>
      <c r="AA593">
        <v>0.3375837816301168</v>
      </c>
      <c r="AB593">
        <f>HYPERLINK("Melting_Curves/meltCurve_P0ACA7_gstB.pdf", "Melting_Curves/meltCurve_P0ACA7_gstB.pdf")</f>
        <v>0</v>
      </c>
    </row>
    <row r="594" spans="1:28">
      <c r="A594" t="s">
        <v>620</v>
      </c>
      <c r="B594">
        <v>0.999998419929286</v>
      </c>
      <c r="C594">
        <v>1.15844577572397</v>
      </c>
      <c r="D594">
        <v>0.941951429284641</v>
      </c>
      <c r="E594">
        <v>0.856603970142087</v>
      </c>
      <c r="F594">
        <v>0.401901667272382</v>
      </c>
      <c r="G594">
        <v>0.354356084740331</v>
      </c>
      <c r="H594">
        <v>0.134630472751266</v>
      </c>
      <c r="I594">
        <v>0.0563309271113494</v>
      </c>
      <c r="J594">
        <v>0.103461958969157</v>
      </c>
      <c r="K594">
        <v>0.120810482684057</v>
      </c>
      <c r="L594">
        <v>1032.17107280064</v>
      </c>
      <c r="M594">
        <v>20.8306320857077</v>
      </c>
      <c r="N594">
        <v>50.0745532931594</v>
      </c>
      <c r="O594">
        <v>49.1007548689051</v>
      </c>
      <c r="P594">
        <v>-0.09567840186748409</v>
      </c>
      <c r="Q594">
        <v>0.09791472944463681</v>
      </c>
      <c r="R594">
        <v>0.967941329035215</v>
      </c>
      <c r="S594" t="s">
        <v>2278</v>
      </c>
      <c r="T594" t="s">
        <v>3344</v>
      </c>
      <c r="U594" t="s">
        <v>3344</v>
      </c>
      <c r="V594" t="s">
        <v>3344</v>
      </c>
      <c r="W594" t="s">
        <v>3937</v>
      </c>
      <c r="X594">
        <v>1</v>
      </c>
      <c r="Y594" t="s">
        <v>5593</v>
      </c>
      <c r="Z594" t="s">
        <v>7251</v>
      </c>
      <c r="AA594">
        <v>0.4863547270005102</v>
      </c>
      <c r="AB594">
        <f>HYPERLINK("Melting_Curves/meltCurve_P0ACB0_dnaB.pdf", "Melting_Curves/meltCurve_P0ACB0_dnaB.pdf")</f>
        <v>0</v>
      </c>
    </row>
    <row r="595" spans="1:28">
      <c r="A595" t="s">
        <v>621</v>
      </c>
      <c r="B595">
        <v>0.999998419929286</v>
      </c>
      <c r="C595">
        <v>1.24638117788284</v>
      </c>
      <c r="D595">
        <v>1.0547198931265</v>
      </c>
      <c r="E595">
        <v>1.10077799375564</v>
      </c>
      <c r="F595">
        <v>1.13410850999751</v>
      </c>
      <c r="G595">
        <v>1.17479584787276</v>
      </c>
      <c r="H595">
        <v>0.740854870790483</v>
      </c>
      <c r="I595">
        <v>0.254777708876227</v>
      </c>
      <c r="J595">
        <v>0.07768084484500989</v>
      </c>
      <c r="K595">
        <v>0.0531438033433525</v>
      </c>
      <c r="L595">
        <v>2589.89008166394</v>
      </c>
      <c r="M595">
        <v>43.954300489563</v>
      </c>
      <c r="N595">
        <v>59.0865203986595</v>
      </c>
      <c r="O595">
        <v>58.8007619941043</v>
      </c>
      <c r="P595">
        <v>-0.17613566361898</v>
      </c>
      <c r="Q595">
        <v>0.0574850321893437</v>
      </c>
      <c r="R595">
        <v>0.935962158054536</v>
      </c>
      <c r="S595" t="s">
        <v>2279</v>
      </c>
      <c r="T595" t="s">
        <v>3344</v>
      </c>
      <c r="U595" t="s">
        <v>3344</v>
      </c>
      <c r="V595" t="s">
        <v>3344</v>
      </c>
      <c r="W595" t="s">
        <v>3938</v>
      </c>
      <c r="X595">
        <v>9</v>
      </c>
      <c r="Y595" t="s">
        <v>5594</v>
      </c>
      <c r="Z595" t="s">
        <v>7252</v>
      </c>
      <c r="AA595">
        <v>0.749111263393769</v>
      </c>
      <c r="AB595">
        <f>HYPERLINK("Melting_Curves/meltCurve_P0ACB2_hemB.pdf", "Melting_Curves/meltCurve_P0ACB2_hemB.pdf")</f>
        <v>0</v>
      </c>
    </row>
    <row r="596" spans="1:28">
      <c r="A596" t="s">
        <v>622</v>
      </c>
      <c r="B596">
        <v>0.999998419929286</v>
      </c>
      <c r="C596">
        <v>0.9892306429605719</v>
      </c>
      <c r="D596">
        <v>1.00945432739245</v>
      </c>
      <c r="E596">
        <v>1.10945073356671</v>
      </c>
      <c r="F596">
        <v>1.07503114697652</v>
      </c>
      <c r="G596">
        <v>0.920865660698139</v>
      </c>
      <c r="H596">
        <v>0.422753808718068</v>
      </c>
      <c r="I596">
        <v>0.205994127239887</v>
      </c>
      <c r="J596">
        <v>0.197838997960646</v>
      </c>
      <c r="K596">
        <v>0.173358209514115</v>
      </c>
      <c r="L596">
        <v>2733.97852707312</v>
      </c>
      <c r="M596">
        <v>48.5209304527664</v>
      </c>
      <c r="N596">
        <v>56.8881463960288</v>
      </c>
      <c r="O596">
        <v>56.2509105837259</v>
      </c>
      <c r="P596">
        <v>-0.175747426982149</v>
      </c>
      <c r="Q596">
        <v>0.185016179270222</v>
      </c>
      <c r="R596">
        <v>0.987515014037099</v>
      </c>
      <c r="S596" t="s">
        <v>2280</v>
      </c>
      <c r="T596" t="s">
        <v>3344</v>
      </c>
      <c r="U596" t="s">
        <v>3344</v>
      </c>
      <c r="V596" t="s">
        <v>3344</v>
      </c>
      <c r="W596" t="s">
        <v>3939</v>
      </c>
      <c r="X596">
        <v>8</v>
      </c>
      <c r="Y596" t="s">
        <v>5595</v>
      </c>
      <c r="Z596" t="s">
        <v>7253</v>
      </c>
      <c r="AA596">
        <v>0.7127130559115754</v>
      </c>
      <c r="AB596">
        <f>HYPERLINK("Melting_Curves/meltCurve_P0ACB7_hemY.pdf", "Melting_Curves/meltCurve_P0ACB7_hemY.pdf")</f>
        <v>0</v>
      </c>
    </row>
    <row r="597" spans="1:28">
      <c r="A597" t="s">
        <v>623</v>
      </c>
      <c r="B597">
        <v>0.999998419929286</v>
      </c>
      <c r="C597">
        <v>0.920797023057325</v>
      </c>
      <c r="D597">
        <v>0.653895748870572</v>
      </c>
      <c r="E597">
        <v>0.683168561986024</v>
      </c>
      <c r="F597">
        <v>0.669818206943912</v>
      </c>
      <c r="G597">
        <v>0.674751518000532</v>
      </c>
      <c r="H597">
        <v>0.646896628754881</v>
      </c>
      <c r="I597">
        <v>0.960001761228048</v>
      </c>
      <c r="J597">
        <v>0.967613088602263</v>
      </c>
      <c r="K597">
        <v>0.778023262468058</v>
      </c>
      <c r="L597">
        <v>10004.6511618358</v>
      </c>
      <c r="M597">
        <v>250</v>
      </c>
      <c r="O597">
        <v>40.0160481982044</v>
      </c>
      <c r="P597">
        <v>-0.383797472694317</v>
      </c>
      <c r="Q597">
        <v>0.754271097075973</v>
      </c>
      <c r="R597">
        <v>0.356233630090509</v>
      </c>
      <c r="S597" t="s">
        <v>2281</v>
      </c>
      <c r="T597" t="s">
        <v>3344</v>
      </c>
      <c r="U597" t="s">
        <v>3344</v>
      </c>
      <c r="V597" t="s">
        <v>3344</v>
      </c>
      <c r="W597" t="s">
        <v>3940</v>
      </c>
      <c r="X597">
        <v>2</v>
      </c>
      <c r="Y597" t="s">
        <v>5596</v>
      </c>
      <c r="Z597" t="s">
        <v>7254</v>
      </c>
      <c r="AA597">
        <v>0.7790136353952214</v>
      </c>
      <c r="AB597">
        <f>HYPERLINK("Melting_Curves/meltCurve_P0ACC3_erpA.pdf", "Melting_Curves/meltCurve_P0ACC3_erpA.pdf")</f>
        <v>0</v>
      </c>
    </row>
    <row r="598" spans="1:28">
      <c r="A598" t="s">
        <v>624</v>
      </c>
      <c r="B598">
        <v>0.999998419929286</v>
      </c>
      <c r="C598">
        <v>1.39482252277602</v>
      </c>
      <c r="D598">
        <v>1.385033510777</v>
      </c>
      <c r="E598">
        <v>1.77163523760962</v>
      </c>
      <c r="F598">
        <v>1.93550782531846</v>
      </c>
      <c r="G598">
        <v>2.19124105678501</v>
      </c>
      <c r="H598">
        <v>1.90218076996541</v>
      </c>
      <c r="I598">
        <v>0.134269525977587</v>
      </c>
      <c r="J598">
        <v>0.06518465811681499</v>
      </c>
      <c r="K598">
        <v>0.0599307017119151</v>
      </c>
      <c r="L598">
        <v>15000</v>
      </c>
      <c r="M598">
        <v>248.391903790297</v>
      </c>
      <c r="N598">
        <v>60.4209479442819</v>
      </c>
      <c r="O598">
        <v>60.3845293047616</v>
      </c>
      <c r="P598">
        <v>-0.964056619996049</v>
      </c>
      <c r="Q598">
        <v>0.0625442764567921</v>
      </c>
      <c r="R598">
        <v>0.351113696378358</v>
      </c>
      <c r="S598" t="s">
        <v>2282</v>
      </c>
      <c r="T598" t="s">
        <v>3344</v>
      </c>
      <c r="U598" t="s">
        <v>3344</v>
      </c>
      <c r="V598" t="s">
        <v>3344</v>
      </c>
      <c r="W598" t="s">
        <v>3941</v>
      </c>
      <c r="X598">
        <v>13</v>
      </c>
      <c r="Y598" t="s">
        <v>5597</v>
      </c>
      <c r="Z598" t="s">
        <v>7255</v>
      </c>
      <c r="AA598">
        <v>0.7934992040611087</v>
      </c>
      <c r="AB598">
        <f>HYPERLINK("Melting_Curves/meltCurve_P0ACC7_glmU.pdf", "Melting_Curves/meltCurve_P0ACC7_glmU.pdf")</f>
        <v>0</v>
      </c>
    </row>
    <row r="599" spans="1:28">
      <c r="A599" t="s">
        <v>625</v>
      </c>
      <c r="B599">
        <v>0.999998419929286</v>
      </c>
      <c r="C599">
        <v>1.07219091323121</v>
      </c>
      <c r="D599">
        <v>0.8812238254286801</v>
      </c>
      <c r="E599">
        <v>1.1613321182038</v>
      </c>
      <c r="F599">
        <v>1.3606729220413</v>
      </c>
      <c r="G599">
        <v>1.55759169617464</v>
      </c>
      <c r="H599">
        <v>1.50477883895832</v>
      </c>
      <c r="I599">
        <v>1.33758349160669</v>
      </c>
      <c r="J599">
        <v>1.41033894920285</v>
      </c>
      <c r="K599">
        <v>1.41916824980231</v>
      </c>
      <c r="L599">
        <v>2019.29210651574</v>
      </c>
      <c r="M599">
        <v>42.6049107774507</v>
      </c>
      <c r="O599">
        <v>47.2916986606921</v>
      </c>
      <c r="P599">
        <v>0.0990056716536161</v>
      </c>
      <c r="Q599">
        <v>1.43958677358908</v>
      </c>
      <c r="R599">
        <v>0.886103297230583</v>
      </c>
      <c r="S599" t="s">
        <v>2283</v>
      </c>
      <c r="T599" t="s">
        <v>3344</v>
      </c>
      <c r="U599" t="s">
        <v>3344</v>
      </c>
      <c r="V599" t="s">
        <v>3344</v>
      </c>
      <c r="W599" t="s">
        <v>3942</v>
      </c>
      <c r="X599">
        <v>4</v>
      </c>
      <c r="Y599" t="s">
        <v>5598</v>
      </c>
      <c r="Z599" t="s">
        <v>7256</v>
      </c>
      <c r="AA599">
        <v>1.285990450206292</v>
      </c>
      <c r="AB599">
        <f>HYPERLINK("Melting_Curves/meltCurve_P0ACD4_iscU.pdf", "Melting_Curves/meltCurve_P0ACD4_iscU.pdf")</f>
        <v>0</v>
      </c>
    </row>
    <row r="600" spans="1:28">
      <c r="A600" t="s">
        <v>626</v>
      </c>
      <c r="B600">
        <v>0.999998419929286</v>
      </c>
      <c r="C600">
        <v>1.20139411220802</v>
      </c>
      <c r="D600">
        <v>1.09965306224812</v>
      </c>
      <c r="E600">
        <v>1.13693585900388</v>
      </c>
      <c r="F600">
        <v>1.09013217308748</v>
      </c>
      <c r="G600">
        <v>1.1127280211708</v>
      </c>
      <c r="H600">
        <v>0.808802157037377</v>
      </c>
      <c r="I600">
        <v>0.7023917545384269</v>
      </c>
      <c r="J600">
        <v>0.725004241397001</v>
      </c>
      <c r="K600">
        <v>0.696040077806619</v>
      </c>
      <c r="L600">
        <v>14313.3624502518</v>
      </c>
      <c r="M600">
        <v>250</v>
      </c>
      <c r="O600">
        <v>57.2497859708049</v>
      </c>
      <c r="P600">
        <v>-0.318983729380202</v>
      </c>
      <c r="Q600">
        <v>0.707811996634792</v>
      </c>
      <c r="R600">
        <v>0.751946536172553</v>
      </c>
      <c r="S600" t="s">
        <v>2284</v>
      </c>
      <c r="T600" t="s">
        <v>3344</v>
      </c>
      <c r="U600" t="s">
        <v>3344</v>
      </c>
      <c r="V600" t="s">
        <v>3344</v>
      </c>
      <c r="W600" t="s">
        <v>3943</v>
      </c>
      <c r="X600">
        <v>15</v>
      </c>
      <c r="Y600" t="s">
        <v>5599</v>
      </c>
      <c r="Z600" t="s">
        <v>7257</v>
      </c>
      <c r="AA600">
        <v>0.9051018573216542</v>
      </c>
      <c r="AB600">
        <f>HYPERLINK("Melting_Curves/meltCurve_P0ACD8_hyaB.pdf", "Melting_Curves/meltCurve_P0ACD8_hyaB.pdf")</f>
        <v>0</v>
      </c>
    </row>
    <row r="601" spans="1:28">
      <c r="A601" t="s">
        <v>627</v>
      </c>
      <c r="B601">
        <v>0.999998419929286</v>
      </c>
      <c r="C601">
        <v>1.30542122523993</v>
      </c>
      <c r="D601">
        <v>1.27409776884386</v>
      </c>
      <c r="E601">
        <v>1.22261412913453</v>
      </c>
      <c r="F601">
        <v>1.13362107985583</v>
      </c>
      <c r="G601">
        <v>0.988542456986504</v>
      </c>
      <c r="H601">
        <v>0.70091417607255</v>
      </c>
      <c r="I601">
        <v>0.499674358056619</v>
      </c>
      <c r="J601">
        <v>0.48965851287108</v>
      </c>
      <c r="K601">
        <v>0.453749744887498</v>
      </c>
      <c r="L601">
        <v>3192.71667965732</v>
      </c>
      <c r="M601">
        <v>55.8887460580496</v>
      </c>
      <c r="N601">
        <v>60.3750876185048</v>
      </c>
      <c r="O601">
        <v>57.0532861986998</v>
      </c>
      <c r="P601">
        <v>-0.128500136965698</v>
      </c>
      <c r="Q601">
        <v>0.47528960328137</v>
      </c>
      <c r="R601">
        <v>0.774137748955194</v>
      </c>
      <c r="S601" t="s">
        <v>2285</v>
      </c>
      <c r="T601" t="s">
        <v>3344</v>
      </c>
      <c r="U601" t="s">
        <v>3344</v>
      </c>
      <c r="V601" t="s">
        <v>3344</v>
      </c>
      <c r="W601" t="s">
        <v>3944</v>
      </c>
      <c r="X601">
        <v>12</v>
      </c>
      <c r="Y601" t="s">
        <v>5600</v>
      </c>
      <c r="Z601" t="s">
        <v>7258</v>
      </c>
      <c r="AA601">
        <v>0.8283556365165289</v>
      </c>
      <c r="AB601">
        <f>HYPERLINK("Melting_Curves/meltCurve_P0ACE0_hybC.pdf", "Melting_Curves/meltCurve_P0ACE0_hybC.pdf")</f>
        <v>0</v>
      </c>
    </row>
    <row r="602" spans="1:28">
      <c r="A602" t="s">
        <v>628</v>
      </c>
      <c r="B602">
        <v>0.999998419929286</v>
      </c>
      <c r="C602">
        <v>0.92778276155882</v>
      </c>
      <c r="D602">
        <v>0.780988339118085</v>
      </c>
      <c r="E602">
        <v>0.826679076156452</v>
      </c>
      <c r="F602">
        <v>0.845682211249682</v>
      </c>
      <c r="G602">
        <v>0.82855236980817</v>
      </c>
      <c r="H602">
        <v>0.834118100343987</v>
      </c>
      <c r="I602">
        <v>0.988443627404773</v>
      </c>
      <c r="J602">
        <v>1.08266881460439</v>
      </c>
      <c r="K602">
        <v>0.79176915804524</v>
      </c>
      <c r="L602">
        <v>9964.436973392751</v>
      </c>
      <c r="M602">
        <v>250</v>
      </c>
      <c r="O602">
        <v>39.8551972896397</v>
      </c>
      <c r="P602">
        <v>-0.200157845789041</v>
      </c>
      <c r="Q602">
        <v>0.872362713310016</v>
      </c>
      <c r="R602">
        <v>0.169002351694895</v>
      </c>
      <c r="S602" t="s">
        <v>2286</v>
      </c>
      <c r="T602" t="s">
        <v>3344</v>
      </c>
      <c r="U602" t="s">
        <v>3344</v>
      </c>
      <c r="V602" t="s">
        <v>3344</v>
      </c>
      <c r="W602" t="s">
        <v>3945</v>
      </c>
      <c r="X602">
        <v>3</v>
      </c>
      <c r="Y602" t="s">
        <v>5601</v>
      </c>
      <c r="Z602" t="s">
        <v>7259</v>
      </c>
      <c r="AA602">
        <v>0.8845301477451047</v>
      </c>
      <c r="AB602">
        <f>HYPERLINK("Melting_Curves/meltCurve_P0ACE7_hinT.pdf", "Melting_Curves/meltCurve_P0ACE7_hinT.pdf")</f>
        <v>0</v>
      </c>
    </row>
    <row r="603" spans="1:28">
      <c r="A603" t="s">
        <v>629</v>
      </c>
      <c r="B603">
        <v>0.999998419929286</v>
      </c>
      <c r="C603">
        <v>1.16779720651086</v>
      </c>
      <c r="D603">
        <v>1.1175356161454</v>
      </c>
      <c r="E603">
        <v>1.08984851503386</v>
      </c>
      <c r="F603">
        <v>1.1688078326631</v>
      </c>
      <c r="G603">
        <v>1.13502492435566</v>
      </c>
      <c r="H603">
        <v>1.10520036705241</v>
      </c>
      <c r="I603">
        <v>0.782229600428909</v>
      </c>
      <c r="J603">
        <v>0.884215620429079</v>
      </c>
      <c r="K603">
        <v>0.824628079757637</v>
      </c>
      <c r="L603">
        <v>2961.68980189964</v>
      </c>
      <c r="M603">
        <v>49.6234832118106</v>
      </c>
      <c r="O603">
        <v>59.5865466250934</v>
      </c>
      <c r="P603">
        <v>-0.036255595076902</v>
      </c>
      <c r="Q603">
        <v>0.825861176717719</v>
      </c>
      <c r="R603">
        <v>0.356141648371332</v>
      </c>
      <c r="S603" t="s">
        <v>2287</v>
      </c>
      <c r="T603" t="s">
        <v>3344</v>
      </c>
      <c r="U603" t="s">
        <v>3344</v>
      </c>
      <c r="V603" t="s">
        <v>3344</v>
      </c>
      <c r="W603" t="s">
        <v>3946</v>
      </c>
      <c r="X603">
        <v>6</v>
      </c>
      <c r="Y603" t="s">
        <v>5602</v>
      </c>
      <c r="Z603" t="s">
        <v>7260</v>
      </c>
      <c r="AA603">
        <v>0.9579535608244952</v>
      </c>
      <c r="AB603">
        <f>HYPERLINK("Melting_Curves/meltCurve_P0ACF0_hupA.pdf", "Melting_Curves/meltCurve_P0ACF0_hupA.pdf")</f>
        <v>0</v>
      </c>
    </row>
    <row r="604" spans="1:28">
      <c r="A604" t="s">
        <v>630</v>
      </c>
      <c r="B604">
        <v>0.999998419929286</v>
      </c>
      <c r="C604">
        <v>1.23967806660671</v>
      </c>
      <c r="D604">
        <v>1.20223490975823</v>
      </c>
      <c r="E604">
        <v>1.28089171885393</v>
      </c>
      <c r="F604">
        <v>1.3025389353465</v>
      </c>
      <c r="G604">
        <v>1.47053170330716</v>
      </c>
      <c r="H604">
        <v>1.29284122438653</v>
      </c>
      <c r="I604">
        <v>1.15389438845607</v>
      </c>
      <c r="J604">
        <v>1.26105054756072</v>
      </c>
      <c r="K604">
        <v>1.48607952213748</v>
      </c>
      <c r="L604">
        <v>769.906802469336</v>
      </c>
      <c r="M604">
        <v>19.3320061323752</v>
      </c>
      <c r="O604">
        <v>39.4066952048229</v>
      </c>
      <c r="P604">
        <v>0.0395487751061038</v>
      </c>
      <c r="Q604">
        <v>1.32245563913389</v>
      </c>
      <c r="R604">
        <v>0.470505593629409</v>
      </c>
      <c r="S604" t="s">
        <v>2288</v>
      </c>
      <c r="T604" t="s">
        <v>3344</v>
      </c>
      <c r="U604" t="s">
        <v>3344</v>
      </c>
      <c r="V604" t="s">
        <v>3344</v>
      </c>
      <c r="W604" t="s">
        <v>3947</v>
      </c>
      <c r="X604">
        <v>3</v>
      </c>
      <c r="Y604" t="s">
        <v>5603</v>
      </c>
      <c r="Z604" t="s">
        <v>7261</v>
      </c>
      <c r="AA604">
        <v>1.284610254808021</v>
      </c>
      <c r="AB604">
        <f>HYPERLINK("Melting_Curves/meltCurve_P0ACF4_hupB.pdf", "Melting_Curves/meltCurve_P0ACF4_hupB.pdf")</f>
        <v>0</v>
      </c>
    </row>
    <row r="605" spans="1:28">
      <c r="A605" t="s">
        <v>631</v>
      </c>
      <c r="B605">
        <v>0.999998419929286</v>
      </c>
      <c r="C605">
        <v>1.01721657875174</v>
      </c>
      <c r="D605">
        <v>0.99639961281487</v>
      </c>
      <c r="E605">
        <v>0.760980605490746</v>
      </c>
      <c r="F605">
        <v>0.703784043350174</v>
      </c>
      <c r="G605">
        <v>0.6966599616761751</v>
      </c>
      <c r="H605">
        <v>0.711359395273685</v>
      </c>
      <c r="I605">
        <v>0.851360208186791</v>
      </c>
      <c r="J605">
        <v>0.906950192240028</v>
      </c>
      <c r="K605">
        <v>0.819608364101986</v>
      </c>
      <c r="L605">
        <v>10926.3925472844</v>
      </c>
      <c r="M605">
        <v>250</v>
      </c>
      <c r="O605">
        <v>43.7027733344597</v>
      </c>
      <c r="P605">
        <v>-0.316524793391596</v>
      </c>
      <c r="Q605">
        <v>0.778671819514528</v>
      </c>
      <c r="R605">
        <v>0.7236714454895951</v>
      </c>
      <c r="S605" t="s">
        <v>2289</v>
      </c>
      <c r="T605" t="s">
        <v>3344</v>
      </c>
      <c r="U605" t="s">
        <v>3344</v>
      </c>
      <c r="V605" t="s">
        <v>3344</v>
      </c>
      <c r="W605" t="s">
        <v>3948</v>
      </c>
      <c r="X605">
        <v>6</v>
      </c>
      <c r="Y605" t="s">
        <v>5604</v>
      </c>
      <c r="Z605" t="s">
        <v>7262</v>
      </c>
      <c r="AA605">
        <v>0.8281598509297374</v>
      </c>
      <c r="AB605">
        <f>HYPERLINK("Melting_Curves/meltCurve_P0ACF8_hns.pdf", "Melting_Curves/meltCurve_P0ACF8_hns.pdf")</f>
        <v>0</v>
      </c>
    </row>
    <row r="606" spans="1:28">
      <c r="A606" t="s">
        <v>632</v>
      </c>
      <c r="B606">
        <v>0.999998419929286</v>
      </c>
      <c r="C606">
        <v>1.49824317350841</v>
      </c>
      <c r="D606">
        <v>1.0581538207334</v>
      </c>
      <c r="E606">
        <v>1.04871039372538</v>
      </c>
      <c r="F606">
        <v>0.765523371736673</v>
      </c>
      <c r="G606">
        <v>0.83791686865228</v>
      </c>
      <c r="H606">
        <v>0.840681526933852</v>
      </c>
      <c r="I606">
        <v>0.785285887242519</v>
      </c>
      <c r="J606">
        <v>0.539510198196928</v>
      </c>
      <c r="K606">
        <v>0.752976223256569</v>
      </c>
      <c r="L606">
        <v>828.3873349223539</v>
      </c>
      <c r="M606">
        <v>15.6395221540097</v>
      </c>
      <c r="O606">
        <v>52.1242451713812</v>
      </c>
      <c r="P606">
        <v>-0.0236180064480444</v>
      </c>
      <c r="Q606">
        <v>0.685165541284117</v>
      </c>
      <c r="R606">
        <v>0.465148665202853</v>
      </c>
      <c r="S606" t="s">
        <v>2290</v>
      </c>
      <c r="T606" t="s">
        <v>3344</v>
      </c>
      <c r="U606" t="s">
        <v>3344</v>
      </c>
      <c r="V606" t="s">
        <v>3344</v>
      </c>
      <c r="W606" t="s">
        <v>3949</v>
      </c>
      <c r="X606">
        <v>6</v>
      </c>
      <c r="Y606" t="s">
        <v>5605</v>
      </c>
      <c r="Z606" t="s">
        <v>7263</v>
      </c>
      <c r="AA606">
        <v>0.8581390779097108</v>
      </c>
      <c r="AB606">
        <f>HYPERLINK("Melting_Curves/meltCurve_P0ACG1_stpA.pdf", "Melting_Curves/meltCurve_P0ACG1_stpA.pdf")</f>
        <v>0</v>
      </c>
    </row>
    <row r="607" spans="1:28">
      <c r="A607" t="s">
        <v>633</v>
      </c>
      <c r="B607">
        <v>0.999998419929286</v>
      </c>
      <c r="C607">
        <v>1.1409364240846</v>
      </c>
      <c r="D607">
        <v>1.06637976720042</v>
      </c>
      <c r="E607">
        <v>0.5889022167001911</v>
      </c>
      <c r="F607">
        <v>0.136268774418359</v>
      </c>
      <c r="G607">
        <v>0.07839711335377469</v>
      </c>
      <c r="H607">
        <v>0.0450190508792123</v>
      </c>
      <c r="I607">
        <v>0.0361166296549183</v>
      </c>
      <c r="J607">
        <v>0.0284355168149666</v>
      </c>
      <c r="K607">
        <v>0.0337230289011543</v>
      </c>
      <c r="L607">
        <v>2020.93435414785</v>
      </c>
      <c r="M607">
        <v>43.0329102100295</v>
      </c>
      <c r="N607">
        <v>47.0743103330416</v>
      </c>
      <c r="O607">
        <v>46.8614609058165</v>
      </c>
      <c r="P607">
        <v>-0.218425692385837</v>
      </c>
      <c r="Q607">
        <v>0.0485672823791549</v>
      </c>
      <c r="R607">
        <v>0.985765479766099</v>
      </c>
      <c r="S607" t="s">
        <v>2291</v>
      </c>
      <c r="T607" t="s">
        <v>3344</v>
      </c>
      <c r="U607" t="s">
        <v>3344</v>
      </c>
      <c r="V607" t="s">
        <v>3344</v>
      </c>
      <c r="W607" t="s">
        <v>3950</v>
      </c>
      <c r="X607">
        <v>8</v>
      </c>
      <c r="Y607" t="s">
        <v>5606</v>
      </c>
      <c r="Z607" t="s">
        <v>7264</v>
      </c>
      <c r="AA607">
        <v>0.3671892520095936</v>
      </c>
      <c r="AB607">
        <f>HYPERLINK("Melting_Curves/meltCurve_P0ACI0_rob.pdf", "Melting_Curves/meltCurve_P0ACI0_rob.pdf")</f>
        <v>0</v>
      </c>
    </row>
    <row r="608" spans="1:28">
      <c r="A608" t="s">
        <v>634</v>
      </c>
      <c r="B608">
        <v>0.999998419929286</v>
      </c>
      <c r="C608">
        <v>1.04257665357884</v>
      </c>
      <c r="D608">
        <v>0.860274648137885</v>
      </c>
      <c r="E608">
        <v>0.718006026451565</v>
      </c>
      <c r="F608">
        <v>0.562383980619748</v>
      </c>
      <c r="G608">
        <v>0.157078308509403</v>
      </c>
      <c r="H608">
        <v>0.104199910062532</v>
      </c>
      <c r="I608">
        <v>0.0754857476921626</v>
      </c>
      <c r="J608">
        <v>0.0778162297256713</v>
      </c>
      <c r="K608">
        <v>0.0655557070121415</v>
      </c>
      <c r="L608">
        <v>820.679413097273</v>
      </c>
      <c r="M608">
        <v>16.5658645116554</v>
      </c>
      <c r="N608">
        <v>49.7512149089108</v>
      </c>
      <c r="O608">
        <v>48.8353721030561</v>
      </c>
      <c r="P608">
        <v>-0.08193597012426269</v>
      </c>
      <c r="Q608">
        <v>0.0338930054079634</v>
      </c>
      <c r="R608">
        <v>0.982644744336065</v>
      </c>
      <c r="S608" t="s">
        <v>2292</v>
      </c>
      <c r="T608" t="s">
        <v>3344</v>
      </c>
      <c r="U608" t="s">
        <v>3344</v>
      </c>
      <c r="V608" t="s">
        <v>3344</v>
      </c>
      <c r="W608" t="s">
        <v>3951</v>
      </c>
      <c r="X608">
        <v>10</v>
      </c>
      <c r="Y608" t="s">
        <v>5607</v>
      </c>
      <c r="Z608" t="s">
        <v>7265</v>
      </c>
      <c r="AA608">
        <v>0.455282926303937</v>
      </c>
      <c r="AB608">
        <f>HYPERLINK("Melting_Curves/meltCurve_P0ACJ0_lrp.pdf", "Melting_Curves/meltCurve_P0ACJ0_lrp.pdf")</f>
        <v>0</v>
      </c>
    </row>
    <row r="609" spans="1:28">
      <c r="A609" t="s">
        <v>635</v>
      </c>
      <c r="B609">
        <v>0.999998419929286</v>
      </c>
      <c r="C609">
        <v>0.767264904177225</v>
      </c>
      <c r="D609">
        <v>0.759635046172473</v>
      </c>
      <c r="E609">
        <v>0.274230842800889</v>
      </c>
      <c r="F609">
        <v>0.0518985867334039</v>
      </c>
      <c r="G609">
        <v>0.0373784120822079</v>
      </c>
      <c r="H609">
        <v>0.0182656351360998</v>
      </c>
      <c r="I609">
        <v>0.013342209578043</v>
      </c>
      <c r="J609">
        <v>0.0104076686665699</v>
      </c>
      <c r="K609">
        <v>0.0109768973147648</v>
      </c>
      <c r="L609">
        <v>877.832278035536</v>
      </c>
      <c r="M609">
        <v>19.7048693155157</v>
      </c>
      <c r="N609">
        <v>44.5490041499517</v>
      </c>
      <c r="O609">
        <v>44.097772158897</v>
      </c>
      <c r="P609">
        <v>-0.111715049682832</v>
      </c>
      <c r="Q609">
        <v>0</v>
      </c>
      <c r="R609">
        <v>0.977431530809112</v>
      </c>
      <c r="S609" t="s">
        <v>2293</v>
      </c>
      <c r="T609" t="s">
        <v>3344</v>
      </c>
      <c r="U609" t="s">
        <v>3344</v>
      </c>
      <c r="V609" t="s">
        <v>3344</v>
      </c>
      <c r="W609" t="s">
        <v>3952</v>
      </c>
      <c r="X609">
        <v>11</v>
      </c>
      <c r="Y609" t="s">
        <v>5608</v>
      </c>
      <c r="Z609" t="s">
        <v>7266</v>
      </c>
      <c r="AA609">
        <v>0.2652824284848419</v>
      </c>
      <c r="AB609">
        <f>HYPERLINK("Melting_Curves/meltCurve_P0ACJ8_crp.pdf", "Melting_Curves/meltCurve_P0ACJ8_crp.pdf")</f>
        <v>0</v>
      </c>
    </row>
    <row r="610" spans="1:28">
      <c r="A610" t="s">
        <v>636</v>
      </c>
      <c r="B610">
        <v>0.999998419929286</v>
      </c>
      <c r="C610">
        <v>0.988107762136779</v>
      </c>
      <c r="D610">
        <v>1.02446652348727</v>
      </c>
      <c r="E610">
        <v>1.07100841720294</v>
      </c>
      <c r="F610">
        <v>1.32767711157305</v>
      </c>
      <c r="G610">
        <v>1.24356941831608</v>
      </c>
      <c r="H610">
        <v>0.959396124428292</v>
      </c>
      <c r="I610">
        <v>0.5355013371792789</v>
      </c>
      <c r="J610">
        <v>0.294895133947371</v>
      </c>
      <c r="K610">
        <v>0.254528667953615</v>
      </c>
      <c r="L610">
        <v>3442.56649273281</v>
      </c>
      <c r="M610">
        <v>56.9489674421793</v>
      </c>
      <c r="N610">
        <v>61.2344352833428</v>
      </c>
      <c r="O610">
        <v>60.3756342724703</v>
      </c>
      <c r="P610">
        <v>-0.17475375065169</v>
      </c>
      <c r="Q610">
        <v>0.258925216039556</v>
      </c>
      <c r="R610">
        <v>0.864192317433654</v>
      </c>
      <c r="S610" t="s">
        <v>2294</v>
      </c>
      <c r="T610" t="s">
        <v>3344</v>
      </c>
      <c r="U610" t="s">
        <v>3344</v>
      </c>
      <c r="V610" t="s">
        <v>3344</v>
      </c>
      <c r="W610" t="s">
        <v>3953</v>
      </c>
      <c r="X610">
        <v>2</v>
      </c>
      <c r="Y610" t="s">
        <v>5609</v>
      </c>
      <c r="Z610" t="s">
        <v>7267</v>
      </c>
      <c r="AA610">
        <v>0.8395926441838798</v>
      </c>
      <c r="AB610">
        <f>HYPERLINK("Melting_Curves/meltCurve_P0ACK2_agaR.pdf", "Melting_Curves/meltCurve_P0ACK2_agaR.pdf")</f>
        <v>0</v>
      </c>
    </row>
    <row r="611" spans="1:28">
      <c r="A611" t="s">
        <v>637</v>
      </c>
      <c r="B611">
        <v>0.999998419929286</v>
      </c>
      <c r="C611">
        <v>0.7776100315667021</v>
      </c>
      <c r="D611">
        <v>0.7110420529168771</v>
      </c>
      <c r="E611">
        <v>0.477768015714876</v>
      </c>
      <c r="F611">
        <v>0.27971806083456</v>
      </c>
      <c r="G611">
        <v>0.0864451086630818</v>
      </c>
      <c r="H611">
        <v>0.0435546814087529</v>
      </c>
      <c r="I611">
        <v>0.0427629764611982</v>
      </c>
      <c r="J611">
        <v>0.0390489786571961</v>
      </c>
      <c r="K611">
        <v>0.0424764410339324</v>
      </c>
      <c r="L611">
        <v>565.359803153748</v>
      </c>
      <c r="M611">
        <v>12.3350622393936</v>
      </c>
      <c r="N611">
        <v>45.8335445768015</v>
      </c>
      <c r="O611">
        <v>44.6788969645997</v>
      </c>
      <c r="P611">
        <v>-0.06903558191629521</v>
      </c>
      <c r="Q611">
        <v>0</v>
      </c>
      <c r="R611">
        <v>0.986837005834404</v>
      </c>
      <c r="S611" t="s">
        <v>2295</v>
      </c>
      <c r="T611" t="s">
        <v>3344</v>
      </c>
      <c r="U611" t="s">
        <v>3344</v>
      </c>
      <c r="V611" t="s">
        <v>3344</v>
      </c>
      <c r="W611" t="s">
        <v>3954</v>
      </c>
      <c r="X611">
        <v>2</v>
      </c>
      <c r="Y611" t="s">
        <v>5610</v>
      </c>
      <c r="Z611" t="s">
        <v>7268</v>
      </c>
      <c r="AA611">
        <v>0.3276176853849292</v>
      </c>
      <c r="AB611">
        <f>HYPERLINK("Melting_Curves/meltCurve_P0ACL2_exuR.pdf", "Melting_Curves/meltCurve_P0ACL2_exuR.pdf")</f>
        <v>0</v>
      </c>
    </row>
    <row r="612" spans="1:28">
      <c r="A612" t="s">
        <v>638</v>
      </c>
      <c r="B612">
        <v>0.999998419929286</v>
      </c>
      <c r="C612">
        <v>0.785700205738045</v>
      </c>
      <c r="D612">
        <v>0.8245144690892</v>
      </c>
      <c r="E612">
        <v>0.5659442692387739</v>
      </c>
      <c r="F612">
        <v>0.360982705301405</v>
      </c>
      <c r="G612">
        <v>0.305586776723372</v>
      </c>
      <c r="H612">
        <v>0.233382798305033</v>
      </c>
      <c r="I612">
        <v>0.141686051074647</v>
      </c>
      <c r="J612">
        <v>0.143741599313061</v>
      </c>
      <c r="K612">
        <v>0.117047350944949</v>
      </c>
      <c r="L612">
        <v>487.925169125145</v>
      </c>
      <c r="M612">
        <v>10.3378357027876</v>
      </c>
      <c r="N612">
        <v>48.0249223800182</v>
      </c>
      <c r="O612">
        <v>45.534300975852</v>
      </c>
      <c r="P612">
        <v>-0.052153309890582</v>
      </c>
      <c r="Q612">
        <v>0.0815300927898843</v>
      </c>
      <c r="R612">
        <v>0.979162555760963</v>
      </c>
      <c r="S612" t="s">
        <v>2296</v>
      </c>
      <c r="T612" t="s">
        <v>3344</v>
      </c>
      <c r="U612" t="s">
        <v>3344</v>
      </c>
      <c r="V612" t="s">
        <v>3344</v>
      </c>
      <c r="W612" t="s">
        <v>3955</v>
      </c>
      <c r="X612">
        <v>1</v>
      </c>
      <c r="Y612" t="s">
        <v>5611</v>
      </c>
      <c r="Z612" t="s">
        <v>7269</v>
      </c>
      <c r="AA612">
        <v>0.4310724077377815</v>
      </c>
      <c r="AB612">
        <f>HYPERLINK("Melting_Curves/meltCurve_P0ACM5_yegW.pdf", "Melting_Curves/meltCurve_P0ACM5_yegW.pdf")</f>
        <v>0</v>
      </c>
    </row>
    <row r="613" spans="1:28">
      <c r="A613" t="s">
        <v>639</v>
      </c>
      <c r="B613">
        <v>0.999998419929286</v>
      </c>
      <c r="C613">
        <v>1.00200210403387</v>
      </c>
      <c r="D613">
        <v>0.9611850355242501</v>
      </c>
      <c r="E613">
        <v>0.9473341869046989</v>
      </c>
      <c r="F613">
        <v>0.84872899358622</v>
      </c>
      <c r="G613">
        <v>0.6807004158575301</v>
      </c>
      <c r="H613">
        <v>0.318095702322264</v>
      </c>
      <c r="I613">
        <v>0.179686577521522</v>
      </c>
      <c r="J613">
        <v>0.07806429895889951</v>
      </c>
      <c r="K613">
        <v>0.0785218913107768</v>
      </c>
      <c r="L613">
        <v>1044.48318871038</v>
      </c>
      <c r="M613">
        <v>18.8944962700339</v>
      </c>
      <c r="N613">
        <v>55.4457804243534</v>
      </c>
      <c r="O613">
        <v>54.6717037735095</v>
      </c>
      <c r="P613">
        <v>-0.0840270934343092</v>
      </c>
      <c r="Q613">
        <v>0.0275015300871651</v>
      </c>
      <c r="R613">
        <v>0.995771516300793</v>
      </c>
      <c r="S613" t="s">
        <v>2297</v>
      </c>
      <c r="T613" t="s">
        <v>3344</v>
      </c>
      <c r="U613" t="s">
        <v>3344</v>
      </c>
      <c r="V613" t="s">
        <v>3344</v>
      </c>
      <c r="W613" t="s">
        <v>3956</v>
      </c>
      <c r="X613">
        <v>6</v>
      </c>
      <c r="Y613" t="s">
        <v>5612</v>
      </c>
      <c r="Z613" t="s">
        <v>7270</v>
      </c>
      <c r="AA613">
        <v>0.631447366395151</v>
      </c>
      <c r="AB613">
        <f>HYPERLINK("Melting_Curves/meltCurve_P0ACN4_allR.pdf", "Melting_Curves/meltCurve_P0ACN4_allR.pdf")</f>
        <v>0</v>
      </c>
    </row>
    <row r="614" spans="1:28">
      <c r="A614" t="s">
        <v>640</v>
      </c>
      <c r="B614">
        <v>0.999998419929286</v>
      </c>
      <c r="C614">
        <v>1.15449597557789</v>
      </c>
      <c r="D614">
        <v>1.10824710299118</v>
      </c>
      <c r="E614">
        <v>0.949347512465113</v>
      </c>
      <c r="F614">
        <v>0.982898112025848</v>
      </c>
      <c r="G614">
        <v>1.0588607130924</v>
      </c>
      <c r="H614">
        <v>0.44676569812077</v>
      </c>
      <c r="I614">
        <v>0.223950646255595</v>
      </c>
      <c r="J614">
        <v>0.151120860636297</v>
      </c>
      <c r="K614">
        <v>0.180230846697129</v>
      </c>
      <c r="L614">
        <v>14307.0236881428</v>
      </c>
      <c r="M614">
        <v>250</v>
      </c>
      <c r="N614">
        <v>57.3341055044313</v>
      </c>
      <c r="O614">
        <v>57.2244325466107</v>
      </c>
      <c r="P614">
        <v>-0.8900255197761821</v>
      </c>
      <c r="Q614">
        <v>0.185100715994328</v>
      </c>
      <c r="R614">
        <v>0.971948983760697</v>
      </c>
      <c r="S614" t="s">
        <v>2298</v>
      </c>
      <c r="T614" t="s">
        <v>3344</v>
      </c>
      <c r="U614" t="s">
        <v>3344</v>
      </c>
      <c r="V614" t="s">
        <v>3344</v>
      </c>
      <c r="W614" t="s">
        <v>3957</v>
      </c>
      <c r="X614">
        <v>1</v>
      </c>
      <c r="Y614" t="s">
        <v>5613</v>
      </c>
      <c r="Z614" t="s">
        <v>7271</v>
      </c>
      <c r="AA614">
        <v>0.7346445576166849</v>
      </c>
      <c r="AB614">
        <f>HYPERLINK("Melting_Curves/meltCurve_P0ACN7_cytR.pdf", "Melting_Curves/meltCurve_P0ACN7_cytR.pdf")</f>
        <v>0</v>
      </c>
    </row>
    <row r="615" spans="1:28">
      <c r="A615" t="s">
        <v>641</v>
      </c>
      <c r="B615">
        <v>0.999998419929286</v>
      </c>
      <c r="C615">
        <v>1.16992457476595</v>
      </c>
      <c r="D615">
        <v>1.04703468169742</v>
      </c>
      <c r="E615">
        <v>1.13399664153915</v>
      </c>
      <c r="F615">
        <v>0.947086176742978</v>
      </c>
      <c r="G615">
        <v>0.822359535509575</v>
      </c>
      <c r="H615">
        <v>0.312395927322691</v>
      </c>
      <c r="I615">
        <v>0.0872447998094299</v>
      </c>
      <c r="J615">
        <v>0.0629292154056304</v>
      </c>
      <c r="K615">
        <v>0.039619549060662</v>
      </c>
      <c r="L615">
        <v>2027.75790928027</v>
      </c>
      <c r="M615">
        <v>36.2558256103069</v>
      </c>
      <c r="N615">
        <v>56.0720406776453</v>
      </c>
      <c r="O615">
        <v>55.7598401084797</v>
      </c>
      <c r="P615">
        <v>-0.155381753936658</v>
      </c>
      <c r="Q615">
        <v>0.0441223898875503</v>
      </c>
      <c r="R615">
        <v>0.975186181142173</v>
      </c>
      <c r="S615" t="s">
        <v>2299</v>
      </c>
      <c r="T615" t="s">
        <v>3344</v>
      </c>
      <c r="U615" t="s">
        <v>3344</v>
      </c>
      <c r="V615" t="s">
        <v>3344</v>
      </c>
      <c r="W615" t="s">
        <v>3958</v>
      </c>
      <c r="X615">
        <v>2</v>
      </c>
      <c r="Y615" t="s">
        <v>5614</v>
      </c>
      <c r="Z615" t="s">
        <v>7272</v>
      </c>
      <c r="AA615">
        <v>0.6515733189822088</v>
      </c>
      <c r="AB615">
        <f>HYPERLINK("Melting_Curves/meltCurve_P0ACP5_gntR.pdf", "Melting_Curves/meltCurve_P0ACP5_gntR.pdf")</f>
        <v>0</v>
      </c>
    </row>
    <row r="616" spans="1:28">
      <c r="A616" t="s">
        <v>642</v>
      </c>
      <c r="B616">
        <v>0.999998419929286</v>
      </c>
      <c r="C616">
        <v>0.9100295129435</v>
      </c>
      <c r="D616">
        <v>0.704092429328393</v>
      </c>
      <c r="E616">
        <v>0.804403608247839</v>
      </c>
      <c r="F616">
        <v>0.771090366196284</v>
      </c>
      <c r="G616">
        <v>0.661021617990432</v>
      </c>
      <c r="H616">
        <v>0.31034431610012</v>
      </c>
      <c r="I616">
        <v>0.226290518342879</v>
      </c>
      <c r="J616">
        <v>0.272863939785095</v>
      </c>
      <c r="K616">
        <v>0.350012677397622</v>
      </c>
      <c r="L616">
        <v>368.781027036798</v>
      </c>
      <c r="M616">
        <v>6.71439936672843</v>
      </c>
      <c r="N616">
        <v>55.1761280976001</v>
      </c>
      <c r="O616">
        <v>50.6674489727032</v>
      </c>
      <c r="P616">
        <v>-0.032699458827274</v>
      </c>
      <c r="Q616">
        <v>0.0151140905069813</v>
      </c>
      <c r="R616">
        <v>0.8648145300519831</v>
      </c>
      <c r="S616" t="s">
        <v>2300</v>
      </c>
      <c r="T616" t="s">
        <v>3344</v>
      </c>
      <c r="U616" t="s">
        <v>3344</v>
      </c>
      <c r="V616" t="s">
        <v>3344</v>
      </c>
      <c r="W616" t="s">
        <v>3959</v>
      </c>
      <c r="X616">
        <v>2</v>
      </c>
      <c r="Y616" t="s">
        <v>5615</v>
      </c>
      <c r="Z616" t="s">
        <v>7273</v>
      </c>
      <c r="AA616">
        <v>0.6046941500275529</v>
      </c>
      <c r="AB616">
        <f>HYPERLINK("Melting_Curves/meltCurve_P0ACP7_purR.pdf", "Melting_Curves/meltCurve_P0ACP7_purR.pdf")</f>
        <v>0</v>
      </c>
    </row>
    <row r="617" spans="1:28">
      <c r="A617" t="s">
        <v>643</v>
      </c>
      <c r="B617">
        <v>0.999998419929286</v>
      </c>
      <c r="C617">
        <v>1.07065044958177</v>
      </c>
      <c r="D617">
        <v>0.9940463098804529</v>
      </c>
      <c r="E617">
        <v>0.88788822427239</v>
      </c>
      <c r="F617">
        <v>0.861358153870655</v>
      </c>
      <c r="G617">
        <v>0.569299170503863</v>
      </c>
      <c r="H617">
        <v>0.203684824161171</v>
      </c>
      <c r="I617">
        <v>0.156338285232492</v>
      </c>
      <c r="J617">
        <v>0.0766077619486471</v>
      </c>
      <c r="K617">
        <v>0.0657839389580168</v>
      </c>
      <c r="L617">
        <v>1203.33134526214</v>
      </c>
      <c r="M617">
        <v>22.3017451445177</v>
      </c>
      <c r="N617">
        <v>54.2399929334513</v>
      </c>
      <c r="O617">
        <v>53.5286035134726</v>
      </c>
      <c r="P617">
        <v>-0.0984362340067253</v>
      </c>
      <c r="Q617">
        <v>0.0549540152268492</v>
      </c>
      <c r="R617">
        <v>0.9896344380747411</v>
      </c>
      <c r="S617" t="s">
        <v>2301</v>
      </c>
      <c r="T617" t="s">
        <v>3344</v>
      </c>
      <c r="U617" t="s">
        <v>3344</v>
      </c>
      <c r="V617" t="s">
        <v>3344</v>
      </c>
      <c r="W617" t="s">
        <v>3960</v>
      </c>
      <c r="X617">
        <v>1</v>
      </c>
      <c r="Y617" t="s">
        <v>5616</v>
      </c>
      <c r="Z617" t="s">
        <v>7274</v>
      </c>
      <c r="AA617">
        <v>0.5989718354438186</v>
      </c>
      <c r="AB617">
        <f>HYPERLINK("Melting_Curves/meltCurve_P0ACQ4_oxyR.pdf", "Melting_Curves/meltCurve_P0ACQ4_oxyR.pdf")</f>
        <v>0</v>
      </c>
    </row>
    <row r="618" spans="1:28">
      <c r="A618" t="s">
        <v>644</v>
      </c>
      <c r="B618">
        <v>0.999998419929286</v>
      </c>
      <c r="C618">
        <v>1.01785618213294</v>
      </c>
      <c r="D618">
        <v>0.697524433455059</v>
      </c>
      <c r="E618">
        <v>0.700617655160813</v>
      </c>
      <c r="F618">
        <v>0.410376831318827</v>
      </c>
      <c r="G618">
        <v>0.408904196227155</v>
      </c>
      <c r="H618">
        <v>0.199527891494872</v>
      </c>
      <c r="I618">
        <v>0.184206682056622</v>
      </c>
      <c r="J618">
        <v>0.07925511355617899</v>
      </c>
      <c r="K618">
        <v>0.10409241784645</v>
      </c>
      <c r="L618">
        <v>479.139843109506</v>
      </c>
      <c r="M618">
        <v>9.69327418871876</v>
      </c>
      <c r="N618">
        <v>49.6805863404553</v>
      </c>
      <c r="O618">
        <v>47.4639064020867</v>
      </c>
      <c r="P618">
        <v>-0.0498658093614673</v>
      </c>
      <c r="Q618">
        <v>0.0238469091819862</v>
      </c>
      <c r="R618">
        <v>0.9627311837154791</v>
      </c>
      <c r="S618" t="s">
        <v>2302</v>
      </c>
      <c r="T618" t="s">
        <v>3344</v>
      </c>
      <c r="U618" t="s">
        <v>3344</v>
      </c>
      <c r="V618" t="s">
        <v>3344</v>
      </c>
      <c r="W618" t="s">
        <v>3961</v>
      </c>
      <c r="X618">
        <v>1</v>
      </c>
      <c r="Y618" t="s">
        <v>5617</v>
      </c>
      <c r="Z618" t="s">
        <v>7275</v>
      </c>
      <c r="AA618">
        <v>0.4643709528121999</v>
      </c>
      <c r="AB618">
        <f>HYPERLINK("Melting_Curves/meltCurve_P0ACR4_yeiE.pdf", "Melting_Curves/meltCurve_P0ACR4_yeiE.pdf")</f>
        <v>0</v>
      </c>
    </row>
    <row r="619" spans="1:28">
      <c r="A619" t="s">
        <v>645</v>
      </c>
      <c r="B619">
        <v>0.999998419929286</v>
      </c>
      <c r="C619">
        <v>1.06611740720541</v>
      </c>
      <c r="D619">
        <v>0.756380009434832</v>
      </c>
      <c r="E619">
        <v>0.8865603607493781</v>
      </c>
      <c r="F619">
        <v>0.6920371616016771</v>
      </c>
      <c r="G619">
        <v>0.788452516001908</v>
      </c>
      <c r="H619">
        <v>0.596863212562068</v>
      </c>
      <c r="I619">
        <v>0.6213328235957289</v>
      </c>
      <c r="J619">
        <v>0.459798527805614</v>
      </c>
      <c r="K619">
        <v>0.461745715467604</v>
      </c>
      <c r="L619">
        <v>291.866642119771</v>
      </c>
      <c r="M619">
        <v>4.61780939976236</v>
      </c>
      <c r="N619">
        <v>64.4243728001842</v>
      </c>
      <c r="O619">
        <v>54.0881218509754</v>
      </c>
      <c r="P619">
        <v>-0.0206145323973568</v>
      </c>
      <c r="Q619">
        <v>0.0418596270347225</v>
      </c>
      <c r="R619">
        <v>0.842661379635283</v>
      </c>
      <c r="S619" t="s">
        <v>2303</v>
      </c>
      <c r="T619" t="s">
        <v>3344</v>
      </c>
      <c r="U619" t="s">
        <v>3344</v>
      </c>
      <c r="V619" t="s">
        <v>3344</v>
      </c>
      <c r="W619" t="s">
        <v>3962</v>
      </c>
      <c r="X619">
        <v>2</v>
      </c>
      <c r="Y619" t="s">
        <v>5618</v>
      </c>
      <c r="Z619" t="s">
        <v>7276</v>
      </c>
      <c r="AA619">
        <v>0.731825565737974</v>
      </c>
      <c r="AB619">
        <f>HYPERLINK("Melting_Curves/meltCurve_P0ACR9_mprA.pdf", "Melting_Curves/meltCurve_P0ACR9_mprA.pdf")</f>
        <v>0</v>
      </c>
    </row>
    <row r="620" spans="1:28">
      <c r="A620" t="s">
        <v>646</v>
      </c>
      <c r="B620">
        <v>0.999998419929286</v>
      </c>
      <c r="C620">
        <v>1.32445124516878</v>
      </c>
      <c r="D620">
        <v>1.68786594952834</v>
      </c>
      <c r="E620">
        <v>1.34737101985623</v>
      </c>
      <c r="F620">
        <v>0.575962856241757</v>
      </c>
      <c r="G620">
        <v>0.0562047803760731</v>
      </c>
      <c r="H620">
        <v>0</v>
      </c>
      <c r="I620">
        <v>0</v>
      </c>
      <c r="J620">
        <v>0</v>
      </c>
      <c r="K620">
        <v>0</v>
      </c>
      <c r="L620">
        <v>7846.23835451121</v>
      </c>
      <c r="M620">
        <v>156.012986555668</v>
      </c>
      <c r="N620">
        <v>50.2995625738321</v>
      </c>
      <c r="O620">
        <v>50.2839506637562</v>
      </c>
      <c r="P620">
        <v>-0.766947487932284</v>
      </c>
      <c r="Q620">
        <v>0.0112323361308362</v>
      </c>
      <c r="R620">
        <v>0.831467722705541</v>
      </c>
      <c r="S620" t="s">
        <v>2304</v>
      </c>
      <c r="T620" t="s">
        <v>3344</v>
      </c>
      <c r="U620" t="s">
        <v>3344</v>
      </c>
      <c r="V620" t="s">
        <v>3344</v>
      </c>
      <c r="W620" t="s">
        <v>3963</v>
      </c>
      <c r="X620">
        <v>2</v>
      </c>
      <c r="Y620" t="s">
        <v>5619</v>
      </c>
      <c r="Z620" t="s">
        <v>7277</v>
      </c>
      <c r="AA620">
        <v>0.4495535201578353</v>
      </c>
      <c r="AB620">
        <f>HYPERLINK("Melting_Curves/meltCurve_P0ACS7_rpiR.pdf", "Melting_Curves/meltCurve_P0ACS7_rpiR.pdf")</f>
        <v>0</v>
      </c>
    </row>
    <row r="621" spans="1:28">
      <c r="A621" t="s">
        <v>647</v>
      </c>
      <c r="B621">
        <v>0.999998419929286</v>
      </c>
      <c r="C621">
        <v>0.728548468829339</v>
      </c>
      <c r="D621">
        <v>0.765976047678239</v>
      </c>
      <c r="E621">
        <v>0.690386153751916</v>
      </c>
      <c r="F621">
        <v>0.412063765386505</v>
      </c>
      <c r="G621">
        <v>0.219038982668658</v>
      </c>
      <c r="H621">
        <v>0.136182791516689</v>
      </c>
      <c r="I621">
        <v>0.104873322980706</v>
      </c>
      <c r="J621">
        <v>0.07974646900180341</v>
      </c>
      <c r="K621">
        <v>0.0818416663411273</v>
      </c>
      <c r="L621">
        <v>469.254687870719</v>
      </c>
      <c r="M621">
        <v>9.735009015194979</v>
      </c>
      <c r="N621">
        <v>48.2028197319607</v>
      </c>
      <c r="O621">
        <v>46.3007431708293</v>
      </c>
      <c r="P621">
        <v>-0.0525923382780811</v>
      </c>
      <c r="Q621">
        <v>0</v>
      </c>
      <c r="R621">
        <v>0.960664189133503</v>
      </c>
      <c r="S621" t="s">
        <v>2305</v>
      </c>
      <c r="T621" t="s">
        <v>3344</v>
      </c>
      <c r="U621" t="s">
        <v>3344</v>
      </c>
      <c r="V621" t="s">
        <v>3344</v>
      </c>
      <c r="W621" t="s">
        <v>3964</v>
      </c>
      <c r="X621">
        <v>1</v>
      </c>
      <c r="Y621" t="s">
        <v>5620</v>
      </c>
      <c r="Z621" t="s">
        <v>7278</v>
      </c>
      <c r="AA621">
        <v>0.4143039073548581</v>
      </c>
      <c r="AB621">
        <f>HYPERLINK("Melting_Curves/meltCurve_P0ACU2_rutR.pdf", "Melting_Curves/meltCurve_P0ACU2_rutR.pdf")</f>
        <v>0</v>
      </c>
    </row>
    <row r="622" spans="1:28">
      <c r="A622" t="s">
        <v>648</v>
      </c>
      <c r="B622">
        <v>0.999998419929286</v>
      </c>
      <c r="C622">
        <v>0.727189232324602</v>
      </c>
      <c r="D622">
        <v>0.888810611242022</v>
      </c>
      <c r="E622">
        <v>1.24476418868826</v>
      </c>
      <c r="F622">
        <v>1.51853705462885</v>
      </c>
      <c r="G622">
        <v>1.45696331509667</v>
      </c>
      <c r="H622">
        <v>1.52703680411989</v>
      </c>
      <c r="I622">
        <v>1.4159691889054</v>
      </c>
      <c r="J622">
        <v>1.55627361460068</v>
      </c>
      <c r="K622">
        <v>1.32900716188807</v>
      </c>
      <c r="L622">
        <v>11645.5628942217</v>
      </c>
      <c r="M622">
        <v>250</v>
      </c>
      <c r="O622">
        <v>46.579279616294</v>
      </c>
      <c r="P622">
        <v>0.62701961013262</v>
      </c>
      <c r="Q622">
        <v>1.46729785741229</v>
      </c>
      <c r="R622">
        <v>0.843190669379595</v>
      </c>
      <c r="S622" t="s">
        <v>2306</v>
      </c>
      <c r="T622" t="s">
        <v>3344</v>
      </c>
      <c r="U622" t="s">
        <v>3344</v>
      </c>
      <c r="V622" t="s">
        <v>3344</v>
      </c>
      <c r="W622" t="s">
        <v>3965</v>
      </c>
      <c r="X622">
        <v>6</v>
      </c>
      <c r="Y622" t="s">
        <v>5621</v>
      </c>
      <c r="Z622" t="s">
        <v>7279</v>
      </c>
      <c r="AA622">
        <v>1.318000800917193</v>
      </c>
      <c r="AB622">
        <f>HYPERLINK("Melting_Curves/meltCurve_P0ACU7_yjdC.pdf", "Melting_Curves/meltCurve_P0ACU7_yjdC.pdf")</f>
        <v>0</v>
      </c>
    </row>
    <row r="623" spans="1:28">
      <c r="A623" t="s">
        <v>649</v>
      </c>
      <c r="B623">
        <v>0.999998419929286</v>
      </c>
      <c r="C623">
        <v>0.930081059987762</v>
      </c>
      <c r="D623">
        <v>0.918993237852919</v>
      </c>
      <c r="E623">
        <v>1.06042577991246</v>
      </c>
      <c r="F623">
        <v>1.03105646086593</v>
      </c>
      <c r="G623">
        <v>1.08522894030599</v>
      </c>
      <c r="H623">
        <v>0.826457181969481</v>
      </c>
      <c r="I623">
        <v>0.832331541338295</v>
      </c>
      <c r="J623">
        <v>0.338713176453485</v>
      </c>
      <c r="K623">
        <v>0.561529365962295</v>
      </c>
      <c r="L623">
        <v>15000</v>
      </c>
      <c r="M623">
        <v>245.077722309307</v>
      </c>
      <c r="N623">
        <v>61.786171644704</v>
      </c>
      <c r="O623">
        <v>61.200987192129</v>
      </c>
      <c r="P623">
        <v>-0.550495752430095</v>
      </c>
      <c r="Q623">
        <v>0.450119104738508</v>
      </c>
      <c r="R623">
        <v>0.846776510682375</v>
      </c>
      <c r="S623" t="s">
        <v>2307</v>
      </c>
      <c r="T623" t="s">
        <v>3344</v>
      </c>
      <c r="U623" t="s">
        <v>3344</v>
      </c>
      <c r="V623" t="s">
        <v>3344</v>
      </c>
      <c r="W623" t="s">
        <v>3966</v>
      </c>
      <c r="X623">
        <v>1</v>
      </c>
      <c r="Y623" t="s">
        <v>5622</v>
      </c>
      <c r="Z623" t="s">
        <v>7280</v>
      </c>
      <c r="AA623">
        <v>0.8938441489099941</v>
      </c>
      <c r="AB623">
        <f>HYPERLINK("Melting_Curves/meltCurve_P0ACV4_lapA.pdf", "Melting_Curves/meltCurve_P0ACV4_lapA.pdf")</f>
        <v>0</v>
      </c>
    </row>
    <row r="624" spans="1:28">
      <c r="A624" t="s">
        <v>650</v>
      </c>
      <c r="B624">
        <v>0.999998419929286</v>
      </c>
      <c r="C624">
        <v>1.02318903928393</v>
      </c>
      <c r="D624">
        <v>1.02702433779984</v>
      </c>
      <c r="E624">
        <v>1.18044339298104</v>
      </c>
      <c r="F624">
        <v>1.35298409049131</v>
      </c>
      <c r="G624">
        <v>1.55814007335888</v>
      </c>
      <c r="H624">
        <v>1.29323453170856</v>
      </c>
      <c r="I624">
        <v>0.9523567175672309</v>
      </c>
      <c r="J624">
        <v>0.5687840979789121</v>
      </c>
      <c r="K624">
        <v>0.274793524300219</v>
      </c>
      <c r="L624">
        <v>4126.94153842332</v>
      </c>
      <c r="M624">
        <v>64.6658538480322</v>
      </c>
      <c r="N624">
        <v>64.47756111305129</v>
      </c>
      <c r="O624">
        <v>63.758539336522</v>
      </c>
      <c r="P624">
        <v>-0.192304902343311</v>
      </c>
      <c r="Q624">
        <v>0.241573437105621</v>
      </c>
      <c r="R624">
        <v>0.560076833151501</v>
      </c>
      <c r="S624" t="s">
        <v>2308</v>
      </c>
      <c r="T624" t="s">
        <v>3344</v>
      </c>
      <c r="U624" t="s">
        <v>3344</v>
      </c>
      <c r="V624" t="s">
        <v>3344</v>
      </c>
      <c r="W624" t="s">
        <v>3967</v>
      </c>
      <c r="X624">
        <v>4</v>
      </c>
      <c r="Y624" t="s">
        <v>5623</v>
      </c>
      <c r="Z624" t="s">
        <v>7281</v>
      </c>
      <c r="AA624">
        <v>0.9195760645608347</v>
      </c>
      <c r="AB624">
        <f>HYPERLINK("Melting_Curves/meltCurve_P0ACV6_mpaA.pdf", "Melting_Curves/meltCurve_P0ACV6_mpaA.pdf")</f>
        <v>0</v>
      </c>
    </row>
    <row r="625" spans="1:28">
      <c r="A625" t="s">
        <v>651</v>
      </c>
      <c r="B625">
        <v>0.999998419929286</v>
      </c>
      <c r="C625">
        <v>0.978384316580056</v>
      </c>
      <c r="D625">
        <v>0.795791773621949</v>
      </c>
      <c r="E625">
        <v>1.05689576617635</v>
      </c>
      <c r="F625">
        <v>1.0536324365326</v>
      </c>
      <c r="G625">
        <v>1.16320493823472</v>
      </c>
      <c r="H625">
        <v>1.3122583267756</v>
      </c>
      <c r="I625">
        <v>1.2305962732522</v>
      </c>
      <c r="J625">
        <v>1.34440157712695</v>
      </c>
      <c r="K625">
        <v>1.38737510937325</v>
      </c>
      <c r="L625">
        <v>1068.20404712349</v>
      </c>
      <c r="M625">
        <v>19.7459435743628</v>
      </c>
      <c r="O625">
        <v>53.5517140772441</v>
      </c>
      <c r="P625">
        <v>0.0325207076503442</v>
      </c>
      <c r="Q625">
        <v>1.35277726857739</v>
      </c>
      <c r="R625">
        <v>0.822688616897796</v>
      </c>
      <c r="S625" t="s">
        <v>2309</v>
      </c>
      <c r="T625" t="s">
        <v>3344</v>
      </c>
      <c r="U625" t="s">
        <v>3344</v>
      </c>
      <c r="V625" t="s">
        <v>3344</v>
      </c>
      <c r="W625" t="s">
        <v>3968</v>
      </c>
      <c r="X625">
        <v>7</v>
      </c>
      <c r="Y625" t="s">
        <v>5624</v>
      </c>
      <c r="Z625" t="s">
        <v>7282</v>
      </c>
      <c r="AA625">
        <v>1.147411408969224</v>
      </c>
      <c r="AB625">
        <f>HYPERLINK("Melting_Curves/meltCurve_P0ACW6_ydcH.pdf", "Melting_Curves/meltCurve_P0ACW6_ydcH.pdf")</f>
        <v>0</v>
      </c>
    </row>
    <row r="626" spans="1:28">
      <c r="A626" t="s">
        <v>652</v>
      </c>
      <c r="B626">
        <v>0.999998419929286</v>
      </c>
      <c r="C626">
        <v>0.825220268901001</v>
      </c>
      <c r="D626">
        <v>0.754903955631761</v>
      </c>
      <c r="E626">
        <v>0.832373737004833</v>
      </c>
      <c r="F626">
        <v>0.946908231542585</v>
      </c>
      <c r="G626">
        <v>1.37431810704827</v>
      </c>
      <c r="H626">
        <v>1.24084715100425</v>
      </c>
      <c r="I626">
        <v>1.07861924799486</v>
      </c>
      <c r="J626">
        <v>1.08092879556707</v>
      </c>
      <c r="K626">
        <v>1.04945824306053</v>
      </c>
      <c r="L626">
        <v>4913.07859986014</v>
      </c>
      <c r="M626">
        <v>95.25407025903139</v>
      </c>
      <c r="O626">
        <v>51.5559519035333</v>
      </c>
      <c r="P626">
        <v>0.0756440423589174</v>
      </c>
      <c r="Q626">
        <v>1.16376834434523</v>
      </c>
      <c r="R626">
        <v>0.391681299381659</v>
      </c>
      <c r="S626" t="s">
        <v>2310</v>
      </c>
      <c r="T626" t="s">
        <v>3344</v>
      </c>
      <c r="U626" t="s">
        <v>3344</v>
      </c>
      <c r="V626" t="s">
        <v>3344</v>
      </c>
      <c r="W626" t="s">
        <v>3969</v>
      </c>
      <c r="X626">
        <v>4</v>
      </c>
      <c r="Y626" t="s">
        <v>5625</v>
      </c>
      <c r="Z626" t="s">
        <v>7283</v>
      </c>
      <c r="AA626">
        <v>1.084081922014771</v>
      </c>
      <c r="AB626">
        <f>HYPERLINK("Melting_Curves/meltCurve_P0ACX3_ydhR.pdf", "Melting_Curves/meltCurve_P0ACX3_ydhR.pdf")</f>
        <v>0</v>
      </c>
    </row>
    <row r="627" spans="1:28">
      <c r="A627" t="s">
        <v>653</v>
      </c>
      <c r="B627">
        <v>0.999998419929286</v>
      </c>
      <c r="C627">
        <v>0.758132536220555</v>
      </c>
      <c r="D627">
        <v>0.738267500051625</v>
      </c>
      <c r="E627">
        <v>0.524574407192571</v>
      </c>
      <c r="F627">
        <v>0.238667293367554</v>
      </c>
      <c r="G627">
        <v>0.174403110626877</v>
      </c>
      <c r="H627">
        <v>0.104035114005384</v>
      </c>
      <c r="I627">
        <v>0.101028236313853</v>
      </c>
      <c r="J627">
        <v>0.0574121720932637</v>
      </c>
      <c r="K627">
        <v>0.0659744749339186</v>
      </c>
      <c r="L627">
        <v>540.090960969467</v>
      </c>
      <c r="M627">
        <v>11.7565326628705</v>
      </c>
      <c r="N627">
        <v>46.1858876938831</v>
      </c>
      <c r="O627">
        <v>44.6709072519615</v>
      </c>
      <c r="P627">
        <v>-0.06381315993314279</v>
      </c>
      <c r="Q627">
        <v>0.0303780551604048</v>
      </c>
      <c r="R627">
        <v>0.981108954230162</v>
      </c>
      <c r="S627" t="s">
        <v>2311</v>
      </c>
      <c r="T627" t="s">
        <v>3344</v>
      </c>
      <c r="U627" t="s">
        <v>3344</v>
      </c>
      <c r="V627" t="s">
        <v>3344</v>
      </c>
      <c r="W627" t="s">
        <v>3970</v>
      </c>
      <c r="X627">
        <v>2</v>
      </c>
      <c r="Y627" t="s">
        <v>5626</v>
      </c>
      <c r="Z627" t="s">
        <v>7284</v>
      </c>
      <c r="AA627">
        <v>0.3540537051845923</v>
      </c>
      <c r="AB627">
        <f>HYPERLINK("Melting_Curves/meltCurve_P0ACX5_ydhZ.pdf", "Melting_Curves/meltCurve_P0ACX5_ydhZ.pdf")</f>
        <v>0</v>
      </c>
    </row>
    <row r="628" spans="1:28">
      <c r="A628" t="s">
        <v>654</v>
      </c>
      <c r="B628">
        <v>0.999998419929286</v>
      </c>
      <c r="C628">
        <v>0.8468689731982439</v>
      </c>
      <c r="D628">
        <v>0.796472748219369</v>
      </c>
      <c r="E628">
        <v>0.585196970532732</v>
      </c>
      <c r="F628">
        <v>0.155012001014378</v>
      </c>
      <c r="G628">
        <v>0.0770283417902644</v>
      </c>
      <c r="H628">
        <v>0.0393229041028086</v>
      </c>
      <c r="I628">
        <v>0.02365415033548</v>
      </c>
      <c r="J628">
        <v>0.0186556214987384</v>
      </c>
      <c r="K628">
        <v>0.0196911408094813</v>
      </c>
      <c r="L628">
        <v>803.227144525319</v>
      </c>
      <c r="M628">
        <v>17.2251527601896</v>
      </c>
      <c r="N628">
        <v>46.6310467270195</v>
      </c>
      <c r="O628">
        <v>46.0161679478983</v>
      </c>
      <c r="P628">
        <v>-0.0935875360798739</v>
      </c>
      <c r="Q628">
        <v>0</v>
      </c>
      <c r="R628">
        <v>0.984147017577284</v>
      </c>
      <c r="S628" t="s">
        <v>2312</v>
      </c>
      <c r="T628" t="s">
        <v>3344</v>
      </c>
      <c r="U628" t="s">
        <v>3344</v>
      </c>
      <c r="V628" t="s">
        <v>3344</v>
      </c>
      <c r="W628" t="s">
        <v>3971</v>
      </c>
      <c r="X628">
        <v>6</v>
      </c>
      <c r="Y628" t="s">
        <v>5627</v>
      </c>
      <c r="Z628" t="s">
        <v>7285</v>
      </c>
      <c r="AA628">
        <v>0.3385468120115496</v>
      </c>
      <c r="AB628">
        <f>HYPERLINK("Melting_Curves/meltCurve_P0ACY1_ydjA.pdf", "Melting_Curves/meltCurve_P0ACY1_ydjA.pdf")</f>
        <v>0</v>
      </c>
    </row>
    <row r="629" spans="1:28">
      <c r="A629" t="s">
        <v>655</v>
      </c>
      <c r="B629">
        <v>0.999998419929286</v>
      </c>
      <c r="C629">
        <v>1.31878630351595</v>
      </c>
      <c r="D629">
        <v>0.984168101982445</v>
      </c>
      <c r="E629">
        <v>0.41471104276173</v>
      </c>
      <c r="F629">
        <v>0.250668243612422</v>
      </c>
      <c r="G629">
        <v>0.168739181778417</v>
      </c>
      <c r="H629">
        <v>0.0986398521796699</v>
      </c>
      <c r="I629">
        <v>0.0778073299751917</v>
      </c>
      <c r="J629">
        <v>0.06801257112777361</v>
      </c>
      <c r="K629">
        <v>0.0527956366145639</v>
      </c>
      <c r="L629">
        <v>1852.05079703942</v>
      </c>
      <c r="M629">
        <v>40.2686274975908</v>
      </c>
      <c r="N629">
        <v>46.2811275411839</v>
      </c>
      <c r="O629">
        <v>45.8794116101059</v>
      </c>
      <c r="P629">
        <v>-0.195055330143593</v>
      </c>
      <c r="Q629">
        <v>0.111069209774168</v>
      </c>
      <c r="R629">
        <v>0.937632007026158</v>
      </c>
      <c r="S629" t="s">
        <v>2313</v>
      </c>
      <c r="T629" t="s">
        <v>3344</v>
      </c>
      <c r="U629" t="s">
        <v>3344</v>
      </c>
      <c r="V629" t="s">
        <v>3344</v>
      </c>
      <c r="W629" t="s">
        <v>3972</v>
      </c>
      <c r="X629">
        <v>16</v>
      </c>
      <c r="Y629" t="s">
        <v>5628</v>
      </c>
      <c r="Z629" t="s">
        <v>7286</v>
      </c>
      <c r="AA629">
        <v>0.3803130792527665</v>
      </c>
      <c r="AB629">
        <f>HYPERLINK("Melting_Curves/meltCurve_P0ACY3_yeaG.pdf", "Melting_Curves/meltCurve_P0ACY3_yeaG.pdf")</f>
        <v>0</v>
      </c>
    </row>
    <row r="630" spans="1:28">
      <c r="A630" t="s">
        <v>656</v>
      </c>
      <c r="B630">
        <v>0.999998419929286</v>
      </c>
      <c r="C630">
        <v>1.13499522728939</v>
      </c>
      <c r="D630">
        <v>1.22663705850095</v>
      </c>
      <c r="E630">
        <v>1.47406976928413</v>
      </c>
      <c r="F630">
        <v>1.60850452123554</v>
      </c>
      <c r="G630">
        <v>1.97487109649059</v>
      </c>
      <c r="H630">
        <v>1.77556354350628</v>
      </c>
      <c r="I630">
        <v>1.98681652187887</v>
      </c>
      <c r="J630">
        <v>1.46355317158178</v>
      </c>
      <c r="K630">
        <v>1.48258331815425</v>
      </c>
      <c r="L630">
        <v>1238.74571974429</v>
      </c>
      <c r="M630">
        <v>29.0047174779961</v>
      </c>
      <c r="O630">
        <v>42.5069533600679</v>
      </c>
      <c r="P630">
        <v>0.0852946773927627</v>
      </c>
      <c r="Q630">
        <v>1.5</v>
      </c>
      <c r="R630">
        <v>0.441647256854329</v>
      </c>
      <c r="S630" t="s">
        <v>2314</v>
      </c>
      <c r="T630" t="s">
        <v>3344</v>
      </c>
      <c r="U630" t="s">
        <v>3344</v>
      </c>
      <c r="V630" t="s">
        <v>3344</v>
      </c>
      <c r="W630" t="s">
        <v>3973</v>
      </c>
      <c r="X630">
        <v>1</v>
      </c>
      <c r="Y630" t="s">
        <v>5629</v>
      </c>
      <c r="Z630" t="s">
        <v>7287</v>
      </c>
      <c r="AA630">
        <v>1.401833218636588</v>
      </c>
      <c r="AB630">
        <f>HYPERLINK("Melting_Curves/meltCurve_P0ACY9_yebG.pdf", "Melting_Curves/meltCurve_P0ACY9_yebG.pdf")</f>
        <v>0</v>
      </c>
    </row>
    <row r="631" spans="1:28">
      <c r="A631" t="s">
        <v>657</v>
      </c>
      <c r="B631">
        <v>0.999998419929286</v>
      </c>
      <c r="C631">
        <v>0.804150676623441</v>
      </c>
      <c r="D631">
        <v>0.836539895529435</v>
      </c>
      <c r="E631">
        <v>0.64347105777534</v>
      </c>
      <c r="F631">
        <v>0.314266684915441</v>
      </c>
      <c r="G631">
        <v>0.191284513334493</v>
      </c>
      <c r="H631">
        <v>0.108269282572884</v>
      </c>
      <c r="I631">
        <v>0.0998501565584253</v>
      </c>
      <c r="J631">
        <v>0.06523678329508011</v>
      </c>
      <c r="K631">
        <v>0.06426950924722589</v>
      </c>
      <c r="L631">
        <v>622.796179723069</v>
      </c>
      <c r="M631">
        <v>13.0883826025248</v>
      </c>
      <c r="N631">
        <v>47.816164883403</v>
      </c>
      <c r="O631">
        <v>46.514185459331</v>
      </c>
      <c r="P631">
        <v>-0.068191259195322</v>
      </c>
      <c r="Q631">
        <v>0.0307997788874063</v>
      </c>
      <c r="R631">
        <v>0.981087648366691</v>
      </c>
      <c r="S631" t="s">
        <v>2315</v>
      </c>
      <c r="T631" t="s">
        <v>3344</v>
      </c>
      <c r="U631" t="s">
        <v>3344</v>
      </c>
      <c r="V631" t="s">
        <v>3344</v>
      </c>
      <c r="W631" t="s">
        <v>3974</v>
      </c>
      <c r="X631">
        <v>4</v>
      </c>
      <c r="Y631" t="s">
        <v>5630</v>
      </c>
      <c r="Z631" t="s">
        <v>7288</v>
      </c>
      <c r="AA631">
        <v>0.3997713436339095</v>
      </c>
      <c r="AB631">
        <f>HYPERLINK("Melting_Curves/meltCurve_P0ACZ4_evgA.pdf", "Melting_Curves/meltCurve_P0ACZ4_evgA.pdf")</f>
        <v>0</v>
      </c>
    </row>
    <row r="632" spans="1:28">
      <c r="A632" t="s">
        <v>658</v>
      </c>
      <c r="B632">
        <v>0.999998419929286</v>
      </c>
      <c r="C632">
        <v>0.77179507666193</v>
      </c>
      <c r="D632">
        <v>0.698131334120851</v>
      </c>
      <c r="E632">
        <v>0.742872097956395</v>
      </c>
      <c r="F632">
        <v>0.761980499761152</v>
      </c>
      <c r="G632">
        <v>1.09530703577921</v>
      </c>
      <c r="H632">
        <v>1.04099982654183</v>
      </c>
      <c r="I632">
        <v>0.78620140614153</v>
      </c>
      <c r="J632">
        <v>1.06336990867458</v>
      </c>
      <c r="K632">
        <v>0.948361396228861</v>
      </c>
      <c r="L632">
        <v>9482.29399562037</v>
      </c>
      <c r="M632">
        <v>250</v>
      </c>
      <c r="O632">
        <v>37.9267493149042</v>
      </c>
      <c r="P632">
        <v>-0.199760264245614</v>
      </c>
      <c r="Q632">
        <v>0.878779882451582</v>
      </c>
      <c r="R632">
        <v>0.062942581486908</v>
      </c>
      <c r="S632" t="s">
        <v>2316</v>
      </c>
      <c r="T632" t="s">
        <v>3344</v>
      </c>
      <c r="U632" t="s">
        <v>3344</v>
      </c>
      <c r="V632" t="s">
        <v>3344</v>
      </c>
      <c r="W632" t="s">
        <v>3975</v>
      </c>
      <c r="X632">
        <v>2</v>
      </c>
      <c r="Y632" t="s">
        <v>5631</v>
      </c>
      <c r="Z632" t="s">
        <v>7289</v>
      </c>
      <c r="AA632">
        <v>0.8825435309108927</v>
      </c>
      <c r="AB632">
        <f>HYPERLINK("Melting_Curves/meltCurve_P0AD05_yecA.pdf", "Melting_Curves/meltCurve_P0AD05_yecA.pdf")</f>
        <v>0</v>
      </c>
    </row>
    <row r="633" spans="1:28">
      <c r="A633" t="s">
        <v>659</v>
      </c>
      <c r="B633">
        <v>0.999998419929286</v>
      </c>
      <c r="C633">
        <v>0.826848250272551</v>
      </c>
      <c r="D633">
        <v>0.501927609913605</v>
      </c>
      <c r="E633">
        <v>0.5942482322406</v>
      </c>
      <c r="F633">
        <v>0.603620213659288</v>
      </c>
      <c r="G633">
        <v>0.564301124874805</v>
      </c>
      <c r="H633">
        <v>0.48728306295297</v>
      </c>
      <c r="I633">
        <v>0.713960173292582</v>
      </c>
      <c r="J633">
        <v>0.708588668721891</v>
      </c>
      <c r="K633">
        <v>0.669310628967693</v>
      </c>
      <c r="L633">
        <v>9984.815322651641</v>
      </c>
      <c r="M633">
        <v>250</v>
      </c>
      <c r="O633">
        <v>39.9367054541713</v>
      </c>
      <c r="P633">
        <v>-0.6175319044927901</v>
      </c>
      <c r="Q633">
        <v>0.605404964122409</v>
      </c>
      <c r="R633">
        <v>0.758887457228944</v>
      </c>
      <c r="S633" t="s">
        <v>2317</v>
      </c>
      <c r="T633" t="s">
        <v>3344</v>
      </c>
      <c r="U633" t="s">
        <v>3344</v>
      </c>
      <c r="V633" t="s">
        <v>3344</v>
      </c>
      <c r="W633" t="s">
        <v>3976</v>
      </c>
      <c r="X633">
        <v>1</v>
      </c>
      <c r="Y633" t="s">
        <v>5632</v>
      </c>
      <c r="Z633" t="s">
        <v>7290</v>
      </c>
      <c r="AA633">
        <v>0.6440932195378216</v>
      </c>
      <c r="AB633">
        <f>HYPERLINK("Melting_Curves/meltCurve_P0AD10_yecJ.pdf", "Melting_Curves/meltCurve_P0AD10_yecJ.pdf")</f>
        <v>0</v>
      </c>
    </row>
    <row r="634" spans="1:28">
      <c r="A634" t="s">
        <v>660</v>
      </c>
      <c r="B634">
        <v>0.999998419929286</v>
      </c>
      <c r="C634">
        <v>0.807160700543227</v>
      </c>
      <c r="D634">
        <v>0.635175941617068</v>
      </c>
      <c r="E634">
        <v>0.157600345564442</v>
      </c>
      <c r="F634">
        <v>0.0951512834363725</v>
      </c>
      <c r="G634">
        <v>0.06503218829606271</v>
      </c>
      <c r="H634">
        <v>0.0500611357069692</v>
      </c>
      <c r="I634">
        <v>0.0471505339199167</v>
      </c>
      <c r="J634">
        <v>0.0454213290163001</v>
      </c>
      <c r="K634">
        <v>0.0419914352450935</v>
      </c>
      <c r="L634">
        <v>964.743010110997</v>
      </c>
      <c r="M634">
        <v>22.2201283705697</v>
      </c>
      <c r="N634">
        <v>43.5894642240017</v>
      </c>
      <c r="O634">
        <v>43.0704410031599</v>
      </c>
      <c r="P634">
        <v>-0.123566637954582</v>
      </c>
      <c r="Q634">
        <v>0.0419574511483074</v>
      </c>
      <c r="R634">
        <v>0.989244251687931</v>
      </c>
      <c r="S634" t="s">
        <v>2318</v>
      </c>
      <c r="T634" t="s">
        <v>3344</v>
      </c>
      <c r="U634" t="s">
        <v>3344</v>
      </c>
      <c r="V634" t="s">
        <v>3344</v>
      </c>
      <c r="W634" t="s">
        <v>3977</v>
      </c>
      <c r="X634">
        <v>6</v>
      </c>
      <c r="Y634" t="s">
        <v>5633</v>
      </c>
      <c r="Z634" t="s">
        <v>7291</v>
      </c>
      <c r="AA634">
        <v>0.2572296933647958</v>
      </c>
      <c r="AB634">
        <f>HYPERLINK("Melting_Curves/meltCurve_P0AD12_yeeZ.pdf", "Melting_Curves/meltCurve_P0AD12_yeeZ.pdf")</f>
        <v>0</v>
      </c>
    </row>
    <row r="635" spans="1:28">
      <c r="A635" t="s">
        <v>661</v>
      </c>
      <c r="B635">
        <v>0.999998419929286</v>
      </c>
      <c r="C635">
        <v>0.837597493648941</v>
      </c>
      <c r="D635">
        <v>0.981054178673799</v>
      </c>
      <c r="E635">
        <v>1.11058162563564</v>
      </c>
      <c r="F635">
        <v>1.15524443231969</v>
      </c>
      <c r="G635">
        <v>1.28545648183979</v>
      </c>
      <c r="H635">
        <v>1.37087603982587</v>
      </c>
      <c r="I635">
        <v>1.14367463405532</v>
      </c>
      <c r="J635">
        <v>1.45487030805545</v>
      </c>
      <c r="K635">
        <v>0.96686045636909</v>
      </c>
      <c r="L635">
        <v>1470.5596927151</v>
      </c>
      <c r="M635">
        <v>30.9718033659772</v>
      </c>
      <c r="O635">
        <v>47.2839771435182</v>
      </c>
      <c r="P635">
        <v>0.0391660189787894</v>
      </c>
      <c r="Q635">
        <v>1.23917422866221</v>
      </c>
      <c r="R635">
        <v>0.469877560618808</v>
      </c>
      <c r="S635" t="s">
        <v>2319</v>
      </c>
      <c r="T635" t="s">
        <v>3344</v>
      </c>
      <c r="U635" t="s">
        <v>3344</v>
      </c>
      <c r="V635" t="s">
        <v>3344</v>
      </c>
      <c r="W635" t="s">
        <v>3978</v>
      </c>
      <c r="X635">
        <v>1</v>
      </c>
      <c r="Y635" t="s">
        <v>5634</v>
      </c>
      <c r="Z635" t="s">
        <v>7292</v>
      </c>
      <c r="AA635">
        <v>1.15430250763473</v>
      </c>
      <c r="AB635">
        <f>HYPERLINK("Melting_Curves/meltCurve_P0AD33_yfcZ.pdf", "Melting_Curves/meltCurve_P0AD33_yfcZ.pdf")</f>
        <v>0</v>
      </c>
    </row>
    <row r="636" spans="1:28">
      <c r="A636" t="s">
        <v>662</v>
      </c>
      <c r="B636">
        <v>0.999998419929286</v>
      </c>
      <c r="C636">
        <v>1.62335927974123</v>
      </c>
      <c r="D636">
        <v>1.62223023138595</v>
      </c>
      <c r="E636">
        <v>2.08415223354956</v>
      </c>
      <c r="F636">
        <v>2.48866039032424</v>
      </c>
      <c r="G636">
        <v>3.33626786051994</v>
      </c>
      <c r="H636">
        <v>2.19509203996323</v>
      </c>
      <c r="I636">
        <v>2.23256741448207</v>
      </c>
      <c r="J636">
        <v>2.63560300581966</v>
      </c>
      <c r="K636">
        <v>2.17488220864425</v>
      </c>
      <c r="L636">
        <v>9498.200038020361</v>
      </c>
      <c r="M636">
        <v>250</v>
      </c>
      <c r="O636">
        <v>37.9903603303969</v>
      </c>
      <c r="P636">
        <v>0.822576904243667</v>
      </c>
      <c r="Q636">
        <v>1.5</v>
      </c>
      <c r="R636">
        <v>-1.05152979085623</v>
      </c>
      <c r="S636" t="s">
        <v>2320</v>
      </c>
      <c r="T636" t="s">
        <v>3344</v>
      </c>
      <c r="U636" t="s">
        <v>3344</v>
      </c>
      <c r="V636" t="s">
        <v>3344</v>
      </c>
      <c r="W636" t="s">
        <v>3979</v>
      </c>
      <c r="X636">
        <v>1</v>
      </c>
      <c r="Y636" t="s">
        <v>5635</v>
      </c>
      <c r="Z636" t="s">
        <v>7293</v>
      </c>
      <c r="AA636">
        <v>1.483417083755152</v>
      </c>
      <c r="AB636">
        <f>HYPERLINK("Melting_Curves/meltCurve_P0AD44_yfhG.pdf", "Melting_Curves/meltCurve_P0AD44_yfhG.pdf")</f>
        <v>0</v>
      </c>
    </row>
    <row r="637" spans="1:28">
      <c r="A637" t="s">
        <v>663</v>
      </c>
      <c r="B637">
        <v>0.999998419929286</v>
      </c>
      <c r="C637">
        <v>0.766653705658914</v>
      </c>
      <c r="D637">
        <v>1.03139086655221</v>
      </c>
      <c r="E637">
        <v>1.15194194964144</v>
      </c>
      <c r="F637">
        <v>1.3832868222368</v>
      </c>
      <c r="G637">
        <v>2.04220036533109</v>
      </c>
      <c r="H637">
        <v>2.06941603995078</v>
      </c>
      <c r="I637">
        <v>1.26304075219299</v>
      </c>
      <c r="J637">
        <v>0.7412274963173759</v>
      </c>
      <c r="K637">
        <v>0.284917471460359</v>
      </c>
      <c r="L637">
        <v>15000</v>
      </c>
      <c r="M637">
        <v>233.441998878603</v>
      </c>
      <c r="N637">
        <v>64.48874212470589</v>
      </c>
      <c r="O637">
        <v>64.2510763767844</v>
      </c>
      <c r="P637">
        <v>-0.649569616560041</v>
      </c>
      <c r="Q637">
        <v>0.284866552575252</v>
      </c>
      <c r="R637">
        <v>0.09907128022333921</v>
      </c>
      <c r="S637" t="s">
        <v>2321</v>
      </c>
      <c r="T637" t="s">
        <v>3344</v>
      </c>
      <c r="U637" t="s">
        <v>3344</v>
      </c>
      <c r="V637" t="s">
        <v>3344</v>
      </c>
      <c r="W637" t="s">
        <v>3980</v>
      </c>
      <c r="X637">
        <v>2</v>
      </c>
      <c r="Y637" t="s">
        <v>5636</v>
      </c>
      <c r="Z637" t="s">
        <v>7294</v>
      </c>
      <c r="AA637">
        <v>0.9346761018445314</v>
      </c>
      <c r="AB637">
        <f>HYPERLINK("Melting_Curves/meltCurve_P0AD47_yphA.pdf", "Melting_Curves/meltCurve_P0AD47_yphA.pdf")</f>
        <v>0</v>
      </c>
    </row>
    <row r="638" spans="1:28">
      <c r="A638" t="s">
        <v>664</v>
      </c>
      <c r="B638">
        <v>0.999998419929286</v>
      </c>
      <c r="C638">
        <v>0.905351742211543</v>
      </c>
      <c r="D638">
        <v>0.692766270988325</v>
      </c>
      <c r="E638">
        <v>0.776658877482482</v>
      </c>
      <c r="F638">
        <v>0.884962895870576</v>
      </c>
      <c r="G638">
        <v>0.853738715652525</v>
      </c>
      <c r="H638">
        <v>0.845462834222633</v>
      </c>
      <c r="I638">
        <v>0.996855817430958</v>
      </c>
      <c r="J638">
        <v>1.13680847651473</v>
      </c>
      <c r="K638">
        <v>0.942293373635911</v>
      </c>
      <c r="L638">
        <v>1e-05</v>
      </c>
      <c r="M638">
        <v>1e-05</v>
      </c>
      <c r="Q638">
        <v>0.806980431249138</v>
      </c>
      <c r="R638">
        <v>-1.04451585158927e-08</v>
      </c>
      <c r="S638" t="s">
        <v>2322</v>
      </c>
      <c r="T638" t="s">
        <v>3344</v>
      </c>
      <c r="U638" t="s">
        <v>3344</v>
      </c>
      <c r="V638" t="s">
        <v>3344</v>
      </c>
      <c r="W638" t="s">
        <v>3981</v>
      </c>
      <c r="X638">
        <v>4</v>
      </c>
      <c r="Y638" t="s">
        <v>5637</v>
      </c>
      <c r="Z638" t="s">
        <v>7295</v>
      </c>
      <c r="AA638">
        <v>0.903489742626492</v>
      </c>
      <c r="AB638">
        <f>HYPERLINK("Melting_Curves/meltCurve_P0AD49_raiA.pdf", "Melting_Curves/meltCurve_P0AD49_raiA.pdf")</f>
        <v>0</v>
      </c>
    </row>
    <row r="639" spans="1:28">
      <c r="A639" t="s">
        <v>665</v>
      </c>
      <c r="B639">
        <v>0.999998419929286</v>
      </c>
      <c r="C639">
        <v>0.790924319291026</v>
      </c>
      <c r="D639">
        <v>0.809983648051798</v>
      </c>
      <c r="E639">
        <v>0.846792083947455</v>
      </c>
      <c r="F639">
        <v>0.762259512090396</v>
      </c>
      <c r="G639">
        <v>0.61013659368735</v>
      </c>
      <c r="H639">
        <v>0.430068922603412</v>
      </c>
      <c r="I639">
        <v>0.367720749660785</v>
      </c>
      <c r="J639">
        <v>0.373510742917847</v>
      </c>
      <c r="K639">
        <v>0.343935100425937</v>
      </c>
      <c r="L639">
        <v>311.489815909658</v>
      </c>
      <c r="M639">
        <v>5.43100064485103</v>
      </c>
      <c r="N639">
        <v>57.3540449511964</v>
      </c>
      <c r="O639">
        <v>50.9752981821364</v>
      </c>
      <c r="P639">
        <v>-0.0267580742106447</v>
      </c>
      <c r="Q639">
        <v>0</v>
      </c>
      <c r="R639">
        <v>0.922684749283294</v>
      </c>
      <c r="S639" t="s">
        <v>2323</v>
      </c>
      <c r="T639" t="s">
        <v>3344</v>
      </c>
      <c r="U639" t="s">
        <v>3344</v>
      </c>
      <c r="V639" t="s">
        <v>3344</v>
      </c>
      <c r="W639" t="s">
        <v>3982</v>
      </c>
      <c r="X639">
        <v>1</v>
      </c>
      <c r="Y639" t="s">
        <v>5638</v>
      </c>
      <c r="Z639" t="s">
        <v>7296</v>
      </c>
      <c r="AA639">
        <v>0.6377254701688122</v>
      </c>
      <c r="AB639">
        <f>HYPERLINK("Melting_Curves/meltCurve_P0AD57_ispB.pdf", "Melting_Curves/meltCurve_P0AD57_ispB.pdf")</f>
        <v>0</v>
      </c>
    </row>
    <row r="640" spans="1:28">
      <c r="A640" t="s">
        <v>666</v>
      </c>
      <c r="B640">
        <v>0.999998419929286</v>
      </c>
      <c r="C640">
        <v>0.913106945001902</v>
      </c>
      <c r="D640">
        <v>0.994904893165762</v>
      </c>
      <c r="E640">
        <v>1.08601113272553</v>
      </c>
      <c r="F640">
        <v>1.17505232718072</v>
      </c>
      <c r="G640">
        <v>1.35841595900337</v>
      </c>
      <c r="H640">
        <v>1.25331395112984</v>
      </c>
      <c r="I640">
        <v>1.19641073990653</v>
      </c>
      <c r="J640">
        <v>1.25120196889193</v>
      </c>
      <c r="K640">
        <v>1.13959055821933</v>
      </c>
      <c r="L640">
        <v>1770.72291607708</v>
      </c>
      <c r="M640">
        <v>37.2758785074367</v>
      </c>
      <c r="O640">
        <v>47.3670871265116</v>
      </c>
      <c r="P640">
        <v>0.0462440100284346</v>
      </c>
      <c r="Q640">
        <v>1.2350515248424</v>
      </c>
      <c r="R640">
        <v>0.791277288475958</v>
      </c>
      <c r="S640" t="s">
        <v>2324</v>
      </c>
      <c r="T640" t="s">
        <v>3344</v>
      </c>
      <c r="U640" t="s">
        <v>3344</v>
      </c>
      <c r="V640" t="s">
        <v>3344</v>
      </c>
      <c r="W640" t="s">
        <v>3983</v>
      </c>
      <c r="X640">
        <v>4</v>
      </c>
      <c r="Y640" t="s">
        <v>5639</v>
      </c>
      <c r="Z640" t="s">
        <v>7297</v>
      </c>
      <c r="AA640">
        <v>1.151868621715938</v>
      </c>
      <c r="AB640">
        <f>HYPERLINK("Melting_Curves/meltCurve_P0AD59_ivy.pdf", "Melting_Curves/meltCurve_P0AD59_ivy.pdf")</f>
        <v>0</v>
      </c>
    </row>
    <row r="641" spans="1:28">
      <c r="A641" t="s">
        <v>667</v>
      </c>
      <c r="B641">
        <v>0.999998419929286</v>
      </c>
      <c r="C641">
        <v>1.08984480862458</v>
      </c>
      <c r="D641">
        <v>1.28715385938557</v>
      </c>
      <c r="E641">
        <v>1.3381016291116</v>
      </c>
      <c r="F641">
        <v>1.37395904051746</v>
      </c>
      <c r="G641">
        <v>1.55693352182847</v>
      </c>
      <c r="H641">
        <v>1.28965427276045</v>
      </c>
      <c r="I641">
        <v>0.487644610690548</v>
      </c>
      <c r="J641">
        <v>0.0510107359555492</v>
      </c>
      <c r="K641">
        <v>0.0362130901432785</v>
      </c>
      <c r="L641">
        <v>15000</v>
      </c>
      <c r="M641">
        <v>246.044751121571</v>
      </c>
      <c r="N641">
        <v>60.9871399435388</v>
      </c>
      <c r="O641">
        <v>60.9604847593593</v>
      </c>
      <c r="P641">
        <v>-0.965030748795579</v>
      </c>
      <c r="Q641">
        <v>0.0436089603670208</v>
      </c>
      <c r="R641">
        <v>0.736754372983112</v>
      </c>
      <c r="S641" t="s">
        <v>2325</v>
      </c>
      <c r="T641" t="s">
        <v>3344</v>
      </c>
      <c r="U641" t="s">
        <v>3344</v>
      </c>
      <c r="V641" t="s">
        <v>3344</v>
      </c>
      <c r="W641" t="s">
        <v>3984</v>
      </c>
      <c r="X641">
        <v>21</v>
      </c>
      <c r="Y641" t="s">
        <v>5640</v>
      </c>
      <c r="Z641" t="s">
        <v>7298</v>
      </c>
      <c r="AA641">
        <v>0.807696323778194</v>
      </c>
      <c r="AB641">
        <f>HYPERLINK("Melting_Curves/meltCurve_P0AD61_pykF.pdf", "Melting_Curves/meltCurve_P0AD61_pykF.pdf")</f>
        <v>0</v>
      </c>
    </row>
    <row r="642" spans="1:28">
      <c r="A642" t="s">
        <v>668</v>
      </c>
      <c r="B642">
        <v>0.999998419929286</v>
      </c>
      <c r="C642">
        <v>1.0729582991786</v>
      </c>
      <c r="D642">
        <v>1.0810238991798</v>
      </c>
      <c r="E642">
        <v>1.36363962577332</v>
      </c>
      <c r="F642">
        <v>1.43962691809665</v>
      </c>
      <c r="G642">
        <v>1.84526456606339</v>
      </c>
      <c r="H642">
        <v>1.7091285340097</v>
      </c>
      <c r="I642">
        <v>1.54931627769518</v>
      </c>
      <c r="J642">
        <v>1.87994720161784</v>
      </c>
      <c r="K642">
        <v>1.8323184001168</v>
      </c>
      <c r="L642">
        <v>1510.53589452708</v>
      </c>
      <c r="M642">
        <v>33.467410547599</v>
      </c>
      <c r="O642">
        <v>44.974297597092</v>
      </c>
      <c r="P642">
        <v>0.0930185465562868</v>
      </c>
      <c r="Q642">
        <v>1.5</v>
      </c>
      <c r="R642">
        <v>0.590134092328799</v>
      </c>
      <c r="S642" t="s">
        <v>2326</v>
      </c>
      <c r="T642" t="s">
        <v>3344</v>
      </c>
      <c r="U642" t="s">
        <v>3344</v>
      </c>
      <c r="V642" t="s">
        <v>3344</v>
      </c>
      <c r="W642" t="s">
        <v>3985</v>
      </c>
      <c r="X642">
        <v>5</v>
      </c>
      <c r="Y642" t="s">
        <v>5641</v>
      </c>
      <c r="Z642" t="s">
        <v>7299</v>
      </c>
      <c r="AA642">
        <v>1.362178727012449</v>
      </c>
      <c r="AB642">
        <f>HYPERLINK("Melting_Curves/meltCurve_P0AD96_livJ.pdf", "Melting_Curves/meltCurve_P0AD96_livJ.pdf")</f>
        <v>0</v>
      </c>
    </row>
    <row r="643" spans="1:28">
      <c r="A643" t="s">
        <v>669</v>
      </c>
      <c r="B643">
        <v>0.999998419929286</v>
      </c>
      <c r="C643">
        <v>0.831011880148199</v>
      </c>
      <c r="D643">
        <v>0.991228596122254</v>
      </c>
      <c r="E643">
        <v>1.01054938103679</v>
      </c>
      <c r="F643">
        <v>1.1634045146146</v>
      </c>
      <c r="G643">
        <v>1.2134956038654</v>
      </c>
      <c r="H643">
        <v>0.869062886064333</v>
      </c>
      <c r="I643">
        <v>0.425242901990295</v>
      </c>
      <c r="J643">
        <v>0.28819887465984</v>
      </c>
      <c r="K643">
        <v>0.276212379476691</v>
      </c>
      <c r="L643">
        <v>3047.86531457072</v>
      </c>
      <c r="M643">
        <v>51.3981461646251</v>
      </c>
      <c r="N643">
        <v>60.2432930262415</v>
      </c>
      <c r="O643">
        <v>59.2095703214053</v>
      </c>
      <c r="P643">
        <v>-0.156996006919226</v>
      </c>
      <c r="Q643">
        <v>0.276576343802773</v>
      </c>
      <c r="R643">
        <v>0.90673684996947</v>
      </c>
      <c r="S643" t="s">
        <v>2327</v>
      </c>
      <c r="T643" t="s">
        <v>3344</v>
      </c>
      <c r="U643" t="s">
        <v>3344</v>
      </c>
      <c r="V643" t="s">
        <v>3344</v>
      </c>
      <c r="W643" t="s">
        <v>3986</v>
      </c>
      <c r="X643">
        <v>8</v>
      </c>
      <c r="Y643" t="s">
        <v>5642</v>
      </c>
      <c r="Z643" t="s">
        <v>7300</v>
      </c>
      <c r="AA643">
        <v>0.8159894685244724</v>
      </c>
      <c r="AB643">
        <f>HYPERLINK("Melting_Curves/meltCurve_P0ADA1_tesA.pdf", "Melting_Curves/meltCurve_P0ADA1_tesA.pdf")</f>
        <v>0</v>
      </c>
    </row>
    <row r="644" spans="1:28">
      <c r="A644" t="s">
        <v>670</v>
      </c>
      <c r="B644">
        <v>0.999998419929286</v>
      </c>
      <c r="C644">
        <v>1.39231197746973</v>
      </c>
      <c r="D644">
        <v>1.52041213023343</v>
      </c>
      <c r="E644">
        <v>1.94944609017247</v>
      </c>
      <c r="F644">
        <v>2.21768423409469</v>
      </c>
      <c r="G644">
        <v>1.80526458001442</v>
      </c>
      <c r="H644">
        <v>0.394757296110511</v>
      </c>
      <c r="I644">
        <v>0.115665069593186</v>
      </c>
      <c r="J644">
        <v>0.0897431357842034</v>
      </c>
      <c r="K644">
        <v>0.0722798551403962</v>
      </c>
      <c r="L644">
        <v>14310.132510386</v>
      </c>
      <c r="M644">
        <v>250</v>
      </c>
      <c r="N644">
        <v>57.2874416694685</v>
      </c>
      <c r="O644">
        <v>57.2368670459605</v>
      </c>
      <c r="P644">
        <v>-0.990879551563021</v>
      </c>
      <c r="Q644">
        <v>0.0925625429376787</v>
      </c>
      <c r="R644">
        <v>0.447893019457823</v>
      </c>
      <c r="S644" t="s">
        <v>2328</v>
      </c>
      <c r="T644" t="s">
        <v>3344</v>
      </c>
      <c r="U644" t="s">
        <v>3344</v>
      </c>
      <c r="V644" t="s">
        <v>3344</v>
      </c>
      <c r="W644" t="s">
        <v>3987</v>
      </c>
      <c r="X644">
        <v>5</v>
      </c>
      <c r="Y644" t="s">
        <v>5643</v>
      </c>
      <c r="Z644" t="s">
        <v>7301</v>
      </c>
      <c r="AA644">
        <v>0.7048875377084821</v>
      </c>
      <c r="AB644">
        <f>HYPERLINK("Melting_Curves/meltCurve_P0ADA3_nlpD.pdf", "Melting_Curves/meltCurve_P0ADA3_nlpD.pdf")</f>
        <v>0</v>
      </c>
    </row>
    <row r="645" spans="1:28">
      <c r="A645" t="s">
        <v>671</v>
      </c>
      <c r="B645">
        <v>0.999998419929286</v>
      </c>
      <c r="C645">
        <v>0.7517814141243619</v>
      </c>
      <c r="D645">
        <v>1.04543174085208</v>
      </c>
      <c r="E645">
        <v>1.06263188194328</v>
      </c>
      <c r="F645">
        <v>1.29737659723486</v>
      </c>
      <c r="G645">
        <v>1.31396703287056</v>
      </c>
      <c r="H645">
        <v>0.707286262918158</v>
      </c>
      <c r="I645">
        <v>0.114244630514163</v>
      </c>
      <c r="J645">
        <v>0.0516053044869896</v>
      </c>
      <c r="K645">
        <v>0.0410499323744402</v>
      </c>
      <c r="L645">
        <v>4953.20847488481</v>
      </c>
      <c r="M645">
        <v>85.483836862785</v>
      </c>
      <c r="N645">
        <v>58.0364651387458</v>
      </c>
      <c r="O645">
        <v>57.9115283332172</v>
      </c>
      <c r="P645">
        <v>-0.345349893630541</v>
      </c>
      <c r="Q645">
        <v>0.0641628225896005</v>
      </c>
      <c r="R645">
        <v>0.886059689004843</v>
      </c>
      <c r="S645" t="s">
        <v>2329</v>
      </c>
      <c r="T645" t="s">
        <v>3344</v>
      </c>
      <c r="U645" t="s">
        <v>3344</v>
      </c>
      <c r="V645" t="s">
        <v>3344</v>
      </c>
      <c r="W645" t="s">
        <v>3988</v>
      </c>
      <c r="X645">
        <v>6</v>
      </c>
      <c r="Y645" t="s">
        <v>5644</v>
      </c>
      <c r="Z645" t="s">
        <v>7302</v>
      </c>
      <c r="AA645">
        <v>0.7182925315882993</v>
      </c>
      <c r="AB645">
        <f>HYPERLINK("Melting_Curves/meltCurve_P0ADA5_yajG.pdf", "Melting_Curves/meltCurve_P0ADA5_yajG.pdf")</f>
        <v>0</v>
      </c>
    </row>
    <row r="646" spans="1:28">
      <c r="A646" t="s">
        <v>672</v>
      </c>
      <c r="B646">
        <v>0.999998419929286</v>
      </c>
      <c r="C646">
        <v>0.747385465000744</v>
      </c>
      <c r="D646">
        <v>0.963133225503533</v>
      </c>
      <c r="E646">
        <v>1.06355888267859</v>
      </c>
      <c r="F646">
        <v>1.3280521578271</v>
      </c>
      <c r="G646">
        <v>1.64574908100942</v>
      </c>
      <c r="H646">
        <v>1.66510031550111</v>
      </c>
      <c r="I646">
        <v>1.49593880795642</v>
      </c>
      <c r="J646">
        <v>1.92049879603093</v>
      </c>
      <c r="K646">
        <v>2.44311471275244</v>
      </c>
      <c r="L646">
        <v>12517.5717233881</v>
      </c>
      <c r="M646">
        <v>250</v>
      </c>
      <c r="O646">
        <v>50.0670830894986</v>
      </c>
      <c r="P646">
        <v>0.624162590155575</v>
      </c>
      <c r="Q646">
        <v>1.5</v>
      </c>
      <c r="R646">
        <v>0.50388710111733</v>
      </c>
      <c r="S646" t="s">
        <v>2330</v>
      </c>
      <c r="T646" t="s">
        <v>3344</v>
      </c>
      <c r="U646" t="s">
        <v>3344</v>
      </c>
      <c r="V646" t="s">
        <v>3344</v>
      </c>
      <c r="W646" t="s">
        <v>3989</v>
      </c>
      <c r="X646">
        <v>4</v>
      </c>
      <c r="Y646" t="s">
        <v>5645</v>
      </c>
      <c r="Z646" t="s">
        <v>7303</v>
      </c>
      <c r="AA646">
        <v>1.282117948820344</v>
      </c>
      <c r="AB646">
        <f>HYPERLINK("Melting_Curves/meltCurve_P0ADB1_osmE.pdf", "Melting_Curves/meltCurve_P0ADB1_osmE.pdf")</f>
        <v>0</v>
      </c>
    </row>
    <row r="647" spans="1:28">
      <c r="A647" t="s">
        <v>673</v>
      </c>
      <c r="B647">
        <v>0.999998419929286</v>
      </c>
      <c r="C647">
        <v>0.9259688212832921</v>
      </c>
      <c r="D647">
        <v>0.94487663929404</v>
      </c>
      <c r="E647">
        <v>1.05253215908271</v>
      </c>
      <c r="F647">
        <v>1.26609605507557</v>
      </c>
      <c r="G647">
        <v>1.05452324503337</v>
      </c>
      <c r="H647">
        <v>0.682584829098367</v>
      </c>
      <c r="I647">
        <v>0.352551572280826</v>
      </c>
      <c r="J647">
        <v>0.414927168054247</v>
      </c>
      <c r="K647">
        <v>0.427818996863777</v>
      </c>
      <c r="L647">
        <v>14343.6457894175</v>
      </c>
      <c r="M647">
        <v>250</v>
      </c>
      <c r="N647">
        <v>57.7427225289829</v>
      </c>
      <c r="O647">
        <v>57.3709116277593</v>
      </c>
      <c r="P647">
        <v>-0.655348962314829</v>
      </c>
      <c r="Q647">
        <v>0.398432522927249</v>
      </c>
      <c r="R647">
        <v>0.904227174195595</v>
      </c>
      <c r="S647" t="s">
        <v>2331</v>
      </c>
      <c r="T647" t="s">
        <v>3344</v>
      </c>
      <c r="U647" t="s">
        <v>3344</v>
      </c>
      <c r="V647" t="s">
        <v>3344</v>
      </c>
      <c r="W647" t="s">
        <v>3990</v>
      </c>
      <c r="X647">
        <v>4</v>
      </c>
      <c r="Y647" t="s">
        <v>5646</v>
      </c>
      <c r="Z647" t="s">
        <v>7304</v>
      </c>
      <c r="AA647">
        <v>0.807049315211448</v>
      </c>
      <c r="AB647">
        <f>HYPERLINK("Melting_Curves/meltCurve_P0ADC1_lptE.pdf", "Melting_Curves/meltCurve_P0ADC1_lptE.pdf")</f>
        <v>0</v>
      </c>
    </row>
    <row r="648" spans="1:28">
      <c r="A648" t="s">
        <v>674</v>
      </c>
      <c r="B648">
        <v>0.999998419929286</v>
      </c>
      <c r="C648">
        <v>0.702410156888975</v>
      </c>
      <c r="D648">
        <v>0.386095186790539</v>
      </c>
      <c r="E648">
        <v>0.23805734468159</v>
      </c>
      <c r="F648">
        <v>0.218969681009095</v>
      </c>
      <c r="G648">
        <v>0.166401798628123</v>
      </c>
      <c r="H648">
        <v>0.166490949784432</v>
      </c>
      <c r="I648">
        <v>0.103821768971874</v>
      </c>
      <c r="J648">
        <v>0.137931455257216</v>
      </c>
      <c r="K648">
        <v>0.142100202639541</v>
      </c>
      <c r="L648">
        <v>928.457566437647</v>
      </c>
      <c r="M648">
        <v>22.5324685803942</v>
      </c>
      <c r="N648">
        <v>41.8944468893703</v>
      </c>
      <c r="O648">
        <v>40.8848954953944</v>
      </c>
      <c r="P648">
        <v>-0.116446584669535</v>
      </c>
      <c r="Q648">
        <v>0.154853654192317</v>
      </c>
      <c r="R648">
        <v>0.986487524158197</v>
      </c>
      <c r="S648" t="s">
        <v>2332</v>
      </c>
      <c r="T648" t="s">
        <v>3344</v>
      </c>
      <c r="U648" t="s">
        <v>3344</v>
      </c>
      <c r="V648" t="s">
        <v>3344</v>
      </c>
      <c r="W648" t="s">
        <v>3991</v>
      </c>
      <c r="X648">
        <v>1</v>
      </c>
      <c r="Y648" t="s">
        <v>5647</v>
      </c>
      <c r="Z648" t="s">
        <v>7305</v>
      </c>
      <c r="AA648">
        <v>0.2839026534071838</v>
      </c>
      <c r="AB648">
        <f>HYPERLINK("Melting_Curves/meltCurve_P0ADC6_lptG.pdf", "Melting_Curves/meltCurve_P0ADC6_lptG.pdf")</f>
        <v>0</v>
      </c>
    </row>
    <row r="649" spans="1:28">
      <c r="A649" t="s">
        <v>675</v>
      </c>
      <c r="B649">
        <v>0.999998419929286</v>
      </c>
      <c r="C649">
        <v>1.01568043231813</v>
      </c>
      <c r="D649">
        <v>0.779257123392489</v>
      </c>
      <c r="E649">
        <v>0.954335962777577</v>
      </c>
      <c r="F649">
        <v>0.982272251756264</v>
      </c>
      <c r="G649">
        <v>1.1037077032067</v>
      </c>
      <c r="H649">
        <v>1.08464684926348</v>
      </c>
      <c r="I649">
        <v>1.2914256207566</v>
      </c>
      <c r="J649">
        <v>1.24211904927549</v>
      </c>
      <c r="K649">
        <v>1.02909279928984</v>
      </c>
      <c r="L649">
        <v>1888.17915969801</v>
      </c>
      <c r="M649">
        <v>34.9084034765669</v>
      </c>
      <c r="O649">
        <v>53.9129289634838</v>
      </c>
      <c r="P649">
        <v>0.0277964017910853</v>
      </c>
      <c r="Q649">
        <v>1.17171574760511</v>
      </c>
      <c r="R649">
        <v>0.487767559889816</v>
      </c>
      <c r="S649" t="s">
        <v>2333</v>
      </c>
      <c r="T649" t="s">
        <v>3344</v>
      </c>
      <c r="U649" t="s">
        <v>3344</v>
      </c>
      <c r="V649" t="s">
        <v>3344</v>
      </c>
      <c r="W649" t="s">
        <v>3992</v>
      </c>
      <c r="X649">
        <v>9</v>
      </c>
      <c r="Y649" t="s">
        <v>5648</v>
      </c>
      <c r="Z649" t="s">
        <v>7306</v>
      </c>
      <c r="AA649">
        <v>1.073069730926056</v>
      </c>
      <c r="AB649">
        <f>HYPERLINK("Melting_Curves/meltCurve_P0ADE6_ygaU.pdf", "Melting_Curves/meltCurve_P0ADE6_ygaU.pdf")</f>
        <v>0</v>
      </c>
    </row>
    <row r="650" spans="1:28">
      <c r="A650" t="s">
        <v>676</v>
      </c>
      <c r="B650">
        <v>0.999998419929286</v>
      </c>
      <c r="C650">
        <v>1.00453463221261</v>
      </c>
      <c r="D650">
        <v>1.295861661495</v>
      </c>
      <c r="E650">
        <v>1.53592674424953</v>
      </c>
      <c r="F650">
        <v>1.17137908849641</v>
      </c>
      <c r="G650">
        <v>0.275614769370986</v>
      </c>
      <c r="H650">
        <v>0.111756695881389</v>
      </c>
      <c r="I650">
        <v>0.0598439089262622</v>
      </c>
      <c r="J650">
        <v>0.0503878656141968</v>
      </c>
      <c r="K650">
        <v>0.0460849942089967</v>
      </c>
      <c r="S650" t="s">
        <v>2334</v>
      </c>
      <c r="T650" t="s">
        <v>3344</v>
      </c>
      <c r="U650" t="s">
        <v>3345</v>
      </c>
      <c r="V650" t="s">
        <v>3344</v>
      </c>
      <c r="W650" t="s">
        <v>3993</v>
      </c>
      <c r="X650">
        <v>10</v>
      </c>
      <c r="Y650" t="s">
        <v>5649</v>
      </c>
      <c r="Z650" t="s">
        <v>7307</v>
      </c>
      <c r="AB650">
        <f>HYPERLINK("Melting_Curves/meltCurve_P0ADE8_ygfZ.pdf", "Melting_Curves/meltCurve_P0ADE8_ygfZ.pdf")</f>
        <v>0</v>
      </c>
    </row>
    <row r="651" spans="1:28">
      <c r="A651" t="s">
        <v>677</v>
      </c>
      <c r="B651">
        <v>0.999998419929286</v>
      </c>
      <c r="C651">
        <v>0.800913624901136</v>
      </c>
      <c r="D651">
        <v>0.613932457453247</v>
      </c>
      <c r="E651">
        <v>0.503456232522726</v>
      </c>
      <c r="F651">
        <v>0.328782703041643</v>
      </c>
      <c r="G651">
        <v>0.223253434170117</v>
      </c>
      <c r="H651">
        <v>0.167694172384552</v>
      </c>
      <c r="I651">
        <v>0.132515028435224</v>
      </c>
      <c r="J651">
        <v>0.130307468485421</v>
      </c>
      <c r="K651">
        <v>0.09974825348911549</v>
      </c>
      <c r="L651">
        <v>483.109875573444</v>
      </c>
      <c r="M651">
        <v>10.6808173929236</v>
      </c>
      <c r="N651">
        <v>46.0154987343112</v>
      </c>
      <c r="O651">
        <v>43.7324610925244</v>
      </c>
      <c r="P651">
        <v>-0.0559998796528811</v>
      </c>
      <c r="Q651">
        <v>0.0831838051370329</v>
      </c>
      <c r="R651">
        <v>0.988219531499846</v>
      </c>
      <c r="S651" t="s">
        <v>2335</v>
      </c>
      <c r="T651" t="s">
        <v>3344</v>
      </c>
      <c r="U651" t="s">
        <v>3344</v>
      </c>
      <c r="V651" t="s">
        <v>3344</v>
      </c>
      <c r="W651" t="s">
        <v>3994</v>
      </c>
      <c r="X651">
        <v>1</v>
      </c>
      <c r="Y651" t="s">
        <v>5650</v>
      </c>
      <c r="Z651" t="s">
        <v>7308</v>
      </c>
      <c r="AA651">
        <v>0.3749489637956163</v>
      </c>
      <c r="AB651">
        <f>HYPERLINK("Melting_Curves/meltCurve_P0ADF8_ilvN.pdf", "Melting_Curves/meltCurve_P0ADF8_ilvN.pdf")</f>
        <v>0</v>
      </c>
    </row>
    <row r="652" spans="1:28">
      <c r="A652" t="s">
        <v>678</v>
      </c>
      <c r="B652">
        <v>0.999998419929286</v>
      </c>
      <c r="C652">
        <v>0.984683696197136</v>
      </c>
      <c r="D652">
        <v>1.05796670380731</v>
      </c>
      <c r="E652">
        <v>1.1643054268842</v>
      </c>
      <c r="F652">
        <v>1.38304595229877</v>
      </c>
      <c r="G652">
        <v>1.72670487048569</v>
      </c>
      <c r="H652">
        <v>1.53160913401376</v>
      </c>
      <c r="I652">
        <v>1.13935828352393</v>
      </c>
      <c r="J652">
        <v>1.15353703839683</v>
      </c>
      <c r="K652">
        <v>1.17384501205935</v>
      </c>
      <c r="L652">
        <v>11656.0402980293</v>
      </c>
      <c r="M652">
        <v>250</v>
      </c>
      <c r="O652">
        <v>46.6211774928401</v>
      </c>
      <c r="P652">
        <v>0.471017234201332</v>
      </c>
      <c r="Q652">
        <v>1.35135004930322</v>
      </c>
      <c r="R652">
        <v>0.441144358261483</v>
      </c>
      <c r="S652" t="s">
        <v>2336</v>
      </c>
      <c r="T652" t="s">
        <v>3344</v>
      </c>
      <c r="U652" t="s">
        <v>3344</v>
      </c>
      <c r="V652" t="s">
        <v>3344</v>
      </c>
      <c r="W652" t="s">
        <v>3995</v>
      </c>
      <c r="X652">
        <v>12</v>
      </c>
      <c r="Y652" t="s">
        <v>5651</v>
      </c>
      <c r="Z652" t="s">
        <v>7309</v>
      </c>
      <c r="AA652">
        <v>1.238606316553756</v>
      </c>
      <c r="AB652">
        <f>HYPERLINK("Melting_Curves/meltCurve_P0ADG4_suhB.pdf", "Melting_Curves/meltCurve_P0ADG4_suhB.pdf")</f>
        <v>0</v>
      </c>
    </row>
    <row r="653" spans="1:28">
      <c r="A653" t="s">
        <v>679</v>
      </c>
      <c r="B653">
        <v>0.999998419929286</v>
      </c>
      <c r="C653">
        <v>1.37626388657571</v>
      </c>
      <c r="D653">
        <v>1.40884068812443</v>
      </c>
      <c r="E653">
        <v>1.38585471946136</v>
      </c>
      <c r="F653">
        <v>1.4918952289674</v>
      </c>
      <c r="G653">
        <v>1.4744676424045</v>
      </c>
      <c r="H653">
        <v>1.37977324864017</v>
      </c>
      <c r="I653">
        <v>1.23908513765937</v>
      </c>
      <c r="J653">
        <v>1.28218395061357</v>
      </c>
      <c r="K653">
        <v>1.3905999152989</v>
      </c>
      <c r="L653">
        <v>9128.63386835957</v>
      </c>
      <c r="M653">
        <v>233.0459431993</v>
      </c>
      <c r="O653">
        <v>39.1680768318518</v>
      </c>
      <c r="P653">
        <v>0.5676014728948789</v>
      </c>
      <c r="Q653">
        <v>1.38158756631956</v>
      </c>
      <c r="R653">
        <v>0.716005593246168</v>
      </c>
      <c r="S653" t="s">
        <v>2337</v>
      </c>
      <c r="T653" t="s">
        <v>3344</v>
      </c>
      <c r="U653" t="s">
        <v>3344</v>
      </c>
      <c r="V653" t="s">
        <v>3344</v>
      </c>
      <c r="W653" t="s">
        <v>3996</v>
      </c>
      <c r="X653">
        <v>15</v>
      </c>
      <c r="Y653" t="s">
        <v>5652</v>
      </c>
      <c r="Z653" t="s">
        <v>7310</v>
      </c>
      <c r="AA653">
        <v>1.353943634123534</v>
      </c>
      <c r="AB653">
        <f>HYPERLINK("Melting_Curves/meltCurve_P0ADG7_guaB.pdf", "Melting_Curves/meltCurve_P0ADG7_guaB.pdf")</f>
        <v>0</v>
      </c>
    </row>
    <row r="654" spans="1:28">
      <c r="A654" t="s">
        <v>680</v>
      </c>
      <c r="B654">
        <v>0.999998419929286</v>
      </c>
      <c r="C654">
        <v>1.07365594969339</v>
      </c>
      <c r="D654">
        <v>0.556471475256023</v>
      </c>
      <c r="E654">
        <v>0.646728344055011</v>
      </c>
      <c r="F654">
        <v>0.563935246549817</v>
      </c>
      <c r="G654">
        <v>0.521938111864596</v>
      </c>
      <c r="H654">
        <v>0.297602548842455</v>
      </c>
      <c r="I654">
        <v>0.295057502535802</v>
      </c>
      <c r="J654">
        <v>0.190076860950747</v>
      </c>
      <c r="K654">
        <v>0.202265547216572</v>
      </c>
      <c r="L654">
        <v>364.573884672786</v>
      </c>
      <c r="M654">
        <v>7.23876050129604</v>
      </c>
      <c r="N654">
        <v>51.3732601081236</v>
      </c>
      <c r="O654">
        <v>46.9466260216097</v>
      </c>
      <c r="P654">
        <v>-0.0360521471151893</v>
      </c>
      <c r="Q654">
        <v>0.06627255748339381</v>
      </c>
      <c r="R654">
        <v>0.871876663068494</v>
      </c>
      <c r="S654" t="s">
        <v>2338</v>
      </c>
      <c r="T654" t="s">
        <v>3344</v>
      </c>
      <c r="U654" t="s">
        <v>3344</v>
      </c>
      <c r="V654" t="s">
        <v>3344</v>
      </c>
      <c r="W654" t="s">
        <v>3997</v>
      </c>
      <c r="X654">
        <v>2</v>
      </c>
      <c r="Y654" t="s">
        <v>5653</v>
      </c>
      <c r="Z654" t="s">
        <v>7311</v>
      </c>
      <c r="AA654">
        <v>0.5204127217063367</v>
      </c>
      <c r="AB654">
        <f>HYPERLINK("Melting_Curves/meltCurve_P0ADI4_entB.pdf", "Melting_Curves/meltCurve_P0ADI4_entB.pdf")</f>
        <v>0</v>
      </c>
    </row>
    <row r="655" spans="1:28">
      <c r="A655" t="s">
        <v>681</v>
      </c>
      <c r="B655">
        <v>0.999998419929286</v>
      </c>
      <c r="C655">
        <v>0.818542626679297</v>
      </c>
      <c r="D655">
        <v>1.11151087761222</v>
      </c>
      <c r="E655">
        <v>0.896930586750033</v>
      </c>
      <c r="F655">
        <v>1.14287960389039</v>
      </c>
      <c r="G655">
        <v>1.14012031538191</v>
      </c>
      <c r="H655">
        <v>0.969814056375875</v>
      </c>
      <c r="I655">
        <v>0.486311812933646</v>
      </c>
      <c r="J655">
        <v>0.117026695575335</v>
      </c>
      <c r="K655">
        <v>0.0889154782793516</v>
      </c>
      <c r="L655">
        <v>3755.24341550374</v>
      </c>
      <c r="M655">
        <v>61.8096396254676</v>
      </c>
      <c r="N655">
        <v>60.9368500795628</v>
      </c>
      <c r="O655">
        <v>60.6914806129456</v>
      </c>
      <c r="P655">
        <v>-0.233161053100877</v>
      </c>
      <c r="Q655">
        <v>0.08422800406097219</v>
      </c>
      <c r="R655">
        <v>0.934765000496129</v>
      </c>
      <c r="S655" t="s">
        <v>2339</v>
      </c>
      <c r="T655" t="s">
        <v>3344</v>
      </c>
      <c r="U655" t="s">
        <v>3344</v>
      </c>
      <c r="V655" t="s">
        <v>3344</v>
      </c>
      <c r="W655" t="s">
        <v>3998</v>
      </c>
      <c r="X655">
        <v>3</v>
      </c>
      <c r="Y655" t="s">
        <v>5654</v>
      </c>
      <c r="Z655" t="s">
        <v>7312</v>
      </c>
      <c r="AA655">
        <v>0.8108500467652203</v>
      </c>
      <c r="AB655">
        <f>HYPERLINK("Melting_Curves/meltCurve_P0ADI7_yecD.pdf", "Melting_Curves/meltCurve_P0ADI7_yecD.pdf")</f>
        <v>0</v>
      </c>
    </row>
    <row r="656" spans="1:28">
      <c r="A656" t="s">
        <v>682</v>
      </c>
      <c r="B656">
        <v>0.999998419929286</v>
      </c>
      <c r="C656">
        <v>0.89801503649088</v>
      </c>
      <c r="D656">
        <v>0.930701331915408</v>
      </c>
      <c r="E656">
        <v>1.08114650036463</v>
      </c>
      <c r="F656">
        <v>1.31629519404085</v>
      </c>
      <c r="G656">
        <v>1.58377905309443</v>
      </c>
      <c r="H656">
        <v>1.41488257319614</v>
      </c>
      <c r="I656">
        <v>1.11899303766232</v>
      </c>
      <c r="J656">
        <v>1.32485413616646</v>
      </c>
      <c r="K656">
        <v>1.34702678337175</v>
      </c>
      <c r="L656">
        <v>2647.87565709821</v>
      </c>
      <c r="M656">
        <v>55.5360810671674</v>
      </c>
      <c r="O656">
        <v>47.6167832165317</v>
      </c>
      <c r="P656">
        <v>0.103433477811264</v>
      </c>
      <c r="Q656">
        <v>1.35473628419075</v>
      </c>
      <c r="R656">
        <v>0.725631023627563</v>
      </c>
      <c r="S656" t="s">
        <v>2340</v>
      </c>
      <c r="T656" t="s">
        <v>3344</v>
      </c>
      <c r="U656" t="s">
        <v>3344</v>
      </c>
      <c r="V656" t="s">
        <v>3344</v>
      </c>
      <c r="W656" t="s">
        <v>3999</v>
      </c>
      <c r="X656">
        <v>7</v>
      </c>
      <c r="Y656" t="s">
        <v>5655</v>
      </c>
      <c r="Z656" t="s">
        <v>7313</v>
      </c>
      <c r="AA656">
        <v>1.227864118051184</v>
      </c>
      <c r="AB656">
        <f>HYPERLINK("Melting_Curves/meltCurve_P0ADK0_yiaF.pdf", "Melting_Curves/meltCurve_P0ADK0_yiaF.pdf")</f>
        <v>0</v>
      </c>
    </row>
    <row r="657" spans="1:28">
      <c r="A657" t="s">
        <v>683</v>
      </c>
      <c r="B657">
        <v>0.999998419929286</v>
      </c>
      <c r="C657">
        <v>0.9751451100069159</v>
      </c>
      <c r="D657">
        <v>0.83815526878709</v>
      </c>
      <c r="E657">
        <v>1.10313178499151</v>
      </c>
      <c r="F657">
        <v>1.13725519239461</v>
      </c>
      <c r="G657">
        <v>1.16011735633213</v>
      </c>
      <c r="H657">
        <v>1.14618356647462</v>
      </c>
      <c r="I657">
        <v>1.07573545091579</v>
      </c>
      <c r="J657">
        <v>1.12897597467225</v>
      </c>
      <c r="K657">
        <v>1.17085143286756</v>
      </c>
      <c r="L657">
        <v>11597.4440692158</v>
      </c>
      <c r="M657">
        <v>250</v>
      </c>
      <c r="O657">
        <v>46.3868076597709</v>
      </c>
      <c r="P657">
        <v>0.183942154187283</v>
      </c>
      <c r="Q657">
        <v>1.13651982900744</v>
      </c>
      <c r="R657">
        <v>0.678490172192477</v>
      </c>
      <c r="S657" t="s">
        <v>2341</v>
      </c>
      <c r="T657" t="s">
        <v>3344</v>
      </c>
      <c r="U657" t="s">
        <v>3344</v>
      </c>
      <c r="V657" t="s">
        <v>3344</v>
      </c>
      <c r="W657" t="s">
        <v>4000</v>
      </c>
      <c r="X657">
        <v>3</v>
      </c>
      <c r="Y657" t="s">
        <v>5656</v>
      </c>
      <c r="Z657" t="s">
        <v>7314</v>
      </c>
      <c r="AA657">
        <v>1.093779026081632</v>
      </c>
      <c r="AB657">
        <f>HYPERLINK("Melting_Curves/meltCurve_P0ADK8_yibL.pdf", "Melting_Curves/meltCurve_P0ADK8_yibL.pdf")</f>
        <v>0</v>
      </c>
    </row>
    <row r="658" spans="1:28">
      <c r="A658" t="s">
        <v>684</v>
      </c>
      <c r="B658">
        <v>0.999998419929286</v>
      </c>
      <c r="C658">
        <v>1.03448860641929</v>
      </c>
      <c r="D658">
        <v>1.06718327384008</v>
      </c>
      <c r="E658">
        <v>1.37880844978962</v>
      </c>
      <c r="F658">
        <v>1.46184237152578</v>
      </c>
      <c r="G658">
        <v>1.87336150324187</v>
      </c>
      <c r="H658">
        <v>1.82933178122253</v>
      </c>
      <c r="I658">
        <v>1.65696616801662</v>
      </c>
      <c r="J658">
        <v>1.79385882820572</v>
      </c>
      <c r="K658">
        <v>1.67126938897543</v>
      </c>
      <c r="L658">
        <v>1754.30190566204</v>
      </c>
      <c r="M658">
        <v>38.8475127028298</v>
      </c>
      <c r="O658">
        <v>45.0394988841544</v>
      </c>
      <c r="P658">
        <v>0.10781537341591</v>
      </c>
      <c r="Q658">
        <v>1.5</v>
      </c>
      <c r="R658">
        <v>0.6287988835809341</v>
      </c>
      <c r="S658" t="s">
        <v>2342</v>
      </c>
      <c r="T658" t="s">
        <v>3344</v>
      </c>
      <c r="U658" t="s">
        <v>3344</v>
      </c>
      <c r="V658" t="s">
        <v>3344</v>
      </c>
      <c r="W658" t="s">
        <v>4001</v>
      </c>
      <c r="X658">
        <v>4</v>
      </c>
      <c r="Y658" t="s">
        <v>5657</v>
      </c>
      <c r="Z658" t="s">
        <v>7315</v>
      </c>
      <c r="AA658">
        <v>1.362363884073258</v>
      </c>
      <c r="AB658">
        <f>HYPERLINK("Melting_Curves/meltCurve_P0ADN2_yifE.pdf", "Melting_Curves/meltCurve_P0ADN2_yifE.pdf")</f>
        <v>0</v>
      </c>
    </row>
    <row r="659" spans="1:28">
      <c r="A659" t="s">
        <v>685</v>
      </c>
      <c r="B659">
        <v>0.999998419929286</v>
      </c>
      <c r="C659">
        <v>1.07248472093063</v>
      </c>
      <c r="D659">
        <v>1.31904510067366</v>
      </c>
      <c r="E659">
        <v>1.5420514011336</v>
      </c>
      <c r="F659">
        <v>1.52087088956959</v>
      </c>
      <c r="G659">
        <v>2.25849217766114</v>
      </c>
      <c r="H659">
        <v>2.33405063956006</v>
      </c>
      <c r="I659">
        <v>2.02136055495685</v>
      </c>
      <c r="J659">
        <v>1.76795989368946</v>
      </c>
      <c r="K659">
        <v>1.96479621754152</v>
      </c>
      <c r="L659">
        <v>1625.16391779755</v>
      </c>
      <c r="M659">
        <v>38.5106860816903</v>
      </c>
      <c r="O659">
        <v>42.087035508014</v>
      </c>
      <c r="P659">
        <v>0.11437841297343</v>
      </c>
      <c r="Q659">
        <v>1.5</v>
      </c>
      <c r="R659">
        <v>0.0702965629785975</v>
      </c>
      <c r="S659" t="s">
        <v>2343</v>
      </c>
      <c r="T659" t="s">
        <v>3344</v>
      </c>
      <c r="U659" t="s">
        <v>3344</v>
      </c>
      <c r="V659" t="s">
        <v>3344</v>
      </c>
      <c r="W659" t="s">
        <v>4002</v>
      </c>
      <c r="X659">
        <v>1</v>
      </c>
      <c r="Y659" t="s">
        <v>5658</v>
      </c>
      <c r="Z659" t="s">
        <v>7316</v>
      </c>
      <c r="AA659">
        <v>1.411692894200122</v>
      </c>
      <c r="AB659">
        <f>HYPERLINK("Melting_Curves/meltCurve_P0ADN6_yifL.pdf", "Melting_Curves/meltCurve_P0ADN6_yifL.pdf")</f>
        <v>0</v>
      </c>
    </row>
    <row r="660" spans="1:28">
      <c r="A660" t="s">
        <v>686</v>
      </c>
      <c r="B660">
        <v>0.999998419929286</v>
      </c>
      <c r="C660">
        <v>0.895101788494731</v>
      </c>
      <c r="D660">
        <v>0.903848424752085</v>
      </c>
      <c r="E660">
        <v>0.9576936291882721</v>
      </c>
      <c r="F660">
        <v>0.9096276380935699</v>
      </c>
      <c r="G660">
        <v>0.632261485752998</v>
      </c>
      <c r="H660">
        <v>0.295438958490816</v>
      </c>
      <c r="I660">
        <v>0.134169710907626</v>
      </c>
      <c r="J660">
        <v>0.118021291282423</v>
      </c>
      <c r="K660">
        <v>0.116216151948594</v>
      </c>
      <c r="L660">
        <v>1387.93837241708</v>
      </c>
      <c r="M660">
        <v>25.4452443876703</v>
      </c>
      <c r="N660">
        <v>55.0044116831974</v>
      </c>
      <c r="O660">
        <v>54.212525332609</v>
      </c>
      <c r="P660">
        <v>-0.106132032665584</v>
      </c>
      <c r="Q660">
        <v>0.0955302542406011</v>
      </c>
      <c r="R660">
        <v>0.983929979489699</v>
      </c>
      <c r="S660" t="s">
        <v>2344</v>
      </c>
      <c r="T660" t="s">
        <v>3344</v>
      </c>
      <c r="U660" t="s">
        <v>3344</v>
      </c>
      <c r="V660" t="s">
        <v>3344</v>
      </c>
      <c r="W660" t="s">
        <v>4003</v>
      </c>
      <c r="X660">
        <v>2</v>
      </c>
      <c r="Y660" t="s">
        <v>5659</v>
      </c>
      <c r="Z660" t="s">
        <v>7317</v>
      </c>
      <c r="AA660">
        <v>0.6321157368660574</v>
      </c>
      <c r="AB660">
        <f>HYPERLINK("Melting_Curves/meltCurve_P0ADP7_ubiJ.pdf", "Melting_Curves/meltCurve_P0ADP7_ubiJ.pdf")</f>
        <v>0</v>
      </c>
    </row>
    <row r="661" spans="1:28">
      <c r="A661" t="s">
        <v>687</v>
      </c>
      <c r="B661">
        <v>0.999998419929286</v>
      </c>
      <c r="C661">
        <v>0.8611587238747</v>
      </c>
      <c r="D661">
        <v>0.6278915069382081</v>
      </c>
      <c r="E661">
        <v>0.936253582574885</v>
      </c>
      <c r="F661">
        <v>1.04048069179485</v>
      </c>
      <c r="G661">
        <v>1.72245221055282</v>
      </c>
      <c r="H661">
        <v>1.6774540571598</v>
      </c>
      <c r="I661">
        <v>1.17299510341653</v>
      </c>
      <c r="J661">
        <v>1.33480846028118</v>
      </c>
      <c r="K661">
        <v>0.997497453653005</v>
      </c>
      <c r="L661">
        <v>12656.9125291099</v>
      </c>
      <c r="M661">
        <v>250</v>
      </c>
      <c r="O661">
        <v>50.6244108415025</v>
      </c>
      <c r="P661">
        <v>0.470427001802334</v>
      </c>
      <c r="Q661">
        <v>1.38104143231043</v>
      </c>
      <c r="R661">
        <v>0.491299241333076</v>
      </c>
      <c r="S661" t="s">
        <v>2345</v>
      </c>
      <c r="T661" t="s">
        <v>3344</v>
      </c>
      <c r="U661" t="s">
        <v>3344</v>
      </c>
      <c r="V661" t="s">
        <v>3344</v>
      </c>
      <c r="W661" t="s">
        <v>4004</v>
      </c>
      <c r="X661">
        <v>2</v>
      </c>
      <c r="Y661" t="s">
        <v>5660</v>
      </c>
      <c r="Z661" t="s">
        <v>7318</v>
      </c>
      <c r="AA661">
        <v>1.207917599184837</v>
      </c>
      <c r="AB661">
        <f>HYPERLINK("Melting_Curves/meltCurve_P0ADP9_yihD.pdf", "Melting_Curves/meltCurve_P0ADP9_yihD.pdf")</f>
        <v>0</v>
      </c>
    </row>
    <row r="662" spans="1:28">
      <c r="A662" t="s">
        <v>688</v>
      </c>
      <c r="B662">
        <v>0.999998419929286</v>
      </c>
      <c r="C662">
        <v>0.931011568167964</v>
      </c>
      <c r="D662">
        <v>0.883723234756287</v>
      </c>
      <c r="E662">
        <v>0.925467834059435</v>
      </c>
      <c r="F662">
        <v>0.8540866058268241</v>
      </c>
      <c r="G662">
        <v>0.879301886529596</v>
      </c>
      <c r="H662">
        <v>0.74885731883956</v>
      </c>
      <c r="I662">
        <v>0.636392536792253</v>
      </c>
      <c r="J662">
        <v>0.707359254378132</v>
      </c>
      <c r="K662">
        <v>0.685461055143309</v>
      </c>
      <c r="L662">
        <v>278.013531739391</v>
      </c>
      <c r="M662">
        <v>4.3780257157206</v>
      </c>
      <c r="O662">
        <v>53.5610398018748</v>
      </c>
      <c r="P662">
        <v>-0.0126082643326734</v>
      </c>
      <c r="Q662">
        <v>0.388853698003324</v>
      </c>
      <c r="R662">
        <v>0.865083842543085</v>
      </c>
      <c r="S662" t="s">
        <v>2346</v>
      </c>
      <c r="T662" t="s">
        <v>3344</v>
      </c>
      <c r="U662" t="s">
        <v>3344</v>
      </c>
      <c r="V662" t="s">
        <v>3344</v>
      </c>
      <c r="W662" t="s">
        <v>4005</v>
      </c>
      <c r="X662">
        <v>3</v>
      </c>
      <c r="Y662" t="s">
        <v>5661</v>
      </c>
      <c r="Z662" t="s">
        <v>7319</v>
      </c>
      <c r="AA662">
        <v>0.8272783240240174</v>
      </c>
      <c r="AB662">
        <f>HYPERLINK("Melting_Curves/meltCurve_P0ADQ7_ygaM.pdf", "Melting_Curves/meltCurve_P0ADQ7_ygaM.pdf")</f>
        <v>0</v>
      </c>
    </row>
    <row r="663" spans="1:28">
      <c r="A663" t="s">
        <v>689</v>
      </c>
      <c r="B663">
        <v>0.999998419929286</v>
      </c>
      <c r="C663">
        <v>0.671256745686857</v>
      </c>
      <c r="D663">
        <v>0.204956434371292</v>
      </c>
      <c r="E663">
        <v>0.043273337423519</v>
      </c>
      <c r="F663">
        <v>0.0315287594765355</v>
      </c>
      <c r="G663">
        <v>0.0331828807647852</v>
      </c>
      <c r="H663">
        <v>0.0105516197282371</v>
      </c>
      <c r="I663">
        <v>0</v>
      </c>
      <c r="J663">
        <v>0.00843991020475905</v>
      </c>
      <c r="K663">
        <v>0.0152362960914927</v>
      </c>
      <c r="L663">
        <v>1245.27775101481</v>
      </c>
      <c r="M663">
        <v>30.4607337681584</v>
      </c>
      <c r="N663">
        <v>40.9279999293126</v>
      </c>
      <c r="O663">
        <v>40.7064173532337</v>
      </c>
      <c r="P663">
        <v>-0.183887740376746</v>
      </c>
      <c r="Q663">
        <v>0.0170470850118446</v>
      </c>
      <c r="R663">
        <v>0.9976752228024039</v>
      </c>
      <c r="S663" t="s">
        <v>2347</v>
      </c>
      <c r="T663" t="s">
        <v>3344</v>
      </c>
      <c r="U663" t="s">
        <v>3344</v>
      </c>
      <c r="V663" t="s">
        <v>3344</v>
      </c>
      <c r="W663" t="s">
        <v>4006</v>
      </c>
      <c r="X663">
        <v>2</v>
      </c>
      <c r="Y663" t="s">
        <v>5662</v>
      </c>
      <c r="Z663" t="s">
        <v>7320</v>
      </c>
      <c r="AA663">
        <v>0.1504093674282444</v>
      </c>
      <c r="AB663">
        <f>HYPERLINK("Melting_Curves/meltCurve_P0ADR6_rlmM.pdf", "Melting_Curves/meltCurve_P0ADR6_rlmM.pdf")</f>
        <v>0</v>
      </c>
    </row>
    <row r="664" spans="1:28">
      <c r="A664" t="s">
        <v>690</v>
      </c>
      <c r="B664">
        <v>0.999998419929286</v>
      </c>
      <c r="C664">
        <v>1.22414147484325</v>
      </c>
      <c r="D664">
        <v>1.02602502674851</v>
      </c>
      <c r="E664">
        <v>0.951412760794391</v>
      </c>
      <c r="F664">
        <v>0.254329486661123</v>
      </c>
      <c r="G664">
        <v>0.1603636436574</v>
      </c>
      <c r="H664">
        <v>0.108401125820512</v>
      </c>
      <c r="I664">
        <v>0.0969644442679263</v>
      </c>
      <c r="J664">
        <v>0.0800296256537496</v>
      </c>
      <c r="K664">
        <v>0.0656533044741249</v>
      </c>
      <c r="L664">
        <v>2817.09821969852</v>
      </c>
      <c r="M664">
        <v>57.6710975105689</v>
      </c>
      <c r="N664">
        <v>49.0390987888675</v>
      </c>
      <c r="O664">
        <v>48.7890394618958</v>
      </c>
      <c r="P664">
        <v>-0.265728703301801</v>
      </c>
      <c r="Q664">
        <v>0.100787719647807</v>
      </c>
      <c r="R664">
        <v>0.973599051488149</v>
      </c>
      <c r="S664" t="s">
        <v>2348</v>
      </c>
      <c r="T664" t="s">
        <v>3344</v>
      </c>
      <c r="U664" t="s">
        <v>3344</v>
      </c>
      <c r="V664" t="s">
        <v>3344</v>
      </c>
      <c r="W664" t="s">
        <v>4007</v>
      </c>
      <c r="X664">
        <v>7</v>
      </c>
      <c r="Y664" t="s">
        <v>5663</v>
      </c>
      <c r="Z664" t="s">
        <v>7321</v>
      </c>
      <c r="AA664">
        <v>0.4573607882598521</v>
      </c>
      <c r="AB664">
        <f>HYPERLINK("Melting_Curves/meltCurve_P0ADR8_ygdH.pdf", "Melting_Curves/meltCurve_P0ADR8_ygdH.pdf")</f>
        <v>0</v>
      </c>
    </row>
    <row r="665" spans="1:28">
      <c r="A665" t="s">
        <v>691</v>
      </c>
      <c r="B665">
        <v>0.999998419929286</v>
      </c>
      <c r="C665">
        <v>0.792186282554918</v>
      </c>
      <c r="D665">
        <v>0.597910414732688</v>
      </c>
      <c r="E665">
        <v>0.577627348444839</v>
      </c>
      <c r="F665">
        <v>0.544887659426696</v>
      </c>
      <c r="G665">
        <v>0.34204019544961</v>
      </c>
      <c r="H665">
        <v>0.277843021505125</v>
      </c>
      <c r="I665">
        <v>0.260154199618715</v>
      </c>
      <c r="J665">
        <v>0.255969789108669</v>
      </c>
      <c r="K665">
        <v>0.216353947813336</v>
      </c>
      <c r="L665">
        <v>367.438303001868</v>
      </c>
      <c r="M665">
        <v>7.95235683873094</v>
      </c>
      <c r="N665">
        <v>48.535144992671</v>
      </c>
      <c r="O665">
        <v>43.5573951194792</v>
      </c>
      <c r="P665">
        <v>-0.0384446412800483</v>
      </c>
      <c r="Q665">
        <v>0.158682574886681</v>
      </c>
      <c r="R665">
        <v>0.948432072738258</v>
      </c>
      <c r="S665" t="s">
        <v>2349</v>
      </c>
      <c r="T665" t="s">
        <v>3344</v>
      </c>
      <c r="U665" t="s">
        <v>3344</v>
      </c>
      <c r="V665" t="s">
        <v>3344</v>
      </c>
      <c r="W665" t="s">
        <v>4008</v>
      </c>
      <c r="X665">
        <v>3</v>
      </c>
      <c r="Y665" t="s">
        <v>5664</v>
      </c>
      <c r="Z665" t="s">
        <v>7322</v>
      </c>
      <c r="AA665">
        <v>0.4691714531242245</v>
      </c>
      <c r="AB665">
        <f>HYPERLINK("Melting_Curves/meltCurve_P0ADS2_zapA.pdf", "Melting_Curves/meltCurve_P0ADS2_zapA.pdf")</f>
        <v>0</v>
      </c>
    </row>
    <row r="666" spans="1:28">
      <c r="A666" t="s">
        <v>692</v>
      </c>
      <c r="B666">
        <v>0.999998419929286</v>
      </c>
      <c r="C666">
        <v>1.0262363345346</v>
      </c>
      <c r="D666">
        <v>1.06853544777386</v>
      </c>
      <c r="E666">
        <v>1.04490530332787</v>
      </c>
      <c r="F666">
        <v>1.08031522051379</v>
      </c>
      <c r="G666">
        <v>1.03491447740756</v>
      </c>
      <c r="H666">
        <v>0.943347224006858</v>
      </c>
      <c r="I666">
        <v>0.912275473133575</v>
      </c>
      <c r="J666">
        <v>0.965639327878253</v>
      </c>
      <c r="K666">
        <v>1.031014193615</v>
      </c>
      <c r="L666">
        <v>3137.20603300785</v>
      </c>
      <c r="M666">
        <v>56.2493307554631</v>
      </c>
      <c r="O666">
        <v>55.7028537782842</v>
      </c>
      <c r="P666">
        <v>-0.00915057967970026</v>
      </c>
      <c r="Q666">
        <v>0.963753301864783</v>
      </c>
      <c r="R666">
        <v>0.136257911703861</v>
      </c>
      <c r="S666" t="s">
        <v>2350</v>
      </c>
      <c r="T666" t="s">
        <v>3344</v>
      </c>
      <c r="U666" t="s">
        <v>3344</v>
      </c>
      <c r="V666" t="s">
        <v>3344</v>
      </c>
      <c r="W666" t="s">
        <v>4009</v>
      </c>
      <c r="X666">
        <v>11</v>
      </c>
      <c r="Y666" t="s">
        <v>5665</v>
      </c>
      <c r="Z666" t="s">
        <v>7323</v>
      </c>
      <c r="AA666">
        <v>0.9865057681964697</v>
      </c>
      <c r="AB666">
        <f>HYPERLINK("Melting_Curves/meltCurve_P0ADS6_yggE.pdf", "Melting_Curves/meltCurve_P0ADS6_yggE.pdf")</f>
        <v>0</v>
      </c>
    </row>
    <row r="667" spans="1:28">
      <c r="A667" t="s">
        <v>693</v>
      </c>
      <c r="B667">
        <v>0.999998419929286</v>
      </c>
      <c r="C667">
        <v>0.910879210375941</v>
      </c>
      <c r="D667">
        <v>1.12562208638954</v>
      </c>
      <c r="E667">
        <v>1.12250062208059</v>
      </c>
      <c r="F667">
        <v>1.28560022610254</v>
      </c>
      <c r="G667">
        <v>1.45573174149061</v>
      </c>
      <c r="H667">
        <v>1.42617525836152</v>
      </c>
      <c r="I667">
        <v>1.18244510841355</v>
      </c>
      <c r="J667">
        <v>1.32500872644816</v>
      </c>
      <c r="K667">
        <v>1.43429663925522</v>
      </c>
      <c r="L667">
        <v>1162.69927214663</v>
      </c>
      <c r="M667">
        <v>24.6963748383863</v>
      </c>
      <c r="O667">
        <v>46.7743207978624</v>
      </c>
      <c r="P667">
        <v>0.0480662558748231</v>
      </c>
      <c r="Q667">
        <v>1.36414005890559</v>
      </c>
      <c r="R667">
        <v>0.77073098758592</v>
      </c>
      <c r="S667" t="s">
        <v>2351</v>
      </c>
      <c r="T667" t="s">
        <v>3344</v>
      </c>
      <c r="U667" t="s">
        <v>3344</v>
      </c>
      <c r="V667" t="s">
        <v>3344</v>
      </c>
      <c r="W667" t="s">
        <v>4010</v>
      </c>
      <c r="X667">
        <v>11</v>
      </c>
      <c r="Y667" t="s">
        <v>5666</v>
      </c>
      <c r="Z667" t="s">
        <v>7324</v>
      </c>
      <c r="AA667">
        <v>1.238654269594454</v>
      </c>
      <c r="AB667">
        <f>HYPERLINK("Melting_Curves/meltCurve_P0ADS9_yggN.pdf", "Melting_Curves/meltCurve_P0ADS9_yggN.pdf")</f>
        <v>0</v>
      </c>
    </row>
    <row r="668" spans="1:28">
      <c r="A668" t="s">
        <v>694</v>
      </c>
      <c r="B668">
        <v>0.999998419929286</v>
      </c>
      <c r="C668">
        <v>1.01093930173568</v>
      </c>
      <c r="D668">
        <v>0.967337846256063</v>
      </c>
      <c r="E668">
        <v>1.00215659504439</v>
      </c>
      <c r="F668">
        <v>1.02388229384595</v>
      </c>
      <c r="G668">
        <v>0.989253094912511</v>
      </c>
      <c r="H668">
        <v>0.846466268431733</v>
      </c>
      <c r="I668">
        <v>0.77090736803488</v>
      </c>
      <c r="J668">
        <v>0.875922248519507</v>
      </c>
      <c r="K668">
        <v>0.898280469882166</v>
      </c>
      <c r="L668">
        <v>13588.6254880946</v>
      </c>
      <c r="M668">
        <v>250</v>
      </c>
      <c r="O668">
        <v>54.3510107901381</v>
      </c>
      <c r="P668">
        <v>-0.174911581618751</v>
      </c>
      <c r="Q668">
        <v>0.847894023968593</v>
      </c>
      <c r="R668">
        <v>0.832779798183143</v>
      </c>
      <c r="S668" t="s">
        <v>2352</v>
      </c>
      <c r="T668" t="s">
        <v>3344</v>
      </c>
      <c r="U668" t="s">
        <v>3344</v>
      </c>
      <c r="V668" t="s">
        <v>3344</v>
      </c>
      <c r="W668" t="s">
        <v>4011</v>
      </c>
      <c r="X668">
        <v>2</v>
      </c>
      <c r="Y668" t="s">
        <v>5667</v>
      </c>
      <c r="Z668" t="s">
        <v>7325</v>
      </c>
      <c r="AA668">
        <v>0.9358993154896588</v>
      </c>
      <c r="AB668">
        <f>HYPERLINK("Melting_Curves/meltCurve_P0ADT2_ygiB.pdf", "Melting_Curves/meltCurve_P0ADT2_ygiB.pdf")</f>
        <v>0</v>
      </c>
    </row>
    <row r="669" spans="1:28">
      <c r="A669" t="s">
        <v>695</v>
      </c>
      <c r="B669">
        <v>0.999998419929286</v>
      </c>
      <c r="C669">
        <v>1.26315445397654</v>
      </c>
      <c r="D669">
        <v>1.26271054331166</v>
      </c>
      <c r="E669">
        <v>1.53718665742148</v>
      </c>
      <c r="F669">
        <v>1.93518992001812</v>
      </c>
      <c r="G669">
        <v>2.04329477120691</v>
      </c>
      <c r="H669">
        <v>1.54412510380186</v>
      </c>
      <c r="I669">
        <v>0.646114131354468</v>
      </c>
      <c r="J669">
        <v>0.289731566591758</v>
      </c>
      <c r="K669">
        <v>0.154569631957667</v>
      </c>
      <c r="L669">
        <v>8450.104347746459</v>
      </c>
      <c r="M669">
        <v>138.340200920668</v>
      </c>
      <c r="N669">
        <v>61.3413818010931</v>
      </c>
      <c r="O669">
        <v>61.0692974651139</v>
      </c>
      <c r="P669">
        <v>-0.440940233874157</v>
      </c>
      <c r="Q669">
        <v>0.221400300218262</v>
      </c>
      <c r="R669">
        <v>0.281223525769118</v>
      </c>
      <c r="S669" t="s">
        <v>2353</v>
      </c>
      <c r="T669" t="s">
        <v>3344</v>
      </c>
      <c r="U669" t="s">
        <v>3344</v>
      </c>
      <c r="V669" t="s">
        <v>3344</v>
      </c>
      <c r="W669" t="s">
        <v>4012</v>
      </c>
      <c r="X669">
        <v>7</v>
      </c>
      <c r="Y669" t="s">
        <v>5668</v>
      </c>
      <c r="Z669" t="s">
        <v>7326</v>
      </c>
      <c r="AA669">
        <v>0.8466824116302294</v>
      </c>
      <c r="AB669">
        <f>HYPERLINK("Melting_Curves/meltCurve_P0ADT5_ygiC.pdf", "Melting_Curves/meltCurve_P0ADT5_ygiC.pdf")</f>
        <v>0</v>
      </c>
    </row>
    <row r="670" spans="1:28">
      <c r="A670" t="s">
        <v>696</v>
      </c>
      <c r="B670">
        <v>0.999998419929286</v>
      </c>
      <c r="C670">
        <v>0.93381689380241</v>
      </c>
      <c r="D670">
        <v>1.03543352766952</v>
      </c>
      <c r="E670">
        <v>1.22937277471542</v>
      </c>
      <c r="F670">
        <v>1.13435182537666</v>
      </c>
      <c r="G670">
        <v>1.32469275336936</v>
      </c>
      <c r="H670">
        <v>1.22918503649278</v>
      </c>
      <c r="I670">
        <v>0.880056039853697</v>
      </c>
      <c r="J670">
        <v>0.949098330169999</v>
      </c>
      <c r="K670">
        <v>0.914053934750273</v>
      </c>
      <c r="L670">
        <v>3079.32687667233</v>
      </c>
      <c r="M670">
        <v>50.9738353381684</v>
      </c>
      <c r="O670">
        <v>60.317202928644</v>
      </c>
      <c r="P670">
        <v>-0.0179420944389117</v>
      </c>
      <c r="Q670">
        <v>0.915076755027488</v>
      </c>
      <c r="R670">
        <v>-0.106837720564255</v>
      </c>
      <c r="S670" t="s">
        <v>2354</v>
      </c>
      <c r="T670" t="s">
        <v>3344</v>
      </c>
      <c r="U670" t="s">
        <v>3344</v>
      </c>
      <c r="V670" t="s">
        <v>3344</v>
      </c>
      <c r="W670" t="s">
        <v>4013</v>
      </c>
      <c r="X670">
        <v>6</v>
      </c>
      <c r="Y670" t="s">
        <v>5669</v>
      </c>
      <c r="Z670" t="s">
        <v>7327</v>
      </c>
      <c r="AA670">
        <v>0.9815341272742302</v>
      </c>
      <c r="AB670">
        <f>HYPERLINK("Melting_Curves/meltCurve_P0ADT8_ygiM.pdf", "Melting_Curves/meltCurve_P0ADT8_ygiM.pdf")</f>
        <v>0</v>
      </c>
    </row>
    <row r="671" spans="1:28">
      <c r="A671" t="s">
        <v>697</v>
      </c>
      <c r="B671">
        <v>0.999998419929286</v>
      </c>
      <c r="C671">
        <v>0.846877061066372</v>
      </c>
      <c r="D671">
        <v>0.898694169125075</v>
      </c>
      <c r="E671">
        <v>0.952638565219723</v>
      </c>
      <c r="F671">
        <v>0.964597420677252</v>
      </c>
      <c r="G671">
        <v>0.974138068983911</v>
      </c>
      <c r="H671">
        <v>0.494026148102816</v>
      </c>
      <c r="I671">
        <v>0.158330993567686</v>
      </c>
      <c r="J671">
        <v>0.08963532893510449</v>
      </c>
      <c r="K671">
        <v>0.0779368333318361</v>
      </c>
      <c r="L671">
        <v>2669.82870317064</v>
      </c>
      <c r="M671">
        <v>46.7010298681237</v>
      </c>
      <c r="N671">
        <v>57.4111234181028</v>
      </c>
      <c r="O671">
        <v>57.0639924596237</v>
      </c>
      <c r="P671">
        <v>-0.186277520656241</v>
      </c>
      <c r="Q671">
        <v>0.0895509932512359</v>
      </c>
      <c r="R671">
        <v>0.9731371579982701</v>
      </c>
      <c r="S671" t="s">
        <v>2355</v>
      </c>
      <c r="T671" t="s">
        <v>3344</v>
      </c>
      <c r="U671" t="s">
        <v>3344</v>
      </c>
      <c r="V671" t="s">
        <v>3344</v>
      </c>
      <c r="W671" t="s">
        <v>4014</v>
      </c>
      <c r="X671">
        <v>5</v>
      </c>
      <c r="Y671" t="s">
        <v>5670</v>
      </c>
      <c r="Z671" t="s">
        <v>7328</v>
      </c>
      <c r="AA671">
        <v>0.7042083485103393</v>
      </c>
      <c r="AB671">
        <f>HYPERLINK("Melting_Curves/meltCurve_P0ADU2_ygiN.pdf", "Melting_Curves/meltCurve_P0ADU2_ygiN.pdf")</f>
        <v>0</v>
      </c>
    </row>
    <row r="672" spans="1:28">
      <c r="A672" t="s">
        <v>698</v>
      </c>
      <c r="B672">
        <v>0.999998419929286</v>
      </c>
      <c r="C672">
        <v>1.04370658861382</v>
      </c>
      <c r="D672">
        <v>0.972498110073989</v>
      </c>
      <c r="E672">
        <v>1.33570869157171</v>
      </c>
      <c r="F672">
        <v>1.39261068056943</v>
      </c>
      <c r="G672">
        <v>2.28256455446693</v>
      </c>
      <c r="H672">
        <v>1.82709114800966</v>
      </c>
      <c r="I672">
        <v>2.18306652658442</v>
      </c>
      <c r="J672">
        <v>1.50879572490261</v>
      </c>
      <c r="K672">
        <v>1.74069742301029</v>
      </c>
      <c r="L672">
        <v>2851.688394707</v>
      </c>
      <c r="M672">
        <v>61.8726921490111</v>
      </c>
      <c r="O672">
        <v>46.0415398134892</v>
      </c>
      <c r="P672">
        <v>0.167980688627342</v>
      </c>
      <c r="Q672">
        <v>1.5</v>
      </c>
      <c r="R672">
        <v>0.374362750939075</v>
      </c>
      <c r="S672" t="s">
        <v>2356</v>
      </c>
      <c r="T672" t="s">
        <v>3344</v>
      </c>
      <c r="U672" t="s">
        <v>3344</v>
      </c>
      <c r="V672" t="s">
        <v>3344</v>
      </c>
      <c r="W672" t="s">
        <v>4015</v>
      </c>
      <c r="X672">
        <v>6</v>
      </c>
      <c r="Y672" t="s">
        <v>5671</v>
      </c>
      <c r="Z672" t="s">
        <v>7329</v>
      </c>
      <c r="AA672">
        <v>1.347843922754268</v>
      </c>
      <c r="AB672">
        <f>HYPERLINK("Melting_Curves/meltCurve_P0ADU5_ygiW.pdf", "Melting_Curves/meltCurve_P0ADU5_ygiW.pdf")</f>
        <v>0</v>
      </c>
    </row>
    <row r="673" spans="1:28">
      <c r="A673" t="s">
        <v>699</v>
      </c>
      <c r="B673">
        <v>0.999998419929286</v>
      </c>
      <c r="C673">
        <v>0.986525930539053</v>
      </c>
      <c r="D673">
        <v>0.885823944539059</v>
      </c>
      <c r="E673">
        <v>1.19110730034545</v>
      </c>
      <c r="F673">
        <v>1.37724730712789</v>
      </c>
      <c r="G673">
        <v>1.79264021081415</v>
      </c>
      <c r="H673">
        <v>1.56349289338992</v>
      </c>
      <c r="I673">
        <v>1.317649659709</v>
      </c>
      <c r="J673">
        <v>1.55844568034396</v>
      </c>
      <c r="K673">
        <v>1.95802348764872</v>
      </c>
      <c r="L673">
        <v>1937.1517146209</v>
      </c>
      <c r="M673">
        <v>40.8554009407865</v>
      </c>
      <c r="O673">
        <v>47.3016757457539</v>
      </c>
      <c r="P673">
        <v>0.107965253003384</v>
      </c>
      <c r="Q673">
        <v>1.5</v>
      </c>
      <c r="R673">
        <v>0.687067457186493</v>
      </c>
      <c r="S673" t="s">
        <v>2357</v>
      </c>
      <c r="T673" t="s">
        <v>3344</v>
      </c>
      <c r="U673" t="s">
        <v>3344</v>
      </c>
      <c r="V673" t="s">
        <v>3344</v>
      </c>
      <c r="W673" t="s">
        <v>4016</v>
      </c>
      <c r="X673">
        <v>4</v>
      </c>
      <c r="Y673" t="s">
        <v>5672</v>
      </c>
      <c r="Z673" t="s">
        <v>7330</v>
      </c>
      <c r="AA673">
        <v>1.324849032475292</v>
      </c>
      <c r="AB673">
        <f>HYPERLINK("Melting_Curves/meltCurve_P0ADV1_lptA.pdf", "Melting_Curves/meltCurve_P0ADV1_lptA.pdf")</f>
        <v>0</v>
      </c>
    </row>
    <row r="674" spans="1:28">
      <c r="A674" t="s">
        <v>700</v>
      </c>
      <c r="B674">
        <v>0.999998419929286</v>
      </c>
      <c r="C674">
        <v>1.0647775911492</v>
      </c>
      <c r="D674">
        <v>1.04517300349829</v>
      </c>
      <c r="E674">
        <v>1.06133645797157</v>
      </c>
      <c r="F674">
        <v>0.771821705087081</v>
      </c>
      <c r="G674">
        <v>0.111627118396634</v>
      </c>
      <c r="H674">
        <v>0.0150731582648814</v>
      </c>
      <c r="I674">
        <v>0.0101377405558876</v>
      </c>
      <c r="J674">
        <v>0</v>
      </c>
      <c r="K674">
        <v>0.00464427293661671</v>
      </c>
      <c r="L674">
        <v>2566.48988501277</v>
      </c>
      <c r="M674">
        <v>49.8894868713425</v>
      </c>
      <c r="N674">
        <v>51.4575971979789</v>
      </c>
      <c r="O674">
        <v>51.3610678003674</v>
      </c>
      <c r="P674">
        <v>-0.241189329803251</v>
      </c>
      <c r="Q674">
        <v>0.00678665863979229</v>
      </c>
      <c r="R674">
        <v>0.99544548534207</v>
      </c>
      <c r="S674" t="s">
        <v>2358</v>
      </c>
      <c r="T674" t="s">
        <v>3344</v>
      </c>
      <c r="U674" t="s">
        <v>3344</v>
      </c>
      <c r="V674" t="s">
        <v>3344</v>
      </c>
      <c r="W674" t="s">
        <v>4017</v>
      </c>
      <c r="X674">
        <v>2</v>
      </c>
      <c r="Y674" t="s">
        <v>5673</v>
      </c>
      <c r="Z674" t="s">
        <v>7331</v>
      </c>
      <c r="AA674">
        <v>0.4872325446154082</v>
      </c>
      <c r="AB674">
        <f>HYPERLINK("Melting_Curves/meltCurve_P0ADV5_yhbW.pdf", "Melting_Curves/meltCurve_P0ADV5_yhbW.pdf")</f>
        <v>0</v>
      </c>
    </row>
    <row r="675" spans="1:28">
      <c r="A675" t="s">
        <v>701</v>
      </c>
      <c r="B675">
        <v>0.999998419929286</v>
      </c>
      <c r="C675">
        <v>0.912590224703134</v>
      </c>
      <c r="D675">
        <v>1.16978995162652</v>
      </c>
      <c r="E675">
        <v>1.20883864762211</v>
      </c>
      <c r="F675">
        <v>1.46765819512224</v>
      </c>
      <c r="G675">
        <v>1.59869572403555</v>
      </c>
      <c r="H675">
        <v>1.57199241982764</v>
      </c>
      <c r="I675">
        <v>1.22813005058321</v>
      </c>
      <c r="J675">
        <v>0.983945998767096</v>
      </c>
      <c r="K675">
        <v>0.401957249750568</v>
      </c>
      <c r="L675">
        <v>15000</v>
      </c>
      <c r="M675">
        <v>230.417273654496</v>
      </c>
      <c r="N675">
        <v>65.5603374314248</v>
      </c>
      <c r="O675">
        <v>65.09438199847909</v>
      </c>
      <c r="P675">
        <v>-0.5299961713924271</v>
      </c>
      <c r="Q675">
        <v>0.401090506336828</v>
      </c>
      <c r="R675">
        <v>0.103490308391805</v>
      </c>
      <c r="S675" t="s">
        <v>2359</v>
      </c>
      <c r="T675" t="s">
        <v>3344</v>
      </c>
      <c r="U675" t="s">
        <v>3344</v>
      </c>
      <c r="V675" t="s">
        <v>3344</v>
      </c>
      <c r="W675" t="s">
        <v>4018</v>
      </c>
      <c r="X675">
        <v>11</v>
      </c>
      <c r="Y675" t="s">
        <v>5674</v>
      </c>
      <c r="Z675" t="s">
        <v>7332</v>
      </c>
      <c r="AA675">
        <v>0.9621266329963206</v>
      </c>
      <c r="AB675">
        <f>HYPERLINK("Melting_Curves/meltCurve_P0ADV7_mlaC.pdf", "Melting_Curves/meltCurve_P0ADV7_mlaC.pdf")</f>
        <v>0</v>
      </c>
    </row>
    <row r="676" spans="1:28">
      <c r="A676" t="s">
        <v>702</v>
      </c>
      <c r="B676">
        <v>0.999998419929286</v>
      </c>
      <c r="C676">
        <v>0.993244360939844</v>
      </c>
      <c r="D676">
        <v>0.876724952291304</v>
      </c>
      <c r="E676">
        <v>0.87988179480465</v>
      </c>
      <c r="F676">
        <v>0.67139402813405</v>
      </c>
      <c r="G676">
        <v>0.383198700726075</v>
      </c>
      <c r="H676">
        <v>0.181578703712791</v>
      </c>
      <c r="I676">
        <v>0.153717382356654</v>
      </c>
      <c r="J676">
        <v>0.101669929247007</v>
      </c>
      <c r="K676">
        <v>0.123903168407587</v>
      </c>
      <c r="L676">
        <v>888.004965743429</v>
      </c>
      <c r="M676">
        <v>17.2236195888285</v>
      </c>
      <c r="N676">
        <v>52.1035841792288</v>
      </c>
      <c r="O676">
        <v>50.8774362466952</v>
      </c>
      <c r="P676">
        <v>-0.0776473332359018</v>
      </c>
      <c r="Q676">
        <v>0.0825934348363663</v>
      </c>
      <c r="R676">
        <v>0.991148656117816</v>
      </c>
      <c r="S676" t="s">
        <v>2360</v>
      </c>
      <c r="T676" t="s">
        <v>3344</v>
      </c>
      <c r="U676" t="s">
        <v>3344</v>
      </c>
      <c r="V676" t="s">
        <v>3344</v>
      </c>
      <c r="W676" t="s">
        <v>4019</v>
      </c>
      <c r="X676">
        <v>3</v>
      </c>
      <c r="Y676" t="s">
        <v>5675</v>
      </c>
      <c r="Z676" t="s">
        <v>7333</v>
      </c>
      <c r="AA676">
        <v>0.5427393445278216</v>
      </c>
      <c r="AB676">
        <f>HYPERLINK("Melting_Curves/meltCurve_P0ADV9_lptC.pdf", "Melting_Curves/meltCurve_P0ADV9_lptC.pdf")</f>
        <v>0</v>
      </c>
    </row>
    <row r="677" spans="1:28">
      <c r="A677" t="s">
        <v>703</v>
      </c>
      <c r="B677">
        <v>0.999998419929286</v>
      </c>
      <c r="C677">
        <v>1.00429293238715</v>
      </c>
      <c r="D677">
        <v>0.7661171563276939</v>
      </c>
      <c r="E677">
        <v>0.961824790676994</v>
      </c>
      <c r="F677">
        <v>1.04699966614281</v>
      </c>
      <c r="G677">
        <v>1.21911073067136</v>
      </c>
      <c r="H677">
        <v>1.30068663962573</v>
      </c>
      <c r="I677">
        <v>1.33669373957388</v>
      </c>
      <c r="J677">
        <v>1.55793861051491</v>
      </c>
      <c r="K677">
        <v>1.3584737281779</v>
      </c>
      <c r="L677">
        <v>1221.53344973182</v>
      </c>
      <c r="M677">
        <v>22.3890412327959</v>
      </c>
      <c r="O677">
        <v>54.1297679506706</v>
      </c>
      <c r="P677">
        <v>0.0450263877385144</v>
      </c>
      <c r="Q677">
        <v>1.43543037690818</v>
      </c>
      <c r="R677">
        <v>0.828897154630739</v>
      </c>
      <c r="S677" t="s">
        <v>2361</v>
      </c>
      <c r="T677" t="s">
        <v>3344</v>
      </c>
      <c r="U677" t="s">
        <v>3344</v>
      </c>
      <c r="V677" t="s">
        <v>3344</v>
      </c>
      <c r="W677" t="s">
        <v>4020</v>
      </c>
      <c r="X677">
        <v>5</v>
      </c>
      <c r="Y677" t="s">
        <v>5676</v>
      </c>
      <c r="Z677" t="s">
        <v>7334</v>
      </c>
      <c r="AA677">
        <v>1.176154916653185</v>
      </c>
      <c r="AB677">
        <f>HYPERLINK("Melting_Curves/meltCurve_P0ADW3_yhcB.pdf", "Melting_Curves/meltCurve_P0ADW3_yhcB.pdf")</f>
        <v>0</v>
      </c>
    </row>
    <row r="678" spans="1:28">
      <c r="A678" t="s">
        <v>704</v>
      </c>
      <c r="B678">
        <v>0.999998419929286</v>
      </c>
      <c r="C678">
        <v>0.870237459316956</v>
      </c>
      <c r="D678">
        <v>1.00955371406162</v>
      </c>
      <c r="E678">
        <v>1.13409367919387</v>
      </c>
      <c r="F678">
        <v>1.19768373033142</v>
      </c>
      <c r="G678">
        <v>1.49093083294216</v>
      </c>
      <c r="H678">
        <v>1.65353211675727</v>
      </c>
      <c r="I678">
        <v>1.33525117103898</v>
      </c>
      <c r="J678">
        <v>1.58998576138118</v>
      </c>
      <c r="K678">
        <v>1.6316796439949</v>
      </c>
      <c r="L678">
        <v>1681.94582444302</v>
      </c>
      <c r="M678">
        <v>33.4708076227675</v>
      </c>
      <c r="O678">
        <v>50.0727661973305</v>
      </c>
      <c r="P678">
        <v>0.0835557696195274</v>
      </c>
      <c r="Q678">
        <v>1.5</v>
      </c>
      <c r="R678">
        <v>0.855113941560761</v>
      </c>
      <c r="S678" t="s">
        <v>2362</v>
      </c>
      <c r="T678" t="s">
        <v>3344</v>
      </c>
      <c r="U678" t="s">
        <v>3344</v>
      </c>
      <c r="V678" t="s">
        <v>3344</v>
      </c>
      <c r="W678" t="s">
        <v>4021</v>
      </c>
      <c r="X678">
        <v>5</v>
      </c>
      <c r="Y678" t="s">
        <v>5677</v>
      </c>
      <c r="Z678" t="s">
        <v>7335</v>
      </c>
      <c r="AA678">
        <v>1.276668378278231</v>
      </c>
      <c r="AB678">
        <f>HYPERLINK("Melting_Curves/meltCurve_P0ADX1_yhfA.pdf", "Melting_Curves/meltCurve_P0ADX1_yhfA.pdf")</f>
        <v>0</v>
      </c>
    </row>
    <row r="679" spans="1:28">
      <c r="A679" t="s">
        <v>705</v>
      </c>
      <c r="B679">
        <v>0.999998419929286</v>
      </c>
      <c r="C679">
        <v>0.820997871040572</v>
      </c>
      <c r="D679">
        <v>0.680342305933992</v>
      </c>
      <c r="E679">
        <v>0.747650026800659</v>
      </c>
      <c r="F679">
        <v>0.8326986940568371</v>
      </c>
      <c r="G679">
        <v>0.701518969423217</v>
      </c>
      <c r="H679">
        <v>0.512922637214122</v>
      </c>
      <c r="I679">
        <v>0.444355776927708</v>
      </c>
      <c r="J679">
        <v>0.338685758211</v>
      </c>
      <c r="K679">
        <v>0.404930014159204</v>
      </c>
      <c r="L679">
        <v>250.390770223648</v>
      </c>
      <c r="M679">
        <v>4.21363885298486</v>
      </c>
      <c r="N679">
        <v>59.4238845390293</v>
      </c>
      <c r="O679">
        <v>49.5697140199877</v>
      </c>
      <c r="P679">
        <v>-0.0214819099346875</v>
      </c>
      <c r="Q679">
        <v>0</v>
      </c>
      <c r="R679">
        <v>0.824774238078909</v>
      </c>
      <c r="S679" t="s">
        <v>2363</v>
      </c>
      <c r="T679" t="s">
        <v>3344</v>
      </c>
      <c r="U679" t="s">
        <v>3344</v>
      </c>
      <c r="V679" t="s">
        <v>3344</v>
      </c>
      <c r="W679" t="s">
        <v>4022</v>
      </c>
      <c r="X679">
        <v>1</v>
      </c>
      <c r="Y679" t="s">
        <v>5678</v>
      </c>
      <c r="Z679" t="s">
        <v>7336</v>
      </c>
      <c r="AA679">
        <v>0.6512364241755529</v>
      </c>
      <c r="AB679">
        <f>HYPERLINK("Melting_Curves/meltCurve_P0ADX5_yhfG.pdf", "Melting_Curves/meltCurve_P0ADX5_yhfG.pdf")</f>
        <v>0</v>
      </c>
    </row>
    <row r="680" spans="1:28">
      <c r="A680" t="s">
        <v>706</v>
      </c>
      <c r="B680">
        <v>0.999998419929286</v>
      </c>
      <c r="C680">
        <v>0.955029400592459</v>
      </c>
      <c r="D680">
        <v>1.04176250855883</v>
      </c>
      <c r="E680">
        <v>1.108736805521</v>
      </c>
      <c r="F680">
        <v>0.8633554411351539</v>
      </c>
      <c r="G680">
        <v>0.658246686025554</v>
      </c>
      <c r="H680">
        <v>0.71358386588996</v>
      </c>
      <c r="I680">
        <v>1.01741473821141</v>
      </c>
      <c r="J680">
        <v>1.67416452579879</v>
      </c>
      <c r="K680">
        <v>1.52740600337083</v>
      </c>
      <c r="L680">
        <v>15000</v>
      </c>
      <c r="M680">
        <v>242.631446173276</v>
      </c>
      <c r="O680">
        <v>61.8179621872047</v>
      </c>
      <c r="P680">
        <v>0.49061682149958</v>
      </c>
      <c r="Q680">
        <v>1.5</v>
      </c>
      <c r="R680">
        <v>0.717341021954642</v>
      </c>
      <c r="S680" t="s">
        <v>2364</v>
      </c>
      <c r="T680" t="s">
        <v>3344</v>
      </c>
      <c r="U680" t="s">
        <v>3344</v>
      </c>
      <c r="V680" t="s">
        <v>3344</v>
      </c>
      <c r="W680" t="s">
        <v>4023</v>
      </c>
      <c r="X680">
        <v>5</v>
      </c>
      <c r="Y680" t="s">
        <v>5679</v>
      </c>
      <c r="Z680" t="s">
        <v>7337</v>
      </c>
      <c r="AA680">
        <v>1.086239745039767</v>
      </c>
      <c r="AB680">
        <f>HYPERLINK("Melting_Curves/meltCurve_P0ADX7_yhhA.pdf", "Melting_Curves/meltCurve_P0ADX7_yhhA.pdf")</f>
        <v>0</v>
      </c>
    </row>
    <row r="681" spans="1:28">
      <c r="A681" t="s">
        <v>707</v>
      </c>
      <c r="B681">
        <v>0.999998419929286</v>
      </c>
      <c r="C681">
        <v>1.32225663936774</v>
      </c>
      <c r="D681">
        <v>1.48727265292886</v>
      </c>
      <c r="E681">
        <v>1.90112065645868</v>
      </c>
      <c r="F681">
        <v>2.18352703276736</v>
      </c>
      <c r="G681">
        <v>2.72746106733466</v>
      </c>
      <c r="H681">
        <v>1.7334545676446</v>
      </c>
      <c r="I681">
        <v>0.774071940693698</v>
      </c>
      <c r="J681">
        <v>0.5433528068839349</v>
      </c>
      <c r="K681">
        <v>0.423817030708569</v>
      </c>
      <c r="L681">
        <v>9625.562547814279</v>
      </c>
      <c r="M681">
        <v>157.541880320687</v>
      </c>
      <c r="N681">
        <v>62.4472621046262</v>
      </c>
      <c r="O681">
        <v>61.08859915154</v>
      </c>
      <c r="P681">
        <v>-0.333091614187947</v>
      </c>
      <c r="Q681">
        <v>0.483360296431132</v>
      </c>
      <c r="R681">
        <v>-0.219166991994081</v>
      </c>
      <c r="S681" t="s">
        <v>2365</v>
      </c>
      <c r="T681" t="s">
        <v>3344</v>
      </c>
      <c r="U681" t="s">
        <v>3344</v>
      </c>
      <c r="V681" t="s">
        <v>3344</v>
      </c>
      <c r="W681" t="s">
        <v>4024</v>
      </c>
      <c r="X681">
        <v>17</v>
      </c>
      <c r="Y681" t="s">
        <v>5680</v>
      </c>
      <c r="Z681" t="s">
        <v>7338</v>
      </c>
      <c r="AA681">
        <v>0.89850680438067</v>
      </c>
      <c r="AB681">
        <f>HYPERLINK("Melting_Curves/meltCurve_P0ADY1_ppiD.pdf", "Melting_Curves/meltCurve_P0ADY1_ppiD.pdf")</f>
        <v>0</v>
      </c>
    </row>
    <row r="682" spans="1:28">
      <c r="A682" t="s">
        <v>708</v>
      </c>
      <c r="B682">
        <v>0.999998419929286</v>
      </c>
      <c r="C682">
        <v>0.607771054626316</v>
      </c>
      <c r="D682">
        <v>0.351731409863074</v>
      </c>
      <c r="E682">
        <v>0.20858354605012</v>
      </c>
      <c r="F682">
        <v>0.145442872862362</v>
      </c>
      <c r="G682">
        <v>0.132120073845265</v>
      </c>
      <c r="H682">
        <v>0.0848812157563</v>
      </c>
      <c r="I682">
        <v>0.0664675129141299</v>
      </c>
      <c r="J682">
        <v>0.0760799504520723</v>
      </c>
      <c r="K682">
        <v>0.1025486079776</v>
      </c>
      <c r="L682">
        <v>845.705890928387</v>
      </c>
      <c r="M682">
        <v>20.6732357468782</v>
      </c>
      <c r="N682">
        <v>41.3625996421953</v>
      </c>
      <c r="O682">
        <v>40.5312694483699</v>
      </c>
      <c r="P682">
        <v>-0.114565088132197</v>
      </c>
      <c r="Q682">
        <v>0.101575959380945</v>
      </c>
      <c r="R682">
        <v>0.979739460427935</v>
      </c>
      <c r="S682" t="s">
        <v>2366</v>
      </c>
      <c r="T682" t="s">
        <v>3344</v>
      </c>
      <c r="U682" t="s">
        <v>3344</v>
      </c>
      <c r="V682" t="s">
        <v>3344</v>
      </c>
      <c r="W682" t="s">
        <v>4025</v>
      </c>
      <c r="X682">
        <v>3</v>
      </c>
      <c r="Y682" t="s">
        <v>5681</v>
      </c>
      <c r="Z682" t="s">
        <v>7339</v>
      </c>
      <c r="AA682">
        <v>0.233079598689112</v>
      </c>
      <c r="AB682">
        <f>HYPERLINK("Melting_Curves/meltCurve_P0ADY3_rplN.pdf", "Melting_Curves/meltCurve_P0ADY3_rplN.pdf")</f>
        <v>0</v>
      </c>
    </row>
    <row r="683" spans="1:28">
      <c r="A683" t="s">
        <v>709</v>
      </c>
      <c r="B683">
        <v>0.999998419929286</v>
      </c>
      <c r="C683">
        <v>0.814696834078154</v>
      </c>
      <c r="D683">
        <v>0.570434657081397</v>
      </c>
      <c r="E683">
        <v>0.275047197590621</v>
      </c>
      <c r="F683">
        <v>0.167866546112921</v>
      </c>
      <c r="G683">
        <v>0.133377322924254</v>
      </c>
      <c r="H683">
        <v>0.0793156277541015</v>
      </c>
      <c r="I683">
        <v>0.06999103287538801</v>
      </c>
      <c r="J683">
        <v>0.0578778377873278</v>
      </c>
      <c r="K683">
        <v>0.129656012417332</v>
      </c>
      <c r="L683">
        <v>779.581881759966</v>
      </c>
      <c r="M683">
        <v>18.030024977033</v>
      </c>
      <c r="N683">
        <v>43.696910456887</v>
      </c>
      <c r="O683">
        <v>42.7165960982045</v>
      </c>
      <c r="P683">
        <v>-0.0964239879785211</v>
      </c>
      <c r="Q683">
        <v>0.086256520306349</v>
      </c>
      <c r="R683">
        <v>0.994056664587642</v>
      </c>
      <c r="S683" t="s">
        <v>2367</v>
      </c>
      <c r="T683" t="s">
        <v>3344</v>
      </c>
      <c r="U683" t="s">
        <v>3344</v>
      </c>
      <c r="V683" t="s">
        <v>3344</v>
      </c>
      <c r="W683" t="s">
        <v>4026</v>
      </c>
      <c r="X683">
        <v>1</v>
      </c>
      <c r="Y683" t="s">
        <v>5682</v>
      </c>
      <c r="Z683" t="s">
        <v>7340</v>
      </c>
      <c r="AA683">
        <v>0.2921401311743425</v>
      </c>
      <c r="AB683">
        <f>HYPERLINK("Melting_Curves/meltCurve_P0ADY7_rplP.pdf", "Melting_Curves/meltCurve_P0ADY7_rplP.pdf")</f>
        <v>0</v>
      </c>
    </row>
    <row r="684" spans="1:28">
      <c r="A684" t="s">
        <v>710</v>
      </c>
      <c r="B684">
        <v>0.999998419929286</v>
      </c>
      <c r="C684">
        <v>0.689771516906304</v>
      </c>
      <c r="D684">
        <v>0.45830298992001</v>
      </c>
      <c r="E684">
        <v>0.229548347053135</v>
      </c>
      <c r="F684">
        <v>0.120599647269346</v>
      </c>
      <c r="G684">
        <v>0.09293368090284081</v>
      </c>
      <c r="H684">
        <v>0.0684022262924231</v>
      </c>
      <c r="I684">
        <v>0.0670589398487219</v>
      </c>
      <c r="J684">
        <v>0.0584470347312827</v>
      </c>
      <c r="K684">
        <v>0.0592449386735986</v>
      </c>
      <c r="L684">
        <v>725.9657962580829</v>
      </c>
      <c r="M684">
        <v>17.2334075568908</v>
      </c>
      <c r="N684">
        <v>42.4608098188006</v>
      </c>
      <c r="O684">
        <v>41.5705436822634</v>
      </c>
      <c r="P684">
        <v>-0.0970514937579828</v>
      </c>
      <c r="Q684">
        <v>0.0636217343546039</v>
      </c>
      <c r="R684">
        <v>0.9903875024116779</v>
      </c>
      <c r="S684" t="s">
        <v>2368</v>
      </c>
      <c r="T684" t="s">
        <v>3344</v>
      </c>
      <c r="U684" t="s">
        <v>3344</v>
      </c>
      <c r="V684" t="s">
        <v>3344</v>
      </c>
      <c r="W684" t="s">
        <v>4027</v>
      </c>
      <c r="X684">
        <v>3</v>
      </c>
      <c r="Y684" t="s">
        <v>5683</v>
      </c>
      <c r="Z684" t="s">
        <v>7341</v>
      </c>
      <c r="AA684">
        <v>0.2432314654369294</v>
      </c>
      <c r="AB684">
        <f>HYPERLINK("Melting_Curves/meltCurve_P0ADZ0_rplW.pdf", "Melting_Curves/meltCurve_P0ADZ0_rplW.pdf")</f>
        <v>0</v>
      </c>
    </row>
    <row r="685" spans="1:28">
      <c r="A685" t="s">
        <v>711</v>
      </c>
      <c r="B685">
        <v>0.999998419929286</v>
      </c>
      <c r="C685">
        <v>0.951573762870223</v>
      </c>
      <c r="D685">
        <v>0.9862793958678699</v>
      </c>
      <c r="E685">
        <v>0.876831214546768</v>
      </c>
      <c r="F685">
        <v>0.555744702080553</v>
      </c>
      <c r="G685">
        <v>0.258254702055886</v>
      </c>
      <c r="H685">
        <v>0.138832182976504</v>
      </c>
      <c r="I685">
        <v>0.08165425684562019</v>
      </c>
      <c r="J685">
        <v>0.09690763226921741</v>
      </c>
      <c r="K685">
        <v>0.09396703219948151</v>
      </c>
      <c r="L685">
        <v>1150.82983861556</v>
      </c>
      <c r="M685">
        <v>22.8544207440004</v>
      </c>
      <c r="N685">
        <v>50.7605086863812</v>
      </c>
      <c r="O685">
        <v>49.9740325167646</v>
      </c>
      <c r="P685">
        <v>-0.104789497479872</v>
      </c>
      <c r="Q685">
        <v>0.083476540225791</v>
      </c>
      <c r="R685">
        <v>0.99828815150369</v>
      </c>
      <c r="S685" t="s">
        <v>2369</v>
      </c>
      <c r="T685" t="s">
        <v>3344</v>
      </c>
      <c r="U685" t="s">
        <v>3344</v>
      </c>
      <c r="V685" t="s">
        <v>3344</v>
      </c>
      <c r="W685" t="s">
        <v>4028</v>
      </c>
      <c r="X685">
        <v>4</v>
      </c>
      <c r="Y685" t="s">
        <v>5684</v>
      </c>
      <c r="Z685" t="s">
        <v>7342</v>
      </c>
      <c r="AA685">
        <v>0.5009828114155289</v>
      </c>
      <c r="AB685">
        <f>HYPERLINK("Melting_Curves/meltCurve_P0ADZ4_rpsO.pdf", "Melting_Curves/meltCurve_P0ADZ4_rpsO.pdf")</f>
        <v>0</v>
      </c>
    </row>
    <row r="686" spans="1:28">
      <c r="A686" t="s">
        <v>712</v>
      </c>
      <c r="B686">
        <v>0.999998419929286</v>
      </c>
      <c r="C686">
        <v>1.51373649472833</v>
      </c>
      <c r="D686">
        <v>1.1676757233321</v>
      </c>
      <c r="E686">
        <v>1.00335139981275</v>
      </c>
      <c r="F686">
        <v>1.15935546041298</v>
      </c>
      <c r="G686">
        <v>1.31138881912538</v>
      </c>
      <c r="H686">
        <v>1.5292638335837</v>
      </c>
      <c r="I686">
        <v>1.35301604825438</v>
      </c>
      <c r="J686">
        <v>1.71274761920301</v>
      </c>
      <c r="K686">
        <v>1.95042807062554</v>
      </c>
      <c r="L686">
        <v>412.805307733265</v>
      </c>
      <c r="M686">
        <v>8.87258238205423</v>
      </c>
      <c r="O686">
        <v>44.3444134857185</v>
      </c>
      <c r="P686">
        <v>0.0250295985610969</v>
      </c>
      <c r="Q686">
        <v>1.5</v>
      </c>
      <c r="R686">
        <v>0.31364111851641</v>
      </c>
      <c r="S686" t="s">
        <v>2370</v>
      </c>
      <c r="T686" t="s">
        <v>3344</v>
      </c>
      <c r="U686" t="s">
        <v>3344</v>
      </c>
      <c r="V686" t="s">
        <v>3344</v>
      </c>
      <c r="W686" t="s">
        <v>4029</v>
      </c>
      <c r="X686">
        <v>4</v>
      </c>
      <c r="Y686" t="s">
        <v>5685</v>
      </c>
      <c r="Z686" t="s">
        <v>7343</v>
      </c>
      <c r="AA686">
        <v>1.314915685119822</v>
      </c>
      <c r="AB686">
        <f>HYPERLINK("Melting_Curves/meltCurve_P0ADZ7_yajC.pdf", "Melting_Curves/meltCurve_P0ADZ7_yajC.pdf")</f>
        <v>0</v>
      </c>
    </row>
    <row r="687" spans="1:28">
      <c r="A687" t="s">
        <v>713</v>
      </c>
      <c r="B687">
        <v>0.999998419929286</v>
      </c>
      <c r="C687">
        <v>0.772529928796603</v>
      </c>
      <c r="D687">
        <v>0.792825226981675</v>
      </c>
      <c r="E687">
        <v>0.353527186925104</v>
      </c>
      <c r="F687">
        <v>0.0790179119983898</v>
      </c>
      <c r="G687">
        <v>0.0534649963288113</v>
      </c>
      <c r="H687">
        <v>0.0324678639182868</v>
      </c>
      <c r="I687">
        <v>0.0233223749631328</v>
      </c>
      <c r="J687">
        <v>0.0156833539788692</v>
      </c>
      <c r="K687">
        <v>0.0182971180196009</v>
      </c>
      <c r="L687">
        <v>840.931044325312</v>
      </c>
      <c r="M687">
        <v>18.6619188410506</v>
      </c>
      <c r="N687">
        <v>45.0897259117107</v>
      </c>
      <c r="O687">
        <v>44.5534833364967</v>
      </c>
      <c r="P687">
        <v>-0.104109280373319</v>
      </c>
      <c r="Q687">
        <v>0.00584014935520223</v>
      </c>
      <c r="R687">
        <v>0.9770833335110209</v>
      </c>
      <c r="S687" t="s">
        <v>2371</v>
      </c>
      <c r="T687" t="s">
        <v>3344</v>
      </c>
      <c r="U687" t="s">
        <v>3344</v>
      </c>
      <c r="V687" t="s">
        <v>3344</v>
      </c>
      <c r="W687" t="s">
        <v>4030</v>
      </c>
      <c r="X687">
        <v>7</v>
      </c>
      <c r="Y687" t="s">
        <v>5686</v>
      </c>
      <c r="Z687" t="s">
        <v>7344</v>
      </c>
      <c r="AA687">
        <v>0.2880766024489202</v>
      </c>
      <c r="AB687">
        <f>HYPERLINK("Melting_Curves/meltCurve_P0AE01_trmJ.pdf", "Melting_Curves/meltCurve_P0AE01_trmJ.pdf")</f>
        <v>0</v>
      </c>
    </row>
    <row r="688" spans="1:28">
      <c r="A688" t="s">
        <v>714</v>
      </c>
      <c r="B688">
        <v>0.999998419929286</v>
      </c>
      <c r="C688">
        <v>1.22614748781269</v>
      </c>
      <c r="D688">
        <v>1.41728643087403</v>
      </c>
      <c r="E688">
        <v>1.70185704305507</v>
      </c>
      <c r="F688">
        <v>0.955853520213284</v>
      </c>
      <c r="G688">
        <v>0.487916607940477</v>
      </c>
      <c r="H688">
        <v>0.211464598773415</v>
      </c>
      <c r="I688">
        <v>0.104222024855552</v>
      </c>
      <c r="J688">
        <v>0.0578853358915343</v>
      </c>
      <c r="K688">
        <v>0.0595983519006031</v>
      </c>
      <c r="L688">
        <v>2230.23966690155</v>
      </c>
      <c r="M688">
        <v>41.6054691086104</v>
      </c>
      <c r="N688">
        <v>53.8591049051055</v>
      </c>
      <c r="O688">
        <v>53.4810897582831</v>
      </c>
      <c r="P688">
        <v>-0.177123624960361</v>
      </c>
      <c r="Q688">
        <v>0.0892786050072267</v>
      </c>
      <c r="R688">
        <v>0.786445697913435</v>
      </c>
      <c r="S688" t="s">
        <v>2372</v>
      </c>
      <c r="T688" t="s">
        <v>3344</v>
      </c>
      <c r="U688" t="s">
        <v>3344</v>
      </c>
      <c r="V688" t="s">
        <v>3344</v>
      </c>
      <c r="W688" t="s">
        <v>4031</v>
      </c>
      <c r="X688">
        <v>7</v>
      </c>
      <c r="Y688" t="s">
        <v>5687</v>
      </c>
      <c r="Z688" t="s">
        <v>7345</v>
      </c>
      <c r="AA688">
        <v>0.5964491957393874</v>
      </c>
      <c r="AB688">
        <f>HYPERLINK("Melting_Curves/meltCurve_P0AE06_acrA.pdf", "Melting_Curves/meltCurve_P0AE06_acrA.pdf")</f>
        <v>0</v>
      </c>
    </row>
    <row r="689" spans="1:28">
      <c r="A689" t="s">
        <v>715</v>
      </c>
      <c r="B689">
        <v>0.999998419929286</v>
      </c>
      <c r="C689">
        <v>0.852142322646957</v>
      </c>
      <c r="D689">
        <v>1.08545191688435</v>
      </c>
      <c r="E689">
        <v>1.04001339327177</v>
      </c>
      <c r="F689">
        <v>1.25510370126773</v>
      </c>
      <c r="G689">
        <v>1.25254328847982</v>
      </c>
      <c r="H689">
        <v>1.16743930806671</v>
      </c>
      <c r="I689">
        <v>0.863238569258129</v>
      </c>
      <c r="J689">
        <v>0.616806301352665</v>
      </c>
      <c r="K689">
        <v>0.668294725219817</v>
      </c>
      <c r="L689">
        <v>15000</v>
      </c>
      <c r="M689">
        <v>245.423133104573</v>
      </c>
      <c r="O689">
        <v>61.1148503714096</v>
      </c>
      <c r="P689">
        <v>-0.358860130674874</v>
      </c>
      <c r="Q689">
        <v>0.642548905991175</v>
      </c>
      <c r="R689">
        <v>0.5885129292319941</v>
      </c>
      <c r="S689" t="s">
        <v>2373</v>
      </c>
      <c r="T689" t="s">
        <v>3344</v>
      </c>
      <c r="U689" t="s">
        <v>3344</v>
      </c>
      <c r="V689" t="s">
        <v>3344</v>
      </c>
      <c r="W689" t="s">
        <v>4032</v>
      </c>
      <c r="X689">
        <v>6</v>
      </c>
      <c r="Y689" t="s">
        <v>5688</v>
      </c>
      <c r="Z689" t="s">
        <v>7346</v>
      </c>
      <c r="AA689">
        <v>0.9299666557304261</v>
      </c>
      <c r="AB689">
        <f>HYPERLINK("Melting_Curves/meltCurve_P0AE08_ahpC.pdf", "Melting_Curves/meltCurve_P0AE08_ahpC.pdf")</f>
        <v>0</v>
      </c>
    </row>
    <row r="690" spans="1:28">
      <c r="A690" t="s">
        <v>716</v>
      </c>
      <c r="B690">
        <v>0.999998419929286</v>
      </c>
      <c r="C690">
        <v>1.49209669562729</v>
      </c>
      <c r="D690">
        <v>1.37141428426986</v>
      </c>
      <c r="E690">
        <v>1.29849019746703</v>
      </c>
      <c r="F690">
        <v>1.45231835964047</v>
      </c>
      <c r="G690">
        <v>1.30542211446214</v>
      </c>
      <c r="H690">
        <v>1.06630151084419</v>
      </c>
      <c r="I690">
        <v>1.10458585106823</v>
      </c>
      <c r="J690">
        <v>0.62130853671782</v>
      </c>
      <c r="K690">
        <v>0.14166419484616</v>
      </c>
      <c r="L690">
        <v>15000</v>
      </c>
      <c r="M690">
        <v>233.7729350604</v>
      </c>
      <c r="N690">
        <v>64.2563459544929</v>
      </c>
      <c r="O690">
        <v>64.1601513627166</v>
      </c>
      <c r="P690">
        <v>-0.781894945013162</v>
      </c>
      <c r="Q690">
        <v>0.14162035248973</v>
      </c>
      <c r="R690">
        <v>0.507822097739884</v>
      </c>
      <c r="S690" t="s">
        <v>2374</v>
      </c>
      <c r="T690" t="s">
        <v>3344</v>
      </c>
      <c r="U690" t="s">
        <v>3344</v>
      </c>
      <c r="V690" t="s">
        <v>3344</v>
      </c>
      <c r="W690" t="s">
        <v>4033</v>
      </c>
      <c r="X690">
        <v>10</v>
      </c>
      <c r="Y690" t="s">
        <v>5689</v>
      </c>
      <c r="Z690" t="s">
        <v>7347</v>
      </c>
      <c r="AA690">
        <v>0.9189882934380257</v>
      </c>
      <c r="AB690">
        <f>HYPERLINK("Melting_Curves/meltCurve_P0AE12_amn.pdf", "Melting_Curves/meltCurve_P0AE12_amn.pdf")</f>
        <v>0</v>
      </c>
    </row>
    <row r="691" spans="1:28">
      <c r="A691" t="s">
        <v>717</v>
      </c>
      <c r="B691">
        <v>0.999998419929286</v>
      </c>
      <c r="C691">
        <v>0.84923976664171</v>
      </c>
      <c r="D691">
        <v>0.683356894855533</v>
      </c>
      <c r="E691">
        <v>0.243990591047083</v>
      </c>
      <c r="F691">
        <v>0.152716189925877</v>
      </c>
      <c r="G691">
        <v>0.124080885927333</v>
      </c>
      <c r="H691">
        <v>0.08548634505008609</v>
      </c>
      <c r="I691">
        <v>0.0509674297804069</v>
      </c>
      <c r="J691">
        <v>0.0395165926764833</v>
      </c>
      <c r="K691">
        <v>0.0476739050328722</v>
      </c>
      <c r="L691">
        <v>885.751372518198</v>
      </c>
      <c r="M691">
        <v>20.1281263465602</v>
      </c>
      <c r="N691">
        <v>44.2902763616794</v>
      </c>
      <c r="O691">
        <v>43.5781987267697</v>
      </c>
      <c r="P691">
        <v>-0.108469520619108</v>
      </c>
      <c r="Q691">
        <v>0.060666404709446</v>
      </c>
      <c r="R691">
        <v>0.991939984504196</v>
      </c>
      <c r="S691" t="s">
        <v>2375</v>
      </c>
      <c r="T691" t="s">
        <v>3344</v>
      </c>
      <c r="U691" t="s">
        <v>3344</v>
      </c>
      <c r="V691" t="s">
        <v>3344</v>
      </c>
      <c r="W691" t="s">
        <v>4034</v>
      </c>
      <c r="X691">
        <v>4</v>
      </c>
      <c r="Y691" t="s">
        <v>5690</v>
      </c>
      <c r="Z691" t="s">
        <v>7348</v>
      </c>
      <c r="AA691">
        <v>0.292415235021244</v>
      </c>
      <c r="AB691">
        <f>HYPERLINK("Melting_Curves/meltCurve_P0AE18_map.pdf", "Melting_Curves/meltCurve_P0AE18_map.pdf")</f>
        <v>0</v>
      </c>
    </row>
    <row r="692" spans="1:28">
      <c r="A692" t="s">
        <v>718</v>
      </c>
      <c r="B692">
        <v>0.999998419929286</v>
      </c>
      <c r="C692">
        <v>0.945233714466898</v>
      </c>
      <c r="D692">
        <v>0.8998331978669371</v>
      </c>
      <c r="E692">
        <v>0.961430076617882</v>
      </c>
      <c r="F692">
        <v>1.00660305792266</v>
      </c>
      <c r="G692">
        <v>1.09971196289875</v>
      </c>
      <c r="H692">
        <v>0.827276108974018</v>
      </c>
      <c r="I692">
        <v>0.80646568869593</v>
      </c>
      <c r="J692">
        <v>0.773024081143157</v>
      </c>
      <c r="K692">
        <v>0.823931754073308</v>
      </c>
      <c r="L692">
        <v>14241.6072654684</v>
      </c>
      <c r="M692">
        <v>250</v>
      </c>
      <c r="O692">
        <v>56.9627834414162</v>
      </c>
      <c r="P692">
        <v>-0.218190261033923</v>
      </c>
      <c r="Q692">
        <v>0.801140406307593</v>
      </c>
      <c r="R692">
        <v>0.743998817705797</v>
      </c>
      <c r="S692" t="s">
        <v>2376</v>
      </c>
      <c r="T692" t="s">
        <v>3344</v>
      </c>
      <c r="U692" t="s">
        <v>3344</v>
      </c>
      <c r="V692" t="s">
        <v>3344</v>
      </c>
      <c r="W692" t="s">
        <v>4035</v>
      </c>
      <c r="X692">
        <v>5</v>
      </c>
      <c r="Y692" t="s">
        <v>5691</v>
      </c>
      <c r="Z692" t="s">
        <v>7349</v>
      </c>
      <c r="AA692">
        <v>0.9335108196922787</v>
      </c>
      <c r="AB692">
        <f>HYPERLINK("Melting_Curves/meltCurve_P0AE22_aphA.pdf", "Melting_Curves/meltCurve_P0AE22_aphA.pdf")</f>
        <v>0</v>
      </c>
    </row>
    <row r="693" spans="1:28">
      <c r="A693" t="s">
        <v>719</v>
      </c>
      <c r="B693">
        <v>0.999998419929286</v>
      </c>
      <c r="C693">
        <v>0.958978668366976</v>
      </c>
      <c r="D693">
        <v>0.544694202820535</v>
      </c>
      <c r="E693">
        <v>0.267815782961287</v>
      </c>
      <c r="F693">
        <v>0.177956704397707</v>
      </c>
      <c r="G693">
        <v>0.159775540268762</v>
      </c>
      <c r="H693">
        <v>0.102720356312741</v>
      </c>
      <c r="I693">
        <v>0.0586225196478241</v>
      </c>
      <c r="J693">
        <v>0.0314751642419033</v>
      </c>
      <c r="K693">
        <v>0.0388921338348114</v>
      </c>
      <c r="L693">
        <v>952.139102948585</v>
      </c>
      <c r="M693">
        <v>21.8920487245906</v>
      </c>
      <c r="N693">
        <v>43.8528569234155</v>
      </c>
      <c r="O693">
        <v>43.1344366736121</v>
      </c>
      <c r="P693">
        <v>-0.116439345411371</v>
      </c>
      <c r="Q693">
        <v>0.08232777962354031</v>
      </c>
      <c r="R693">
        <v>0.983597114610796</v>
      </c>
      <c r="S693" t="s">
        <v>2377</v>
      </c>
      <c r="T693" t="s">
        <v>3344</v>
      </c>
      <c r="U693" t="s">
        <v>3344</v>
      </c>
      <c r="V693" t="s">
        <v>3344</v>
      </c>
      <c r="W693" t="s">
        <v>4036</v>
      </c>
      <c r="X693">
        <v>4</v>
      </c>
      <c r="Y693" t="s">
        <v>5692</v>
      </c>
      <c r="Z693" t="s">
        <v>7350</v>
      </c>
      <c r="AA693">
        <v>0.2911312339811963</v>
      </c>
      <c r="AB693">
        <f>HYPERLINK("Melting_Curves/meltCurve_P0AE37_astA.pdf", "Melting_Curves/meltCurve_P0AE37_astA.pdf")</f>
        <v>0</v>
      </c>
    </row>
    <row r="694" spans="1:28">
      <c r="A694" t="s">
        <v>720</v>
      </c>
      <c r="B694">
        <v>0.999998419929286</v>
      </c>
      <c r="C694">
        <v>1.0389678046945</v>
      </c>
      <c r="D694">
        <v>1.1167898713332</v>
      </c>
      <c r="E694">
        <v>1.07150920787042</v>
      </c>
      <c r="F694">
        <v>1.28759529908549</v>
      </c>
      <c r="G694">
        <v>1.02128576624437</v>
      </c>
      <c r="H694">
        <v>0.547072635941978</v>
      </c>
      <c r="I694">
        <v>0.219767573541197</v>
      </c>
      <c r="J694">
        <v>0.172693456614524</v>
      </c>
      <c r="K694">
        <v>0.158835229656562</v>
      </c>
      <c r="L694">
        <v>4172.01129401195</v>
      </c>
      <c r="M694">
        <v>72.88153013449561</v>
      </c>
      <c r="N694">
        <v>57.5967717816658</v>
      </c>
      <c r="O694">
        <v>57.2006856107473</v>
      </c>
      <c r="P694">
        <v>-0.261154218667782</v>
      </c>
      <c r="Q694">
        <v>0.180138095186878</v>
      </c>
      <c r="R694">
        <v>0.9398270650441261</v>
      </c>
      <c r="S694" t="s">
        <v>2378</v>
      </c>
      <c r="T694" t="s">
        <v>3344</v>
      </c>
      <c r="U694" t="s">
        <v>3344</v>
      </c>
      <c r="V694" t="s">
        <v>3344</v>
      </c>
      <c r="W694" t="s">
        <v>4037</v>
      </c>
      <c r="X694">
        <v>1</v>
      </c>
      <c r="Y694" t="s">
        <v>5693</v>
      </c>
      <c r="Z694" t="s">
        <v>7351</v>
      </c>
      <c r="AA694">
        <v>0.7343444920920473</v>
      </c>
      <c r="AB694">
        <f>HYPERLINK("Melting_Curves/meltCurve_P0AE48_ytfP.pdf", "Melting_Curves/meltCurve_P0AE48_ytfP.pdf")</f>
        <v>0</v>
      </c>
    </row>
    <row r="695" spans="1:28">
      <c r="A695" t="s">
        <v>721</v>
      </c>
      <c r="B695">
        <v>0.999998419929286</v>
      </c>
      <c r="C695">
        <v>0.90885034967804</v>
      </c>
      <c r="D695">
        <v>0.790295464929296</v>
      </c>
      <c r="E695">
        <v>0.923702848691903</v>
      </c>
      <c r="F695">
        <v>0.830663765562924</v>
      </c>
      <c r="G695">
        <v>0.957855662164494</v>
      </c>
      <c r="H695">
        <v>0.933129938726061</v>
      </c>
      <c r="I695">
        <v>1.02726333001588</v>
      </c>
      <c r="J695">
        <v>1.06262227146677</v>
      </c>
      <c r="K695">
        <v>0.937029970169545</v>
      </c>
      <c r="L695">
        <v>0.718184999180931</v>
      </c>
      <c r="M695">
        <v>12.9559288971573</v>
      </c>
      <c r="Q695">
        <v>0.937141112668025</v>
      </c>
      <c r="R695">
        <v>-3.77664899353647e-09</v>
      </c>
      <c r="S695" t="s">
        <v>2379</v>
      </c>
      <c r="T695" t="s">
        <v>3344</v>
      </c>
      <c r="U695" t="s">
        <v>3344</v>
      </c>
      <c r="V695" t="s">
        <v>3344</v>
      </c>
      <c r="W695" t="s">
        <v>4038</v>
      </c>
      <c r="X695">
        <v>6</v>
      </c>
      <c r="Y695" t="s">
        <v>5694</v>
      </c>
      <c r="Z695" t="s">
        <v>7352</v>
      </c>
      <c r="AA695">
        <v>0.9371412632773556</v>
      </c>
      <c r="AB695">
        <f>HYPERLINK("Melting_Curves/meltCurve_P0AE52_bcp.pdf", "Melting_Curves/meltCurve_P0AE52_bcp.pdf")</f>
        <v>0</v>
      </c>
    </row>
    <row r="696" spans="1:28">
      <c r="A696" t="s">
        <v>722</v>
      </c>
      <c r="B696">
        <v>0.999998419929286</v>
      </c>
      <c r="C696">
        <v>1.02013208842254</v>
      </c>
      <c r="D696">
        <v>0.851996094675338</v>
      </c>
      <c r="E696">
        <v>0.851796099486929</v>
      </c>
      <c r="F696">
        <v>0.89872717592676</v>
      </c>
      <c r="G696">
        <v>0.7722901549404551</v>
      </c>
      <c r="H696">
        <v>0.534709493776231</v>
      </c>
      <c r="I696">
        <v>0.368781938602817</v>
      </c>
      <c r="J696">
        <v>0.357717625796634</v>
      </c>
      <c r="K696">
        <v>0.25815272181347</v>
      </c>
      <c r="L696">
        <v>538.965472215369</v>
      </c>
      <c r="M696">
        <v>9.12844295553816</v>
      </c>
      <c r="N696">
        <v>59.0424095906451</v>
      </c>
      <c r="O696">
        <v>56.4159467950326</v>
      </c>
      <c r="P696">
        <v>-0.0404793588307338</v>
      </c>
      <c r="Q696">
        <v>0</v>
      </c>
      <c r="R696">
        <v>0.955287071427757</v>
      </c>
      <c r="S696" t="s">
        <v>2380</v>
      </c>
      <c r="T696" t="s">
        <v>3344</v>
      </c>
      <c r="U696" t="s">
        <v>3344</v>
      </c>
      <c r="V696" t="s">
        <v>3344</v>
      </c>
      <c r="W696" t="s">
        <v>4039</v>
      </c>
      <c r="X696">
        <v>2</v>
      </c>
      <c r="Y696" t="s">
        <v>5695</v>
      </c>
      <c r="Z696" t="s">
        <v>7353</v>
      </c>
      <c r="AA696">
        <v>0.7116251041573065</v>
      </c>
      <c r="AB696">
        <f>HYPERLINK("Melting_Curves/meltCurve_P0AE60_cedA.pdf", "Melting_Curves/meltCurve_P0AE60_cedA.pdf")</f>
        <v>0</v>
      </c>
    </row>
    <row r="697" spans="1:28">
      <c r="A697" t="s">
        <v>723</v>
      </c>
      <c r="B697">
        <v>0.999998419929286</v>
      </c>
      <c r="C697">
        <v>1.1544547676003</v>
      </c>
      <c r="D697">
        <v>0.744450455223217</v>
      </c>
      <c r="E697">
        <v>0.9644343722723</v>
      </c>
      <c r="F697">
        <v>1.03476768492027</v>
      </c>
      <c r="G697">
        <v>1.09658584409367</v>
      </c>
      <c r="H697">
        <v>1.02932030401351</v>
      </c>
      <c r="I697">
        <v>1.2987715418499</v>
      </c>
      <c r="J697">
        <v>1.42015752326174</v>
      </c>
      <c r="K697">
        <v>1.30186072186603</v>
      </c>
      <c r="L697">
        <v>4083.6376135218</v>
      </c>
      <c r="M697">
        <v>68.62711559451181</v>
      </c>
      <c r="O697">
        <v>59.4542578387042</v>
      </c>
      <c r="P697">
        <v>0.103947849777975</v>
      </c>
      <c r="Q697">
        <v>1.36021567988101</v>
      </c>
      <c r="R697">
        <v>0.690355603883591</v>
      </c>
      <c r="S697" t="s">
        <v>2381</v>
      </c>
      <c r="T697" t="s">
        <v>3344</v>
      </c>
      <c r="U697" t="s">
        <v>3344</v>
      </c>
      <c r="V697" t="s">
        <v>3344</v>
      </c>
      <c r="W697" t="s">
        <v>4040</v>
      </c>
      <c r="X697">
        <v>3</v>
      </c>
      <c r="Y697" t="s">
        <v>5696</v>
      </c>
      <c r="Z697" t="s">
        <v>7354</v>
      </c>
      <c r="AA697">
        <v>1.089502949549265</v>
      </c>
      <c r="AB697">
        <f>HYPERLINK("Melting_Curves/meltCurve_P0AE63_chaB.pdf", "Melting_Curves/meltCurve_P0AE63_chaB.pdf")</f>
        <v>0</v>
      </c>
    </row>
    <row r="698" spans="1:28">
      <c r="A698" t="s">
        <v>724</v>
      </c>
      <c r="B698">
        <v>0.999998419929286</v>
      </c>
      <c r="C698">
        <v>0.645579389933773</v>
      </c>
      <c r="D698">
        <v>0.797708722606933</v>
      </c>
      <c r="E698">
        <v>0.578598141302738</v>
      </c>
      <c r="F698">
        <v>0.823207463992999</v>
      </c>
      <c r="G698">
        <v>0.502708769613374</v>
      </c>
      <c r="H698">
        <v>0.475220537209022</v>
      </c>
      <c r="I698">
        <v>0.534021271470083</v>
      </c>
      <c r="J698">
        <v>0.600551640609289</v>
      </c>
      <c r="K698">
        <v>0.491607146408941</v>
      </c>
      <c r="L698">
        <v>329.052657455837</v>
      </c>
      <c r="M698">
        <v>7.72729362893376</v>
      </c>
      <c r="O698">
        <v>40.0130170753497</v>
      </c>
      <c r="P698">
        <v>-0.0244564997584426</v>
      </c>
      <c r="Q698">
        <v>0.49409434062791</v>
      </c>
      <c r="R698">
        <v>0.577366669426713</v>
      </c>
      <c r="S698" t="s">
        <v>2382</v>
      </c>
      <c r="T698" t="s">
        <v>3344</v>
      </c>
      <c r="U698" t="s">
        <v>3344</v>
      </c>
      <c r="V698" t="s">
        <v>3344</v>
      </c>
      <c r="W698" t="s">
        <v>4041</v>
      </c>
      <c r="X698">
        <v>4</v>
      </c>
      <c r="Y698" t="s">
        <v>5697</v>
      </c>
      <c r="Z698" t="s">
        <v>7355</v>
      </c>
      <c r="AA698">
        <v>0.633153884357635</v>
      </c>
      <c r="AB698">
        <f>HYPERLINK("Melting_Curves/meltCurve_P0AE67_cheY.pdf", "Melting_Curves/meltCurve_P0AE67_cheY.pdf")</f>
        <v>0</v>
      </c>
    </row>
    <row r="699" spans="1:28">
      <c r="A699" t="s">
        <v>725</v>
      </c>
      <c r="B699">
        <v>0.999998419929286</v>
      </c>
      <c r="C699">
        <v>0.886142502902617</v>
      </c>
      <c r="D699">
        <v>1.02887094802916</v>
      </c>
      <c r="E699">
        <v>1.24053457982106</v>
      </c>
      <c r="F699">
        <v>1.25765363731902</v>
      </c>
      <c r="G699">
        <v>1.17125716803612</v>
      </c>
      <c r="H699">
        <v>0.884369906721032</v>
      </c>
      <c r="I699">
        <v>0.430291315053174</v>
      </c>
      <c r="J699">
        <v>0.350636433569377</v>
      </c>
      <c r="K699">
        <v>0.305555799105544</v>
      </c>
      <c r="L699">
        <v>3316.06892936645</v>
      </c>
      <c r="M699">
        <v>56.0839305141305</v>
      </c>
      <c r="N699">
        <v>60.2503965893178</v>
      </c>
      <c r="O699">
        <v>59.0518475401175</v>
      </c>
      <c r="P699">
        <v>-0.160436073296957</v>
      </c>
      <c r="Q699">
        <v>0.324295247193067</v>
      </c>
      <c r="R699">
        <v>0.85914278259017</v>
      </c>
      <c r="S699" t="s">
        <v>2383</v>
      </c>
      <c r="T699" t="s">
        <v>3344</v>
      </c>
      <c r="U699" t="s">
        <v>3344</v>
      </c>
      <c r="V699" t="s">
        <v>3344</v>
      </c>
      <c r="W699" t="s">
        <v>4042</v>
      </c>
      <c r="X699">
        <v>1</v>
      </c>
      <c r="Y699" t="s">
        <v>5698</v>
      </c>
      <c r="Z699" t="s">
        <v>7356</v>
      </c>
      <c r="AA699">
        <v>0.8240257225916788</v>
      </c>
      <c r="AB699">
        <f>HYPERLINK("Melting_Curves/meltCurve_P0AE70_mazF.pdf", "Melting_Curves/meltCurve_P0AE70_mazF.pdf")</f>
        <v>0</v>
      </c>
    </row>
    <row r="700" spans="1:28">
      <c r="A700" t="s">
        <v>726</v>
      </c>
      <c r="B700">
        <v>0.999998419929286</v>
      </c>
      <c r="C700">
        <v>0.864884974144688</v>
      </c>
      <c r="D700">
        <v>0.855981443348018</v>
      </c>
      <c r="E700">
        <v>0.5932189900318841</v>
      </c>
      <c r="F700">
        <v>0.167072486865369</v>
      </c>
      <c r="G700">
        <v>0.08864083467180039</v>
      </c>
      <c r="H700">
        <v>0.054063406615822</v>
      </c>
      <c r="I700">
        <v>0.0324922442704489</v>
      </c>
      <c r="J700">
        <v>0.0367251153090602</v>
      </c>
      <c r="K700">
        <v>0.034982428406947</v>
      </c>
      <c r="L700">
        <v>968.578613220697</v>
      </c>
      <c r="M700">
        <v>20.6657834976026</v>
      </c>
      <c r="N700">
        <v>46.9840532311126</v>
      </c>
      <c r="O700">
        <v>46.4364672450824</v>
      </c>
      <c r="P700">
        <v>-0.108509658551501</v>
      </c>
      <c r="Q700">
        <v>0.0247335954740859</v>
      </c>
      <c r="R700">
        <v>0.987839912808755</v>
      </c>
      <c r="S700" t="s">
        <v>2384</v>
      </c>
      <c r="T700" t="s">
        <v>3344</v>
      </c>
      <c r="U700" t="s">
        <v>3344</v>
      </c>
      <c r="V700" t="s">
        <v>3344</v>
      </c>
      <c r="W700" t="s">
        <v>4043</v>
      </c>
      <c r="X700">
        <v>3</v>
      </c>
      <c r="Y700" t="s">
        <v>5699</v>
      </c>
      <c r="Z700" t="s">
        <v>7357</v>
      </c>
      <c r="AA700">
        <v>0.3575189977246869</v>
      </c>
      <c r="AB700">
        <f>HYPERLINK("Melting_Curves/meltCurve_P0AE78_corC.pdf", "Melting_Curves/meltCurve_P0AE78_corC.pdf")</f>
        <v>0</v>
      </c>
    </row>
    <row r="701" spans="1:28">
      <c r="A701" t="s">
        <v>727</v>
      </c>
      <c r="B701">
        <v>0.999998419929286</v>
      </c>
      <c r="C701">
        <v>0.931403516804729</v>
      </c>
      <c r="D701">
        <v>0.643705192223767</v>
      </c>
      <c r="E701">
        <v>0.519422467279234</v>
      </c>
      <c r="F701">
        <v>0.457495015456164</v>
      </c>
      <c r="G701">
        <v>0.421538933994574</v>
      </c>
      <c r="H701">
        <v>0.294691643007938</v>
      </c>
      <c r="I701">
        <v>0.285748326698463</v>
      </c>
      <c r="J701">
        <v>0.254452120417332</v>
      </c>
      <c r="K701">
        <v>0.325830682893858</v>
      </c>
      <c r="L701">
        <v>604.653642301455</v>
      </c>
      <c r="M701">
        <v>13.6496519231921</v>
      </c>
      <c r="N701">
        <v>47.376497721427</v>
      </c>
      <c r="O701">
        <v>43.3797461337459</v>
      </c>
      <c r="P701">
        <v>-0.0555417125636018</v>
      </c>
      <c r="Q701">
        <v>0.294038236300362</v>
      </c>
      <c r="R701">
        <v>0.9644706120098679</v>
      </c>
      <c r="S701" t="s">
        <v>2385</v>
      </c>
      <c r="T701" t="s">
        <v>3344</v>
      </c>
      <c r="U701" t="s">
        <v>3344</v>
      </c>
      <c r="V701" t="s">
        <v>3344</v>
      </c>
      <c r="W701" t="s">
        <v>4044</v>
      </c>
      <c r="X701">
        <v>3</v>
      </c>
      <c r="Y701" t="s">
        <v>5700</v>
      </c>
      <c r="Z701" t="s">
        <v>7358</v>
      </c>
      <c r="AA701">
        <v>0.4866828457421121</v>
      </c>
      <c r="AB701">
        <f>HYPERLINK("Melting_Curves/meltCurve_P0AE82_cpxA.pdf", "Melting_Curves/meltCurve_P0AE82_cpxA.pdf")</f>
        <v>0</v>
      </c>
    </row>
    <row r="702" spans="1:28">
      <c r="A702" t="s">
        <v>728</v>
      </c>
      <c r="B702">
        <v>0.999998419929286</v>
      </c>
      <c r="C702">
        <v>0.971876444434338</v>
      </c>
      <c r="D702">
        <v>0.854078809109775</v>
      </c>
      <c r="E702">
        <v>0.999928485345002</v>
      </c>
      <c r="F702">
        <v>1.11758542672988</v>
      </c>
      <c r="G702">
        <v>1.25306246225271</v>
      </c>
      <c r="H702">
        <v>1.15578604290793</v>
      </c>
      <c r="I702">
        <v>1.1775838116528</v>
      </c>
      <c r="J702">
        <v>1.34658730155815</v>
      </c>
      <c r="K702">
        <v>1.14256803127893</v>
      </c>
      <c r="L702">
        <v>12540.6134217812</v>
      </c>
      <c r="M702">
        <v>250</v>
      </c>
      <c r="O702">
        <v>50.1592371351555</v>
      </c>
      <c r="P702">
        <v>0.268043230372157</v>
      </c>
      <c r="Q702">
        <v>1.21511753090317</v>
      </c>
      <c r="R702">
        <v>0.734865747357286</v>
      </c>
      <c r="S702" t="s">
        <v>2386</v>
      </c>
      <c r="T702" t="s">
        <v>3344</v>
      </c>
      <c r="U702" t="s">
        <v>3344</v>
      </c>
      <c r="V702" t="s">
        <v>3344</v>
      </c>
      <c r="W702" t="s">
        <v>4045</v>
      </c>
      <c r="X702">
        <v>2</v>
      </c>
      <c r="Y702" t="s">
        <v>5701</v>
      </c>
      <c r="Z702" t="s">
        <v>7359</v>
      </c>
      <c r="AA702">
        <v>1.120716108583042</v>
      </c>
      <c r="AB702">
        <f>HYPERLINK("Melting_Curves/meltCurve_P0AE85_cpxP.pdf", "Melting_Curves/meltCurve_P0AE85_cpxP.pdf")</f>
        <v>0</v>
      </c>
    </row>
    <row r="703" spans="1:28">
      <c r="A703" t="s">
        <v>729</v>
      </c>
      <c r="B703">
        <v>0.999998419929286</v>
      </c>
      <c r="C703">
        <v>0.967371822583918</v>
      </c>
      <c r="D703">
        <v>1.00994027840282</v>
      </c>
      <c r="E703">
        <v>1.13256346244667</v>
      </c>
      <c r="F703">
        <v>1.20202116549658</v>
      </c>
      <c r="G703">
        <v>1.21159042905654</v>
      </c>
      <c r="H703">
        <v>0.805271345156126</v>
      </c>
      <c r="I703">
        <v>0.397200450892627</v>
      </c>
      <c r="J703">
        <v>0.266954854128626</v>
      </c>
      <c r="K703">
        <v>0.25582408646139</v>
      </c>
      <c r="L703">
        <v>2862.07051769649</v>
      </c>
      <c r="M703">
        <v>48.6225390852687</v>
      </c>
      <c r="N703">
        <v>59.7704606944203</v>
      </c>
      <c r="O703">
        <v>58.7637283796734</v>
      </c>
      <c r="P703">
        <v>-0.152865287520591</v>
      </c>
      <c r="Q703">
        <v>0.2610072722747</v>
      </c>
      <c r="R703">
        <v>0.915452241204635</v>
      </c>
      <c r="S703" t="s">
        <v>2387</v>
      </c>
      <c r="T703" t="s">
        <v>3344</v>
      </c>
      <c r="U703" t="s">
        <v>3344</v>
      </c>
      <c r="V703" t="s">
        <v>3344</v>
      </c>
      <c r="W703" t="s">
        <v>4046</v>
      </c>
      <c r="X703">
        <v>5</v>
      </c>
      <c r="Y703" t="s">
        <v>5702</v>
      </c>
      <c r="Z703" t="s">
        <v>7360</v>
      </c>
      <c r="AA703">
        <v>0.8014807710270089</v>
      </c>
      <c r="AB703">
        <f>HYPERLINK("Melting_Curves/meltCurve_P0AE88_cpxR.pdf", "Melting_Curves/meltCurve_P0AE88_cpxR.pdf")</f>
        <v>0</v>
      </c>
    </row>
    <row r="704" spans="1:28">
      <c r="A704" t="s">
        <v>730</v>
      </c>
      <c r="B704">
        <v>0.999998419929286</v>
      </c>
      <c r="C704">
        <v>0.882194608042463</v>
      </c>
      <c r="D704">
        <v>0.954668447769314</v>
      </c>
      <c r="E704">
        <v>1.02367035440732</v>
      </c>
      <c r="F704">
        <v>1.1887889198234</v>
      </c>
      <c r="G704">
        <v>1.39838220486574</v>
      </c>
      <c r="H704">
        <v>1.24337534352308</v>
      </c>
      <c r="I704">
        <v>1.06093498900422</v>
      </c>
      <c r="J704">
        <v>1.10392772928387</v>
      </c>
      <c r="K704">
        <v>1.27032875123046</v>
      </c>
      <c r="L704">
        <v>3032.255634623</v>
      </c>
      <c r="M704">
        <v>62.8058939329779</v>
      </c>
      <c r="O704">
        <v>48.2309176086066</v>
      </c>
      <c r="P704">
        <v>0.069694172046424</v>
      </c>
      <c r="Q704">
        <v>1.21408263368279</v>
      </c>
      <c r="R704">
        <v>0.611325710943739</v>
      </c>
      <c r="S704" t="s">
        <v>2388</v>
      </c>
      <c r="T704" t="s">
        <v>3344</v>
      </c>
      <c r="U704" t="s">
        <v>3344</v>
      </c>
      <c r="V704" t="s">
        <v>3344</v>
      </c>
      <c r="W704" t="s">
        <v>4047</v>
      </c>
      <c r="X704">
        <v>7</v>
      </c>
      <c r="Y704" t="s">
        <v>5703</v>
      </c>
      <c r="Z704" t="s">
        <v>7361</v>
      </c>
      <c r="AA704">
        <v>1.133300672779718</v>
      </c>
      <c r="AB704">
        <f>HYPERLINK("Melting_Curves/meltCurve_P0AE91_creA.pdf", "Melting_Curves/meltCurve_P0AE91_creA.pdf")</f>
        <v>0</v>
      </c>
    </row>
    <row r="705" spans="1:28">
      <c r="A705" t="s">
        <v>731</v>
      </c>
      <c r="B705">
        <v>0.999998419929286</v>
      </c>
      <c r="C705">
        <v>1.09555384061268</v>
      </c>
      <c r="D705">
        <v>1.16466344084522</v>
      </c>
      <c r="E705">
        <v>1.3607091243962</v>
      </c>
      <c r="F705">
        <v>1.271206014529</v>
      </c>
      <c r="G705">
        <v>1.11991210467352</v>
      </c>
      <c r="H705">
        <v>0.783406437160139</v>
      </c>
      <c r="I705">
        <v>0.352654287526724</v>
      </c>
      <c r="J705">
        <v>0.154254512586524</v>
      </c>
      <c r="K705">
        <v>0.10091018905297</v>
      </c>
      <c r="L705">
        <v>2330.8682002113</v>
      </c>
      <c r="M705">
        <v>39.244651994352</v>
      </c>
      <c r="N705">
        <v>59.7402463707119</v>
      </c>
      <c r="O705">
        <v>59.2396555765158</v>
      </c>
      <c r="P705">
        <v>-0.148739127883044</v>
      </c>
      <c r="Q705">
        <v>0.101917002547684</v>
      </c>
      <c r="R705">
        <v>0.869288190441432</v>
      </c>
      <c r="S705" t="s">
        <v>2389</v>
      </c>
      <c r="T705" t="s">
        <v>3344</v>
      </c>
      <c r="U705" t="s">
        <v>3344</v>
      </c>
      <c r="V705" t="s">
        <v>3344</v>
      </c>
      <c r="W705" t="s">
        <v>4048</v>
      </c>
      <c r="X705">
        <v>6</v>
      </c>
      <c r="Y705" t="s">
        <v>5704</v>
      </c>
      <c r="Z705" t="s">
        <v>7362</v>
      </c>
      <c r="AA705">
        <v>0.7754090533206054</v>
      </c>
      <c r="AB705">
        <f>HYPERLINK("Melting_Curves/meltCurve_P0AEA8_cysG.pdf", "Melting_Curves/meltCurve_P0AEA8_cysG.pdf")</f>
        <v>0</v>
      </c>
    </row>
    <row r="706" spans="1:28">
      <c r="A706" t="s">
        <v>732</v>
      </c>
      <c r="B706">
        <v>0.999998419929286</v>
      </c>
      <c r="C706">
        <v>1.09604939366479</v>
      </c>
      <c r="D706">
        <v>1.24120634743928</v>
      </c>
      <c r="E706">
        <v>0.628870513507243</v>
      </c>
      <c r="F706">
        <v>0.101024038861218</v>
      </c>
      <c r="G706">
        <v>0.0870920805047479</v>
      </c>
      <c r="H706">
        <v>0.0496515158391291</v>
      </c>
      <c r="I706">
        <v>0.0398592391288651</v>
      </c>
      <c r="J706">
        <v>0.0399208472740078</v>
      </c>
      <c r="K706">
        <v>0.0407026850763761</v>
      </c>
      <c r="L706">
        <v>4262.51640278187</v>
      </c>
      <c r="M706">
        <v>91.0390244560749</v>
      </c>
      <c r="N706">
        <v>46.8857792789367</v>
      </c>
      <c r="O706">
        <v>46.7981934834262</v>
      </c>
      <c r="P706">
        <v>-0.457488883622948</v>
      </c>
      <c r="Q706">
        <v>0.0593200335487868</v>
      </c>
      <c r="R706">
        <v>0.968992122471682</v>
      </c>
      <c r="S706" t="s">
        <v>2390</v>
      </c>
      <c r="T706" t="s">
        <v>3344</v>
      </c>
      <c r="U706" t="s">
        <v>3344</v>
      </c>
      <c r="V706" t="s">
        <v>3344</v>
      </c>
      <c r="W706" t="s">
        <v>4049</v>
      </c>
      <c r="X706">
        <v>10</v>
      </c>
      <c r="Y706" t="s">
        <v>5705</v>
      </c>
      <c r="Z706" t="s">
        <v>7363</v>
      </c>
      <c r="AA706">
        <v>0.3678435288480844</v>
      </c>
      <c r="AB706">
        <f>HYPERLINK("Melting_Curves/meltCurve_P0AEB2_dacA.pdf", "Melting_Curves/meltCurve_P0AEB2_dacA.pdf")</f>
        <v>0</v>
      </c>
    </row>
    <row r="707" spans="1:28">
      <c r="A707" t="s">
        <v>733</v>
      </c>
      <c r="B707">
        <v>0.999998419929286</v>
      </c>
      <c r="C707">
        <v>0.8998896726107301</v>
      </c>
      <c r="D707">
        <v>0.918972174923821</v>
      </c>
      <c r="E707">
        <v>0.919825523335314</v>
      </c>
      <c r="F707">
        <v>1.13432969086968</v>
      </c>
      <c r="G707">
        <v>1.44281094582828</v>
      </c>
      <c r="H707">
        <v>1.18997835861484</v>
      </c>
      <c r="I707">
        <v>1.33723631676877</v>
      </c>
      <c r="J707">
        <v>1.45749185483253</v>
      </c>
      <c r="K707">
        <v>0.8859157427764091</v>
      </c>
      <c r="L707">
        <v>12547.7167729551</v>
      </c>
      <c r="M707">
        <v>250</v>
      </c>
      <c r="O707">
        <v>50.18766382804</v>
      </c>
      <c r="P707">
        <v>0.327130546917479</v>
      </c>
      <c r="Q707">
        <v>1.26268664136653</v>
      </c>
      <c r="R707">
        <v>0.474482850014865</v>
      </c>
      <c r="S707" t="s">
        <v>2391</v>
      </c>
      <c r="T707" t="s">
        <v>3344</v>
      </c>
      <c r="U707" t="s">
        <v>3344</v>
      </c>
      <c r="V707" t="s">
        <v>3344</v>
      </c>
      <c r="W707" t="s">
        <v>4050</v>
      </c>
      <c r="X707">
        <v>2</v>
      </c>
      <c r="Y707" t="s">
        <v>5706</v>
      </c>
      <c r="Z707" t="s">
        <v>7364</v>
      </c>
      <c r="AA707">
        <v>1.147161350390923</v>
      </c>
      <c r="AB707">
        <f>HYPERLINK("Melting_Curves/meltCurve_P0AEB7_yoaB.pdf", "Melting_Curves/meltCurve_P0AEB7_yoaB.pdf")</f>
        <v>0</v>
      </c>
    </row>
    <row r="708" spans="1:28">
      <c r="A708" t="s">
        <v>734</v>
      </c>
      <c r="B708">
        <v>0.999998419929286</v>
      </c>
      <c r="C708">
        <v>1.47906247932712</v>
      </c>
      <c r="D708">
        <v>1.20913087520969</v>
      </c>
      <c r="E708">
        <v>0.771793423417179</v>
      </c>
      <c r="F708">
        <v>0.687468749860225</v>
      </c>
      <c r="G708">
        <v>0.396830499965117</v>
      </c>
      <c r="H708">
        <v>0.230381685796411</v>
      </c>
      <c r="I708">
        <v>0.09751030126746089</v>
      </c>
      <c r="J708">
        <v>0.110326020288151</v>
      </c>
      <c r="K708">
        <v>0</v>
      </c>
      <c r="L708">
        <v>914.06393137138</v>
      </c>
      <c r="M708">
        <v>17.4867015282487</v>
      </c>
      <c r="N708">
        <v>52.4723054133788</v>
      </c>
      <c r="O708">
        <v>51.6027148125179</v>
      </c>
      <c r="P708">
        <v>-0.08198638382151451</v>
      </c>
      <c r="Q708">
        <v>0.0322963844254622</v>
      </c>
      <c r="R708">
        <v>0.87007100898075</v>
      </c>
      <c r="S708" t="s">
        <v>2392</v>
      </c>
      <c r="T708" t="s">
        <v>3344</v>
      </c>
      <c r="U708" t="s">
        <v>3344</v>
      </c>
      <c r="V708" t="s">
        <v>3344</v>
      </c>
      <c r="W708" t="s">
        <v>4051</v>
      </c>
      <c r="X708">
        <v>1</v>
      </c>
      <c r="Y708" t="s">
        <v>5707</v>
      </c>
      <c r="Z708" t="s">
        <v>7365</v>
      </c>
      <c r="AA708">
        <v>0.5400057740087685</v>
      </c>
      <c r="AB708">
        <f>HYPERLINK("Melting_Curves/meltCurve_P0AEC5_barA.pdf", "Melting_Curves/meltCurve_P0AEC5_barA.pdf")</f>
        <v>0</v>
      </c>
    </row>
    <row r="709" spans="1:28">
      <c r="A709" t="s">
        <v>735</v>
      </c>
      <c r="B709">
        <v>0.999998419929286</v>
      </c>
      <c r="C709">
        <v>0.5316983933749569</v>
      </c>
      <c r="D709">
        <v>0.498424632897053</v>
      </c>
      <c r="E709">
        <v>0.638705471710577</v>
      </c>
      <c r="F709">
        <v>0.510053976527354</v>
      </c>
      <c r="G709">
        <v>0.6339236088736639</v>
      </c>
      <c r="H709">
        <v>0.784595224080156</v>
      </c>
      <c r="I709">
        <v>0.251913908241526</v>
      </c>
      <c r="J709">
        <v>0</v>
      </c>
      <c r="K709">
        <v>0.365633712877156</v>
      </c>
      <c r="L709">
        <v>180.049283757757</v>
      </c>
      <c r="M709">
        <v>3.47962275990831</v>
      </c>
      <c r="N709">
        <v>51.7439090806753</v>
      </c>
      <c r="O709">
        <v>40.4778244621949</v>
      </c>
      <c r="P709">
        <v>-0.0219183955040516</v>
      </c>
      <c r="Q709">
        <v>0</v>
      </c>
      <c r="R709">
        <v>0.409551352724147</v>
      </c>
      <c r="S709" t="s">
        <v>2393</v>
      </c>
      <c r="T709" t="s">
        <v>3344</v>
      </c>
      <c r="U709" t="s">
        <v>3344</v>
      </c>
      <c r="V709" t="s">
        <v>3344</v>
      </c>
      <c r="W709" t="s">
        <v>4052</v>
      </c>
      <c r="X709">
        <v>1</v>
      </c>
      <c r="Y709" t="s">
        <v>5708</v>
      </c>
      <c r="Z709" t="s">
        <v>7366</v>
      </c>
      <c r="AA709">
        <v>0.5175348602106706</v>
      </c>
      <c r="AB709">
        <f>HYPERLINK("Melting_Curves/meltCurve_P0AED0_uspA.pdf", "Melting_Curves/meltCurve_P0AED0_uspA.pdf")</f>
        <v>0</v>
      </c>
    </row>
    <row r="710" spans="1:28">
      <c r="A710" t="s">
        <v>736</v>
      </c>
      <c r="B710">
        <v>0.999998419929286</v>
      </c>
      <c r="C710">
        <v>0.997018987655989</v>
      </c>
      <c r="D710">
        <v>1.18924745791922</v>
      </c>
      <c r="E710">
        <v>1.1924722162402</v>
      </c>
      <c r="F710">
        <v>1.3985776872361</v>
      </c>
      <c r="G710">
        <v>1.13362672264254</v>
      </c>
      <c r="H710">
        <v>0.369880033030409</v>
      </c>
      <c r="I710">
        <v>0.161504559934912</v>
      </c>
      <c r="J710">
        <v>0.164215766788793</v>
      </c>
      <c r="K710">
        <v>0.118919727899849</v>
      </c>
      <c r="L710">
        <v>14290.0322509886</v>
      </c>
      <c r="M710">
        <v>250</v>
      </c>
      <c r="N710">
        <v>57.2406463473943</v>
      </c>
      <c r="O710">
        <v>57.1564706502542</v>
      </c>
      <c r="P710">
        <v>-0.931419813883666</v>
      </c>
      <c r="Q710">
        <v>0.148213285690958</v>
      </c>
      <c r="R710">
        <v>0.891262064730356</v>
      </c>
      <c r="S710" t="s">
        <v>2394</v>
      </c>
      <c r="T710" t="s">
        <v>3344</v>
      </c>
      <c r="U710" t="s">
        <v>3344</v>
      </c>
      <c r="V710" t="s">
        <v>3344</v>
      </c>
      <c r="W710" t="s">
        <v>4053</v>
      </c>
      <c r="X710">
        <v>7</v>
      </c>
      <c r="Y710" t="s">
        <v>5709</v>
      </c>
      <c r="Z710" t="s">
        <v>7367</v>
      </c>
      <c r="AA710">
        <v>0.7207030676025477</v>
      </c>
      <c r="AB710">
        <f>HYPERLINK("Melting_Curves/meltCurve_P0AED7_dapE.pdf", "Melting_Curves/meltCurve_P0AED7_dapE.pdf")</f>
        <v>0</v>
      </c>
    </row>
    <row r="711" spans="1:28">
      <c r="A711" t="s">
        <v>737</v>
      </c>
      <c r="B711">
        <v>0.999998419929286</v>
      </c>
      <c r="C711">
        <v>0.756131022500361</v>
      </c>
      <c r="D711">
        <v>0.959686066167693</v>
      </c>
      <c r="E711">
        <v>0.929877155467824</v>
      </c>
      <c r="F711">
        <v>1.10353421854328</v>
      </c>
      <c r="G711">
        <v>1.11519031439442</v>
      </c>
      <c r="H711">
        <v>1.11574308684461</v>
      </c>
      <c r="I711">
        <v>1.10037512296617</v>
      </c>
      <c r="J711">
        <v>1.1694448115155</v>
      </c>
      <c r="K711">
        <v>1.1203314226853</v>
      </c>
      <c r="L711">
        <v>12469.1477758363</v>
      </c>
      <c r="M711">
        <v>250</v>
      </c>
      <c r="O711">
        <v>49.8734013189269</v>
      </c>
      <c r="P711">
        <v>0.155665339465282</v>
      </c>
      <c r="Q711">
        <v>1.12421695405515</v>
      </c>
      <c r="R711">
        <v>0.518742732453555</v>
      </c>
      <c r="S711" t="s">
        <v>2395</v>
      </c>
      <c r="T711" t="s">
        <v>3344</v>
      </c>
      <c r="U711" t="s">
        <v>3344</v>
      </c>
      <c r="V711" t="s">
        <v>3344</v>
      </c>
      <c r="W711" t="s">
        <v>4054</v>
      </c>
      <c r="X711">
        <v>5</v>
      </c>
      <c r="Y711" t="s">
        <v>5710</v>
      </c>
      <c r="Z711" t="s">
        <v>7368</v>
      </c>
      <c r="AA711">
        <v>1.070889716834715</v>
      </c>
      <c r="AB711">
        <f>HYPERLINK("Melting_Curves/meltCurve_P0AEE1_dcrB.pdf", "Melting_Curves/meltCurve_P0AEE1_dcrB.pdf")</f>
        <v>0</v>
      </c>
    </row>
    <row r="712" spans="1:28">
      <c r="A712" t="s">
        <v>738</v>
      </c>
      <c r="B712">
        <v>0.999998419929286</v>
      </c>
      <c r="C712">
        <v>1.16068281401229</v>
      </c>
      <c r="D712">
        <v>1.0960221020061</v>
      </c>
      <c r="E712">
        <v>1.2323296232272</v>
      </c>
      <c r="F712">
        <v>1.45519381772941</v>
      </c>
      <c r="G712">
        <v>1.56782372382671</v>
      </c>
      <c r="H712">
        <v>1.37459685327489</v>
      </c>
      <c r="I712">
        <v>1.13996096551949</v>
      </c>
      <c r="J712">
        <v>0.879801920074522</v>
      </c>
      <c r="K712">
        <v>0.491250999599548</v>
      </c>
      <c r="L712">
        <v>15000</v>
      </c>
      <c r="M712">
        <v>232.835890113528</v>
      </c>
      <c r="N712">
        <v>65.56007993299799</v>
      </c>
      <c r="O712">
        <v>64.4183057982644</v>
      </c>
      <c r="P712">
        <v>-0.459769682665252</v>
      </c>
      <c r="Q712">
        <v>0.49118525372157</v>
      </c>
      <c r="R712">
        <v>0.0909852642179476</v>
      </c>
      <c r="S712" t="s">
        <v>2396</v>
      </c>
      <c r="T712" t="s">
        <v>3344</v>
      </c>
      <c r="U712" t="s">
        <v>3344</v>
      </c>
      <c r="V712" t="s">
        <v>3344</v>
      </c>
      <c r="W712" t="s">
        <v>4055</v>
      </c>
      <c r="X712">
        <v>7</v>
      </c>
      <c r="Y712" t="s">
        <v>5711</v>
      </c>
      <c r="Z712" t="s">
        <v>7369</v>
      </c>
      <c r="AA712">
        <v>0.9563594559641168</v>
      </c>
      <c r="AB712">
        <f>HYPERLINK("Melting_Curves/meltCurve_P0AEE3_degS.pdf", "Melting_Curves/meltCurve_P0AEE3_degS.pdf")</f>
        <v>0</v>
      </c>
    </row>
    <row r="713" spans="1:28">
      <c r="A713" t="s">
        <v>739</v>
      </c>
      <c r="B713">
        <v>0.999998419929286</v>
      </c>
      <c r="C713">
        <v>0.981764465472699</v>
      </c>
      <c r="D713">
        <v>1.05108403017559</v>
      </c>
      <c r="E713">
        <v>1.15961077391114</v>
      </c>
      <c r="F713">
        <v>1.31381980353994</v>
      </c>
      <c r="G713">
        <v>1.62227016621224</v>
      </c>
      <c r="H713">
        <v>1.45088002139773</v>
      </c>
      <c r="I713">
        <v>1.26502788649332</v>
      </c>
      <c r="J713">
        <v>1.45335601606081</v>
      </c>
      <c r="K713">
        <v>1.40474404036815</v>
      </c>
      <c r="L713">
        <v>1509.36950348525</v>
      </c>
      <c r="M713">
        <v>31.8014402250678</v>
      </c>
      <c r="O713">
        <v>47.2758143492784</v>
      </c>
      <c r="P713">
        <v>0.0727002955069998</v>
      </c>
      <c r="Q713">
        <v>1.43230084100662</v>
      </c>
      <c r="R713">
        <v>0.8265447816664599</v>
      </c>
      <c r="S713" t="s">
        <v>2397</v>
      </c>
      <c r="T713" t="s">
        <v>3344</v>
      </c>
      <c r="U713" t="s">
        <v>3344</v>
      </c>
      <c r="V713" t="s">
        <v>3344</v>
      </c>
      <c r="W713" t="s">
        <v>4056</v>
      </c>
      <c r="X713">
        <v>29</v>
      </c>
      <c r="Y713" t="s">
        <v>5712</v>
      </c>
      <c r="Z713" t="s">
        <v>7370</v>
      </c>
      <c r="AA713">
        <v>1.27928545725316</v>
      </c>
      <c r="AB713">
        <f>HYPERLINK("Melting_Curves/meltCurve_P0AEE5_mglB.pdf", "Melting_Curves/meltCurve_P0AEE5_mglB.pdf")</f>
        <v>0</v>
      </c>
    </row>
    <row r="714" spans="1:28">
      <c r="A714" t="s">
        <v>740</v>
      </c>
      <c r="B714">
        <v>0.999998419929286</v>
      </c>
      <c r="C714">
        <v>0.772858809349582</v>
      </c>
      <c r="D714">
        <v>0.763350373756511</v>
      </c>
      <c r="E714">
        <v>0.658992448889588</v>
      </c>
      <c r="F714">
        <v>0.629147931526304</v>
      </c>
      <c r="G714">
        <v>0.728725088270919</v>
      </c>
      <c r="H714">
        <v>0.59195832616519</v>
      </c>
      <c r="I714">
        <v>0.404985633220896</v>
      </c>
      <c r="J714">
        <v>0.386567234360434</v>
      </c>
      <c r="K714">
        <v>0.379733171006577</v>
      </c>
      <c r="L714">
        <v>215.792154711624</v>
      </c>
      <c r="M714">
        <v>3.66562284744706</v>
      </c>
      <c r="N714">
        <v>58.8691759593832</v>
      </c>
      <c r="O714">
        <v>46.9346604363733</v>
      </c>
      <c r="P714">
        <v>-0.0198558838686641</v>
      </c>
      <c r="Q714">
        <v>0</v>
      </c>
      <c r="R714">
        <v>0.851754163615147</v>
      </c>
      <c r="S714" t="s">
        <v>2398</v>
      </c>
      <c r="T714" t="s">
        <v>3344</v>
      </c>
      <c r="U714" t="s">
        <v>3344</v>
      </c>
      <c r="V714" t="s">
        <v>3344</v>
      </c>
      <c r="W714" t="s">
        <v>4057</v>
      </c>
      <c r="X714">
        <v>2</v>
      </c>
      <c r="Y714" t="s">
        <v>5713</v>
      </c>
      <c r="Z714" t="s">
        <v>7371</v>
      </c>
      <c r="AA714">
        <v>0.6291360697392724</v>
      </c>
      <c r="AB714">
        <f>HYPERLINK("Melting_Curves/meltCurve_P0AEG1_dppC.pdf", "Melting_Curves/meltCurve_P0AEG1_dppC.pdf")</f>
        <v>0</v>
      </c>
    </row>
    <row r="715" spans="1:28">
      <c r="A715" t="s">
        <v>741</v>
      </c>
      <c r="B715">
        <v>0.999998419929286</v>
      </c>
      <c r="C715">
        <v>0.900816193048977</v>
      </c>
      <c r="D715">
        <v>0.911642417191746</v>
      </c>
      <c r="E715">
        <v>1.00898301274926</v>
      </c>
      <c r="F715">
        <v>1.09029366009049</v>
      </c>
      <c r="G715">
        <v>1.33354954143592</v>
      </c>
      <c r="H715">
        <v>1.24476070745506</v>
      </c>
      <c r="I715">
        <v>1.19634322997828</v>
      </c>
      <c r="J715">
        <v>1.30242575718457</v>
      </c>
      <c r="K715">
        <v>1.17915209198777</v>
      </c>
      <c r="L715">
        <v>12579.0177166525</v>
      </c>
      <c r="M715">
        <v>250</v>
      </c>
      <c r="O715">
        <v>50.3128509550286</v>
      </c>
      <c r="P715">
        <v>0.31210498650291</v>
      </c>
      <c r="Q715">
        <v>1.2512462664812</v>
      </c>
      <c r="R715">
        <v>0.8411905752191</v>
      </c>
      <c r="S715" t="s">
        <v>2399</v>
      </c>
      <c r="T715" t="s">
        <v>3344</v>
      </c>
      <c r="U715" t="s">
        <v>3344</v>
      </c>
      <c r="V715" t="s">
        <v>3344</v>
      </c>
      <c r="W715" t="s">
        <v>4058</v>
      </c>
      <c r="X715">
        <v>6</v>
      </c>
      <c r="Y715" t="s">
        <v>5714</v>
      </c>
      <c r="Z715" t="s">
        <v>7372</v>
      </c>
      <c r="AA715">
        <v>1.139703644136169</v>
      </c>
      <c r="AB715">
        <f>HYPERLINK("Melting_Curves/meltCurve_P0AEG4_dsbA.pdf", "Melting_Curves/meltCurve_P0AEG4_dsbA.pdf")</f>
        <v>0</v>
      </c>
    </row>
    <row r="716" spans="1:28">
      <c r="A716" t="s">
        <v>742</v>
      </c>
      <c r="B716">
        <v>0.999998419929286</v>
      </c>
      <c r="C716">
        <v>0.852581212982805</v>
      </c>
      <c r="D716">
        <v>1.04551122420812</v>
      </c>
      <c r="E716">
        <v>1.00749315519071</v>
      </c>
      <c r="F716">
        <v>1.0908860054967</v>
      </c>
      <c r="G716">
        <v>1.185446648427</v>
      </c>
      <c r="H716">
        <v>1.12582362102625</v>
      </c>
      <c r="I716">
        <v>1.19268852217128</v>
      </c>
      <c r="J716">
        <v>1.3846018802231</v>
      </c>
      <c r="K716">
        <v>1.32479258115156</v>
      </c>
      <c r="L716">
        <v>537.753875210848</v>
      </c>
      <c r="M716">
        <v>8.82451073723519</v>
      </c>
      <c r="O716">
        <v>58.0525262257558</v>
      </c>
      <c r="P716">
        <v>0.019016000094313</v>
      </c>
      <c r="Q716">
        <v>1.5</v>
      </c>
      <c r="R716">
        <v>0.807230060782722</v>
      </c>
      <c r="S716" t="s">
        <v>2400</v>
      </c>
      <c r="T716" t="s">
        <v>3344</v>
      </c>
      <c r="U716" t="s">
        <v>3344</v>
      </c>
      <c r="V716" t="s">
        <v>3344</v>
      </c>
      <c r="W716" t="s">
        <v>4059</v>
      </c>
      <c r="X716">
        <v>7</v>
      </c>
      <c r="Y716" t="s">
        <v>5715</v>
      </c>
      <c r="Z716" t="s">
        <v>7373</v>
      </c>
      <c r="AA716">
        <v>1.124369308066247</v>
      </c>
      <c r="AB716">
        <f>HYPERLINK("Melting_Curves/meltCurve_P0AEG6_dsbC.pdf", "Melting_Curves/meltCurve_P0AEG6_dsbC.pdf")</f>
        <v>0</v>
      </c>
    </row>
    <row r="717" spans="1:28">
      <c r="A717" t="s">
        <v>743</v>
      </c>
      <c r="B717">
        <v>0.999998419929286</v>
      </c>
      <c r="C717">
        <v>0.992499199514271</v>
      </c>
      <c r="D717">
        <v>0.676228116296187</v>
      </c>
      <c r="E717">
        <v>0.438393815034612</v>
      </c>
      <c r="F717">
        <v>0.224403710660254</v>
      </c>
      <c r="G717">
        <v>0.149970284049042</v>
      </c>
      <c r="H717">
        <v>0.113734297712806</v>
      </c>
      <c r="I717">
        <v>0.0600070238933781</v>
      </c>
      <c r="J717">
        <v>0.051144964645138</v>
      </c>
      <c r="K717">
        <v>0.0472527378778964</v>
      </c>
      <c r="L717">
        <v>751.5930306677481</v>
      </c>
      <c r="M717">
        <v>16.5564353532213</v>
      </c>
      <c r="N717">
        <v>45.7494232946754</v>
      </c>
      <c r="O717">
        <v>44.7490634642149</v>
      </c>
      <c r="P717">
        <v>-0.0869468221902271</v>
      </c>
      <c r="Q717">
        <v>0.0600580387838689</v>
      </c>
      <c r="R717">
        <v>0.990890291597334</v>
      </c>
      <c r="S717" t="s">
        <v>2401</v>
      </c>
      <c r="T717" t="s">
        <v>3344</v>
      </c>
      <c r="U717" t="s">
        <v>3344</v>
      </c>
      <c r="V717" t="s">
        <v>3344</v>
      </c>
      <c r="W717" t="s">
        <v>4060</v>
      </c>
      <c r="X717">
        <v>2</v>
      </c>
      <c r="Y717" t="s">
        <v>5716</v>
      </c>
      <c r="Z717" t="s">
        <v>7374</v>
      </c>
      <c r="AA717">
        <v>0.341244640482981</v>
      </c>
      <c r="AB717">
        <f>HYPERLINK("Melting_Curves/meltCurve_P0AEH1_rseP.pdf", "Melting_Curves/meltCurve_P0AEH1_rseP.pdf")</f>
        <v>0</v>
      </c>
    </row>
    <row r="718" spans="1:28">
      <c r="A718" t="s">
        <v>744</v>
      </c>
      <c r="B718">
        <v>0.999998419929286</v>
      </c>
      <c r="C718">
        <v>0.7997809446959721</v>
      </c>
      <c r="D718">
        <v>0.528249538008604</v>
      </c>
      <c r="E718">
        <v>0.294714893984582</v>
      </c>
      <c r="F718">
        <v>0.186559525514973</v>
      </c>
      <c r="G718">
        <v>0.155474023753038</v>
      </c>
      <c r="H718">
        <v>0.0845199486692008</v>
      </c>
      <c r="I718">
        <v>0.0708153760130318</v>
      </c>
      <c r="J718">
        <v>0.0485369121199614</v>
      </c>
      <c r="K718">
        <v>0.0576148888098834</v>
      </c>
      <c r="L718">
        <v>682.392102815524</v>
      </c>
      <c r="M718">
        <v>15.7846054984992</v>
      </c>
      <c r="N718">
        <v>43.6481019535009</v>
      </c>
      <c r="O718">
        <v>42.5554593853622</v>
      </c>
      <c r="P718">
        <v>-0.086252222403293</v>
      </c>
      <c r="Q718">
        <v>0.0699294133819327</v>
      </c>
      <c r="R718">
        <v>0.992243579521048</v>
      </c>
      <c r="S718" t="s">
        <v>2402</v>
      </c>
      <c r="T718" t="s">
        <v>3344</v>
      </c>
      <c r="U718" t="s">
        <v>3344</v>
      </c>
      <c r="V718" t="s">
        <v>3344</v>
      </c>
      <c r="W718" t="s">
        <v>4061</v>
      </c>
      <c r="X718">
        <v>2</v>
      </c>
      <c r="Y718" t="s">
        <v>5717</v>
      </c>
      <c r="Z718" t="s">
        <v>7375</v>
      </c>
      <c r="AA718">
        <v>0.2847961773422306</v>
      </c>
      <c r="AB718">
        <f>HYPERLINK("Melting_Curves/meltCurve_P0AEH3_elaA.pdf", "Melting_Curves/meltCurve_P0AEH3_elaA.pdf")</f>
        <v>0</v>
      </c>
    </row>
    <row r="719" spans="1:28">
      <c r="A719" t="s">
        <v>745</v>
      </c>
      <c r="B719">
        <v>0.999998419929286</v>
      </c>
      <c r="C719">
        <v>0.887671570268372</v>
      </c>
      <c r="D719">
        <v>0.761746384821626</v>
      </c>
      <c r="E719">
        <v>0.747966727181736</v>
      </c>
      <c r="F719">
        <v>0.849961792081264</v>
      </c>
      <c r="G719">
        <v>0.797202901279939</v>
      </c>
      <c r="H719">
        <v>0.729161376092178</v>
      </c>
      <c r="I719">
        <v>0.634614223454923</v>
      </c>
      <c r="J719">
        <v>0.612055365116116</v>
      </c>
      <c r="K719">
        <v>0.485158981206533</v>
      </c>
      <c r="L719">
        <v>197.818642860537</v>
      </c>
      <c r="M719">
        <v>2.69175676041924</v>
      </c>
      <c r="O719">
        <v>51.4496195392438</v>
      </c>
      <c r="P719">
        <v>-0.0136277127660642</v>
      </c>
      <c r="Q719">
        <v>0</v>
      </c>
      <c r="R719">
        <v>0.788552758602294</v>
      </c>
      <c r="S719" t="s">
        <v>2403</v>
      </c>
      <c r="T719" t="s">
        <v>3344</v>
      </c>
      <c r="U719" t="s">
        <v>3344</v>
      </c>
      <c r="V719" t="s">
        <v>3344</v>
      </c>
      <c r="W719" t="s">
        <v>4062</v>
      </c>
      <c r="X719">
        <v>7</v>
      </c>
      <c r="Y719" t="s">
        <v>5718</v>
      </c>
      <c r="Z719" t="s">
        <v>7376</v>
      </c>
      <c r="AA719">
        <v>0.7522294795992955</v>
      </c>
      <c r="AB719">
        <f>HYPERLINK("Melting_Curves/meltCurve_P0AEH5_elaB.pdf", "Melting_Curves/meltCurve_P0AEH5_elaB.pdf")</f>
        <v>0</v>
      </c>
    </row>
    <row r="720" spans="1:28">
      <c r="A720" t="s">
        <v>746</v>
      </c>
      <c r="B720">
        <v>0.999998419929286</v>
      </c>
      <c r="C720">
        <v>1.00280777320059</v>
      </c>
      <c r="D720">
        <v>0.586007595101924</v>
      </c>
      <c r="E720">
        <v>0.3507289213103</v>
      </c>
      <c r="F720">
        <v>0.265419514167781</v>
      </c>
      <c r="G720">
        <v>0.216715204274675</v>
      </c>
      <c r="H720">
        <v>0.148101623573077</v>
      </c>
      <c r="I720">
        <v>0.107655228733585</v>
      </c>
      <c r="J720">
        <v>0.0890507796000761</v>
      </c>
      <c r="K720">
        <v>0.07636475828913659</v>
      </c>
      <c r="L720">
        <v>837.839559902503</v>
      </c>
      <c r="M720">
        <v>19.0176912185656</v>
      </c>
      <c r="N720">
        <v>44.7370098469099</v>
      </c>
      <c r="O720">
        <v>43.5773475542699</v>
      </c>
      <c r="P720">
        <v>-0.095391285517281</v>
      </c>
      <c r="Q720">
        <v>0.125712145165495</v>
      </c>
      <c r="R720">
        <v>0.973296939248842</v>
      </c>
      <c r="S720" t="s">
        <v>2404</v>
      </c>
      <c r="T720" t="s">
        <v>3344</v>
      </c>
      <c r="U720" t="s">
        <v>3344</v>
      </c>
      <c r="V720" t="s">
        <v>3344</v>
      </c>
      <c r="W720" t="s">
        <v>4063</v>
      </c>
      <c r="X720">
        <v>2</v>
      </c>
      <c r="Y720" t="s">
        <v>5719</v>
      </c>
      <c r="Z720" t="s">
        <v>7377</v>
      </c>
      <c r="AA720">
        <v>0.3443797610929096</v>
      </c>
      <c r="AB720">
        <f>HYPERLINK("Melting_Curves/meltCurve_P0AEI1_miaB.pdf", "Melting_Curves/meltCurve_P0AEI1_miaB.pdf")</f>
        <v>0</v>
      </c>
    </row>
    <row r="721" spans="1:28">
      <c r="A721" t="s">
        <v>747</v>
      </c>
      <c r="B721">
        <v>0.999998419929286</v>
      </c>
      <c r="C721">
        <v>1.21895045514574</v>
      </c>
      <c r="D721">
        <v>0.7289216873354391</v>
      </c>
      <c r="E721">
        <v>0.856706474438644</v>
      </c>
      <c r="F721">
        <v>0.8522146694241129</v>
      </c>
      <c r="G721">
        <v>0.67588302305587</v>
      </c>
      <c r="H721">
        <v>0.508870808316209</v>
      </c>
      <c r="I721">
        <v>0.408590728056173</v>
      </c>
      <c r="J721">
        <v>0</v>
      </c>
      <c r="K721">
        <v>0.265499621129073</v>
      </c>
      <c r="L721">
        <v>620.207712734743</v>
      </c>
      <c r="M721">
        <v>10.8865022818604</v>
      </c>
      <c r="N721">
        <v>56.9703378605295</v>
      </c>
      <c r="O721">
        <v>55.1491496913793</v>
      </c>
      <c r="P721">
        <v>-0.0493676002638892</v>
      </c>
      <c r="Q721">
        <v>0</v>
      </c>
      <c r="R721">
        <v>0.841929945343323</v>
      </c>
      <c r="S721" t="s">
        <v>2405</v>
      </c>
      <c r="T721" t="s">
        <v>3344</v>
      </c>
      <c r="U721" t="s">
        <v>3344</v>
      </c>
      <c r="V721" t="s">
        <v>3344</v>
      </c>
      <c r="W721" t="s">
        <v>4064</v>
      </c>
      <c r="X721">
        <v>1</v>
      </c>
      <c r="Y721" t="s">
        <v>5720</v>
      </c>
      <c r="Z721" t="s">
        <v>7378</v>
      </c>
      <c r="AA721">
        <v>0.6678966130573534</v>
      </c>
      <c r="AB721">
        <f>HYPERLINK("Melting_Curves/meltCurve_P0AEI4_rimO.pdf", "Melting_Curves/meltCurve_P0AEI4_rimO.pdf")</f>
        <v>0</v>
      </c>
    </row>
    <row r="722" spans="1:28">
      <c r="A722" t="s">
        <v>748</v>
      </c>
      <c r="B722">
        <v>0.999998419929286</v>
      </c>
      <c r="C722">
        <v>1.11354999999232</v>
      </c>
      <c r="D722">
        <v>0.6379200212871921</v>
      </c>
      <c r="E722">
        <v>0.586399218696359</v>
      </c>
      <c r="F722">
        <v>0.355424761528684</v>
      </c>
      <c r="G722">
        <v>0.324271418517128</v>
      </c>
      <c r="H722">
        <v>0.278002017976002</v>
      </c>
      <c r="I722">
        <v>0.266912095905369</v>
      </c>
      <c r="J722">
        <v>0.179561626332719</v>
      </c>
      <c r="K722">
        <v>0</v>
      </c>
      <c r="L722">
        <v>580.22308959697</v>
      </c>
      <c r="M722">
        <v>12.4093389078272</v>
      </c>
      <c r="N722">
        <v>47.9904788438227</v>
      </c>
      <c r="O722">
        <v>45.5925363142315</v>
      </c>
      <c r="P722">
        <v>-0.0587659006369056</v>
      </c>
      <c r="Q722">
        <v>0.13654740038581</v>
      </c>
      <c r="R722">
        <v>0.9104858140395981</v>
      </c>
      <c r="S722" t="s">
        <v>2406</v>
      </c>
      <c r="T722" t="s">
        <v>3344</v>
      </c>
      <c r="U722" t="s">
        <v>3344</v>
      </c>
      <c r="V722" t="s">
        <v>3344</v>
      </c>
      <c r="W722" t="s">
        <v>4065</v>
      </c>
      <c r="X722">
        <v>1</v>
      </c>
      <c r="Y722" t="s">
        <v>5721</v>
      </c>
      <c r="Z722" t="s">
        <v>7379</v>
      </c>
      <c r="AA722">
        <v>0.444542983420357</v>
      </c>
      <c r="AB722">
        <f>HYPERLINK("Melting_Curves/meltCurve_P0AEJ4_envZ.pdf", "Melting_Curves/meltCurve_P0AEJ4_envZ.pdf")</f>
        <v>0</v>
      </c>
    </row>
    <row r="723" spans="1:28">
      <c r="A723" t="s">
        <v>749</v>
      </c>
      <c r="B723">
        <v>0.999998419929286</v>
      </c>
      <c r="C723">
        <v>1.38634379208981</v>
      </c>
      <c r="D723">
        <v>1.30944916021958</v>
      </c>
      <c r="E723">
        <v>1.27888522883928</v>
      </c>
      <c r="F723">
        <v>1.19683363071695</v>
      </c>
      <c r="G723">
        <v>0.664661368045339</v>
      </c>
      <c r="H723">
        <v>0.369742717977004</v>
      </c>
      <c r="I723">
        <v>0.232177740522594</v>
      </c>
      <c r="J723">
        <v>0.260825388899722</v>
      </c>
      <c r="K723">
        <v>0.306856590269258</v>
      </c>
      <c r="L723">
        <v>5200.75647394537</v>
      </c>
      <c r="M723">
        <v>96.5537681996188</v>
      </c>
      <c r="N723">
        <v>54.3569426315938</v>
      </c>
      <c r="O723">
        <v>53.8407611735607</v>
      </c>
      <c r="P723">
        <v>-0.317527146252328</v>
      </c>
      <c r="Q723">
        <v>0.291756428196844</v>
      </c>
      <c r="R723">
        <v>0.821848570208489</v>
      </c>
      <c r="S723" t="s">
        <v>2407</v>
      </c>
      <c r="T723" t="s">
        <v>3344</v>
      </c>
      <c r="U723" t="s">
        <v>3344</v>
      </c>
      <c r="V723" t="s">
        <v>3344</v>
      </c>
      <c r="W723" t="s">
        <v>4066</v>
      </c>
      <c r="X723">
        <v>2</v>
      </c>
      <c r="Y723" t="s">
        <v>5722</v>
      </c>
      <c r="Z723" t="s">
        <v>7380</v>
      </c>
      <c r="AA723">
        <v>0.6903293214261563</v>
      </c>
      <c r="AB723">
        <f>HYPERLINK("Melting_Curves/meltCurve_P0AEJ6_eutB.pdf", "Melting_Curves/meltCurve_P0AEJ6_eutB.pdf")</f>
        <v>0</v>
      </c>
    </row>
    <row r="724" spans="1:28">
      <c r="A724" t="s">
        <v>750</v>
      </c>
      <c r="B724">
        <v>0.999998419929286</v>
      </c>
      <c r="C724">
        <v>0.8533750357612711</v>
      </c>
      <c r="D724">
        <v>1.00110160019132</v>
      </c>
      <c r="E724">
        <v>0.874773597881876</v>
      </c>
      <c r="F724">
        <v>0.352079231163845</v>
      </c>
      <c r="G724">
        <v>0.0835056569229</v>
      </c>
      <c r="H724">
        <v>0.0357669857606696</v>
      </c>
      <c r="I724">
        <v>0.0259349204325501</v>
      </c>
      <c r="J724">
        <v>0.0184302628459815</v>
      </c>
      <c r="K724">
        <v>0.0198237060022063</v>
      </c>
      <c r="L724">
        <v>1654.52603289391</v>
      </c>
      <c r="M724">
        <v>33.6214611148673</v>
      </c>
      <c r="N724">
        <v>49.2816723360247</v>
      </c>
      <c r="O724">
        <v>49.0372966389393</v>
      </c>
      <c r="P724">
        <v>-0.167341462046925</v>
      </c>
      <c r="Q724">
        <v>0.0237260019738742</v>
      </c>
      <c r="R724">
        <v>0.988065144880118</v>
      </c>
      <c r="S724" t="s">
        <v>2408</v>
      </c>
      <c r="T724" t="s">
        <v>3344</v>
      </c>
      <c r="U724" t="s">
        <v>3344</v>
      </c>
      <c r="V724" t="s">
        <v>3344</v>
      </c>
      <c r="W724" t="s">
        <v>4067</v>
      </c>
      <c r="X724">
        <v>7</v>
      </c>
      <c r="Y724" t="s">
        <v>5723</v>
      </c>
      <c r="Z724" t="s">
        <v>7381</v>
      </c>
      <c r="AA724">
        <v>0.4257899340940907</v>
      </c>
      <c r="AB724">
        <f>HYPERLINK("Melting_Curves/meltCurve_P0AEK2_fabG.pdf", "Melting_Curves/meltCurve_P0AEK2_fabG.pdf")</f>
        <v>0</v>
      </c>
    </row>
    <row r="725" spans="1:28">
      <c r="A725" t="s">
        <v>751</v>
      </c>
      <c r="B725">
        <v>0.999998419929286</v>
      </c>
      <c r="C725">
        <v>0.9447988755696</v>
      </c>
      <c r="D725">
        <v>0.94226114047817</v>
      </c>
      <c r="E725">
        <v>0.304793175202495</v>
      </c>
      <c r="F725">
        <v>0.148127009290532</v>
      </c>
      <c r="G725">
        <v>0.0929977016042014</v>
      </c>
      <c r="H725">
        <v>0.0599857123767221</v>
      </c>
      <c r="I725">
        <v>0.0471882282679758</v>
      </c>
      <c r="J725">
        <v>0.0324166911039564</v>
      </c>
      <c r="K725">
        <v>0.0325393439378488</v>
      </c>
      <c r="L725">
        <v>1889.65145400437</v>
      </c>
      <c r="M725">
        <v>41.5366673983546</v>
      </c>
      <c r="N725">
        <v>45.6437430764011</v>
      </c>
      <c r="O725">
        <v>45.3885054931986</v>
      </c>
      <c r="P725">
        <v>-0.214172940242409</v>
      </c>
      <c r="Q725">
        <v>0.0638659324745624</v>
      </c>
      <c r="R725">
        <v>0.993401535332853</v>
      </c>
      <c r="S725" t="s">
        <v>2409</v>
      </c>
      <c r="T725" t="s">
        <v>3344</v>
      </c>
      <c r="U725" t="s">
        <v>3344</v>
      </c>
      <c r="V725" t="s">
        <v>3344</v>
      </c>
      <c r="W725" t="s">
        <v>4068</v>
      </c>
      <c r="X725">
        <v>9</v>
      </c>
      <c r="Y725" t="s">
        <v>5724</v>
      </c>
      <c r="Z725" t="s">
        <v>7382</v>
      </c>
      <c r="AA725">
        <v>0.3316338901414631</v>
      </c>
      <c r="AB725">
        <f>HYPERLINK("Melting_Curves/meltCurve_P0AEK4_fabI.pdf", "Melting_Curves/meltCurve_P0AEK4_fabI.pdf")</f>
        <v>0</v>
      </c>
    </row>
    <row r="726" spans="1:28">
      <c r="A726" t="s">
        <v>752</v>
      </c>
      <c r="B726">
        <v>0.999998419929286</v>
      </c>
      <c r="C726">
        <v>0.990942338768525</v>
      </c>
      <c r="D726">
        <v>1.0458702418644</v>
      </c>
      <c r="E726">
        <v>1.1968689295454</v>
      </c>
      <c r="F726">
        <v>1.36298944419658</v>
      </c>
      <c r="G726">
        <v>0.768298644487198</v>
      </c>
      <c r="H726">
        <v>0.175187843903485</v>
      </c>
      <c r="I726">
        <v>0.0981576280286782</v>
      </c>
      <c r="J726">
        <v>0.071068348008615</v>
      </c>
      <c r="K726">
        <v>0.0733229799472707</v>
      </c>
      <c r="L726">
        <v>3257.36377333166</v>
      </c>
      <c r="M726">
        <v>59.3645028271702</v>
      </c>
      <c r="N726">
        <v>55.0481737084131</v>
      </c>
      <c r="O726">
        <v>54.8084173785561</v>
      </c>
      <c r="P726">
        <v>-0.247181074950632</v>
      </c>
      <c r="Q726">
        <v>0.0871585975655346</v>
      </c>
      <c r="R726">
        <v>0.926507858933171</v>
      </c>
      <c r="S726" t="s">
        <v>2410</v>
      </c>
      <c r="T726" t="s">
        <v>3344</v>
      </c>
      <c r="U726" t="s">
        <v>3344</v>
      </c>
      <c r="V726" t="s">
        <v>3344</v>
      </c>
      <c r="W726" t="s">
        <v>4069</v>
      </c>
      <c r="X726">
        <v>4</v>
      </c>
      <c r="Y726" t="s">
        <v>5725</v>
      </c>
      <c r="Z726" t="s">
        <v>7383</v>
      </c>
      <c r="AA726">
        <v>0.6324888031400239</v>
      </c>
      <c r="AB726">
        <f>HYPERLINK("Melting_Curves/meltCurve_P0AEL6_fepB.pdf", "Melting_Curves/meltCurve_P0AEL6_fepB.pdf")</f>
        <v>0</v>
      </c>
    </row>
    <row r="727" spans="1:28">
      <c r="A727" t="s">
        <v>753</v>
      </c>
      <c r="B727">
        <v>0.999998419929286</v>
      </c>
      <c r="C727">
        <v>0.752353670832809</v>
      </c>
      <c r="D727">
        <v>0.723791088090141</v>
      </c>
      <c r="E727">
        <v>0.726165835930258</v>
      </c>
      <c r="F727">
        <v>0.742456387005195</v>
      </c>
      <c r="G727">
        <v>0.605957089933018</v>
      </c>
      <c r="H727">
        <v>0.474158900337223</v>
      </c>
      <c r="I727">
        <v>0.748553747211202</v>
      </c>
      <c r="J727">
        <v>0.724409892006352</v>
      </c>
      <c r="K727">
        <v>0.527393762689104</v>
      </c>
      <c r="S727" t="s">
        <v>2411</v>
      </c>
      <c r="T727" t="s">
        <v>3344</v>
      </c>
      <c r="U727" t="s">
        <v>3345</v>
      </c>
      <c r="V727" t="s">
        <v>3344</v>
      </c>
      <c r="W727" t="s">
        <v>4070</v>
      </c>
      <c r="X727">
        <v>3</v>
      </c>
      <c r="Y727" t="s">
        <v>5726</v>
      </c>
      <c r="Z727" t="s">
        <v>7384</v>
      </c>
      <c r="AB727">
        <f>HYPERLINK("Melting_Curves/meltCurve_P0AEM4_flgM.pdf", "Melting_Curves/meltCurve_P0AEM4_flgM.pdf")</f>
        <v>0</v>
      </c>
    </row>
    <row r="728" spans="1:28">
      <c r="A728" t="s">
        <v>754</v>
      </c>
      <c r="B728">
        <v>0.999998419929286</v>
      </c>
      <c r="C728">
        <v>0.834003547044605</v>
      </c>
      <c r="D728">
        <v>1.09598328470131</v>
      </c>
      <c r="E728">
        <v>1.06464645436628</v>
      </c>
      <c r="F728">
        <v>0.998131822808722</v>
      </c>
      <c r="G728">
        <v>0.49094473791388</v>
      </c>
      <c r="H728">
        <v>0.136354312848978</v>
      </c>
      <c r="I728">
        <v>0.06325770204510391</v>
      </c>
      <c r="J728">
        <v>0.0545274970107036</v>
      </c>
      <c r="K728">
        <v>0.06313762950188199</v>
      </c>
      <c r="L728">
        <v>2652.40159371786</v>
      </c>
      <c r="M728">
        <v>49.4515263255057</v>
      </c>
      <c r="N728">
        <v>53.7971726783809</v>
      </c>
      <c r="O728">
        <v>53.5489009920361</v>
      </c>
      <c r="P728">
        <v>-0.215011609606245</v>
      </c>
      <c r="Q728">
        <v>0.0686940527245436</v>
      </c>
      <c r="R728">
        <v>0.97759958027766</v>
      </c>
      <c r="S728" t="s">
        <v>2412</v>
      </c>
      <c r="T728" t="s">
        <v>3344</v>
      </c>
      <c r="U728" t="s">
        <v>3344</v>
      </c>
      <c r="V728" t="s">
        <v>3344</v>
      </c>
      <c r="W728" t="s">
        <v>4071</v>
      </c>
      <c r="X728">
        <v>3</v>
      </c>
      <c r="Y728" t="s">
        <v>5727</v>
      </c>
      <c r="Z728" t="s">
        <v>7385</v>
      </c>
      <c r="AA728">
        <v>0.5873964499008211</v>
      </c>
      <c r="AB728">
        <f>HYPERLINK("Melting_Curves/meltCurve_P0AEM6_fliA.pdf", "Melting_Curves/meltCurve_P0AEM6_fliA.pdf")</f>
        <v>0</v>
      </c>
    </row>
    <row r="729" spans="1:28">
      <c r="A729" t="s">
        <v>755</v>
      </c>
      <c r="B729">
        <v>0.999998419929286</v>
      </c>
      <c r="C729">
        <v>0.865761021715892</v>
      </c>
      <c r="D729">
        <v>1.03631362315819</v>
      </c>
      <c r="E729">
        <v>1.1228601171012</v>
      </c>
      <c r="F729">
        <v>1.41022728914167</v>
      </c>
      <c r="G729">
        <v>1.84579667671366</v>
      </c>
      <c r="H729">
        <v>1.63413808837731</v>
      </c>
      <c r="I729">
        <v>1.16818594697801</v>
      </c>
      <c r="J729">
        <v>1.40608068563686</v>
      </c>
      <c r="K729">
        <v>1.39376487644253</v>
      </c>
      <c r="L729">
        <v>2323.95737040859</v>
      </c>
      <c r="M729">
        <v>48.7362716345628</v>
      </c>
      <c r="O729">
        <v>47.6042550478263</v>
      </c>
      <c r="P729">
        <v>0.123776943891862</v>
      </c>
      <c r="Q729">
        <v>1.48360741332757</v>
      </c>
      <c r="R729">
        <v>0.654536978104262</v>
      </c>
      <c r="S729" t="s">
        <v>2413</v>
      </c>
      <c r="T729" t="s">
        <v>3344</v>
      </c>
      <c r="U729" t="s">
        <v>3344</v>
      </c>
      <c r="V729" t="s">
        <v>3344</v>
      </c>
      <c r="W729" t="s">
        <v>4072</v>
      </c>
      <c r="X729">
        <v>20</v>
      </c>
      <c r="Y729" t="s">
        <v>5728</v>
      </c>
      <c r="Z729" t="s">
        <v>7386</v>
      </c>
      <c r="AA729">
        <v>1.310302128526703</v>
      </c>
      <c r="AB729">
        <f>HYPERLINK("Melting_Curves/meltCurve_P0AEM9_fliY.pdf", "Melting_Curves/meltCurve_P0AEM9_fliY.pdf")</f>
        <v>0</v>
      </c>
    </row>
    <row r="730" spans="1:28">
      <c r="A730" t="s">
        <v>756</v>
      </c>
      <c r="B730">
        <v>0.999998419929286</v>
      </c>
      <c r="C730">
        <v>0.7270280928926111</v>
      </c>
      <c r="D730">
        <v>0.667826767987087</v>
      </c>
      <c r="E730">
        <v>0.222830856029509</v>
      </c>
      <c r="F730">
        <v>0.0619703713471267</v>
      </c>
      <c r="G730">
        <v>0.0443923527680642</v>
      </c>
      <c r="H730">
        <v>0.0192474220138882</v>
      </c>
      <c r="I730">
        <v>0.017564516419873</v>
      </c>
      <c r="J730">
        <v>0.0105746294773335</v>
      </c>
      <c r="K730">
        <v>0.0140671611851843</v>
      </c>
      <c r="L730">
        <v>751.173227703405</v>
      </c>
      <c r="M730">
        <v>17.1743553612525</v>
      </c>
      <c r="N730">
        <v>43.7383536024108</v>
      </c>
      <c r="O730">
        <v>43.158022425432</v>
      </c>
      <c r="P730">
        <v>-0.0994858027378927</v>
      </c>
      <c r="Q730">
        <v>5.48690197466117e-05</v>
      </c>
      <c r="R730">
        <v>0.979108029120154</v>
      </c>
      <c r="S730" t="s">
        <v>2414</v>
      </c>
      <c r="T730" t="s">
        <v>3344</v>
      </c>
      <c r="U730" t="s">
        <v>3344</v>
      </c>
      <c r="V730" t="s">
        <v>3344</v>
      </c>
      <c r="W730" t="s">
        <v>4073</v>
      </c>
      <c r="X730">
        <v>3</v>
      </c>
      <c r="Y730" t="s">
        <v>5729</v>
      </c>
      <c r="Z730" t="s">
        <v>7387</v>
      </c>
      <c r="AA730">
        <v>0.2435046003709199</v>
      </c>
      <c r="AB730">
        <f>HYPERLINK("Melting_Curves/meltCurve_P0AEN1_fre.pdf", "Melting_Curves/meltCurve_P0AEN1_fre.pdf")</f>
        <v>0</v>
      </c>
    </row>
    <row r="731" spans="1:28">
      <c r="A731" t="s">
        <v>757</v>
      </c>
      <c r="B731">
        <v>0.999998419929286</v>
      </c>
      <c r="C731">
        <v>0.835853070781018</v>
      </c>
      <c r="D731">
        <v>0.9540838604436001</v>
      </c>
      <c r="E731">
        <v>0.992144590771122</v>
      </c>
      <c r="F731">
        <v>1.10115120660048</v>
      </c>
      <c r="G731">
        <v>1.23281634171828</v>
      </c>
      <c r="H731">
        <v>1.14612935556655</v>
      </c>
      <c r="I731">
        <v>1.08517779468665</v>
      </c>
      <c r="J731">
        <v>1.13666412881782</v>
      </c>
      <c r="K731">
        <v>1.14369035819887</v>
      </c>
      <c r="L731">
        <v>12512.3120864824</v>
      </c>
      <c r="M731">
        <v>250</v>
      </c>
      <c r="O731">
        <v>50.046045558132</v>
      </c>
      <c r="P731">
        <v>0.185948251831824</v>
      </c>
      <c r="Q731">
        <v>1.14889559465198</v>
      </c>
      <c r="R731">
        <v>0.669060564920537</v>
      </c>
      <c r="S731" t="s">
        <v>2415</v>
      </c>
      <c r="T731" t="s">
        <v>3344</v>
      </c>
      <c r="U731" t="s">
        <v>3344</v>
      </c>
      <c r="V731" t="s">
        <v>3344</v>
      </c>
      <c r="W731" t="s">
        <v>4074</v>
      </c>
      <c r="X731">
        <v>5</v>
      </c>
      <c r="Y731" t="s">
        <v>5730</v>
      </c>
      <c r="Z731" t="s">
        <v>7388</v>
      </c>
      <c r="AA731">
        <v>1.084116663236073</v>
      </c>
      <c r="AB731">
        <f>HYPERLINK("Melting_Curves/meltCurve_P0AEN8_fucU.pdf", "Melting_Curves/meltCurve_P0AEN8_fucU.pdf")</f>
        <v>0</v>
      </c>
    </row>
    <row r="732" spans="1:28">
      <c r="A732" t="s">
        <v>758</v>
      </c>
      <c r="B732">
        <v>0.999998419929286</v>
      </c>
      <c r="C732">
        <v>1.44543956570311</v>
      </c>
      <c r="D732">
        <v>1.0510531963453</v>
      </c>
      <c r="E732">
        <v>1.71501535497202</v>
      </c>
      <c r="F732">
        <v>1.47618842546289</v>
      </c>
      <c r="G732">
        <v>0.798294113089561</v>
      </c>
      <c r="H732">
        <v>0.286878549575771</v>
      </c>
      <c r="I732">
        <v>0.203832922176425</v>
      </c>
      <c r="J732">
        <v>0.179246623686813</v>
      </c>
      <c r="K732">
        <v>0.162982851874716</v>
      </c>
      <c r="L732">
        <v>3140.59224868013</v>
      </c>
      <c r="M732">
        <v>57.0926095010913</v>
      </c>
      <c r="N732">
        <v>55.4691340102597</v>
      </c>
      <c r="O732">
        <v>54.9413788270761</v>
      </c>
      <c r="P732">
        <v>-0.210764926304572</v>
      </c>
      <c r="Q732">
        <v>0.188707060754704</v>
      </c>
      <c r="R732">
        <v>0.706033488747019</v>
      </c>
      <c r="S732" t="s">
        <v>2416</v>
      </c>
      <c r="T732" t="s">
        <v>3344</v>
      </c>
      <c r="U732" t="s">
        <v>3344</v>
      </c>
      <c r="V732" t="s">
        <v>3344</v>
      </c>
      <c r="W732" t="s">
        <v>3816</v>
      </c>
      <c r="X732">
        <v>6</v>
      </c>
      <c r="Y732" t="s">
        <v>5731</v>
      </c>
      <c r="Z732" t="s">
        <v>7389</v>
      </c>
      <c r="AA732">
        <v>0.6772254434945616</v>
      </c>
      <c r="AB732">
        <f>HYPERLINK("Melting_Curves/meltCurve_P0AEP3_galU.pdf", "Melting_Curves/meltCurve_P0AEP3_galU.pdf")</f>
        <v>0</v>
      </c>
    </row>
    <row r="733" spans="1:28">
      <c r="A733" t="s">
        <v>759</v>
      </c>
      <c r="B733">
        <v>0.999998419929286</v>
      </c>
      <c r="C733">
        <v>1.37167439076588</v>
      </c>
      <c r="D733">
        <v>1.36157761609243</v>
      </c>
      <c r="E733">
        <v>1.31811127247578</v>
      </c>
      <c r="F733">
        <v>1.35770206888609</v>
      </c>
      <c r="G733">
        <v>1.20033032239076</v>
      </c>
      <c r="H733">
        <v>0.8851987408911069</v>
      </c>
      <c r="I733">
        <v>0.839197390272351</v>
      </c>
      <c r="J733">
        <v>0.76968881131408</v>
      </c>
      <c r="K733">
        <v>0.599681216569975</v>
      </c>
      <c r="L733">
        <v>1473.26848533705</v>
      </c>
      <c r="M733">
        <v>23.1057819147925</v>
      </c>
      <c r="O733">
        <v>63.2900587081637</v>
      </c>
      <c r="P733">
        <v>-0.0465624951089811</v>
      </c>
      <c r="Q733">
        <v>0.489843966045619</v>
      </c>
      <c r="R733">
        <v>0.257034124118356</v>
      </c>
      <c r="S733" t="s">
        <v>2417</v>
      </c>
      <c r="T733" t="s">
        <v>3344</v>
      </c>
      <c r="U733" t="s">
        <v>3344</v>
      </c>
      <c r="V733" t="s">
        <v>3344</v>
      </c>
      <c r="W733" t="s">
        <v>4075</v>
      </c>
      <c r="X733">
        <v>4</v>
      </c>
      <c r="Y733" t="s">
        <v>5732</v>
      </c>
      <c r="Z733" t="s">
        <v>7390</v>
      </c>
      <c r="AA733">
        <v>0.9354435930967563</v>
      </c>
      <c r="AB733">
        <f>HYPERLINK("Melting_Curves/meltCurve_P0AEP7_gcl.pdf", "Melting_Curves/meltCurve_P0AEP7_gcl.pdf")</f>
        <v>0</v>
      </c>
    </row>
    <row r="734" spans="1:28">
      <c r="A734" t="s">
        <v>760</v>
      </c>
      <c r="B734">
        <v>0.999998419929286</v>
      </c>
      <c r="C734">
        <v>0.9548501790265</v>
      </c>
      <c r="D734">
        <v>0.918677894931585</v>
      </c>
      <c r="E734">
        <v>0.98001707991783</v>
      </c>
      <c r="F734">
        <v>0.9508006338364799</v>
      </c>
      <c r="G734">
        <v>1.15106171520208</v>
      </c>
      <c r="H734">
        <v>1.01241602743573</v>
      </c>
      <c r="I734">
        <v>1.06155579255152</v>
      </c>
      <c r="J734">
        <v>1.09341908202027</v>
      </c>
      <c r="K734">
        <v>1.12154965699893</v>
      </c>
      <c r="L734">
        <v>6471.87296482928</v>
      </c>
      <c r="M734">
        <v>124.708050701639</v>
      </c>
      <c r="O734">
        <v>51.8828738548354</v>
      </c>
      <c r="P734">
        <v>0.0528270397297273</v>
      </c>
      <c r="Q734">
        <v>1.08791148012372</v>
      </c>
      <c r="R734">
        <v>0.582584738858003</v>
      </c>
      <c r="S734" t="s">
        <v>2418</v>
      </c>
      <c r="T734" t="s">
        <v>3344</v>
      </c>
      <c r="U734" t="s">
        <v>3344</v>
      </c>
      <c r="V734" t="s">
        <v>3344</v>
      </c>
      <c r="W734" t="s">
        <v>4076</v>
      </c>
      <c r="X734">
        <v>3</v>
      </c>
      <c r="Y734" t="s">
        <v>5733</v>
      </c>
      <c r="Z734" t="s">
        <v>7391</v>
      </c>
      <c r="AA734">
        <v>1.044227738205141</v>
      </c>
      <c r="AB734">
        <f>HYPERLINK("Melting_Curves/meltCurve_P0AEQ1_glcG.pdf", "Melting_Curves/meltCurve_P0AEQ1_glcG.pdf")</f>
        <v>0</v>
      </c>
    </row>
    <row r="735" spans="1:28">
      <c r="A735" t="s">
        <v>761</v>
      </c>
      <c r="B735">
        <v>0.999998419929286</v>
      </c>
      <c r="C735">
        <v>0.947049332319928</v>
      </c>
      <c r="D735">
        <v>1.07825443202235</v>
      </c>
      <c r="E735">
        <v>1.13313399822854</v>
      </c>
      <c r="F735">
        <v>1.33892800914815</v>
      </c>
      <c r="G735">
        <v>1.46807027861393</v>
      </c>
      <c r="H735">
        <v>1.33629174632174</v>
      </c>
      <c r="I735">
        <v>1.13796668577662</v>
      </c>
      <c r="J735">
        <v>0.992834967678993</v>
      </c>
      <c r="K735">
        <v>0.944380736420333</v>
      </c>
      <c r="L735">
        <v>1684.54941963167</v>
      </c>
      <c r="M735">
        <v>38.3687457440342</v>
      </c>
      <c r="O735">
        <v>43.7854674483505</v>
      </c>
      <c r="P735">
        <v>0.0431848525426632</v>
      </c>
      <c r="Q735">
        <v>1.19712541788173</v>
      </c>
      <c r="R735">
        <v>0.255280589818555</v>
      </c>
      <c r="S735" t="s">
        <v>2419</v>
      </c>
      <c r="T735" t="s">
        <v>3344</v>
      </c>
      <c r="U735" t="s">
        <v>3344</v>
      </c>
      <c r="V735" t="s">
        <v>3344</v>
      </c>
      <c r="W735" t="s">
        <v>4077</v>
      </c>
      <c r="X735">
        <v>18</v>
      </c>
      <c r="Y735" t="s">
        <v>5734</v>
      </c>
      <c r="Z735" t="s">
        <v>7392</v>
      </c>
      <c r="AA735">
        <v>1.151104099114015</v>
      </c>
      <c r="AB735">
        <f>HYPERLINK("Melting_Curves/meltCurve_P0AEQ3_glnH.pdf", "Melting_Curves/meltCurve_P0AEQ3_glnH.pdf")</f>
        <v>0</v>
      </c>
    </row>
    <row r="736" spans="1:28">
      <c r="A736" t="s">
        <v>762</v>
      </c>
      <c r="B736">
        <v>0.999998419929286</v>
      </c>
      <c r="C736">
        <v>0.757949082994161</v>
      </c>
      <c r="D736">
        <v>0.406746208794181</v>
      </c>
      <c r="E736">
        <v>0.100194067929505</v>
      </c>
      <c r="F736">
        <v>0.0398703270786016</v>
      </c>
      <c r="G736">
        <v>0.0296685168720164</v>
      </c>
      <c r="H736">
        <v>0.0245464960777707</v>
      </c>
      <c r="I736">
        <v>0.0186196923445766</v>
      </c>
      <c r="J736">
        <v>0</v>
      </c>
      <c r="K736">
        <v>0</v>
      </c>
      <c r="L736">
        <v>955.640435317044</v>
      </c>
      <c r="M736">
        <v>22.6909493827664</v>
      </c>
      <c r="N736">
        <v>42.1601467337178</v>
      </c>
      <c r="O736">
        <v>41.7924606062015</v>
      </c>
      <c r="P736">
        <v>-0.134126733638338</v>
      </c>
      <c r="Q736">
        <v>0.011874290750154</v>
      </c>
      <c r="R736">
        <v>0.997350703869026</v>
      </c>
      <c r="S736" t="s">
        <v>2420</v>
      </c>
      <c r="T736" t="s">
        <v>3344</v>
      </c>
      <c r="U736" t="s">
        <v>3344</v>
      </c>
      <c r="V736" t="s">
        <v>3344</v>
      </c>
      <c r="W736" t="s">
        <v>4078</v>
      </c>
      <c r="X736">
        <v>1</v>
      </c>
      <c r="Y736" t="s">
        <v>5735</v>
      </c>
      <c r="Z736" t="s">
        <v>7393</v>
      </c>
      <c r="AA736">
        <v>0.1913074592715953</v>
      </c>
      <c r="AB736">
        <f>HYPERLINK("Melting_Curves/meltCurve_P0AEQ6_glnP.pdf", "Melting_Curves/meltCurve_P0AEQ6_glnP.pdf")</f>
        <v>0</v>
      </c>
    </row>
    <row r="737" spans="1:28">
      <c r="A737" t="s">
        <v>763</v>
      </c>
      <c r="B737">
        <v>0.999998419929286</v>
      </c>
      <c r="C737">
        <v>0.839045163588391</v>
      </c>
      <c r="D737">
        <v>0.732828612306932</v>
      </c>
      <c r="E737">
        <v>0.727409440768063</v>
      </c>
      <c r="F737">
        <v>0.733657462601923</v>
      </c>
      <c r="G737">
        <v>0.725080340476183</v>
      </c>
      <c r="H737">
        <v>0.571096425968553</v>
      </c>
      <c r="I737">
        <v>0.450827852849776</v>
      </c>
      <c r="J737">
        <v>0.423262839640843</v>
      </c>
      <c r="K737">
        <v>0.380671187766167</v>
      </c>
      <c r="L737">
        <v>236.958166696082</v>
      </c>
      <c r="M737">
        <v>3.92292890913722</v>
      </c>
      <c r="N737">
        <v>60.4033825854665</v>
      </c>
      <c r="O737">
        <v>49.2794438633278</v>
      </c>
      <c r="P737">
        <v>-0.0201736835104357</v>
      </c>
      <c r="Q737">
        <v>0</v>
      </c>
      <c r="R737">
        <v>0.901169108277714</v>
      </c>
      <c r="S737" t="s">
        <v>2421</v>
      </c>
      <c r="T737" t="s">
        <v>3344</v>
      </c>
      <c r="U737" t="s">
        <v>3344</v>
      </c>
      <c r="V737" t="s">
        <v>3344</v>
      </c>
      <c r="W737" t="s">
        <v>4079</v>
      </c>
      <c r="X737">
        <v>2</v>
      </c>
      <c r="Y737" t="s">
        <v>5736</v>
      </c>
      <c r="Z737" t="s">
        <v>7394</v>
      </c>
      <c r="AA737">
        <v>0.65867790689953</v>
      </c>
      <c r="AB737">
        <f>HYPERLINK("Melting_Curves/meltCurve_P0AER3_gltJ.pdf", "Melting_Curves/meltCurve_P0AER3_gltJ.pdf")</f>
        <v>0</v>
      </c>
    </row>
    <row r="738" spans="1:28">
      <c r="A738" t="s">
        <v>764</v>
      </c>
      <c r="B738">
        <v>0.999998419929286</v>
      </c>
      <c r="C738">
        <v>1.39837369041752</v>
      </c>
      <c r="D738">
        <v>1.31578219131159</v>
      </c>
      <c r="E738">
        <v>1.72070011832434</v>
      </c>
      <c r="F738">
        <v>1.77861884222197</v>
      </c>
      <c r="G738">
        <v>0.484882349642604</v>
      </c>
      <c r="H738">
        <v>0.122010254243887</v>
      </c>
      <c r="I738">
        <v>0.0800893728192215</v>
      </c>
      <c r="J738">
        <v>0.0858191108873122</v>
      </c>
      <c r="K738">
        <v>0.0467376336957577</v>
      </c>
      <c r="L738">
        <v>13436.5559580282</v>
      </c>
      <c r="M738">
        <v>250</v>
      </c>
      <c r="N738">
        <v>53.7856206803239</v>
      </c>
      <c r="O738">
        <v>53.7427844733183</v>
      </c>
      <c r="P738">
        <v>-1.06564997499431</v>
      </c>
      <c r="Q738">
        <v>0.0836640509260605</v>
      </c>
      <c r="R738">
        <v>0.700062546395369</v>
      </c>
      <c r="S738" t="s">
        <v>2422</v>
      </c>
      <c r="T738" t="s">
        <v>3344</v>
      </c>
      <c r="U738" t="s">
        <v>3344</v>
      </c>
      <c r="V738" t="s">
        <v>3344</v>
      </c>
      <c r="W738" t="s">
        <v>4080</v>
      </c>
      <c r="X738">
        <v>4</v>
      </c>
      <c r="Y738" t="s">
        <v>5737</v>
      </c>
      <c r="Z738" t="s">
        <v>7395</v>
      </c>
      <c r="AA738">
        <v>0.5952560468224689</v>
      </c>
      <c r="AB738">
        <f>HYPERLINK("Melting_Curves/meltCurve_P0AES0_gss.pdf", "Melting_Curves/meltCurve_P0AES0_gss.pdf")</f>
        <v>0</v>
      </c>
    </row>
    <row r="739" spans="1:28">
      <c r="A739" t="s">
        <v>765</v>
      </c>
      <c r="B739">
        <v>0.999998419929286</v>
      </c>
      <c r="C739">
        <v>1.27949078194026</v>
      </c>
      <c r="D739">
        <v>0.67987560301332</v>
      </c>
      <c r="E739">
        <v>0.8665548005688331</v>
      </c>
      <c r="F739">
        <v>0.734335622176045</v>
      </c>
      <c r="G739">
        <v>0.286351586276445</v>
      </c>
      <c r="H739">
        <v>0.198906202311954</v>
      </c>
      <c r="I739">
        <v>0</v>
      </c>
      <c r="J739">
        <v>0.132266981889002</v>
      </c>
      <c r="K739">
        <v>0</v>
      </c>
      <c r="L739">
        <v>857.718631176569</v>
      </c>
      <c r="M739">
        <v>16.5222288776767</v>
      </c>
      <c r="N739">
        <v>51.9129987924447</v>
      </c>
      <c r="O739">
        <v>51.1704291914847</v>
      </c>
      <c r="P739">
        <v>-0.0807271860424742</v>
      </c>
      <c r="Q739">
        <v>0</v>
      </c>
      <c r="R739">
        <v>0.894047058313958</v>
      </c>
      <c r="S739" t="s">
        <v>2423</v>
      </c>
      <c r="T739" t="s">
        <v>3344</v>
      </c>
      <c r="U739" t="s">
        <v>3344</v>
      </c>
      <c r="V739" t="s">
        <v>3344</v>
      </c>
      <c r="W739" t="s">
        <v>4081</v>
      </c>
      <c r="X739">
        <v>1</v>
      </c>
      <c r="Y739" t="s">
        <v>5738</v>
      </c>
      <c r="Z739" t="s">
        <v>7396</v>
      </c>
      <c r="AA739">
        <v>0.5141590784480099</v>
      </c>
      <c r="AB739">
        <f>HYPERLINK("Melting_Curves/meltCurve_P0AES2_gudD.pdf", "Melting_Curves/meltCurve_P0AES2_gudD.pdf")</f>
        <v>0</v>
      </c>
    </row>
    <row r="740" spans="1:28">
      <c r="A740" t="s">
        <v>766</v>
      </c>
      <c r="B740">
        <v>0.999998419929286</v>
      </c>
      <c r="C740">
        <v>1.32162081391574</v>
      </c>
      <c r="D740">
        <v>1.30037292051908</v>
      </c>
      <c r="E740">
        <v>1.39023787378546</v>
      </c>
      <c r="F740">
        <v>1.04792312845145</v>
      </c>
      <c r="G740">
        <v>0.649188193846204</v>
      </c>
      <c r="H740">
        <v>0.171945717077577</v>
      </c>
      <c r="I740">
        <v>0.0808176112847185</v>
      </c>
      <c r="J740">
        <v>0.0470347628322386</v>
      </c>
      <c r="K740">
        <v>0.0368131067733957</v>
      </c>
      <c r="L740">
        <v>2411.80201046755</v>
      </c>
      <c r="M740">
        <v>44.2300801803482</v>
      </c>
      <c r="N740">
        <v>54.6775319219948</v>
      </c>
      <c r="O740">
        <v>54.4174323668338</v>
      </c>
      <c r="P740">
        <v>-0.191663023931601</v>
      </c>
      <c r="Q740">
        <v>0.0567690466713167</v>
      </c>
      <c r="R740">
        <v>0.881103849630624</v>
      </c>
      <c r="S740" t="s">
        <v>2424</v>
      </c>
      <c r="T740" t="s">
        <v>3344</v>
      </c>
      <c r="U740" t="s">
        <v>3344</v>
      </c>
      <c r="V740" t="s">
        <v>3344</v>
      </c>
      <c r="W740" t="s">
        <v>4082</v>
      </c>
      <c r="X740">
        <v>22</v>
      </c>
      <c r="Y740" t="s">
        <v>5739</v>
      </c>
      <c r="Z740" t="s">
        <v>7397</v>
      </c>
      <c r="AA740">
        <v>0.6107719848830381</v>
      </c>
      <c r="AB740">
        <f>HYPERLINK("Melting_Curves/meltCurve_P0AES4_gyrA.pdf", "Melting_Curves/meltCurve_P0AES4_gyrA.pdf")</f>
        <v>0</v>
      </c>
    </row>
    <row r="741" spans="1:28">
      <c r="A741" t="s">
        <v>767</v>
      </c>
      <c r="B741">
        <v>0.999998419929286</v>
      </c>
      <c r="C741">
        <v>1.1050873282511</v>
      </c>
      <c r="D741">
        <v>0.935353805712032</v>
      </c>
      <c r="E741">
        <v>0.456042293776735</v>
      </c>
      <c r="F741">
        <v>0.117891904668838</v>
      </c>
      <c r="G741">
        <v>0.0773402433299227</v>
      </c>
      <c r="H741">
        <v>0.0494581764688003</v>
      </c>
      <c r="I741">
        <v>0.0420327499265216</v>
      </c>
      <c r="J741">
        <v>0.0358164460075801</v>
      </c>
      <c r="K741">
        <v>0.0322515426719143</v>
      </c>
      <c r="L741">
        <v>1604.36633316989</v>
      </c>
      <c r="M741">
        <v>34.6916612359083</v>
      </c>
      <c r="N741">
        <v>46.3796331966321</v>
      </c>
      <c r="O741">
        <v>46.0935956548727</v>
      </c>
      <c r="P741">
        <v>-0.17924026588969</v>
      </c>
      <c r="Q741">
        <v>0.0474024212164726</v>
      </c>
      <c r="R741">
        <v>0.992989435942544</v>
      </c>
      <c r="S741" t="s">
        <v>2425</v>
      </c>
      <c r="T741" t="s">
        <v>3344</v>
      </c>
      <c r="U741" t="s">
        <v>3344</v>
      </c>
      <c r="V741" t="s">
        <v>3344</v>
      </c>
      <c r="W741" t="s">
        <v>4083</v>
      </c>
      <c r="X741">
        <v>12</v>
      </c>
      <c r="Y741" t="s">
        <v>5740</v>
      </c>
      <c r="Z741" t="s">
        <v>7398</v>
      </c>
      <c r="AA741">
        <v>0.3450712869629867</v>
      </c>
      <c r="AB741">
        <f>HYPERLINK("Melting_Curves/meltCurve_P0AES6_gyrB.pdf", "Melting_Curves/meltCurve_P0AES6_gyrB.pdf")</f>
        <v>0</v>
      </c>
    </row>
    <row r="742" spans="1:28">
      <c r="A742" t="s">
        <v>768</v>
      </c>
      <c r="B742">
        <v>0.999998419929286</v>
      </c>
      <c r="C742">
        <v>1.21494242413287</v>
      </c>
      <c r="D742">
        <v>0.712212526332182</v>
      </c>
      <c r="E742">
        <v>1.04788813073011</v>
      </c>
      <c r="F742">
        <v>1.04939919095151</v>
      </c>
      <c r="G742">
        <v>0.870374087712546</v>
      </c>
      <c r="H742">
        <v>0.9537832388302659</v>
      </c>
      <c r="I742">
        <v>1.18778958951594</v>
      </c>
      <c r="J742">
        <v>1.23863287871177</v>
      </c>
      <c r="K742">
        <v>0.900813694216807</v>
      </c>
      <c r="L742">
        <v>4484.69416644424</v>
      </c>
      <c r="M742">
        <v>76.0587404668033</v>
      </c>
      <c r="O742">
        <v>58.9228385913026</v>
      </c>
      <c r="P742">
        <v>0.0346370760948069</v>
      </c>
      <c r="Q742">
        <v>1.10733359299149</v>
      </c>
      <c r="R742">
        <v>0.118962326781016</v>
      </c>
      <c r="S742" t="s">
        <v>2426</v>
      </c>
      <c r="T742" t="s">
        <v>3344</v>
      </c>
      <c r="U742" t="s">
        <v>3344</v>
      </c>
      <c r="V742" t="s">
        <v>3344</v>
      </c>
      <c r="W742" t="s">
        <v>4084</v>
      </c>
      <c r="X742">
        <v>1</v>
      </c>
      <c r="Y742" t="s">
        <v>5741</v>
      </c>
      <c r="Z742" t="s">
        <v>7399</v>
      </c>
      <c r="AA742">
        <v>1.028632806536576</v>
      </c>
      <c r="AB742">
        <f>HYPERLINK("Melting_Curves/meltCurve_P0AES9_hdeA.pdf", "Melting_Curves/meltCurve_P0AES9_hdeA.pdf")</f>
        <v>0</v>
      </c>
    </row>
    <row r="743" spans="1:28">
      <c r="A743" t="s">
        <v>769</v>
      </c>
      <c r="B743">
        <v>0.999998419929286</v>
      </c>
      <c r="C743">
        <v>0.486040086970943</v>
      </c>
      <c r="D743">
        <v>0.223546862394196</v>
      </c>
      <c r="E743">
        <v>0.161034357173205</v>
      </c>
      <c r="F743">
        <v>0.08431193964918229</v>
      </c>
      <c r="G743">
        <v>0.06630235448846659</v>
      </c>
      <c r="H743">
        <v>0.0543094708425509</v>
      </c>
      <c r="I743">
        <v>0.192665663936975</v>
      </c>
      <c r="J743">
        <v>0.141056628514243</v>
      </c>
      <c r="K743">
        <v>0.07976129333659281</v>
      </c>
      <c r="L743">
        <v>1526.04877179619</v>
      </c>
      <c r="M743">
        <v>38.47065414397</v>
      </c>
      <c r="N743">
        <v>39.9473402916957</v>
      </c>
      <c r="O743">
        <v>39.5611359789805</v>
      </c>
      <c r="P743">
        <v>-0.214426705002086</v>
      </c>
      <c r="Q743">
        <v>0.117982922855103</v>
      </c>
      <c r="R743">
        <v>0.968480006611523</v>
      </c>
      <c r="S743" t="s">
        <v>2427</v>
      </c>
      <c r="T743" t="s">
        <v>3344</v>
      </c>
      <c r="U743" t="s">
        <v>3344</v>
      </c>
      <c r="V743" t="s">
        <v>3344</v>
      </c>
      <c r="W743" t="s">
        <v>4085</v>
      </c>
      <c r="X743">
        <v>2</v>
      </c>
      <c r="Y743" t="s">
        <v>5742</v>
      </c>
      <c r="Z743" t="s">
        <v>7400</v>
      </c>
      <c r="AA743">
        <v>0.2005604752382692</v>
      </c>
      <c r="AB743">
        <f>HYPERLINK("Melting_Curves/meltCurve_P0AET2_hdeB.pdf", "Melting_Curves/meltCurve_P0AET2_hdeB.pdf")</f>
        <v>0</v>
      </c>
    </row>
    <row r="744" spans="1:28">
      <c r="A744" t="s">
        <v>770</v>
      </c>
      <c r="B744">
        <v>0.999998419929286</v>
      </c>
      <c r="C744">
        <v>0.846623394197989</v>
      </c>
      <c r="D744">
        <v>0.972200021262717</v>
      </c>
      <c r="E744">
        <v>0.998079492604248</v>
      </c>
      <c r="F744">
        <v>1.08091164983933</v>
      </c>
      <c r="G744">
        <v>1.31976360679708</v>
      </c>
      <c r="H744">
        <v>1.55250206594126</v>
      </c>
      <c r="I744">
        <v>1.04905832765603</v>
      </c>
      <c r="J744">
        <v>1.08579924774664</v>
      </c>
      <c r="K744">
        <v>1.11739272982171</v>
      </c>
      <c r="L744">
        <v>12578.9350832371</v>
      </c>
      <c r="M744">
        <v>250</v>
      </c>
      <c r="O744">
        <v>50.3125204421207</v>
      </c>
      <c r="P744">
        <v>0.279382738097182</v>
      </c>
      <c r="Q744">
        <v>1.22490319536024</v>
      </c>
      <c r="R744">
        <v>0.433528954597742</v>
      </c>
      <c r="S744" t="s">
        <v>2428</v>
      </c>
      <c r="T744" t="s">
        <v>3344</v>
      </c>
      <c r="U744" t="s">
        <v>3344</v>
      </c>
      <c r="V744" t="s">
        <v>3344</v>
      </c>
      <c r="W744" t="s">
        <v>4086</v>
      </c>
      <c r="X744">
        <v>2</v>
      </c>
      <c r="Y744" t="s">
        <v>5743</v>
      </c>
      <c r="Z744" t="s">
        <v>7401</v>
      </c>
      <c r="AA744">
        <v>1.1250582506744</v>
      </c>
      <c r="AB744">
        <f>HYPERLINK("Melting_Curves/meltCurve_P0AET5_hdeD.pdf", "Melting_Curves/meltCurve_P0AET5_hdeD.pdf")</f>
        <v>0</v>
      </c>
    </row>
    <row r="745" spans="1:28">
      <c r="A745" t="s">
        <v>771</v>
      </c>
      <c r="B745">
        <v>0.999998419929286</v>
      </c>
      <c r="C745">
        <v>0.845290068265765</v>
      </c>
      <c r="D745">
        <v>1.17937181939295</v>
      </c>
      <c r="E745">
        <v>1.08061542515552</v>
      </c>
      <c r="F745">
        <v>1.25504975837026</v>
      </c>
      <c r="G745">
        <v>1.35974599710333</v>
      </c>
      <c r="H745">
        <v>1.0049392096282</v>
      </c>
      <c r="I745">
        <v>0.392710877507446</v>
      </c>
      <c r="J745">
        <v>0.0621576125792501</v>
      </c>
      <c r="K745">
        <v>0.0400244330408538</v>
      </c>
      <c r="L745">
        <v>6046.78183849989</v>
      </c>
      <c r="M745">
        <v>99.694577644465</v>
      </c>
      <c r="N745">
        <v>60.7155227884615</v>
      </c>
      <c r="O745">
        <v>60.6286726789491</v>
      </c>
      <c r="P745">
        <v>-0.391056036504866</v>
      </c>
      <c r="Q745">
        <v>0.0487263114391819</v>
      </c>
      <c r="R745">
        <v>0.878062234543201</v>
      </c>
      <c r="S745" t="s">
        <v>2429</v>
      </c>
      <c r="T745" t="s">
        <v>3344</v>
      </c>
      <c r="U745" t="s">
        <v>3344</v>
      </c>
      <c r="V745" t="s">
        <v>3344</v>
      </c>
      <c r="W745" t="s">
        <v>4087</v>
      </c>
      <c r="X745">
        <v>10</v>
      </c>
      <c r="Y745" t="s">
        <v>5744</v>
      </c>
      <c r="Z745" t="s">
        <v>7402</v>
      </c>
      <c r="AA745">
        <v>0.7993798927081791</v>
      </c>
      <c r="AB745">
        <f>HYPERLINK("Melting_Curves/meltCurve_P0AET8_hdhA.pdf", "Melting_Curves/meltCurve_P0AET8_hdhA.pdf")</f>
        <v>0</v>
      </c>
    </row>
    <row r="746" spans="1:28">
      <c r="A746" t="s">
        <v>772</v>
      </c>
      <c r="B746">
        <v>0.999998419929286</v>
      </c>
      <c r="C746">
        <v>1.02840212051645</v>
      </c>
      <c r="D746">
        <v>1.02291350416591</v>
      </c>
      <c r="E746">
        <v>1.09819806823578</v>
      </c>
      <c r="F746">
        <v>1.22208991068901</v>
      </c>
      <c r="G746">
        <v>1.45986810061394</v>
      </c>
      <c r="H746">
        <v>1.29006625616977</v>
      </c>
      <c r="I746">
        <v>1.22338408895442</v>
      </c>
      <c r="J746">
        <v>1.2690074235669</v>
      </c>
      <c r="K746">
        <v>1.26352451149055</v>
      </c>
      <c r="L746">
        <v>1738.32833212313</v>
      </c>
      <c r="M746">
        <v>36.513117301079</v>
      </c>
      <c r="O746">
        <v>47.4661955497103</v>
      </c>
      <c r="P746">
        <v>0.0569361354165262</v>
      </c>
      <c r="Q746">
        <v>1.29606168062246</v>
      </c>
      <c r="R746">
        <v>0.806771089955766</v>
      </c>
      <c r="S746" t="s">
        <v>2430</v>
      </c>
      <c r="T746" t="s">
        <v>3344</v>
      </c>
      <c r="U746" t="s">
        <v>3344</v>
      </c>
      <c r="V746" t="s">
        <v>3344</v>
      </c>
      <c r="W746" t="s">
        <v>4088</v>
      </c>
      <c r="X746">
        <v>12</v>
      </c>
      <c r="Y746" t="s">
        <v>5745</v>
      </c>
      <c r="Z746" t="s">
        <v>7403</v>
      </c>
      <c r="AA746">
        <v>1.190199883873901</v>
      </c>
      <c r="AB746">
        <f>HYPERLINK("Melting_Curves/meltCurve_P0AEU0_hisJ.pdf", "Melting_Curves/meltCurve_P0AEU0_hisJ.pdf")</f>
        <v>0</v>
      </c>
    </row>
    <row r="747" spans="1:28">
      <c r="A747" t="s">
        <v>773</v>
      </c>
      <c r="B747">
        <v>0.999998419929286</v>
      </c>
      <c r="C747">
        <v>0.945980752748057</v>
      </c>
      <c r="D747">
        <v>1.04013795331518</v>
      </c>
      <c r="E747">
        <v>1.10955532538002</v>
      </c>
      <c r="F747">
        <v>1.18671876712586</v>
      </c>
      <c r="G747">
        <v>1.37612335094568</v>
      </c>
      <c r="H747">
        <v>1.30106461168414</v>
      </c>
      <c r="I747">
        <v>1.16732201053152</v>
      </c>
      <c r="J747">
        <v>1.27724220131144</v>
      </c>
      <c r="K747">
        <v>1.28711547067473</v>
      </c>
      <c r="L747">
        <v>1321.02683719716</v>
      </c>
      <c r="M747">
        <v>27.8380356983466</v>
      </c>
      <c r="O747">
        <v>47.2111760533398</v>
      </c>
      <c r="P747">
        <v>0.0409054476608232</v>
      </c>
      <c r="Q747">
        <v>1.2774875734991</v>
      </c>
      <c r="R747">
        <v>0.837544030727213</v>
      </c>
      <c r="S747" t="s">
        <v>2431</v>
      </c>
      <c r="T747" t="s">
        <v>3344</v>
      </c>
      <c r="U747" t="s">
        <v>3344</v>
      </c>
      <c r="V747" t="s">
        <v>3344</v>
      </c>
      <c r="W747" t="s">
        <v>4089</v>
      </c>
      <c r="X747">
        <v>7</v>
      </c>
      <c r="Y747" t="s">
        <v>5746</v>
      </c>
      <c r="Z747" t="s">
        <v>7404</v>
      </c>
      <c r="AA747">
        <v>1.178901123732816</v>
      </c>
      <c r="AB747">
        <f>HYPERLINK("Melting_Curves/meltCurve_P0AEU7_skp.pdf", "Melting_Curves/meltCurve_P0AEU7_skp.pdf")</f>
        <v>0</v>
      </c>
    </row>
    <row r="748" spans="1:28">
      <c r="A748" t="s">
        <v>774</v>
      </c>
      <c r="B748">
        <v>0.999998419929286</v>
      </c>
      <c r="C748">
        <v>0.577781764925459</v>
      </c>
      <c r="D748">
        <v>0.353733181277996</v>
      </c>
      <c r="E748">
        <v>0.155847116356675</v>
      </c>
      <c r="F748">
        <v>0.06642243777345309</v>
      </c>
      <c r="G748">
        <v>0.0292876913585602</v>
      </c>
      <c r="H748">
        <v>0.0146799720058507</v>
      </c>
      <c r="I748">
        <v>0</v>
      </c>
      <c r="J748">
        <v>0.0132709830948124</v>
      </c>
      <c r="K748">
        <v>0</v>
      </c>
      <c r="L748">
        <v>749.545247291469</v>
      </c>
      <c r="M748">
        <v>18.156783094285</v>
      </c>
      <c r="N748">
        <v>41.3467673384245</v>
      </c>
      <c r="O748">
        <v>40.7908414367826</v>
      </c>
      <c r="P748">
        <v>-0.10972030608981</v>
      </c>
      <c r="Q748">
        <v>0.0140609927432673</v>
      </c>
      <c r="R748">
        <v>0.980083702052736</v>
      </c>
      <c r="S748" t="s">
        <v>2432</v>
      </c>
      <c r="T748" t="s">
        <v>3344</v>
      </c>
      <c r="U748" t="s">
        <v>3344</v>
      </c>
      <c r="V748" t="s">
        <v>3344</v>
      </c>
      <c r="W748" t="s">
        <v>4090</v>
      </c>
      <c r="X748">
        <v>1</v>
      </c>
      <c r="Y748" t="s">
        <v>5747</v>
      </c>
      <c r="Z748" t="s">
        <v>7405</v>
      </c>
      <c r="AA748">
        <v>0.1750335597538631</v>
      </c>
      <c r="AB748">
        <f>HYPERLINK("Melting_Curves/meltCurve_P0AEV1_rssB.pdf", "Melting_Curves/meltCurve_P0AEV1_rssB.pdf")</f>
        <v>0</v>
      </c>
    </row>
    <row r="749" spans="1:28">
      <c r="A749" t="s">
        <v>775</v>
      </c>
      <c r="B749">
        <v>0.999998419929286</v>
      </c>
      <c r="C749">
        <v>0.868514586745624</v>
      </c>
      <c r="D749">
        <v>0.878576098235712</v>
      </c>
      <c r="E749">
        <v>0.961974854456551</v>
      </c>
      <c r="F749">
        <v>1.09952671354586</v>
      </c>
      <c r="G749">
        <v>1.29841655787021</v>
      </c>
      <c r="H749">
        <v>1.07947081419385</v>
      </c>
      <c r="I749">
        <v>0.9475065917330751</v>
      </c>
      <c r="J749">
        <v>1.44982362920174</v>
      </c>
      <c r="K749">
        <v>1.47529800450792</v>
      </c>
      <c r="L749">
        <v>15000</v>
      </c>
      <c r="M749">
        <v>236.871123651891</v>
      </c>
      <c r="O749">
        <v>63.3210636973666</v>
      </c>
      <c r="P749">
        <v>0.444602033330766</v>
      </c>
      <c r="Q749">
        <v>1.47540910492178</v>
      </c>
      <c r="R749">
        <v>0.690739609654524</v>
      </c>
      <c r="S749" t="s">
        <v>2433</v>
      </c>
      <c r="T749" t="s">
        <v>3344</v>
      </c>
      <c r="U749" t="s">
        <v>3344</v>
      </c>
      <c r="V749" t="s">
        <v>3344</v>
      </c>
      <c r="W749" t="s">
        <v>4091</v>
      </c>
      <c r="X749">
        <v>1</v>
      </c>
      <c r="Y749" t="s">
        <v>5748</v>
      </c>
      <c r="Z749" t="s">
        <v>7406</v>
      </c>
      <c r="AA749">
        <v>1.058169665924049</v>
      </c>
      <c r="AB749">
        <f>HYPERLINK("Melting_Curves/meltCurve_P0AEV9_hycI.pdf", "Melting_Curves/meltCurve_P0AEV9_hycI.pdf")</f>
        <v>0</v>
      </c>
    </row>
    <row r="750" spans="1:28">
      <c r="A750" t="s">
        <v>776</v>
      </c>
      <c r="B750">
        <v>0.999998419929286</v>
      </c>
      <c r="C750">
        <v>0.8115848639037559</v>
      </c>
      <c r="D750">
        <v>0.81555228863087</v>
      </c>
      <c r="E750">
        <v>0.817119286234568</v>
      </c>
      <c r="F750">
        <v>1.07948127959163</v>
      </c>
      <c r="G750">
        <v>1.12052663480182</v>
      </c>
      <c r="H750">
        <v>1.0177603741705</v>
      </c>
      <c r="I750">
        <v>0.745956520884291</v>
      </c>
      <c r="J750">
        <v>0.758853298822347</v>
      </c>
      <c r="K750">
        <v>0.7177679260855711</v>
      </c>
      <c r="L750">
        <v>15000</v>
      </c>
      <c r="M750">
        <v>249.404123289835</v>
      </c>
      <c r="O750">
        <v>60.1394849974802</v>
      </c>
      <c r="P750">
        <v>-0.271314791106789</v>
      </c>
      <c r="Q750">
        <v>0.7383085483979041</v>
      </c>
      <c r="R750">
        <v>0.381517813845481</v>
      </c>
      <c r="S750" t="s">
        <v>2434</v>
      </c>
      <c r="T750" t="s">
        <v>3344</v>
      </c>
      <c r="U750" t="s">
        <v>3344</v>
      </c>
      <c r="V750" t="s">
        <v>3344</v>
      </c>
      <c r="W750" t="s">
        <v>4092</v>
      </c>
      <c r="X750">
        <v>3</v>
      </c>
      <c r="Y750" t="s">
        <v>5749</v>
      </c>
      <c r="Z750" t="s">
        <v>7407</v>
      </c>
      <c r="AA750">
        <v>0.9402168823967584</v>
      </c>
      <c r="AB750">
        <f>HYPERLINK("Melting_Curves/meltCurve_P0AEW4_cpdA.pdf", "Melting_Curves/meltCurve_P0AEW4_cpdA.pdf")</f>
        <v>0</v>
      </c>
    </row>
    <row r="751" spans="1:28">
      <c r="A751" t="s">
        <v>777</v>
      </c>
      <c r="B751">
        <v>0.999998419929286</v>
      </c>
      <c r="C751">
        <v>0.9117967383273829</v>
      </c>
      <c r="D751">
        <v>0.711866511197317</v>
      </c>
      <c r="E751">
        <v>0.411837557907131</v>
      </c>
      <c r="F751">
        <v>0.332877105211737</v>
      </c>
      <c r="G751">
        <v>0.468714828036237</v>
      </c>
      <c r="H751">
        <v>0.340902047615733</v>
      </c>
      <c r="I751">
        <v>0.260136856678843</v>
      </c>
      <c r="J751">
        <v>0.207684091474453</v>
      </c>
      <c r="K751">
        <v>0.217621721280811</v>
      </c>
      <c r="L751">
        <v>832.195645228764</v>
      </c>
      <c r="M751">
        <v>19.0129981861603</v>
      </c>
      <c r="N751">
        <v>45.7931469190566</v>
      </c>
      <c r="O751">
        <v>43.2942520285761</v>
      </c>
      <c r="P751">
        <v>-0.0785948635237473</v>
      </c>
      <c r="Q751">
        <v>0.284159071488689</v>
      </c>
      <c r="R751">
        <v>0.9417765338181729</v>
      </c>
      <c r="S751" t="s">
        <v>2435</v>
      </c>
      <c r="T751" t="s">
        <v>3344</v>
      </c>
      <c r="U751" t="s">
        <v>3344</v>
      </c>
      <c r="V751" t="s">
        <v>3344</v>
      </c>
      <c r="W751" t="s">
        <v>4093</v>
      </c>
      <c r="X751">
        <v>1</v>
      </c>
      <c r="Y751" t="s">
        <v>5750</v>
      </c>
      <c r="Z751" t="s">
        <v>7408</v>
      </c>
      <c r="AA751">
        <v>0.4564849962932601</v>
      </c>
      <c r="AB751">
        <f>HYPERLINK("Melting_Curves/meltCurve_P0AEX5_prkB.pdf", "Melting_Curves/meltCurve_P0AEX5_prkB.pdf")</f>
        <v>0</v>
      </c>
    </row>
    <row r="752" spans="1:28">
      <c r="A752" t="s">
        <v>778</v>
      </c>
      <c r="B752">
        <v>0.999998419929286</v>
      </c>
      <c r="C752">
        <v>0.9622532048324079</v>
      </c>
      <c r="D752">
        <v>1.22065953134581</v>
      </c>
      <c r="E752">
        <v>1.28202401542224</v>
      </c>
      <c r="F752">
        <v>1.78135900276326</v>
      </c>
      <c r="G752">
        <v>2.1807541295411</v>
      </c>
      <c r="H752">
        <v>2.05869917382443</v>
      </c>
      <c r="I752">
        <v>1.16966055289548</v>
      </c>
      <c r="J752">
        <v>0.839930870922273</v>
      </c>
      <c r="K752">
        <v>0.683802495560474</v>
      </c>
      <c r="L752">
        <v>1.00000002021261e-05</v>
      </c>
      <c r="M752">
        <v>80.9945712020986</v>
      </c>
      <c r="Q752">
        <v>1.5</v>
      </c>
      <c r="R752">
        <v>-0.138210678312316</v>
      </c>
      <c r="S752" t="s">
        <v>2436</v>
      </c>
      <c r="T752" t="s">
        <v>3344</v>
      </c>
      <c r="U752" t="s">
        <v>3344</v>
      </c>
      <c r="V752" t="s">
        <v>3344</v>
      </c>
      <c r="W752" t="s">
        <v>4094</v>
      </c>
      <c r="X752">
        <v>18</v>
      </c>
      <c r="Y752" t="s">
        <v>5751</v>
      </c>
      <c r="Z752" t="s">
        <v>7409</v>
      </c>
      <c r="AA752">
        <v>1.5</v>
      </c>
      <c r="AB752">
        <f>HYPERLINK("Melting_Curves/meltCurve_P0AEX9_malE.pdf", "Melting_Curves/meltCurve_P0AEX9_malE.pdf")</f>
        <v>0</v>
      </c>
    </row>
    <row r="753" spans="1:28">
      <c r="A753" t="s">
        <v>779</v>
      </c>
      <c r="B753">
        <v>0.999998419929286</v>
      </c>
      <c r="C753">
        <v>0.884809866177186</v>
      </c>
      <c r="D753">
        <v>0.562369332348283</v>
      </c>
      <c r="E753">
        <v>0.419567158268973</v>
      </c>
      <c r="F753">
        <v>0.340134148452538</v>
      </c>
      <c r="G753">
        <v>0.509572680446313</v>
      </c>
      <c r="H753">
        <v>0.595366644235385</v>
      </c>
      <c r="I753">
        <v>0.6418881524585029</v>
      </c>
      <c r="J753">
        <v>0.673033024362338</v>
      </c>
      <c r="K753">
        <v>0.679181958599683</v>
      </c>
      <c r="L753">
        <v>2754.95025180095</v>
      </c>
      <c r="M753">
        <v>67.9826456271639</v>
      </c>
      <c r="O753">
        <v>40.4892950638862</v>
      </c>
      <c r="P753">
        <v>-0.188249316419824</v>
      </c>
      <c r="Q753">
        <v>0.551527901881673</v>
      </c>
      <c r="R753">
        <v>0.703990171529927</v>
      </c>
      <c r="S753" t="s">
        <v>2437</v>
      </c>
      <c r="T753" t="s">
        <v>3344</v>
      </c>
      <c r="U753" t="s">
        <v>3344</v>
      </c>
      <c r="V753" t="s">
        <v>3344</v>
      </c>
      <c r="W753" t="s">
        <v>4095</v>
      </c>
      <c r="X753">
        <v>1</v>
      </c>
      <c r="Y753" t="s">
        <v>5752</v>
      </c>
      <c r="Z753" t="s">
        <v>7410</v>
      </c>
      <c r="AA753">
        <v>0.6046568292715521</v>
      </c>
      <c r="AB753">
        <f>HYPERLINK("Melting_Curves/meltCurve_P0AEY1_marC.pdf", "Melting_Curves/meltCurve_P0AEY1_marC.pdf")</f>
        <v>0</v>
      </c>
    </row>
    <row r="754" spans="1:28">
      <c r="A754" t="s">
        <v>780</v>
      </c>
      <c r="B754">
        <v>0.999998419929286</v>
      </c>
      <c r="C754">
        <v>0.7896294792113711</v>
      </c>
      <c r="D754">
        <v>0.64681837332254</v>
      </c>
      <c r="E754">
        <v>0.585151804205338</v>
      </c>
      <c r="F754">
        <v>0.599569274925401</v>
      </c>
      <c r="G754">
        <v>0.43559231862463</v>
      </c>
      <c r="H754">
        <v>0.392620319138875</v>
      </c>
      <c r="I754">
        <v>0.353867967563122</v>
      </c>
      <c r="J754">
        <v>0.454168271452644</v>
      </c>
      <c r="K754">
        <v>0.444157108329665</v>
      </c>
      <c r="L754">
        <v>499.912342403581</v>
      </c>
      <c r="M754">
        <v>11.6611373467163</v>
      </c>
      <c r="N754">
        <v>50.0880636497223</v>
      </c>
      <c r="O754">
        <v>41.6674337650455</v>
      </c>
      <c r="P754">
        <v>-0.0415107660086929</v>
      </c>
      <c r="Q754">
        <v>0.406856735112916</v>
      </c>
      <c r="R754">
        <v>0.917363259389409</v>
      </c>
      <c r="S754" t="s">
        <v>2438</v>
      </c>
      <c r="T754" t="s">
        <v>3344</v>
      </c>
      <c r="U754" t="s">
        <v>3344</v>
      </c>
      <c r="V754" t="s">
        <v>3344</v>
      </c>
      <c r="W754" t="s">
        <v>4096</v>
      </c>
      <c r="X754">
        <v>1</v>
      </c>
      <c r="Y754" t="s">
        <v>5753</v>
      </c>
      <c r="Z754" t="s">
        <v>7411</v>
      </c>
      <c r="AA754">
        <v>0.5492195647963538</v>
      </c>
      <c r="AB754">
        <f>HYPERLINK("Melting_Curves/meltCurve_P0AEY3_mazG.pdf", "Melting_Curves/meltCurve_P0AEY3_mazG.pdf")</f>
        <v>0</v>
      </c>
    </row>
    <row r="755" spans="1:28">
      <c r="A755" t="s">
        <v>781</v>
      </c>
      <c r="B755">
        <v>0.999998419929286</v>
      </c>
      <c r="C755">
        <v>0.886795095390023</v>
      </c>
      <c r="D755">
        <v>1.02242103650366</v>
      </c>
      <c r="E755">
        <v>1.09887442646185</v>
      </c>
      <c r="F755">
        <v>1.17496543594999</v>
      </c>
      <c r="G755">
        <v>1.06286203163316</v>
      </c>
      <c r="H755">
        <v>0.825806482859757</v>
      </c>
      <c r="I755">
        <v>0.705244288827353</v>
      </c>
      <c r="J755">
        <v>0.649686259982367</v>
      </c>
      <c r="K755">
        <v>0.632970615984952</v>
      </c>
      <c r="L755">
        <v>4784.22582951078</v>
      </c>
      <c r="M755">
        <v>83.38159899752</v>
      </c>
      <c r="O755">
        <v>57.344498067715</v>
      </c>
      <c r="P755">
        <v>-0.123068301736957</v>
      </c>
      <c r="Q755">
        <v>0.661446204129473</v>
      </c>
      <c r="R755">
        <v>0.824074181552848</v>
      </c>
      <c r="S755" t="s">
        <v>2439</v>
      </c>
      <c r="T755" t="s">
        <v>3344</v>
      </c>
      <c r="U755" t="s">
        <v>3344</v>
      </c>
      <c r="V755" t="s">
        <v>3344</v>
      </c>
      <c r="W755" t="s">
        <v>4097</v>
      </c>
      <c r="X755">
        <v>4</v>
      </c>
      <c r="Y755" t="s">
        <v>5754</v>
      </c>
      <c r="Z755" t="s">
        <v>7412</v>
      </c>
      <c r="AA755">
        <v>0.8917155583548791</v>
      </c>
      <c r="AB755">
        <f>HYPERLINK("Melting_Curves/meltCurve_P0AEY5_mdaB.pdf", "Melting_Curves/meltCurve_P0AEY5_mdaB.pdf")</f>
        <v>0</v>
      </c>
    </row>
    <row r="756" spans="1:28">
      <c r="A756" t="s">
        <v>782</v>
      </c>
      <c r="B756">
        <v>0.999998419929286</v>
      </c>
      <c r="C756">
        <v>0.884598918660749</v>
      </c>
      <c r="D756">
        <v>0.972977277486239</v>
      </c>
      <c r="E756">
        <v>0.895948308602892</v>
      </c>
      <c r="F756">
        <v>0.795313353341219</v>
      </c>
      <c r="G756">
        <v>0.626892593776367</v>
      </c>
      <c r="H756">
        <v>0.44955521768649</v>
      </c>
      <c r="I756">
        <v>0.257362331908355</v>
      </c>
      <c r="J756">
        <v>0.210422611512347</v>
      </c>
      <c r="K756">
        <v>0.164326562224252</v>
      </c>
      <c r="L756">
        <v>614.655442297519</v>
      </c>
      <c r="M756">
        <v>10.9634813509881</v>
      </c>
      <c r="N756">
        <v>56.1257851250905</v>
      </c>
      <c r="O756">
        <v>54.2954831673091</v>
      </c>
      <c r="P756">
        <v>-0.050194481615286</v>
      </c>
      <c r="Q756">
        <v>0.00600856331054409</v>
      </c>
      <c r="R756">
        <v>0.986746709857772</v>
      </c>
      <c r="S756" t="s">
        <v>2440</v>
      </c>
      <c r="T756" t="s">
        <v>3344</v>
      </c>
      <c r="U756" t="s">
        <v>3344</v>
      </c>
      <c r="V756" t="s">
        <v>3344</v>
      </c>
      <c r="W756" t="s">
        <v>4098</v>
      </c>
      <c r="X756">
        <v>12</v>
      </c>
      <c r="Y756" t="s">
        <v>5755</v>
      </c>
      <c r="Z756" t="s">
        <v>7413</v>
      </c>
      <c r="AA756">
        <v>0.6454767950844182</v>
      </c>
      <c r="AB756">
        <f>HYPERLINK("Melting_Curves/meltCurve_P0AEZ3_minD.pdf", "Melting_Curves/meltCurve_P0AEZ3_minD.pdf")</f>
        <v>0</v>
      </c>
    </row>
    <row r="757" spans="1:28">
      <c r="A757" t="s">
        <v>783</v>
      </c>
      <c r="B757">
        <v>0.999998419929286</v>
      </c>
      <c r="C757">
        <v>0.946213346030691</v>
      </c>
      <c r="D757">
        <v>0.889861374941293</v>
      </c>
      <c r="E757">
        <v>0.863681013719614</v>
      </c>
      <c r="F757">
        <v>0.881771418400496</v>
      </c>
      <c r="G757">
        <v>0.8876885956159321</v>
      </c>
      <c r="H757">
        <v>0.846221870296482</v>
      </c>
      <c r="I757">
        <v>0.784533069191919</v>
      </c>
      <c r="J757">
        <v>0.785494391474565</v>
      </c>
      <c r="K757">
        <v>0.770099497467562</v>
      </c>
      <c r="L757">
        <v>182.075817308505</v>
      </c>
      <c r="M757">
        <v>2.43407206352236</v>
      </c>
      <c r="O757">
        <v>49.7410265993002</v>
      </c>
      <c r="P757">
        <v>-0.00686751727319186</v>
      </c>
      <c r="Q757">
        <v>0.467859241032516</v>
      </c>
      <c r="R757">
        <v>0.8684742627291751</v>
      </c>
      <c r="S757" t="s">
        <v>2441</v>
      </c>
      <c r="T757" t="s">
        <v>3344</v>
      </c>
      <c r="U757" t="s">
        <v>3344</v>
      </c>
      <c r="V757" t="s">
        <v>3344</v>
      </c>
      <c r="W757" t="s">
        <v>4099</v>
      </c>
      <c r="X757">
        <v>6</v>
      </c>
      <c r="Y757" t="s">
        <v>5756</v>
      </c>
      <c r="Z757" t="s">
        <v>7414</v>
      </c>
      <c r="AA757">
        <v>0.8646630587488039</v>
      </c>
      <c r="AB757">
        <f>HYPERLINK("Melting_Curves/meltCurve_P0AEZ9_moaB.pdf", "Melting_Curves/meltCurve_P0AEZ9_moaB.pdf")</f>
        <v>0</v>
      </c>
    </row>
    <row r="758" spans="1:28">
      <c r="A758" t="s">
        <v>784</v>
      </c>
      <c r="B758">
        <v>0.999998419929286</v>
      </c>
      <c r="C758">
        <v>0.910109215036113</v>
      </c>
      <c r="D758">
        <v>1.02515151856102</v>
      </c>
      <c r="E758">
        <v>1.20673302228706</v>
      </c>
      <c r="F758">
        <v>1.28583330195939</v>
      </c>
      <c r="G758">
        <v>1.4980898840668</v>
      </c>
      <c r="H758">
        <v>1.44337516704753</v>
      </c>
      <c r="I758">
        <v>1.3487927967165</v>
      </c>
      <c r="J758">
        <v>1.27036154623428</v>
      </c>
      <c r="K758">
        <v>1.05652145152425</v>
      </c>
      <c r="L758">
        <v>1941.62316900241</v>
      </c>
      <c r="M758">
        <v>42.2794836286033</v>
      </c>
      <c r="O758">
        <v>45.8211498774533</v>
      </c>
      <c r="P758">
        <v>0.0735340870342719</v>
      </c>
      <c r="Q758">
        <v>1.3187750200948</v>
      </c>
      <c r="R758">
        <v>0.639820747480438</v>
      </c>
      <c r="S758" t="s">
        <v>2442</v>
      </c>
      <c r="T758" t="s">
        <v>3344</v>
      </c>
      <c r="U758" t="s">
        <v>3344</v>
      </c>
      <c r="V758" t="s">
        <v>3344</v>
      </c>
      <c r="W758" t="s">
        <v>4100</v>
      </c>
      <c r="X758">
        <v>2</v>
      </c>
      <c r="Y758" t="s">
        <v>5757</v>
      </c>
      <c r="Z758" t="s">
        <v>7415</v>
      </c>
      <c r="AA758">
        <v>1.223049685723436</v>
      </c>
      <c r="AB758">
        <f>HYPERLINK("Melting_Curves/meltCurve_P0AF03_mog.pdf", "Melting_Curves/meltCurve_P0AF03_mog.pdf")</f>
        <v>0</v>
      </c>
    </row>
    <row r="759" spans="1:28">
      <c r="A759" t="s">
        <v>785</v>
      </c>
      <c r="B759">
        <v>0.999998419929286</v>
      </c>
      <c r="C759">
        <v>1.04058666076422</v>
      </c>
      <c r="D759">
        <v>0.974824808074837</v>
      </c>
      <c r="E759">
        <v>0.592446890428261</v>
      </c>
      <c r="F759">
        <v>0.348092169514109</v>
      </c>
      <c r="G759">
        <v>0.107962574666337</v>
      </c>
      <c r="H759">
        <v>0.0558748572754589</v>
      </c>
      <c r="I759">
        <v>0.0379986274703858</v>
      </c>
      <c r="J759">
        <v>0.0410357562565013</v>
      </c>
      <c r="K759">
        <v>0.0339024715879529</v>
      </c>
      <c r="L759">
        <v>1000.55503458824</v>
      </c>
      <c r="M759">
        <v>20.8945674981539</v>
      </c>
      <c r="N759">
        <v>48.0395779874239</v>
      </c>
      <c r="O759">
        <v>47.4537434046354</v>
      </c>
      <c r="P759">
        <v>-0.106522733956825</v>
      </c>
      <c r="Q759">
        <v>0.0323295010093095</v>
      </c>
      <c r="R759">
        <v>0.992818970578201</v>
      </c>
      <c r="S759" t="s">
        <v>2443</v>
      </c>
      <c r="T759" t="s">
        <v>3344</v>
      </c>
      <c r="U759" t="s">
        <v>3344</v>
      </c>
      <c r="V759" t="s">
        <v>3344</v>
      </c>
      <c r="W759" t="s">
        <v>4101</v>
      </c>
      <c r="X759">
        <v>4</v>
      </c>
      <c r="Y759" t="s">
        <v>5758</v>
      </c>
      <c r="Z759" t="s">
        <v>7416</v>
      </c>
      <c r="AA759">
        <v>0.3951510655106275</v>
      </c>
      <c r="AB759">
        <f>HYPERLINK("Melting_Curves/meltCurve_P0AF08_mrp.pdf", "Melting_Curves/meltCurve_P0AF08_mrp.pdf")</f>
        <v>0</v>
      </c>
    </row>
    <row r="760" spans="1:28">
      <c r="A760" t="s">
        <v>786</v>
      </c>
      <c r="B760">
        <v>0.999998419929286</v>
      </c>
      <c r="C760">
        <v>0.680128506871617</v>
      </c>
      <c r="D760">
        <v>1.0205329200812</v>
      </c>
      <c r="E760">
        <v>0.855073661247805</v>
      </c>
      <c r="F760">
        <v>0.942480028977101</v>
      </c>
      <c r="G760">
        <v>0.651961068407555</v>
      </c>
      <c r="H760">
        <v>0.166009072370958</v>
      </c>
      <c r="I760">
        <v>0.0341469487436781</v>
      </c>
      <c r="J760">
        <v>0.0141954222150333</v>
      </c>
      <c r="K760">
        <v>0.0210790564325978</v>
      </c>
      <c r="L760">
        <v>1854.26899103834</v>
      </c>
      <c r="M760">
        <v>33.8980610435505</v>
      </c>
      <c r="N760">
        <v>54.7297123383292</v>
      </c>
      <c r="O760">
        <v>54.5120163693388</v>
      </c>
      <c r="P760">
        <v>-0.154107518593922</v>
      </c>
      <c r="Q760">
        <v>0.00871301323893669</v>
      </c>
      <c r="R760">
        <v>0.926406522425032</v>
      </c>
      <c r="S760" t="s">
        <v>2444</v>
      </c>
      <c r="T760" t="s">
        <v>3344</v>
      </c>
      <c r="U760" t="s">
        <v>3344</v>
      </c>
      <c r="V760" t="s">
        <v>3344</v>
      </c>
      <c r="W760" t="s">
        <v>4102</v>
      </c>
      <c r="X760">
        <v>1</v>
      </c>
      <c r="Y760" t="s">
        <v>5759</v>
      </c>
      <c r="Z760" t="s">
        <v>7417</v>
      </c>
      <c r="AA760">
        <v>0.5986836774044051</v>
      </c>
      <c r="AB760">
        <f>HYPERLINK("Melting_Curves/meltCurve_P0AF12_mtnN.pdf", "Melting_Curves/meltCurve_P0AF12_mtnN.pdf")</f>
        <v>0</v>
      </c>
    </row>
    <row r="761" spans="1:28">
      <c r="A761" t="s">
        <v>787</v>
      </c>
      <c r="B761">
        <v>0.999998419929286</v>
      </c>
      <c r="C761">
        <v>0.868230315571156</v>
      </c>
      <c r="D761">
        <v>0.784746422999535</v>
      </c>
      <c r="E761">
        <v>0.574575493572353</v>
      </c>
      <c r="F761">
        <v>0.447148353717148</v>
      </c>
      <c r="G761">
        <v>0.236749594177927</v>
      </c>
      <c r="H761">
        <v>0.0898948624435463</v>
      </c>
      <c r="I761">
        <v>0.0525701007653102</v>
      </c>
      <c r="J761">
        <v>0.0416327423183892</v>
      </c>
      <c r="K761">
        <v>0.0379363822728503</v>
      </c>
      <c r="L761">
        <v>548.956330862021</v>
      </c>
      <c r="M761">
        <v>11.4131008477681</v>
      </c>
      <c r="N761">
        <v>48.0987891751448</v>
      </c>
      <c r="O761">
        <v>46.6931738787295</v>
      </c>
      <c r="P761">
        <v>-0.061124793386942</v>
      </c>
      <c r="Q761">
        <v>0</v>
      </c>
      <c r="R761">
        <v>0.991534489427136</v>
      </c>
      <c r="S761" t="s">
        <v>2445</v>
      </c>
      <c r="T761" t="s">
        <v>3344</v>
      </c>
      <c r="U761" t="s">
        <v>3344</v>
      </c>
      <c r="V761" t="s">
        <v>3344</v>
      </c>
      <c r="W761" t="s">
        <v>4103</v>
      </c>
      <c r="X761">
        <v>4</v>
      </c>
      <c r="Y761" t="s">
        <v>5760</v>
      </c>
      <c r="Z761" t="s">
        <v>7418</v>
      </c>
      <c r="AA761">
        <v>0.4034188299172156</v>
      </c>
      <c r="AB761">
        <f>HYPERLINK("Melting_Curves/meltCurve_P0AF18_nagA.pdf", "Melting_Curves/meltCurve_P0AF18_nagA.pdf")</f>
        <v>0</v>
      </c>
    </row>
    <row r="762" spans="1:28">
      <c r="A762" t="s">
        <v>788</v>
      </c>
      <c r="B762">
        <v>0.999998419929286</v>
      </c>
      <c r="C762">
        <v>0.995621685422561</v>
      </c>
      <c r="D762">
        <v>0.759430403269495</v>
      </c>
      <c r="E762">
        <v>0.338359864223304</v>
      </c>
      <c r="F762">
        <v>0.201204774791238</v>
      </c>
      <c r="G762">
        <v>0.190346687107374</v>
      </c>
      <c r="H762">
        <v>0.164148601271493</v>
      </c>
      <c r="I762">
        <v>0.1337990483201</v>
      </c>
      <c r="J762">
        <v>0.0923752325545356</v>
      </c>
      <c r="K762">
        <v>0.0512321732850984</v>
      </c>
      <c r="L762">
        <v>1128.60474602035</v>
      </c>
      <c r="M762">
        <v>25.2560940927597</v>
      </c>
      <c r="N762">
        <v>45.202589809932</v>
      </c>
      <c r="O762">
        <v>44.4090812763957</v>
      </c>
      <c r="P762">
        <v>-0.124369971583544</v>
      </c>
      <c r="Q762">
        <v>0.125266537758361</v>
      </c>
      <c r="R762">
        <v>0.989832791131943</v>
      </c>
      <c r="S762" t="s">
        <v>2446</v>
      </c>
      <c r="T762" t="s">
        <v>3344</v>
      </c>
      <c r="U762" t="s">
        <v>3344</v>
      </c>
      <c r="V762" t="s">
        <v>3344</v>
      </c>
      <c r="W762" t="s">
        <v>4104</v>
      </c>
      <c r="X762">
        <v>3</v>
      </c>
      <c r="Y762" t="s">
        <v>5761</v>
      </c>
      <c r="Z762" t="s">
        <v>7419</v>
      </c>
      <c r="AA762">
        <v>0.3564044178598668</v>
      </c>
      <c r="AB762">
        <f>HYPERLINK("Melting_Curves/meltCurve_P0AF20_nagC.pdf", "Melting_Curves/meltCurve_P0AF20_nagC.pdf")</f>
        <v>0</v>
      </c>
    </row>
    <row r="763" spans="1:28">
      <c r="A763" t="s">
        <v>789</v>
      </c>
      <c r="B763">
        <v>0.999998419929286</v>
      </c>
      <c r="C763">
        <v>0.7244036121308191</v>
      </c>
      <c r="D763">
        <v>0.436923289154489</v>
      </c>
      <c r="E763">
        <v>0.321783326317309</v>
      </c>
      <c r="F763">
        <v>0.273416012099365</v>
      </c>
      <c r="G763">
        <v>0.223266464126787</v>
      </c>
      <c r="H763">
        <v>0.183390635135918</v>
      </c>
      <c r="I763">
        <v>0.148784224806196</v>
      </c>
      <c r="J763">
        <v>0.167271440321586</v>
      </c>
      <c r="K763">
        <v>0.147292283806965</v>
      </c>
      <c r="L763">
        <v>763.819696294157</v>
      </c>
      <c r="M763">
        <v>18.3527686812501</v>
      </c>
      <c r="N763">
        <v>42.6745306392506</v>
      </c>
      <c r="O763">
        <v>41.1340875572887</v>
      </c>
      <c r="P763">
        <v>-0.0911931060884881</v>
      </c>
      <c r="Q763">
        <v>0.182472392372546</v>
      </c>
      <c r="R763">
        <v>0.978407421011949</v>
      </c>
      <c r="S763" t="s">
        <v>2447</v>
      </c>
      <c r="T763" t="s">
        <v>3344</v>
      </c>
      <c r="U763" t="s">
        <v>3344</v>
      </c>
      <c r="V763" t="s">
        <v>3344</v>
      </c>
      <c r="W763" t="s">
        <v>4105</v>
      </c>
      <c r="X763">
        <v>2</v>
      </c>
      <c r="Y763" t="s">
        <v>5762</v>
      </c>
      <c r="Z763" t="s">
        <v>7420</v>
      </c>
      <c r="AA763">
        <v>0.3240282618363443</v>
      </c>
      <c r="AB763">
        <f>HYPERLINK("Melting_Curves/meltCurve_P0AF24_nagD.pdf", "Melting_Curves/meltCurve_P0AF24_nagD.pdf")</f>
        <v>0</v>
      </c>
    </row>
    <row r="764" spans="1:28">
      <c r="A764" t="s">
        <v>790</v>
      </c>
      <c r="B764">
        <v>0.999998419929286</v>
      </c>
      <c r="C764">
        <v>0.8470440121416259</v>
      </c>
      <c r="D764">
        <v>1.00345137237307</v>
      </c>
      <c r="E764">
        <v>1.16656723931363</v>
      </c>
      <c r="F764">
        <v>1.43410859481459</v>
      </c>
      <c r="G764">
        <v>1.81417930660382</v>
      </c>
      <c r="H764">
        <v>1.63885956691794</v>
      </c>
      <c r="I764">
        <v>1.11001566256988</v>
      </c>
      <c r="J764">
        <v>0.534333525872976</v>
      </c>
      <c r="K764">
        <v>0.180079666332662</v>
      </c>
      <c r="L764">
        <v>15000</v>
      </c>
      <c r="M764">
        <v>234.282722179434</v>
      </c>
      <c r="N764">
        <v>64.1474426409855</v>
      </c>
      <c r="O764">
        <v>64.02054270809769</v>
      </c>
      <c r="P764">
        <v>-0.750147159639917</v>
      </c>
      <c r="Q764">
        <v>0.180053438179891</v>
      </c>
      <c r="R764">
        <v>0.387269667418885</v>
      </c>
      <c r="S764" t="s">
        <v>2448</v>
      </c>
      <c r="T764" t="s">
        <v>3344</v>
      </c>
      <c r="U764" t="s">
        <v>3344</v>
      </c>
      <c r="V764" t="s">
        <v>3344</v>
      </c>
      <c r="W764" t="s">
        <v>4106</v>
      </c>
      <c r="X764">
        <v>7</v>
      </c>
      <c r="Y764" t="s">
        <v>5763</v>
      </c>
      <c r="Z764" t="s">
        <v>7421</v>
      </c>
      <c r="AA764">
        <v>0.9187989761938642</v>
      </c>
      <c r="AB764">
        <f>HYPERLINK("Melting_Curves/meltCurve_P0AF28_narL.pdf", "Melting_Curves/meltCurve_P0AF28_narL.pdf")</f>
        <v>0</v>
      </c>
    </row>
    <row r="765" spans="1:28">
      <c r="A765" t="s">
        <v>791</v>
      </c>
      <c r="B765">
        <v>0.999998419929286</v>
      </c>
      <c r="C765">
        <v>1.10018919914509</v>
      </c>
      <c r="D765">
        <v>0.384974116978087</v>
      </c>
      <c r="E765">
        <v>0.758498840711429</v>
      </c>
      <c r="F765">
        <v>0.914906239008824</v>
      </c>
      <c r="G765">
        <v>0.645476678166751</v>
      </c>
      <c r="H765">
        <v>0.721302222269152</v>
      </c>
      <c r="I765">
        <v>0.833655382662554</v>
      </c>
      <c r="J765">
        <v>0.8977532892507351</v>
      </c>
      <c r="K765">
        <v>0.744053225844353</v>
      </c>
      <c r="L765">
        <v>10323.5184103771</v>
      </c>
      <c r="M765">
        <v>250</v>
      </c>
      <c r="O765">
        <v>41.2914311097501</v>
      </c>
      <c r="P765">
        <v>-0.397207003505627</v>
      </c>
      <c r="Q765">
        <v>0.737580070458279</v>
      </c>
      <c r="R765">
        <v>0.418717298744808</v>
      </c>
      <c r="S765" t="s">
        <v>2449</v>
      </c>
      <c r="T765" t="s">
        <v>3344</v>
      </c>
      <c r="U765" t="s">
        <v>3344</v>
      </c>
      <c r="V765" t="s">
        <v>3344</v>
      </c>
      <c r="W765" t="s">
        <v>4107</v>
      </c>
      <c r="X765">
        <v>2</v>
      </c>
      <c r="Y765" t="s">
        <v>5764</v>
      </c>
      <c r="Z765" t="s">
        <v>7422</v>
      </c>
      <c r="AA765">
        <v>0.7751607715654375</v>
      </c>
      <c r="AB765">
        <f>HYPERLINK("Melting_Curves/meltCurve_P0AF36_zapB.pdf", "Melting_Curves/meltCurve_P0AF36_zapB.pdf")</f>
        <v>0</v>
      </c>
    </row>
    <row r="766" spans="1:28">
      <c r="A766" t="s">
        <v>792</v>
      </c>
      <c r="B766">
        <v>0.999998419929286</v>
      </c>
      <c r="C766">
        <v>0.910220781085101</v>
      </c>
      <c r="D766">
        <v>0.8893447012678311</v>
      </c>
      <c r="E766">
        <v>0.706857359378373</v>
      </c>
      <c r="F766">
        <v>0.466118700050818</v>
      </c>
      <c r="G766">
        <v>0.285671789205802</v>
      </c>
      <c r="H766">
        <v>0.192193073418196</v>
      </c>
      <c r="I766">
        <v>0.115789345123881</v>
      </c>
      <c r="J766">
        <v>0.07484700745253391</v>
      </c>
      <c r="K766">
        <v>0.0522319437854851</v>
      </c>
      <c r="L766">
        <v>604.176017292687</v>
      </c>
      <c r="M766">
        <v>12.1624506450888</v>
      </c>
      <c r="N766">
        <v>49.8221733071172</v>
      </c>
      <c r="O766">
        <v>48.3898384140392</v>
      </c>
      <c r="P766">
        <v>-0.0617448800519033</v>
      </c>
      <c r="Q766">
        <v>0.0175862006278092</v>
      </c>
      <c r="R766">
        <v>0.997665968518362</v>
      </c>
      <c r="S766" t="s">
        <v>2450</v>
      </c>
      <c r="T766" t="s">
        <v>3344</v>
      </c>
      <c r="U766" t="s">
        <v>3344</v>
      </c>
      <c r="V766" t="s">
        <v>3344</v>
      </c>
      <c r="W766" t="s">
        <v>4108</v>
      </c>
      <c r="X766">
        <v>2</v>
      </c>
      <c r="Y766" t="s">
        <v>5765</v>
      </c>
      <c r="Z766" t="s">
        <v>7423</v>
      </c>
      <c r="AA766">
        <v>0.4602840155963179</v>
      </c>
      <c r="AB766">
        <f>HYPERLINK("Melting_Curves/meltCurve_P0AF48_yjbQ.pdf", "Melting_Curves/meltCurve_P0AF48_yjbQ.pdf")</f>
        <v>0</v>
      </c>
    </row>
    <row r="767" spans="1:28">
      <c r="A767" t="s">
        <v>793</v>
      </c>
      <c r="B767">
        <v>0.999998419929286</v>
      </c>
      <c r="C767">
        <v>0.974064987374229</v>
      </c>
      <c r="D767">
        <v>0.84375924755664</v>
      </c>
      <c r="E767">
        <v>1.01709858256472</v>
      </c>
      <c r="F767">
        <v>1.13260701305257</v>
      </c>
      <c r="G767">
        <v>1.35381061558785</v>
      </c>
      <c r="H767">
        <v>1.29100721940534</v>
      </c>
      <c r="I767">
        <v>1.28823671841834</v>
      </c>
      <c r="J767">
        <v>1.13471492888999</v>
      </c>
      <c r="K767">
        <v>1.04612460131539</v>
      </c>
      <c r="L767">
        <v>12530.6391867855</v>
      </c>
      <c r="M767">
        <v>250</v>
      </c>
      <c r="O767">
        <v>50.1193503101724</v>
      </c>
      <c r="P767">
        <v>0.2778103900522</v>
      </c>
      <c r="Q767">
        <v>1.22277881510694</v>
      </c>
      <c r="R767">
        <v>0.621933507018522</v>
      </c>
      <c r="S767" t="s">
        <v>2451</v>
      </c>
      <c r="T767" t="s">
        <v>3344</v>
      </c>
      <c r="U767" t="s">
        <v>3344</v>
      </c>
      <c r="V767" t="s">
        <v>3344</v>
      </c>
      <c r="W767" t="s">
        <v>4109</v>
      </c>
      <c r="X767">
        <v>4</v>
      </c>
      <c r="Y767" t="s">
        <v>5766</v>
      </c>
      <c r="Z767" t="s">
        <v>7424</v>
      </c>
      <c r="AA767">
        <v>1.125311630412789</v>
      </c>
      <c r="AB767">
        <f>HYPERLINK("Melting_Curves/meltCurve_P0AF50_yjbR.pdf", "Melting_Curves/meltCurve_P0AF50_yjbR.pdf")</f>
        <v>0</v>
      </c>
    </row>
    <row r="768" spans="1:28">
      <c r="A768" t="s">
        <v>794</v>
      </c>
      <c r="B768">
        <v>0.999998419929286</v>
      </c>
      <c r="C768">
        <v>0.830931339520117</v>
      </c>
      <c r="D768">
        <v>0.846427323437879</v>
      </c>
      <c r="E768">
        <v>0.895721355143813</v>
      </c>
      <c r="F768">
        <v>0.8825240905431621</v>
      </c>
      <c r="G768">
        <v>0.94874430716777</v>
      </c>
      <c r="H768">
        <v>0.888870210631675</v>
      </c>
      <c r="I768">
        <v>0.678184103851427</v>
      </c>
      <c r="J768">
        <v>0.628312611559687</v>
      </c>
      <c r="K768">
        <v>0.650376221275154</v>
      </c>
      <c r="L768">
        <v>244.835613845773</v>
      </c>
      <c r="M768">
        <v>2.99439311135347</v>
      </c>
      <c r="O768">
        <v>60.1538827432243</v>
      </c>
      <c r="P768">
        <v>-0.0128312155227177</v>
      </c>
      <c r="Q768">
        <v>0</v>
      </c>
      <c r="R768">
        <v>0.598671918155661</v>
      </c>
      <c r="S768" t="s">
        <v>2452</v>
      </c>
      <c r="T768" t="s">
        <v>3344</v>
      </c>
      <c r="U768" t="s">
        <v>3344</v>
      </c>
      <c r="V768" t="s">
        <v>3344</v>
      </c>
      <c r="W768" t="s">
        <v>4110</v>
      </c>
      <c r="X768">
        <v>2</v>
      </c>
      <c r="Y768" t="s">
        <v>5767</v>
      </c>
      <c r="Z768" t="s">
        <v>7425</v>
      </c>
      <c r="AA768">
        <v>0.8368886662921649</v>
      </c>
      <c r="AB768">
        <f>HYPERLINK("Melting_Curves/meltCurve_P0AF54_yjcH.pdf", "Melting_Curves/meltCurve_P0AF54_yjcH.pdf")</f>
        <v>0</v>
      </c>
    </row>
    <row r="769" spans="1:28">
      <c r="A769" t="s">
        <v>795</v>
      </c>
      <c r="B769">
        <v>0.999998419929286</v>
      </c>
      <c r="C769">
        <v>0.802303310255845</v>
      </c>
      <c r="D769">
        <v>0.855606500094516</v>
      </c>
      <c r="E769">
        <v>0.911357328481697</v>
      </c>
      <c r="F769">
        <v>0.993067505019633</v>
      </c>
      <c r="G769">
        <v>0.940210056875683</v>
      </c>
      <c r="H769">
        <v>0.781419011850283</v>
      </c>
      <c r="I769">
        <v>0.627045668636749</v>
      </c>
      <c r="J769">
        <v>0.721714105308837</v>
      </c>
      <c r="K769">
        <v>0.733936949659924</v>
      </c>
      <c r="L769">
        <v>200.490947013921</v>
      </c>
      <c r="M769">
        <v>2.13823891595893</v>
      </c>
      <c r="O769">
        <v>57.9760219438675</v>
      </c>
      <c r="P769">
        <v>-0.0099243146179876</v>
      </c>
      <c r="Q769">
        <v>0</v>
      </c>
      <c r="R769">
        <v>0.465257332752848</v>
      </c>
      <c r="S769" t="s">
        <v>2453</v>
      </c>
      <c r="T769" t="s">
        <v>3344</v>
      </c>
      <c r="U769" t="s">
        <v>3344</v>
      </c>
      <c r="V769" t="s">
        <v>3344</v>
      </c>
      <c r="W769" t="s">
        <v>4111</v>
      </c>
      <c r="X769">
        <v>2</v>
      </c>
      <c r="Y769" t="s">
        <v>5768</v>
      </c>
      <c r="Z769" t="s">
        <v>7426</v>
      </c>
      <c r="AA769">
        <v>0.8428449065888233</v>
      </c>
      <c r="AB769">
        <f>HYPERLINK("Melting_Curves/meltCurve_P0AF59_yjdI.pdf", "Melting_Curves/meltCurve_P0AF59_yjdI.pdf")</f>
        <v>0</v>
      </c>
    </row>
    <row r="770" spans="1:28">
      <c r="A770" t="s">
        <v>796</v>
      </c>
      <c r="B770">
        <v>0.999998419929286</v>
      </c>
      <c r="C770">
        <v>0.819947299594741</v>
      </c>
      <c r="D770">
        <v>0.685332001649622</v>
      </c>
      <c r="E770">
        <v>0.510012325094537</v>
      </c>
      <c r="F770">
        <v>0.334088559528767</v>
      </c>
      <c r="G770">
        <v>0.21997272644617</v>
      </c>
      <c r="H770">
        <v>0.136032580862842</v>
      </c>
      <c r="I770">
        <v>0.07219659335488469</v>
      </c>
      <c r="J770">
        <v>0.079796217358377</v>
      </c>
      <c r="K770">
        <v>0.080605545439353</v>
      </c>
      <c r="L770">
        <v>491.174184588801</v>
      </c>
      <c r="M770">
        <v>10.6023750832065</v>
      </c>
      <c r="N770">
        <v>46.5918423400772</v>
      </c>
      <c r="O770">
        <v>44.769859161261</v>
      </c>
      <c r="P770">
        <v>-0.0574946308025312</v>
      </c>
      <c r="Q770">
        <v>0.0292641841256111</v>
      </c>
      <c r="R770">
        <v>0.99379466338161</v>
      </c>
      <c r="S770" t="s">
        <v>2454</v>
      </c>
      <c r="T770" t="s">
        <v>3344</v>
      </c>
      <c r="U770" t="s">
        <v>3344</v>
      </c>
      <c r="V770" t="s">
        <v>3344</v>
      </c>
      <c r="W770" t="s">
        <v>4112</v>
      </c>
      <c r="X770">
        <v>2</v>
      </c>
      <c r="Y770" t="s">
        <v>5769</v>
      </c>
      <c r="Z770" t="s">
        <v>7427</v>
      </c>
      <c r="AA770">
        <v>0.3712495008496068</v>
      </c>
      <c r="AB770">
        <f>HYPERLINK("Melting_Curves/meltCurve_P0AF63_nsrR.pdf", "Melting_Curves/meltCurve_P0AF63_nsrR.pdf")</f>
        <v>0</v>
      </c>
    </row>
    <row r="771" spans="1:28">
      <c r="A771" t="s">
        <v>797</v>
      </c>
      <c r="B771">
        <v>0.999998419929286</v>
      </c>
      <c r="C771">
        <v>0.773774794946109</v>
      </c>
      <c r="D771">
        <v>0.610368729205827</v>
      </c>
      <c r="E771">
        <v>0.518174724752904</v>
      </c>
      <c r="F771">
        <v>0.456931183436965</v>
      </c>
      <c r="G771">
        <v>0.475348566798338</v>
      </c>
      <c r="H771">
        <v>0.309826099410686</v>
      </c>
      <c r="I771">
        <v>0.257326670464346</v>
      </c>
      <c r="J771">
        <v>0.20857120323442</v>
      </c>
      <c r="K771">
        <v>0.163288079154126</v>
      </c>
      <c r="L771">
        <v>314.352113476689</v>
      </c>
      <c r="M771">
        <v>6.64501194851342</v>
      </c>
      <c r="N771">
        <v>48.6945813376283</v>
      </c>
      <c r="O771">
        <v>43.5731155978798</v>
      </c>
      <c r="P771">
        <v>-0.0349141592971497</v>
      </c>
      <c r="Q771">
        <v>0.08628252550237531</v>
      </c>
      <c r="R771">
        <v>0.940683680497941</v>
      </c>
      <c r="S771" t="s">
        <v>2455</v>
      </c>
      <c r="T771" t="s">
        <v>3344</v>
      </c>
      <c r="U771" t="s">
        <v>3344</v>
      </c>
      <c r="V771" t="s">
        <v>3344</v>
      </c>
      <c r="W771" t="s">
        <v>4113</v>
      </c>
      <c r="X771">
        <v>1</v>
      </c>
      <c r="Y771" t="s">
        <v>5770</v>
      </c>
      <c r="Z771" t="s">
        <v>7428</v>
      </c>
      <c r="AA771">
        <v>0.4617302524365449</v>
      </c>
      <c r="AB771">
        <f>HYPERLINK("Melting_Curves/meltCurve_P0AF67_tsaE.pdf", "Melting_Curves/meltCurve_P0AF67_tsaE.pdf")</f>
        <v>0</v>
      </c>
    </row>
    <row r="772" spans="1:28">
      <c r="A772" t="s">
        <v>798</v>
      </c>
      <c r="B772">
        <v>0.999998419929286</v>
      </c>
      <c r="C772">
        <v>0.402362188637654</v>
      </c>
      <c r="D772">
        <v>0.8715198343555109</v>
      </c>
      <c r="E772">
        <v>0.668549771127202</v>
      </c>
      <c r="F772">
        <v>0.814238914043129</v>
      </c>
      <c r="G772">
        <v>0.869885285385504</v>
      </c>
      <c r="H772">
        <v>0.568170272683028</v>
      </c>
      <c r="I772">
        <v>0.607856428995988</v>
      </c>
      <c r="J772">
        <v>0.276068289728569</v>
      </c>
      <c r="K772">
        <v>0.478913945144913</v>
      </c>
      <c r="L772">
        <v>150.996197190264</v>
      </c>
      <c r="M772">
        <v>2.29219024478448</v>
      </c>
      <c r="N772">
        <v>65.87421496116571</v>
      </c>
      <c r="O772">
        <v>42.3893630468371</v>
      </c>
      <c r="P772">
        <v>-0.0143856714176621</v>
      </c>
      <c r="Q772">
        <v>0</v>
      </c>
      <c r="R772">
        <v>0.287345794262734</v>
      </c>
      <c r="S772" t="s">
        <v>2456</v>
      </c>
      <c r="T772" t="s">
        <v>3344</v>
      </c>
      <c r="U772" t="s">
        <v>3344</v>
      </c>
      <c r="V772" t="s">
        <v>3344</v>
      </c>
      <c r="W772" t="s">
        <v>4114</v>
      </c>
      <c r="X772">
        <v>1</v>
      </c>
      <c r="Y772" t="s">
        <v>5771</v>
      </c>
      <c r="Z772" t="s">
        <v>7429</v>
      </c>
      <c r="AA772">
        <v>0.6575384404576011</v>
      </c>
      <c r="AB772">
        <f>HYPERLINK("Melting_Curves/meltCurve_P0AF70_yjeI.pdf", "Melting_Curves/meltCurve_P0AF70_yjeI.pdf")</f>
        <v>0</v>
      </c>
    </row>
    <row r="773" spans="1:28">
      <c r="A773" t="s">
        <v>799</v>
      </c>
      <c r="B773">
        <v>0.999998419929286</v>
      </c>
      <c r="C773">
        <v>1.16629579746582</v>
      </c>
      <c r="D773">
        <v>0.832911387802014</v>
      </c>
      <c r="E773">
        <v>1.04641712175527</v>
      </c>
      <c r="F773">
        <v>0.990921138852815</v>
      </c>
      <c r="G773">
        <v>1.27355971632196</v>
      </c>
      <c r="H773">
        <v>1.14451782723751</v>
      </c>
      <c r="I773">
        <v>1.4592023589008</v>
      </c>
      <c r="J773">
        <v>1.47133616999963</v>
      </c>
      <c r="K773">
        <v>1.52707196679736</v>
      </c>
      <c r="L773">
        <v>1038.80867136756</v>
      </c>
      <c r="M773">
        <v>18.4246434576737</v>
      </c>
      <c r="O773">
        <v>55.7298820132294</v>
      </c>
      <c r="P773">
        <v>0.0413276288750384</v>
      </c>
      <c r="Q773">
        <v>1.5</v>
      </c>
      <c r="R773">
        <v>0.790204953281534</v>
      </c>
      <c r="S773" t="s">
        <v>2457</v>
      </c>
      <c r="T773" t="s">
        <v>3344</v>
      </c>
      <c r="U773" t="s">
        <v>3344</v>
      </c>
      <c r="V773" t="s">
        <v>3344</v>
      </c>
      <c r="W773" t="s">
        <v>4115</v>
      </c>
      <c r="X773">
        <v>1</v>
      </c>
      <c r="Y773" t="s">
        <v>5772</v>
      </c>
      <c r="Z773" t="s">
        <v>7430</v>
      </c>
      <c r="AA773">
        <v>1.171867469723632</v>
      </c>
      <c r="AB773">
        <f>HYPERLINK("Melting_Curves/meltCurve_P0AF90_rraB.pdf", "Melting_Curves/meltCurve_P0AF90_rraB.pdf")</f>
        <v>0</v>
      </c>
    </row>
    <row r="774" spans="1:28">
      <c r="A774" t="s">
        <v>800</v>
      </c>
      <c r="B774">
        <v>0.999998419929286</v>
      </c>
      <c r="C774">
        <v>0.878171149684286</v>
      </c>
      <c r="D774">
        <v>0.839544402215559</v>
      </c>
      <c r="E774">
        <v>0.935336588245989</v>
      </c>
      <c r="F774">
        <v>0.982730242817444</v>
      </c>
      <c r="G774">
        <v>0.988631780740049</v>
      </c>
      <c r="H774">
        <v>1.01777614950355</v>
      </c>
      <c r="I774">
        <v>1.22245946362227</v>
      </c>
      <c r="J774">
        <v>1.21243750972477</v>
      </c>
      <c r="K774">
        <v>1.06394364821829</v>
      </c>
      <c r="L774">
        <v>14471.8403672162</v>
      </c>
      <c r="M774">
        <v>250</v>
      </c>
      <c r="O774">
        <v>57.8836739242812</v>
      </c>
      <c r="P774">
        <v>0.179541454808774</v>
      </c>
      <c r="Q774">
        <v>1.16628025600145</v>
      </c>
      <c r="R774">
        <v>0.571425408467516</v>
      </c>
      <c r="S774" t="s">
        <v>2458</v>
      </c>
      <c r="T774" t="s">
        <v>3344</v>
      </c>
      <c r="U774" t="s">
        <v>3344</v>
      </c>
      <c r="V774" t="s">
        <v>3344</v>
      </c>
      <c r="W774" t="s">
        <v>4116</v>
      </c>
      <c r="X774">
        <v>5</v>
      </c>
      <c r="Y774" t="s">
        <v>5773</v>
      </c>
      <c r="Z774" t="s">
        <v>7431</v>
      </c>
      <c r="AA774">
        <v>1.05049150294646</v>
      </c>
      <c r="AB774">
        <f>HYPERLINK("Melting_Curves/meltCurve_P0AF93_ridA.pdf", "Melting_Curves/meltCurve_P0AF93_ridA.pdf")</f>
        <v>0</v>
      </c>
    </row>
    <row r="775" spans="1:28">
      <c r="A775" t="s">
        <v>801</v>
      </c>
      <c r="B775">
        <v>0.999998419929286</v>
      </c>
      <c r="C775">
        <v>0.947918872558882</v>
      </c>
      <c r="D775">
        <v>0.892507284663962</v>
      </c>
      <c r="E775">
        <v>1.05286555429207</v>
      </c>
      <c r="F775">
        <v>1.05293948150553</v>
      </c>
      <c r="G775">
        <v>1.20966354656016</v>
      </c>
      <c r="H775">
        <v>1.16623471385731</v>
      </c>
      <c r="I775">
        <v>0.908148259816691</v>
      </c>
      <c r="J775">
        <v>0.558443738679163</v>
      </c>
      <c r="K775">
        <v>0.411736884366789</v>
      </c>
      <c r="L775">
        <v>3695.28745683128</v>
      </c>
      <c r="M775">
        <v>58.6959976073211</v>
      </c>
      <c r="N775">
        <v>64.7004861234262</v>
      </c>
      <c r="O775">
        <v>62.8834258048524</v>
      </c>
      <c r="P775">
        <v>-0.140654783962206</v>
      </c>
      <c r="Q775">
        <v>0.397243351823163</v>
      </c>
      <c r="R775">
        <v>0.839979723162535</v>
      </c>
      <c r="S775" t="s">
        <v>2459</v>
      </c>
      <c r="T775" t="s">
        <v>3344</v>
      </c>
      <c r="U775" t="s">
        <v>3344</v>
      </c>
      <c r="V775" t="s">
        <v>3344</v>
      </c>
      <c r="W775" t="s">
        <v>4117</v>
      </c>
      <c r="X775">
        <v>1</v>
      </c>
      <c r="Y775" t="s">
        <v>5774</v>
      </c>
      <c r="Z775" t="s">
        <v>7432</v>
      </c>
      <c r="AA775">
        <v>0.9192454690918659</v>
      </c>
      <c r="AB775">
        <f>HYPERLINK("Melting_Curves/meltCurve_P0AF96_tabA.pdf", "Melting_Curves/meltCurve_P0AF96_tabA.pdf")</f>
        <v>0</v>
      </c>
    </row>
    <row r="776" spans="1:28">
      <c r="A776" t="s">
        <v>802</v>
      </c>
      <c r="B776">
        <v>0.999998419929286</v>
      </c>
      <c r="C776">
        <v>0.77633784997938</v>
      </c>
      <c r="D776">
        <v>0.481703977252535</v>
      </c>
      <c r="E776">
        <v>0.426643512962447</v>
      </c>
      <c r="F776">
        <v>0.438489093430628</v>
      </c>
      <c r="G776">
        <v>0.511208641913468</v>
      </c>
      <c r="H776">
        <v>0.539159440680076</v>
      </c>
      <c r="I776">
        <v>0.374882772837037</v>
      </c>
      <c r="J776">
        <v>0.381524528625149</v>
      </c>
      <c r="K776">
        <v>0.293819638232266</v>
      </c>
      <c r="L776">
        <v>1542.37594436897</v>
      </c>
      <c r="M776">
        <v>38.1713711920197</v>
      </c>
      <c r="N776">
        <v>42.4994918776563</v>
      </c>
      <c r="O776">
        <v>40.2961942168245</v>
      </c>
      <c r="P776">
        <v>-0.136481824808968</v>
      </c>
      <c r="Q776">
        <v>0.423684902045738</v>
      </c>
      <c r="R776">
        <v>0.89487743998856</v>
      </c>
      <c r="S776" t="s">
        <v>2460</v>
      </c>
      <c r="T776" t="s">
        <v>3344</v>
      </c>
      <c r="U776" t="s">
        <v>3344</v>
      </c>
      <c r="V776" t="s">
        <v>3344</v>
      </c>
      <c r="W776" t="s">
        <v>4118</v>
      </c>
      <c r="X776">
        <v>1</v>
      </c>
      <c r="Y776" t="s">
        <v>5775</v>
      </c>
      <c r="Z776" t="s">
        <v>7433</v>
      </c>
      <c r="AA776">
        <v>0.4913748574582963</v>
      </c>
      <c r="AB776">
        <f>HYPERLINK("Melting_Curves/meltCurve_P0AF98_lptF.pdf", "Melting_Curves/meltCurve_P0AF98_lptF.pdf")</f>
        <v>0</v>
      </c>
    </row>
    <row r="777" spans="1:28">
      <c r="A777" t="s">
        <v>803</v>
      </c>
      <c r="B777">
        <v>0.999998419929286</v>
      </c>
      <c r="C777">
        <v>0.893399944605026</v>
      </c>
      <c r="D777">
        <v>0.702230485728298</v>
      </c>
      <c r="E777">
        <v>0.307645672189217</v>
      </c>
      <c r="F777">
        <v>0.117835649296409</v>
      </c>
      <c r="G777">
        <v>0.0898565017943266</v>
      </c>
      <c r="H777">
        <v>0.0471963341686236</v>
      </c>
      <c r="I777">
        <v>0.0363070070103312</v>
      </c>
      <c r="J777">
        <v>0.0508769729453661</v>
      </c>
      <c r="K777">
        <v>0.0253759859090172</v>
      </c>
      <c r="L777">
        <v>907.496719732281</v>
      </c>
      <c r="M777">
        <v>20.3783653143208</v>
      </c>
      <c r="N777">
        <v>44.7096526378074</v>
      </c>
      <c r="O777">
        <v>44.110159891964</v>
      </c>
      <c r="P777">
        <v>-0.111017422743037</v>
      </c>
      <c r="Q777">
        <v>0.0388138421560176</v>
      </c>
      <c r="R777">
        <v>0.998453823873116</v>
      </c>
      <c r="S777" t="s">
        <v>2461</v>
      </c>
      <c r="T777" t="s">
        <v>3344</v>
      </c>
      <c r="U777" t="s">
        <v>3344</v>
      </c>
      <c r="V777" t="s">
        <v>3344</v>
      </c>
      <c r="W777" t="s">
        <v>4119</v>
      </c>
      <c r="X777">
        <v>1</v>
      </c>
      <c r="Y777" t="s">
        <v>5776</v>
      </c>
      <c r="Z777" t="s">
        <v>7434</v>
      </c>
      <c r="AA777">
        <v>0.2923573691083277</v>
      </c>
      <c r="AB777">
        <f>HYPERLINK("Melting_Curves/meltCurve_P0AFA7_nhaB.pdf", "Melting_Curves/meltCurve_P0AFA7_nhaB.pdf")</f>
        <v>0</v>
      </c>
    </row>
    <row r="778" spans="1:28">
      <c r="A778" t="s">
        <v>804</v>
      </c>
      <c r="B778">
        <v>0.999998419929286</v>
      </c>
      <c r="C778">
        <v>1.01022997196025</v>
      </c>
      <c r="D778">
        <v>0.65855580295651</v>
      </c>
      <c r="E778">
        <v>0.780054721995545</v>
      </c>
      <c r="F778">
        <v>0.771671191662606</v>
      </c>
      <c r="G778">
        <v>0.82725328043557</v>
      </c>
      <c r="H778">
        <v>0.744280254230868</v>
      </c>
      <c r="I778">
        <v>0.6943596763002881</v>
      </c>
      <c r="J778">
        <v>0.594574224127013</v>
      </c>
      <c r="K778">
        <v>0.518309349678006</v>
      </c>
      <c r="L778">
        <v>187.634373566385</v>
      </c>
      <c r="M778">
        <v>2.46182670299184</v>
      </c>
      <c r="O778">
        <v>50.9877643586602</v>
      </c>
      <c r="P778">
        <v>-0.0127139787602563</v>
      </c>
      <c r="Q778">
        <v>0</v>
      </c>
      <c r="R778">
        <v>0.641796344087639</v>
      </c>
      <c r="S778" t="s">
        <v>2462</v>
      </c>
      <c r="T778" t="s">
        <v>3344</v>
      </c>
      <c r="U778" t="s">
        <v>3344</v>
      </c>
      <c r="V778" t="s">
        <v>3344</v>
      </c>
      <c r="W778" t="s">
        <v>4120</v>
      </c>
      <c r="X778">
        <v>1</v>
      </c>
      <c r="Y778" t="s">
        <v>5777</v>
      </c>
      <c r="Z778" t="s">
        <v>7435</v>
      </c>
      <c r="AA778">
        <v>0.7590724044562986</v>
      </c>
      <c r="AB778">
        <f>HYPERLINK("Melting_Curves/meltCurve_P0AFB5_glnL.pdf", "Melting_Curves/meltCurve_P0AFB5_glnL.pdf")</f>
        <v>0</v>
      </c>
    </row>
    <row r="779" spans="1:28">
      <c r="A779" t="s">
        <v>805</v>
      </c>
      <c r="B779">
        <v>0.999998419929286</v>
      </c>
      <c r="C779">
        <v>0.730356765823567</v>
      </c>
      <c r="D779">
        <v>0.5347616141735561</v>
      </c>
      <c r="E779">
        <v>0.416312975219194</v>
      </c>
      <c r="F779">
        <v>0.198269152396791</v>
      </c>
      <c r="G779">
        <v>0.139763735379868</v>
      </c>
      <c r="H779">
        <v>0.105389314287473</v>
      </c>
      <c r="I779">
        <v>0.0812318551097885</v>
      </c>
      <c r="J779">
        <v>0.080219495338705</v>
      </c>
      <c r="K779">
        <v>0.0527729821264645</v>
      </c>
      <c r="L779">
        <v>536.345401655725</v>
      </c>
      <c r="M779">
        <v>12.2649831139136</v>
      </c>
      <c r="N779">
        <v>44.140998948292</v>
      </c>
      <c r="O779">
        <v>42.6160524482889</v>
      </c>
      <c r="P779">
        <v>-0.068081424836218</v>
      </c>
      <c r="Q779">
        <v>0.053983510418167</v>
      </c>
      <c r="R779">
        <v>0.982895440815116</v>
      </c>
      <c r="S779" t="s">
        <v>2463</v>
      </c>
      <c r="T779" t="s">
        <v>3344</v>
      </c>
      <c r="U779" t="s">
        <v>3344</v>
      </c>
      <c r="V779" t="s">
        <v>3344</v>
      </c>
      <c r="W779" t="s">
        <v>4121</v>
      </c>
      <c r="X779">
        <v>2</v>
      </c>
      <c r="Y779" t="s">
        <v>5778</v>
      </c>
      <c r="Z779" t="s">
        <v>7436</v>
      </c>
      <c r="AA779">
        <v>0.3019265596346448</v>
      </c>
      <c r="AB779">
        <f>HYPERLINK("Melting_Curves/meltCurve_P0AFC3_nuoA.pdf", "Melting_Curves/meltCurve_P0AFC3_nuoA.pdf")</f>
        <v>0</v>
      </c>
    </row>
    <row r="780" spans="1:28">
      <c r="A780" t="s">
        <v>806</v>
      </c>
      <c r="B780">
        <v>0.999998419929286</v>
      </c>
      <c r="C780">
        <v>0.783161707203303</v>
      </c>
      <c r="D780">
        <v>0.5577629776062361</v>
      </c>
      <c r="E780">
        <v>0.365510643357336</v>
      </c>
      <c r="F780">
        <v>0.251704927805171</v>
      </c>
      <c r="G780">
        <v>0.190342018570514</v>
      </c>
      <c r="H780">
        <v>0.123385827504422</v>
      </c>
      <c r="I780">
        <v>0.0897441495115683</v>
      </c>
      <c r="J780">
        <v>0.0817835200059351</v>
      </c>
      <c r="K780">
        <v>0.0725048507304753</v>
      </c>
      <c r="L780">
        <v>569.908022195536</v>
      </c>
      <c r="M780">
        <v>13.0219327976596</v>
      </c>
      <c r="N780">
        <v>44.3627606298457</v>
      </c>
      <c r="O780">
        <v>42.7716914269611</v>
      </c>
      <c r="P780">
        <v>-0.0700031185477446</v>
      </c>
      <c r="Q780">
        <v>0.0804354898927554</v>
      </c>
      <c r="R780">
        <v>0.9894464872619489</v>
      </c>
      <c r="S780" t="s">
        <v>2464</v>
      </c>
      <c r="T780" t="s">
        <v>3344</v>
      </c>
      <c r="U780" t="s">
        <v>3344</v>
      </c>
      <c r="V780" t="s">
        <v>3344</v>
      </c>
      <c r="W780" t="s">
        <v>4122</v>
      </c>
      <c r="X780">
        <v>5</v>
      </c>
      <c r="Y780" t="s">
        <v>5779</v>
      </c>
      <c r="Z780" t="s">
        <v>7437</v>
      </c>
      <c r="AA780">
        <v>0.3186477946978782</v>
      </c>
      <c r="AB780">
        <f>HYPERLINK("Melting_Curves/meltCurve_P0AFC7_nuoB.pdf", "Melting_Curves/meltCurve_P0AFC7_nuoB.pdf")</f>
        <v>0</v>
      </c>
    </row>
    <row r="781" spans="1:28">
      <c r="A781" t="s">
        <v>807</v>
      </c>
      <c r="B781">
        <v>0.999998419929286</v>
      </c>
      <c r="C781">
        <v>1.09803552999639</v>
      </c>
      <c r="D781">
        <v>0.965794365258405</v>
      </c>
      <c r="E781">
        <v>1.30026302625416</v>
      </c>
      <c r="F781">
        <v>1.38756251148494</v>
      </c>
      <c r="G781">
        <v>1.75108571147273</v>
      </c>
      <c r="H781">
        <v>1.76754900071198</v>
      </c>
      <c r="I781">
        <v>1.82864787859836</v>
      </c>
      <c r="J781">
        <v>2.00360046095445</v>
      </c>
      <c r="K781">
        <v>1.77374440388439</v>
      </c>
      <c r="L781">
        <v>2008.35642531269</v>
      </c>
      <c r="M781">
        <v>43.3699608285048</v>
      </c>
      <c r="O781">
        <v>46.2094274780425</v>
      </c>
      <c r="P781">
        <v>0.117319232422254</v>
      </c>
      <c r="Q781">
        <v>1.5</v>
      </c>
      <c r="R781">
        <v>0.550128494383428</v>
      </c>
      <c r="S781" t="s">
        <v>2465</v>
      </c>
      <c r="T781" t="s">
        <v>3344</v>
      </c>
      <c r="U781" t="s">
        <v>3344</v>
      </c>
      <c r="V781" t="s">
        <v>3344</v>
      </c>
      <c r="W781" t="s">
        <v>4123</v>
      </c>
      <c r="X781">
        <v>3</v>
      </c>
      <c r="Y781" t="s">
        <v>5780</v>
      </c>
      <c r="Z781" t="s">
        <v>7438</v>
      </c>
      <c r="AA781">
        <v>1.343514121688321</v>
      </c>
      <c r="AB781">
        <f>HYPERLINK("Melting_Curves/meltCurve_P0AFD1_nuoE.pdf", "Melting_Curves/meltCurve_P0AFD1_nuoE.pdf")</f>
        <v>0</v>
      </c>
    </row>
    <row r="782" spans="1:28">
      <c r="A782" t="s">
        <v>808</v>
      </c>
      <c r="B782">
        <v>0.999998419929286</v>
      </c>
      <c r="C782">
        <v>0.953130129857711</v>
      </c>
      <c r="D782">
        <v>0.580572028816232</v>
      </c>
      <c r="E782">
        <v>0.35586420136082</v>
      </c>
      <c r="F782">
        <v>0.182150369208726</v>
      </c>
      <c r="G782">
        <v>0.136365664992381</v>
      </c>
      <c r="H782">
        <v>0.0783657840608913</v>
      </c>
      <c r="I782">
        <v>0.058698627476212</v>
      </c>
      <c r="J782">
        <v>0.06600226794839351</v>
      </c>
      <c r="K782">
        <v>0.0466016202380364</v>
      </c>
      <c r="L782">
        <v>789.43771073082</v>
      </c>
      <c r="M782">
        <v>17.8577501536439</v>
      </c>
      <c r="N782">
        <v>44.5662432107701</v>
      </c>
      <c r="O782">
        <v>43.6638330628721</v>
      </c>
      <c r="P782">
        <v>-0.0953969832904087</v>
      </c>
      <c r="Q782">
        <v>0.0670300848326761</v>
      </c>
      <c r="R782">
        <v>0.98952105553256</v>
      </c>
      <c r="S782" t="s">
        <v>2466</v>
      </c>
      <c r="T782" t="s">
        <v>3344</v>
      </c>
      <c r="U782" t="s">
        <v>3344</v>
      </c>
      <c r="V782" t="s">
        <v>3344</v>
      </c>
      <c r="W782" t="s">
        <v>4124</v>
      </c>
      <c r="X782">
        <v>2</v>
      </c>
      <c r="Y782" t="s">
        <v>5781</v>
      </c>
      <c r="Z782" t="s">
        <v>7439</v>
      </c>
      <c r="AA782">
        <v>0.3070325160503825</v>
      </c>
      <c r="AB782">
        <f>HYPERLINK("Melting_Curves/meltCurve_P0AFD4_nuoH.pdf", "Melting_Curves/meltCurve_P0AFD4_nuoH.pdf")</f>
        <v>0</v>
      </c>
    </row>
    <row r="783" spans="1:28">
      <c r="A783" t="s">
        <v>809</v>
      </c>
      <c r="B783">
        <v>0.999998419929286</v>
      </c>
      <c r="C783">
        <v>0.660467781843469</v>
      </c>
      <c r="D783">
        <v>0.47336100033012</v>
      </c>
      <c r="E783">
        <v>0.322605171046184</v>
      </c>
      <c r="F783">
        <v>0.22253455304672</v>
      </c>
      <c r="G783">
        <v>0.12398634022032</v>
      </c>
      <c r="H783">
        <v>0.07382211182735141</v>
      </c>
      <c r="I783">
        <v>0.055918856730896</v>
      </c>
      <c r="J783">
        <v>0.0389542452983801</v>
      </c>
      <c r="K783">
        <v>0.0537384349393364</v>
      </c>
      <c r="L783">
        <v>536.473588858407</v>
      </c>
      <c r="M783">
        <v>12.5330293931778</v>
      </c>
      <c r="N783">
        <v>43.134747131103</v>
      </c>
      <c r="O783">
        <v>41.7588610518047</v>
      </c>
      <c r="P783">
        <v>-0.07161699025471641</v>
      </c>
      <c r="Q783">
        <v>0.0457103785928412</v>
      </c>
      <c r="R783">
        <v>0.975232925285769</v>
      </c>
      <c r="S783" t="s">
        <v>2467</v>
      </c>
      <c r="T783" t="s">
        <v>3344</v>
      </c>
      <c r="U783" t="s">
        <v>3344</v>
      </c>
      <c r="V783" t="s">
        <v>3344</v>
      </c>
      <c r="W783" t="s">
        <v>4125</v>
      </c>
      <c r="X783">
        <v>1</v>
      </c>
      <c r="Y783" t="s">
        <v>5782</v>
      </c>
      <c r="Z783" t="s">
        <v>7440</v>
      </c>
      <c r="AA783">
        <v>0.2673963202887482</v>
      </c>
      <c r="AB783">
        <f>HYPERLINK("Melting_Curves/meltCurve_P0AFD6_nuoI.pdf", "Melting_Curves/meltCurve_P0AFD6_nuoI.pdf")</f>
        <v>0</v>
      </c>
    </row>
    <row r="784" spans="1:28">
      <c r="A784" t="s">
        <v>810</v>
      </c>
      <c r="B784">
        <v>0.999998419929286</v>
      </c>
      <c r="C784">
        <v>1.09628880250715</v>
      </c>
      <c r="D784">
        <v>1.24142131433788</v>
      </c>
      <c r="E784">
        <v>1.59536422989884</v>
      </c>
      <c r="F784">
        <v>1.99866928315867</v>
      </c>
      <c r="G784">
        <v>2.52615060963263</v>
      </c>
      <c r="H784">
        <v>2.60565356435524</v>
      </c>
      <c r="I784">
        <v>2.13238751079051</v>
      </c>
      <c r="J784">
        <v>2.38320030363549</v>
      </c>
      <c r="K784">
        <v>2.79361038975286</v>
      </c>
      <c r="S784" t="s">
        <v>2468</v>
      </c>
      <c r="T784" t="s">
        <v>3344</v>
      </c>
      <c r="U784" t="s">
        <v>3345</v>
      </c>
      <c r="V784" t="s">
        <v>3344</v>
      </c>
      <c r="W784" t="s">
        <v>4126</v>
      </c>
      <c r="X784">
        <v>1</v>
      </c>
      <c r="Y784" t="s">
        <v>5783</v>
      </c>
      <c r="Z784" t="s">
        <v>7441</v>
      </c>
      <c r="AB784">
        <f>HYPERLINK("Melting_Curves/meltCurve_P0AFE0_nuoJ.pdf", "Melting_Curves/meltCurve_P0AFE0_nuoJ.pdf")</f>
        <v>0</v>
      </c>
    </row>
    <row r="785" spans="1:28">
      <c r="A785" t="s">
        <v>811</v>
      </c>
      <c r="B785">
        <v>0.999998419929286</v>
      </c>
      <c r="C785">
        <v>1.00219804604947</v>
      </c>
      <c r="D785">
        <v>0.509024175679052</v>
      </c>
      <c r="E785">
        <v>0.616283719089321</v>
      </c>
      <c r="F785">
        <v>0.334372059303958</v>
      </c>
      <c r="G785">
        <v>0.266756320049688</v>
      </c>
      <c r="H785">
        <v>0.142694924330114</v>
      </c>
      <c r="I785">
        <v>0.08792472059354769</v>
      </c>
      <c r="J785">
        <v>0.0580227060238553</v>
      </c>
      <c r="K785">
        <v>0.0714654320666466</v>
      </c>
      <c r="L785">
        <v>482.521886514716</v>
      </c>
      <c r="M785">
        <v>10.2855038200006</v>
      </c>
      <c r="N785">
        <v>47.0893056612151</v>
      </c>
      <c r="O785">
        <v>45.2432767193198</v>
      </c>
      <c r="P785">
        <v>-0.0557841174470591</v>
      </c>
      <c r="Q785">
        <v>0.0189087526761121</v>
      </c>
      <c r="R785">
        <v>0.932921228696348</v>
      </c>
      <c r="S785" t="s">
        <v>2469</v>
      </c>
      <c r="T785" t="s">
        <v>3344</v>
      </c>
      <c r="U785" t="s">
        <v>3344</v>
      </c>
      <c r="V785" t="s">
        <v>3344</v>
      </c>
      <c r="W785" t="s">
        <v>4127</v>
      </c>
      <c r="X785">
        <v>2</v>
      </c>
      <c r="Y785" t="s">
        <v>5784</v>
      </c>
      <c r="Z785" t="s">
        <v>7442</v>
      </c>
      <c r="AA785">
        <v>0.3840123790019193</v>
      </c>
      <c r="AB785">
        <f>HYPERLINK("Melting_Curves/meltCurve_P0AFE4_nuoK.pdf", "Melting_Curves/meltCurve_P0AFE4_nuoK.pdf")</f>
        <v>0</v>
      </c>
    </row>
    <row r="786" spans="1:28">
      <c r="A786" t="s">
        <v>812</v>
      </c>
      <c r="B786">
        <v>0.999998419929286</v>
      </c>
      <c r="C786">
        <v>1.06287163430464</v>
      </c>
      <c r="D786">
        <v>0.601801692110397</v>
      </c>
      <c r="E786">
        <v>0.282540781425623</v>
      </c>
      <c r="F786">
        <v>0.172323877089438</v>
      </c>
      <c r="G786">
        <v>0.184295633444272</v>
      </c>
      <c r="H786">
        <v>0.156481970623589</v>
      </c>
      <c r="I786">
        <v>0.108151567123359</v>
      </c>
      <c r="J786">
        <v>0.10763945824109</v>
      </c>
      <c r="K786">
        <v>0.105610253705012</v>
      </c>
      <c r="L786">
        <v>1405.64520545466</v>
      </c>
      <c r="M786">
        <v>32.3411035074774</v>
      </c>
      <c r="N786">
        <v>43.9192965922632</v>
      </c>
      <c r="O786">
        <v>43.2979586927393</v>
      </c>
      <c r="P786">
        <v>-0.160097014941236</v>
      </c>
      <c r="Q786">
        <v>0.142658840852104</v>
      </c>
      <c r="R786">
        <v>0.982387005578529</v>
      </c>
      <c r="S786" t="s">
        <v>2470</v>
      </c>
      <c r="T786" t="s">
        <v>3344</v>
      </c>
      <c r="U786" t="s">
        <v>3344</v>
      </c>
      <c r="V786" t="s">
        <v>3344</v>
      </c>
      <c r="W786" t="s">
        <v>4128</v>
      </c>
      <c r="X786">
        <v>1</v>
      </c>
      <c r="Y786" t="s">
        <v>5785</v>
      </c>
      <c r="Z786" t="s">
        <v>7443</v>
      </c>
      <c r="AA786">
        <v>0.3314139682003379</v>
      </c>
      <c r="AB786">
        <f>HYPERLINK("Melting_Curves/meltCurve_P0AFE8_nuoM.pdf", "Melting_Curves/meltCurve_P0AFE8_nuoM.pdf")</f>
        <v>0</v>
      </c>
    </row>
    <row r="787" spans="1:28">
      <c r="A787" t="s">
        <v>813</v>
      </c>
      <c r="B787">
        <v>0.999998419929286</v>
      </c>
      <c r="C787">
        <v>1.06880729270428</v>
      </c>
      <c r="D787">
        <v>1.13486402660491</v>
      </c>
      <c r="E787">
        <v>1.00598450749756</v>
      </c>
      <c r="F787">
        <v>0.694268883396829</v>
      </c>
      <c r="G787">
        <v>0.5079362784625741</v>
      </c>
      <c r="H787">
        <v>0.21286575413298</v>
      </c>
      <c r="I787">
        <v>0.0987737864144948</v>
      </c>
      <c r="J787">
        <v>0.112205700125732</v>
      </c>
      <c r="K787">
        <v>0.0821618626692706</v>
      </c>
      <c r="L787">
        <v>1092.99498195568</v>
      </c>
      <c r="M787">
        <v>20.6519468079585</v>
      </c>
      <c r="N787">
        <v>53.3077132745682</v>
      </c>
      <c r="O787">
        <v>52.4358137481201</v>
      </c>
      <c r="P787">
        <v>-0.0916742976394022</v>
      </c>
      <c r="Q787">
        <v>0.06897329658392851</v>
      </c>
      <c r="R787">
        <v>0.978081883350238</v>
      </c>
      <c r="S787" t="s">
        <v>2471</v>
      </c>
      <c r="T787" t="s">
        <v>3344</v>
      </c>
      <c r="U787" t="s">
        <v>3344</v>
      </c>
      <c r="V787" t="s">
        <v>3344</v>
      </c>
      <c r="W787" t="s">
        <v>4129</v>
      </c>
      <c r="X787">
        <v>1</v>
      </c>
      <c r="Y787" t="s">
        <v>5786</v>
      </c>
      <c r="Z787" t="s">
        <v>7444</v>
      </c>
      <c r="AA787">
        <v>0.5743914685110665</v>
      </c>
      <c r="AB787">
        <f>HYPERLINK("Melting_Curves/meltCurve_P0AFF0_nuoN.pdf", "Melting_Curves/meltCurve_P0AFF0_nuoN.pdf")</f>
        <v>0</v>
      </c>
    </row>
    <row r="788" spans="1:28">
      <c r="A788" t="s">
        <v>814</v>
      </c>
      <c r="B788">
        <v>0.999998419929286</v>
      </c>
      <c r="C788">
        <v>1.08387210470977</v>
      </c>
      <c r="D788">
        <v>0.62760897231671</v>
      </c>
      <c r="E788">
        <v>0.321705384761138</v>
      </c>
      <c r="F788">
        <v>0.168015249890431</v>
      </c>
      <c r="G788">
        <v>0.17301618217955</v>
      </c>
      <c r="H788">
        <v>0.128640890792532</v>
      </c>
      <c r="I788">
        <v>0.07866353629575409</v>
      </c>
      <c r="J788">
        <v>0.0701467802864927</v>
      </c>
      <c r="K788">
        <v>0.0702800568213198</v>
      </c>
      <c r="L788">
        <v>1130.43357915556</v>
      </c>
      <c r="M788">
        <v>25.634584901666</v>
      </c>
      <c r="N788">
        <v>44.5220522931344</v>
      </c>
      <c r="O788">
        <v>43.8322512861952</v>
      </c>
      <c r="P788">
        <v>-0.130372748157631</v>
      </c>
      <c r="Q788">
        <v>0.108320025937486</v>
      </c>
      <c r="R788">
        <v>0.975918927174694</v>
      </c>
      <c r="S788" t="s">
        <v>2472</v>
      </c>
      <c r="T788" t="s">
        <v>3344</v>
      </c>
      <c r="U788" t="s">
        <v>3344</v>
      </c>
      <c r="V788" t="s">
        <v>3344</v>
      </c>
      <c r="W788" t="s">
        <v>4130</v>
      </c>
      <c r="X788">
        <v>3</v>
      </c>
      <c r="Y788" t="s">
        <v>5787</v>
      </c>
      <c r="Z788" t="s">
        <v>7445</v>
      </c>
      <c r="AA788">
        <v>0.3262237400755975</v>
      </c>
      <c r="AB788">
        <f>HYPERLINK("Melting_Curves/meltCurve_P0AFF2_nupC.pdf", "Melting_Curves/meltCurve_P0AFF2_nupC.pdf")</f>
        <v>0</v>
      </c>
    </row>
    <row r="789" spans="1:28">
      <c r="A789" t="s">
        <v>815</v>
      </c>
      <c r="B789">
        <v>0.999998419929286</v>
      </c>
      <c r="C789">
        <v>1.35062245943958</v>
      </c>
      <c r="D789">
        <v>1.36900878402668</v>
      </c>
      <c r="E789">
        <v>1.57543739608603</v>
      </c>
      <c r="F789">
        <v>1.31386005637538</v>
      </c>
      <c r="G789">
        <v>1.59212255848502</v>
      </c>
      <c r="H789">
        <v>1.52274287915667</v>
      </c>
      <c r="I789">
        <v>0.992704071307089</v>
      </c>
      <c r="J789">
        <v>1.36756374607132</v>
      </c>
      <c r="K789">
        <v>1.4020033555762</v>
      </c>
      <c r="L789">
        <v>4402.24191454361</v>
      </c>
      <c r="M789">
        <v>112.469911143278</v>
      </c>
      <c r="O789">
        <v>39.1291450788582</v>
      </c>
      <c r="P789">
        <v>0.281636962829143</v>
      </c>
      <c r="Q789">
        <v>1.39193454907004</v>
      </c>
      <c r="R789">
        <v>0.346472667007506</v>
      </c>
      <c r="S789" t="s">
        <v>2473</v>
      </c>
      <c r="T789" t="s">
        <v>3344</v>
      </c>
      <c r="U789" t="s">
        <v>3344</v>
      </c>
      <c r="V789" t="s">
        <v>3344</v>
      </c>
      <c r="W789" t="s">
        <v>4131</v>
      </c>
      <c r="X789">
        <v>14</v>
      </c>
      <c r="Y789" t="s">
        <v>5788</v>
      </c>
      <c r="Z789" t="s">
        <v>7446</v>
      </c>
      <c r="AA789">
        <v>1.363817764591978</v>
      </c>
      <c r="AB789">
        <f>HYPERLINK("Melting_Curves/meltCurve_P0AFF6_nusA.pdf", "Melting_Curves/meltCurve_P0AFF6_nusA.pdf")</f>
        <v>0</v>
      </c>
    </row>
    <row r="790" spans="1:28">
      <c r="A790" t="s">
        <v>816</v>
      </c>
      <c r="B790">
        <v>0.999998419929286</v>
      </c>
      <c r="C790">
        <v>0.991302239037225</v>
      </c>
      <c r="D790">
        <v>0.837311059492393</v>
      </c>
      <c r="E790">
        <v>0.998037773262715</v>
      </c>
      <c r="F790">
        <v>0.829727378294032</v>
      </c>
      <c r="G790">
        <v>0.665641962875462</v>
      </c>
      <c r="H790">
        <v>0.318201981505333</v>
      </c>
      <c r="I790">
        <v>0.184223426877717</v>
      </c>
      <c r="J790">
        <v>0.174455122121622</v>
      </c>
      <c r="K790">
        <v>0.140710419725469</v>
      </c>
      <c r="L790">
        <v>1117.41862509379</v>
      </c>
      <c r="M790">
        <v>20.4952164773842</v>
      </c>
      <c r="N790">
        <v>55.2240106892623</v>
      </c>
      <c r="O790">
        <v>54.0098789133827</v>
      </c>
      <c r="P790">
        <v>-0.0839765947319587</v>
      </c>
      <c r="Q790">
        <v>0.114831492752329</v>
      </c>
      <c r="R790">
        <v>0.974183723077064</v>
      </c>
      <c r="S790" t="s">
        <v>2474</v>
      </c>
      <c r="T790" t="s">
        <v>3344</v>
      </c>
      <c r="U790" t="s">
        <v>3344</v>
      </c>
      <c r="V790" t="s">
        <v>3344</v>
      </c>
      <c r="W790" t="s">
        <v>4132</v>
      </c>
      <c r="X790">
        <v>4</v>
      </c>
      <c r="Y790" t="s">
        <v>5789</v>
      </c>
      <c r="Z790" t="s">
        <v>7447</v>
      </c>
      <c r="AA790">
        <v>0.6418848279754823</v>
      </c>
      <c r="AB790">
        <f>HYPERLINK("Melting_Curves/meltCurve_P0AFG0_nusG.pdf", "Melting_Curves/meltCurve_P0AFG0_nusG.pdf")</f>
        <v>0</v>
      </c>
    </row>
    <row r="791" spans="1:28">
      <c r="A791" t="s">
        <v>817</v>
      </c>
      <c r="B791">
        <v>0.999998419929286</v>
      </c>
      <c r="C791">
        <v>0.65258637482904</v>
      </c>
      <c r="D791">
        <v>0.0935840043878137</v>
      </c>
      <c r="E791">
        <v>0.0506352287593748</v>
      </c>
      <c r="F791">
        <v>0.0430701567545094</v>
      </c>
      <c r="G791">
        <v>0.0423103376402261</v>
      </c>
      <c r="H791">
        <v>0.0246253594335344</v>
      </c>
      <c r="I791">
        <v>0.0205431838530201</v>
      </c>
      <c r="J791">
        <v>0.019914010193414</v>
      </c>
      <c r="K791">
        <v>0.0180081282052916</v>
      </c>
      <c r="L791">
        <v>1831.34877291823</v>
      </c>
      <c r="M791">
        <v>45.3091853154788</v>
      </c>
      <c r="N791">
        <v>40.4765048236586</v>
      </c>
      <c r="O791">
        <v>40.3404394707748</v>
      </c>
      <c r="P791">
        <v>-0.272029958635736</v>
      </c>
      <c r="Q791">
        <v>0.0312081987527793</v>
      </c>
      <c r="R791">
        <v>0.998836008952953</v>
      </c>
      <c r="S791" t="s">
        <v>2475</v>
      </c>
      <c r="T791" t="s">
        <v>3344</v>
      </c>
      <c r="U791" t="s">
        <v>3344</v>
      </c>
      <c r="V791" t="s">
        <v>3344</v>
      </c>
      <c r="W791" t="s">
        <v>4133</v>
      </c>
      <c r="X791">
        <v>16</v>
      </c>
      <c r="Y791" t="s">
        <v>5790</v>
      </c>
      <c r="Z791" t="s">
        <v>7448</v>
      </c>
      <c r="AA791">
        <v>0.1440720369853138</v>
      </c>
      <c r="AB791">
        <f>HYPERLINK("Melting_Curves/meltCurve_P0AFG3_sucA.pdf", "Melting_Curves/meltCurve_P0AFG3_sucA.pdf")</f>
        <v>0</v>
      </c>
    </row>
    <row r="792" spans="1:28">
      <c r="A792" t="s">
        <v>818</v>
      </c>
      <c r="B792">
        <v>0.999998419929286</v>
      </c>
      <c r="C792">
        <v>1.81198257200552</v>
      </c>
      <c r="D792">
        <v>1.67803392031439</v>
      </c>
      <c r="E792">
        <v>1.72340579790758</v>
      </c>
      <c r="F792">
        <v>1.88637066266013</v>
      </c>
      <c r="G792">
        <v>1.34850551641184</v>
      </c>
      <c r="H792">
        <v>0.839957855345042</v>
      </c>
      <c r="I792">
        <v>0.566021100550008</v>
      </c>
      <c r="J792">
        <v>0.277228080584201</v>
      </c>
      <c r="K792">
        <v>0.207127075030886</v>
      </c>
      <c r="L792">
        <v>2327.08121402921</v>
      </c>
      <c r="M792">
        <v>38.3798125860422</v>
      </c>
      <c r="N792">
        <v>61.3947325122479</v>
      </c>
      <c r="O792">
        <v>60.4690399671275</v>
      </c>
      <c r="P792">
        <v>-0.128617085303093</v>
      </c>
      <c r="Q792">
        <v>0.189435057394201</v>
      </c>
      <c r="R792">
        <v>0.314518630530109</v>
      </c>
      <c r="S792" t="s">
        <v>2476</v>
      </c>
      <c r="T792" t="s">
        <v>3344</v>
      </c>
      <c r="U792" t="s">
        <v>3344</v>
      </c>
      <c r="V792" t="s">
        <v>3344</v>
      </c>
      <c r="W792" t="s">
        <v>4134</v>
      </c>
      <c r="X792">
        <v>16</v>
      </c>
      <c r="Y792" t="s">
        <v>5791</v>
      </c>
      <c r="Z792" t="s">
        <v>7449</v>
      </c>
      <c r="AA792">
        <v>0.8302373344835593</v>
      </c>
      <c r="AB792">
        <f>HYPERLINK("Melting_Curves/meltCurve_P0AFG6_sucB.pdf", "Melting_Curves/meltCurve_P0AFG6_sucB.pdf")</f>
        <v>0</v>
      </c>
    </row>
    <row r="793" spans="1:28">
      <c r="A793" t="s">
        <v>819</v>
      </c>
      <c r="B793">
        <v>0.999998419929286</v>
      </c>
      <c r="C793">
        <v>2.16077648603783</v>
      </c>
      <c r="D793">
        <v>1.45924556357502</v>
      </c>
      <c r="E793">
        <v>0.726952612563776</v>
      </c>
      <c r="F793">
        <v>0.165727695509741</v>
      </c>
      <c r="G793">
        <v>0.09137665286402349</v>
      </c>
      <c r="H793">
        <v>0.0491067767679096</v>
      </c>
      <c r="I793">
        <v>0.0344861626618697</v>
      </c>
      <c r="J793">
        <v>0.0282325056796857</v>
      </c>
      <c r="K793">
        <v>0.0274141973662043</v>
      </c>
      <c r="L793">
        <v>2307.78029117146</v>
      </c>
      <c r="M793">
        <v>48.4601745085287</v>
      </c>
      <c r="N793">
        <v>47.7301789402889</v>
      </c>
      <c r="O793">
        <v>47.5413011510314</v>
      </c>
      <c r="P793">
        <v>-0.241602706728814</v>
      </c>
      <c r="Q793">
        <v>0.0519142583080748</v>
      </c>
      <c r="R793">
        <v>0.69056590599153</v>
      </c>
      <c r="S793" t="s">
        <v>2477</v>
      </c>
      <c r="T793" t="s">
        <v>3344</v>
      </c>
      <c r="U793" t="s">
        <v>3344</v>
      </c>
      <c r="V793" t="s">
        <v>3344</v>
      </c>
      <c r="W793" t="s">
        <v>4135</v>
      </c>
      <c r="X793">
        <v>28</v>
      </c>
      <c r="Y793" t="s">
        <v>5792</v>
      </c>
      <c r="Z793" t="s">
        <v>7450</v>
      </c>
      <c r="AA793">
        <v>0.3897271425068481</v>
      </c>
      <c r="AB793">
        <f>HYPERLINK("Melting_Curves/meltCurve_P0AFG8_aceE.pdf", "Melting_Curves/meltCurve_P0AFG8_aceE.pdf")</f>
        <v>0</v>
      </c>
    </row>
    <row r="794" spans="1:28">
      <c r="A794" t="s">
        <v>820</v>
      </c>
      <c r="B794">
        <v>0.999998419929286</v>
      </c>
      <c r="C794">
        <v>0.686870858775132</v>
      </c>
      <c r="D794">
        <v>0.513139984743157</v>
      </c>
      <c r="E794">
        <v>0.363584693143529</v>
      </c>
      <c r="F794">
        <v>0.250170639812715</v>
      </c>
      <c r="G794">
        <v>0.220956806782205</v>
      </c>
      <c r="H794">
        <v>0.157255743381032</v>
      </c>
      <c r="I794">
        <v>0.116183913033592</v>
      </c>
      <c r="J794">
        <v>0.0784921596395939</v>
      </c>
      <c r="K794">
        <v>0.0969058796644142</v>
      </c>
      <c r="L794">
        <v>526.481656765046</v>
      </c>
      <c r="M794">
        <v>12.2702234488436</v>
      </c>
      <c r="N794">
        <v>43.7312713057453</v>
      </c>
      <c r="O794">
        <v>41.8153436889038</v>
      </c>
      <c r="P794">
        <v>-0.0658026125616005</v>
      </c>
      <c r="Q794">
        <v>0.103210939353392</v>
      </c>
      <c r="R794">
        <v>0.973288994080979</v>
      </c>
      <c r="S794" t="s">
        <v>2478</v>
      </c>
      <c r="T794" t="s">
        <v>3344</v>
      </c>
      <c r="U794" t="s">
        <v>3344</v>
      </c>
      <c r="V794" t="s">
        <v>3344</v>
      </c>
      <c r="W794" t="s">
        <v>4136</v>
      </c>
      <c r="X794">
        <v>4</v>
      </c>
      <c r="Y794" t="s">
        <v>5793</v>
      </c>
      <c r="Z794" t="s">
        <v>7451</v>
      </c>
      <c r="AA794">
        <v>0.315771361344645</v>
      </c>
      <c r="AB794">
        <f>HYPERLINK("Melting_Curves/meltCurve_P0AFH2_oppB.pdf", "Melting_Curves/meltCurve_P0AFH2_oppB.pdf")</f>
        <v>0</v>
      </c>
    </row>
    <row r="795" spans="1:28">
      <c r="A795" t="s">
        <v>821</v>
      </c>
      <c r="B795">
        <v>0.999998419929286</v>
      </c>
      <c r="C795">
        <v>0.83413863696575</v>
      </c>
      <c r="D795">
        <v>1.17328067566291</v>
      </c>
      <c r="E795">
        <v>0.473122712207531</v>
      </c>
      <c r="F795">
        <v>0.584616795676177</v>
      </c>
      <c r="G795">
        <v>0.411166159598752</v>
      </c>
      <c r="H795">
        <v>0.280720166452674</v>
      </c>
      <c r="I795">
        <v>0.151926752994178</v>
      </c>
      <c r="J795">
        <v>0.183361203682851</v>
      </c>
      <c r="K795">
        <v>0.142570777661722</v>
      </c>
      <c r="L795">
        <v>595.432520300476</v>
      </c>
      <c r="M795">
        <v>12.0156755386249</v>
      </c>
      <c r="N795">
        <v>50.6698261163504</v>
      </c>
      <c r="O795">
        <v>48.241937508673</v>
      </c>
      <c r="P795">
        <v>-0.0550463591485314</v>
      </c>
      <c r="Q795">
        <v>0.116186105201568</v>
      </c>
      <c r="R795">
        <v>0.859953265340593</v>
      </c>
      <c r="S795" t="s">
        <v>2479</v>
      </c>
      <c r="T795" t="s">
        <v>3344</v>
      </c>
      <c r="U795" t="s">
        <v>3344</v>
      </c>
      <c r="V795" t="s">
        <v>3344</v>
      </c>
      <c r="W795" t="s">
        <v>4137</v>
      </c>
      <c r="X795">
        <v>1</v>
      </c>
      <c r="Y795" t="s">
        <v>5794</v>
      </c>
      <c r="Z795" t="s">
        <v>7452</v>
      </c>
      <c r="AA795">
        <v>0.5114510187568587</v>
      </c>
      <c r="AB795">
        <f>HYPERLINK("Melting_Curves/meltCurve_P0AFH6_oppC.pdf", "Melting_Curves/meltCurve_P0AFH6_oppC.pdf")</f>
        <v>0</v>
      </c>
    </row>
    <row r="796" spans="1:28">
      <c r="A796" t="s">
        <v>822</v>
      </c>
      <c r="B796">
        <v>0.999998419929286</v>
      </c>
      <c r="C796">
        <v>1.04723301563777</v>
      </c>
      <c r="D796">
        <v>0.949623689685699</v>
      </c>
      <c r="E796">
        <v>1.06282610701217</v>
      </c>
      <c r="F796">
        <v>1.05256122222635</v>
      </c>
      <c r="G796">
        <v>1.14862555039516</v>
      </c>
      <c r="H796">
        <v>1.14049833415392</v>
      </c>
      <c r="I796">
        <v>1.29557803057088</v>
      </c>
      <c r="J796">
        <v>1.31668072212824</v>
      </c>
      <c r="K796">
        <v>1.2240956047428</v>
      </c>
      <c r="L796">
        <v>803.075418314605</v>
      </c>
      <c r="M796">
        <v>14.6770628856329</v>
      </c>
      <c r="O796">
        <v>53.7307266640249</v>
      </c>
      <c r="P796">
        <v>0.0204612815931063</v>
      </c>
      <c r="Q796">
        <v>1.29959079213865</v>
      </c>
      <c r="R796">
        <v>0.863501803069985</v>
      </c>
      <c r="S796" t="s">
        <v>2480</v>
      </c>
      <c r="T796" t="s">
        <v>3344</v>
      </c>
      <c r="U796" t="s">
        <v>3344</v>
      </c>
      <c r="V796" t="s">
        <v>3344</v>
      </c>
      <c r="W796" t="s">
        <v>4138</v>
      </c>
      <c r="X796">
        <v>12</v>
      </c>
      <c r="Y796" t="s">
        <v>5795</v>
      </c>
      <c r="Z796" t="s">
        <v>7453</v>
      </c>
      <c r="AA796">
        <v>1.118206119467788</v>
      </c>
      <c r="AB796">
        <f>HYPERLINK("Melting_Curves/meltCurve_P0AFH8_osmY.pdf", "Melting_Curves/meltCurve_P0AFH8_osmY.pdf")</f>
        <v>0</v>
      </c>
    </row>
    <row r="797" spans="1:28">
      <c r="A797" t="s">
        <v>823</v>
      </c>
      <c r="B797">
        <v>0.999998419929286</v>
      </c>
      <c r="C797">
        <v>1.3649359987531</v>
      </c>
      <c r="D797">
        <v>0.711963094790381</v>
      </c>
      <c r="E797">
        <v>0.224314191467372</v>
      </c>
      <c r="F797">
        <v>0.109310277568172</v>
      </c>
      <c r="G797">
        <v>0.0825171834120635</v>
      </c>
      <c r="H797">
        <v>0.0643196723065642</v>
      </c>
      <c r="I797">
        <v>0.051259102868441</v>
      </c>
      <c r="J797">
        <v>0.0485124130761208</v>
      </c>
      <c r="K797">
        <v>0.0504850150902908</v>
      </c>
      <c r="L797">
        <v>1752.36188407793</v>
      </c>
      <c r="M797">
        <v>39.6636060376268</v>
      </c>
      <c r="N797">
        <v>44.3540709610269</v>
      </c>
      <c r="O797">
        <v>44.0687398456868</v>
      </c>
      <c r="P797">
        <v>-0.208845021766665</v>
      </c>
      <c r="Q797">
        <v>0.0718426106494504</v>
      </c>
      <c r="R797">
        <v>0.927513465277646</v>
      </c>
      <c r="S797" t="s">
        <v>2481</v>
      </c>
      <c r="T797" t="s">
        <v>3344</v>
      </c>
      <c r="U797" t="s">
        <v>3344</v>
      </c>
      <c r="V797" t="s">
        <v>3344</v>
      </c>
      <c r="W797" t="s">
        <v>4139</v>
      </c>
      <c r="X797">
        <v>9</v>
      </c>
      <c r="Y797" t="s">
        <v>5796</v>
      </c>
      <c r="Z797" t="s">
        <v>7454</v>
      </c>
      <c r="AA797">
        <v>0.2968946124881478</v>
      </c>
      <c r="AB797">
        <f>HYPERLINK("Melting_Curves/meltCurve_P0AFI2_parC.pdf", "Melting_Curves/meltCurve_P0AFI2_parC.pdf")</f>
        <v>0</v>
      </c>
    </row>
    <row r="798" spans="1:28">
      <c r="A798" t="s">
        <v>824</v>
      </c>
      <c r="B798">
        <v>0.999998419929286</v>
      </c>
      <c r="C798">
        <v>0.845892571155521</v>
      </c>
      <c r="D798">
        <v>1.04740351659981</v>
      </c>
      <c r="E798">
        <v>1.02991064240159</v>
      </c>
      <c r="F798">
        <v>1.08549177773157</v>
      </c>
      <c r="G798">
        <v>0.8882075258546041</v>
      </c>
      <c r="H798">
        <v>0.550300449103593</v>
      </c>
      <c r="I798">
        <v>0.210454356709463</v>
      </c>
      <c r="J798">
        <v>0.142250369163207</v>
      </c>
      <c r="K798">
        <v>0.115396109930173</v>
      </c>
      <c r="L798">
        <v>1919.28711260347</v>
      </c>
      <c r="M798">
        <v>33.4896504044429</v>
      </c>
      <c r="N798">
        <v>57.7455971525076</v>
      </c>
      <c r="O798">
        <v>57.1066920192067</v>
      </c>
      <c r="P798">
        <v>-0.130241090596339</v>
      </c>
      <c r="Q798">
        <v>0.111653453545343</v>
      </c>
      <c r="R798">
        <v>0.974857429879036</v>
      </c>
      <c r="S798" t="s">
        <v>2482</v>
      </c>
      <c r="T798" t="s">
        <v>3344</v>
      </c>
      <c r="U798" t="s">
        <v>3344</v>
      </c>
      <c r="V798" t="s">
        <v>3344</v>
      </c>
      <c r="W798" t="s">
        <v>4140</v>
      </c>
      <c r="X798">
        <v>7</v>
      </c>
      <c r="Y798" t="s">
        <v>5797</v>
      </c>
      <c r="Z798" t="s">
        <v>7455</v>
      </c>
      <c r="AA798">
        <v>0.7175146848259111</v>
      </c>
      <c r="AB798">
        <f>HYPERLINK("Melting_Curves/meltCurve_P0AFI7_pdxH.pdf", "Melting_Curves/meltCurve_P0AFI7_pdxH.pdf")</f>
        <v>0</v>
      </c>
    </row>
    <row r="799" spans="1:28">
      <c r="A799" t="s">
        <v>825</v>
      </c>
      <c r="B799">
        <v>0.999998419929286</v>
      </c>
      <c r="C799">
        <v>1.11692184351039</v>
      </c>
      <c r="D799">
        <v>0.807045478989172</v>
      </c>
      <c r="E799">
        <v>0.797561396981157</v>
      </c>
      <c r="F799">
        <v>0.616439729720106</v>
      </c>
      <c r="G799">
        <v>0.524361481311912</v>
      </c>
      <c r="H799">
        <v>0.26106303249367</v>
      </c>
      <c r="I799">
        <v>0.136141577768038</v>
      </c>
      <c r="J799">
        <v>0.175584030704636</v>
      </c>
      <c r="K799">
        <v>0.24234068625517</v>
      </c>
      <c r="L799">
        <v>625.735371308713</v>
      </c>
      <c r="M799">
        <v>12.1883290778868</v>
      </c>
      <c r="N799">
        <v>52.4553661085932</v>
      </c>
      <c r="O799">
        <v>50.0155487010986</v>
      </c>
      <c r="P799">
        <v>-0.05397442621012</v>
      </c>
      <c r="Q799">
        <v>0.114251787708414</v>
      </c>
      <c r="R799">
        <v>0.948837322067446</v>
      </c>
      <c r="S799" t="s">
        <v>2483</v>
      </c>
      <c r="T799" t="s">
        <v>3344</v>
      </c>
      <c r="U799" t="s">
        <v>3344</v>
      </c>
      <c r="V799" t="s">
        <v>3344</v>
      </c>
      <c r="W799" t="s">
        <v>4141</v>
      </c>
      <c r="X799">
        <v>1</v>
      </c>
      <c r="Y799" t="s">
        <v>5798</v>
      </c>
      <c r="Z799" t="s">
        <v>7456</v>
      </c>
      <c r="AA799">
        <v>0.5596922418909382</v>
      </c>
      <c r="AB799">
        <f>HYPERLINK("Melting_Curves/meltCurve_P0AFI9_perM.pdf", "Melting_Curves/meltCurve_P0AFI9_perM.pdf")</f>
        <v>0</v>
      </c>
    </row>
    <row r="800" spans="1:28">
      <c r="A800" t="s">
        <v>826</v>
      </c>
      <c r="B800">
        <v>0.999998419929286</v>
      </c>
      <c r="C800">
        <v>0.96646277824202</v>
      </c>
      <c r="D800">
        <v>0.66515599295721</v>
      </c>
      <c r="E800">
        <v>1.01281609707906</v>
      </c>
      <c r="F800">
        <v>1.0259184977421</v>
      </c>
      <c r="G800">
        <v>1.25074886270579</v>
      </c>
      <c r="H800">
        <v>1.26871869984843</v>
      </c>
      <c r="I800">
        <v>1.25553043440081</v>
      </c>
      <c r="J800">
        <v>1.19002217034168</v>
      </c>
      <c r="K800">
        <v>1.05111942610155</v>
      </c>
      <c r="L800">
        <v>12646.5312724951</v>
      </c>
      <c r="M800">
        <v>250</v>
      </c>
      <c r="O800">
        <v>50.5828858781553</v>
      </c>
      <c r="P800">
        <v>0.251107556071738</v>
      </c>
      <c r="Q800">
        <v>1.20322792557515</v>
      </c>
      <c r="R800">
        <v>0.522951524659466</v>
      </c>
      <c r="S800" t="s">
        <v>2484</v>
      </c>
      <c r="T800" t="s">
        <v>3344</v>
      </c>
      <c r="U800" t="s">
        <v>3344</v>
      </c>
      <c r="V800" t="s">
        <v>3344</v>
      </c>
      <c r="W800" t="s">
        <v>4142</v>
      </c>
      <c r="X800">
        <v>4</v>
      </c>
      <c r="Y800" t="s">
        <v>5799</v>
      </c>
      <c r="Z800" t="s">
        <v>7457</v>
      </c>
      <c r="AA800">
        <v>1.111173882812996</v>
      </c>
      <c r="AB800">
        <f>HYPERLINK("Melting_Curves/meltCurve_P0AFJ1_phnA.pdf", "Melting_Curves/meltCurve_P0AFJ1_phnA.pdf")</f>
        <v>0</v>
      </c>
    </row>
    <row r="801" spans="1:28">
      <c r="A801" t="s">
        <v>827</v>
      </c>
      <c r="B801">
        <v>0.999998419929286</v>
      </c>
      <c r="C801">
        <v>0.8904637504323411</v>
      </c>
      <c r="D801">
        <v>0.695386718041394</v>
      </c>
      <c r="E801">
        <v>0.658839864290213</v>
      </c>
      <c r="F801">
        <v>0.480995904991591</v>
      </c>
      <c r="G801">
        <v>0.24532786328667</v>
      </c>
      <c r="H801">
        <v>0.0969797423304877</v>
      </c>
      <c r="I801">
        <v>0.101730455734202</v>
      </c>
      <c r="J801">
        <v>0.0601778302275145</v>
      </c>
      <c r="K801">
        <v>0.111541240261043</v>
      </c>
      <c r="L801">
        <v>496.002903509117</v>
      </c>
      <c r="M801">
        <v>10.2214782976497</v>
      </c>
      <c r="N801">
        <v>48.5255315052993</v>
      </c>
      <c r="O801">
        <v>46.7782026868759</v>
      </c>
      <c r="P801">
        <v>-0.0546517917249841</v>
      </c>
      <c r="Q801">
        <v>0</v>
      </c>
      <c r="R801">
        <v>0.976626437922458</v>
      </c>
      <c r="S801" t="s">
        <v>2485</v>
      </c>
      <c r="T801" t="s">
        <v>3344</v>
      </c>
      <c r="U801" t="s">
        <v>3344</v>
      </c>
      <c r="V801" t="s">
        <v>3344</v>
      </c>
      <c r="W801" t="s">
        <v>4143</v>
      </c>
      <c r="X801">
        <v>2</v>
      </c>
      <c r="Y801" t="s">
        <v>5800</v>
      </c>
      <c r="Z801" t="s">
        <v>7458</v>
      </c>
      <c r="AA801">
        <v>0.4217618118051513</v>
      </c>
      <c r="AB801">
        <f>HYPERLINK("Melting_Curves/meltCurve_P0AFJ5_phoB.pdf", "Melting_Curves/meltCurve_P0AFJ5_phoB.pdf")</f>
        <v>0</v>
      </c>
    </row>
    <row r="802" spans="1:28">
      <c r="A802" t="s">
        <v>828</v>
      </c>
      <c r="B802">
        <v>0.999998419929286</v>
      </c>
      <c r="C802">
        <v>1.16590233690327</v>
      </c>
      <c r="D802">
        <v>1.12705237383911</v>
      </c>
      <c r="E802">
        <v>1.16869211758004</v>
      </c>
      <c r="F802">
        <v>1.16629510538717</v>
      </c>
      <c r="G802">
        <v>1.13885590523504</v>
      </c>
      <c r="H802">
        <v>0.938751145636296</v>
      </c>
      <c r="I802">
        <v>0.637708264398824</v>
      </c>
      <c r="J802">
        <v>0.407669164198663</v>
      </c>
      <c r="K802">
        <v>0.243447282444612</v>
      </c>
      <c r="L802">
        <v>2110.55498981903</v>
      </c>
      <c r="M802">
        <v>34.3385453103643</v>
      </c>
      <c r="N802">
        <v>62.5219796003835</v>
      </c>
      <c r="O802">
        <v>61.2558139419695</v>
      </c>
      <c r="P802">
        <v>-0.109245384201279</v>
      </c>
      <c r="Q802">
        <v>0.220480728314902</v>
      </c>
      <c r="R802">
        <v>0.88574098736985</v>
      </c>
      <c r="S802" t="s">
        <v>2486</v>
      </c>
      <c r="T802" t="s">
        <v>3344</v>
      </c>
      <c r="U802" t="s">
        <v>3344</v>
      </c>
      <c r="V802" t="s">
        <v>3344</v>
      </c>
      <c r="W802" t="s">
        <v>4144</v>
      </c>
      <c r="X802">
        <v>14</v>
      </c>
      <c r="Y802" t="s">
        <v>5801</v>
      </c>
      <c r="Z802" t="s">
        <v>7459</v>
      </c>
      <c r="AA802">
        <v>0.8572700242697168</v>
      </c>
      <c r="AB802">
        <f>HYPERLINK("Melting_Curves/meltCurve_P0AFK0_pmbA.pdf", "Melting_Curves/meltCurve_P0AFK0_pmbA.pdf")</f>
        <v>0</v>
      </c>
    </row>
    <row r="803" spans="1:28">
      <c r="A803" t="s">
        <v>829</v>
      </c>
      <c r="B803">
        <v>0.999998419929286</v>
      </c>
      <c r="C803">
        <v>0.7821569150211261</v>
      </c>
      <c r="D803">
        <v>0.951896347317751</v>
      </c>
      <c r="E803">
        <v>0.5449452527317939</v>
      </c>
      <c r="F803">
        <v>0.446008305369891</v>
      </c>
      <c r="G803">
        <v>0.54857500158251</v>
      </c>
      <c r="H803">
        <v>0.6326026566720691</v>
      </c>
      <c r="I803">
        <v>0.415762173836165</v>
      </c>
      <c r="J803">
        <v>0.683799561047654</v>
      </c>
      <c r="K803">
        <v>0.578490446505958</v>
      </c>
      <c r="L803">
        <v>10841.1449360097</v>
      </c>
      <c r="M803">
        <v>249.996877489233</v>
      </c>
      <c r="O803">
        <v>43.3623266810449</v>
      </c>
      <c r="P803">
        <v>-0.648558340712006</v>
      </c>
      <c r="Q803">
        <v>0.550026197813441</v>
      </c>
      <c r="R803">
        <v>0.71289056799926</v>
      </c>
      <c r="S803" t="s">
        <v>2487</v>
      </c>
      <c r="T803" t="s">
        <v>3344</v>
      </c>
      <c r="U803" t="s">
        <v>3344</v>
      </c>
      <c r="V803" t="s">
        <v>3344</v>
      </c>
      <c r="W803" t="s">
        <v>4145</v>
      </c>
      <c r="X803">
        <v>1</v>
      </c>
      <c r="Y803" t="s">
        <v>5802</v>
      </c>
      <c r="Z803" t="s">
        <v>7460</v>
      </c>
      <c r="AA803">
        <v>0.6455317062115484</v>
      </c>
      <c r="AB803">
        <f>HYPERLINK("Melting_Curves/meltCurve_P0AFK2_pnuC.pdf", "Melting_Curves/meltCurve_P0AFK2_pnuC.pdf")</f>
        <v>0</v>
      </c>
    </row>
    <row r="804" spans="1:28">
      <c r="A804" t="s">
        <v>830</v>
      </c>
      <c r="B804">
        <v>0.999998419929286</v>
      </c>
      <c r="C804">
        <v>1.12585503345068</v>
      </c>
      <c r="D804">
        <v>1.10744599070221</v>
      </c>
      <c r="E804">
        <v>1.39935880671256</v>
      </c>
      <c r="F804">
        <v>1.78653204285959</v>
      </c>
      <c r="G804">
        <v>2.56098937296444</v>
      </c>
      <c r="H804">
        <v>2.28882705580219</v>
      </c>
      <c r="I804">
        <v>1.70694128036002</v>
      </c>
      <c r="J804">
        <v>1.96646665755322</v>
      </c>
      <c r="K804">
        <v>2.09617480365113</v>
      </c>
      <c r="L804">
        <v>1893.08320514787</v>
      </c>
      <c r="M804">
        <v>42.6742445981265</v>
      </c>
      <c r="O804">
        <v>44.264175318871</v>
      </c>
      <c r="P804">
        <v>0.12051030206335</v>
      </c>
      <c r="Q804">
        <v>1.5</v>
      </c>
      <c r="R804">
        <v>0.046143110483277</v>
      </c>
      <c r="S804" t="s">
        <v>2488</v>
      </c>
      <c r="T804" t="s">
        <v>3344</v>
      </c>
      <c r="U804" t="s">
        <v>3344</v>
      </c>
      <c r="V804" t="s">
        <v>3344</v>
      </c>
      <c r="W804" t="s">
        <v>4146</v>
      </c>
      <c r="X804">
        <v>14</v>
      </c>
      <c r="Y804" t="s">
        <v>5803</v>
      </c>
      <c r="Z804" t="s">
        <v>7461</v>
      </c>
      <c r="AA804">
        <v>1.375964008749276</v>
      </c>
      <c r="AB804">
        <f>HYPERLINK("Melting_Curves/meltCurve_P0AFK9_potD.pdf", "Melting_Curves/meltCurve_P0AFK9_potD.pdf")</f>
        <v>0</v>
      </c>
    </row>
    <row r="805" spans="1:28">
      <c r="A805" t="s">
        <v>831</v>
      </c>
      <c r="B805">
        <v>0.999998419929286</v>
      </c>
      <c r="C805">
        <v>0.663390601106543</v>
      </c>
      <c r="D805">
        <v>1.13533056845342</v>
      </c>
      <c r="E805">
        <v>0.9168535691704059</v>
      </c>
      <c r="F805">
        <v>1.24369607754011</v>
      </c>
      <c r="G805">
        <v>1.1869661438755</v>
      </c>
      <c r="H805">
        <v>1.14914937475619</v>
      </c>
      <c r="I805">
        <v>0.951547772866385</v>
      </c>
      <c r="J805">
        <v>1.30440051387408</v>
      </c>
      <c r="K805">
        <v>1.18626617620023</v>
      </c>
      <c r="L805">
        <v>4484.63439926896</v>
      </c>
      <c r="M805">
        <v>92.7068512090687</v>
      </c>
      <c r="O805">
        <v>48.3518487513472</v>
      </c>
      <c r="P805">
        <v>0.0819932104297811</v>
      </c>
      <c r="Q805">
        <v>1.17105635706937</v>
      </c>
      <c r="R805">
        <v>0.357091402309792</v>
      </c>
      <c r="S805" t="s">
        <v>2489</v>
      </c>
      <c r="T805" t="s">
        <v>3344</v>
      </c>
      <c r="U805" t="s">
        <v>3344</v>
      </c>
      <c r="V805" t="s">
        <v>3344</v>
      </c>
      <c r="W805" t="s">
        <v>4147</v>
      </c>
      <c r="X805">
        <v>3</v>
      </c>
      <c r="Y805" t="s">
        <v>5804</v>
      </c>
      <c r="Z805" t="s">
        <v>7462</v>
      </c>
      <c r="AA805">
        <v>1.106095397671494</v>
      </c>
      <c r="AB805">
        <f>HYPERLINK("Melting_Curves/meltCurve_P0AFL3_ppiA.pdf", "Melting_Curves/meltCurve_P0AFL3_ppiA.pdf")</f>
        <v>0</v>
      </c>
    </row>
    <row r="806" spans="1:28">
      <c r="A806" t="s">
        <v>832</v>
      </c>
      <c r="B806">
        <v>0.999998419929286</v>
      </c>
      <c r="C806">
        <v>0.881854786413517</v>
      </c>
      <c r="D806">
        <v>0.741898709950939</v>
      </c>
      <c r="E806">
        <v>0.735777932216757</v>
      </c>
      <c r="F806">
        <v>1.20535881748332</v>
      </c>
      <c r="G806">
        <v>1.11703691680344</v>
      </c>
      <c r="H806">
        <v>0.639818345802333</v>
      </c>
      <c r="I806">
        <v>0.762780433809511</v>
      </c>
      <c r="J806">
        <v>0.439769331369622</v>
      </c>
      <c r="K806">
        <v>0.701797117386707</v>
      </c>
      <c r="L806">
        <v>14105.6057637827</v>
      </c>
      <c r="M806">
        <v>250</v>
      </c>
      <c r="O806">
        <v>56.4188072637863</v>
      </c>
      <c r="P806">
        <v>-0.404599913791101</v>
      </c>
      <c r="Q806">
        <v>0.634767254285843</v>
      </c>
      <c r="R806">
        <v>0.448002719443579</v>
      </c>
      <c r="S806" t="s">
        <v>2490</v>
      </c>
      <c r="T806" t="s">
        <v>3344</v>
      </c>
      <c r="U806" t="s">
        <v>3344</v>
      </c>
      <c r="V806" t="s">
        <v>3344</v>
      </c>
      <c r="W806" t="s">
        <v>4148</v>
      </c>
      <c r="X806">
        <v>1</v>
      </c>
      <c r="Y806" t="s">
        <v>5805</v>
      </c>
      <c r="Z806" t="s">
        <v>7463</v>
      </c>
      <c r="AA806">
        <v>0.8712602498338119</v>
      </c>
      <c r="AB806">
        <f>HYPERLINK("Melting_Curves/meltCurve_P0AFM2_proX.pdf", "Melting_Curves/meltCurve_P0AFM2_proX.pdf")</f>
        <v>0</v>
      </c>
    </row>
    <row r="807" spans="1:28">
      <c r="A807" t="s">
        <v>833</v>
      </c>
      <c r="B807">
        <v>0.999998419929286</v>
      </c>
      <c r="C807">
        <v>1.29913753991132</v>
      </c>
      <c r="D807">
        <v>1.33652196566177</v>
      </c>
      <c r="E807">
        <v>1.69649239144262</v>
      </c>
      <c r="F807">
        <v>1.45838384373549</v>
      </c>
      <c r="G807">
        <v>1.5428715069032</v>
      </c>
      <c r="H807">
        <v>1.5147905277693</v>
      </c>
      <c r="I807">
        <v>1.585860782967</v>
      </c>
      <c r="J807">
        <v>1.75177684941752</v>
      </c>
      <c r="K807">
        <v>1.79248525199819</v>
      </c>
      <c r="L807">
        <v>1147.81054576547</v>
      </c>
      <c r="M807">
        <v>28.783524308421</v>
      </c>
      <c r="O807">
        <v>39.6863755831082</v>
      </c>
      <c r="P807">
        <v>0.0906600913189054</v>
      </c>
      <c r="Q807">
        <v>1.5</v>
      </c>
      <c r="R807">
        <v>0.577220879011499</v>
      </c>
      <c r="S807" t="s">
        <v>2491</v>
      </c>
      <c r="T807" t="s">
        <v>3344</v>
      </c>
      <c r="U807" t="s">
        <v>3344</v>
      </c>
      <c r="V807" t="s">
        <v>3344</v>
      </c>
      <c r="W807" t="s">
        <v>4149</v>
      </c>
      <c r="X807">
        <v>5</v>
      </c>
      <c r="Y807" t="s">
        <v>5806</v>
      </c>
      <c r="Z807" t="s">
        <v>7464</v>
      </c>
      <c r="AA807">
        <v>1.447467436592071</v>
      </c>
      <c r="AB807">
        <f>HYPERLINK("Melting_Curves/meltCurve_P0AFM4_psiF.pdf", "Melting_Curves/meltCurve_P0AFM4_psiF.pdf")</f>
        <v>0</v>
      </c>
    </row>
    <row r="808" spans="1:28">
      <c r="A808" t="s">
        <v>834</v>
      </c>
      <c r="B808">
        <v>0.999998419929286</v>
      </c>
      <c r="C808">
        <v>0.882738634996852</v>
      </c>
      <c r="D808">
        <v>1.00903199906812</v>
      </c>
      <c r="E808">
        <v>1.15054042483464</v>
      </c>
      <c r="F808">
        <v>1.22381915235735</v>
      </c>
      <c r="G808">
        <v>1.67590940983346</v>
      </c>
      <c r="H808">
        <v>1.32220833548411</v>
      </c>
      <c r="I808">
        <v>1.09032730777681</v>
      </c>
      <c r="J808">
        <v>1.03018737110763</v>
      </c>
      <c r="K808">
        <v>1.12251935785685</v>
      </c>
      <c r="L808">
        <v>2659.10481842565</v>
      </c>
      <c r="M808">
        <v>57.5330214188588</v>
      </c>
      <c r="O808">
        <v>46.1630185489067</v>
      </c>
      <c r="P808">
        <v>0.0762153495256311</v>
      </c>
      <c r="Q808">
        <v>1.24461283324691</v>
      </c>
      <c r="R808">
        <v>0.345012413573965</v>
      </c>
      <c r="S808" t="s">
        <v>2492</v>
      </c>
      <c r="T808" t="s">
        <v>3344</v>
      </c>
      <c r="U808" t="s">
        <v>3344</v>
      </c>
      <c r="V808" t="s">
        <v>3344</v>
      </c>
      <c r="W808" t="s">
        <v>4150</v>
      </c>
      <c r="X808">
        <v>5</v>
      </c>
      <c r="Y808" t="s">
        <v>5807</v>
      </c>
      <c r="Z808" t="s">
        <v>7465</v>
      </c>
      <c r="AA808">
        <v>1.169069139469845</v>
      </c>
      <c r="AB808">
        <f>HYPERLINK("Melting_Curves/meltCurve_P0AFM6_pspA.pdf", "Melting_Curves/meltCurve_P0AFM6_pspA.pdf")</f>
        <v>0</v>
      </c>
    </row>
    <row r="809" spans="1:28">
      <c r="A809" t="s">
        <v>835</v>
      </c>
      <c r="B809">
        <v>0.999998419929286</v>
      </c>
      <c r="C809">
        <v>0.969161033369237</v>
      </c>
      <c r="D809">
        <v>0.788073689096879</v>
      </c>
      <c r="E809">
        <v>0.860096318110858</v>
      </c>
      <c r="F809">
        <v>0.748415273976912</v>
      </c>
      <c r="G809">
        <v>0.6679300150906921</v>
      </c>
      <c r="H809">
        <v>0.722223042967354</v>
      </c>
      <c r="I809">
        <v>0.648170003666148</v>
      </c>
      <c r="J809">
        <v>0.711614220787759</v>
      </c>
      <c r="K809">
        <v>0.688722991203681</v>
      </c>
      <c r="L809">
        <v>547.97301446571</v>
      </c>
      <c r="M809">
        <v>12.3351854135219</v>
      </c>
      <c r="O809">
        <v>43.3044545941701</v>
      </c>
      <c r="P809">
        <v>-0.0229243239925267</v>
      </c>
      <c r="Q809">
        <v>0.678153094742261</v>
      </c>
      <c r="R809">
        <v>0.8691055310900589</v>
      </c>
      <c r="S809" t="s">
        <v>2493</v>
      </c>
      <c r="T809" t="s">
        <v>3344</v>
      </c>
      <c r="U809" t="s">
        <v>3344</v>
      </c>
      <c r="V809" t="s">
        <v>3344</v>
      </c>
      <c r="W809" t="s">
        <v>4151</v>
      </c>
      <c r="X809">
        <v>1</v>
      </c>
      <c r="Y809" t="s">
        <v>5808</v>
      </c>
      <c r="Z809" t="s">
        <v>7466</v>
      </c>
      <c r="AA809">
        <v>0.7692979476832928</v>
      </c>
      <c r="AB809">
        <f>HYPERLINK("Melting_Curves/meltCurve_P0AFM9_pspB.pdf", "Melting_Curves/meltCurve_P0AFM9_pspB.pdf")</f>
        <v>0</v>
      </c>
    </row>
    <row r="810" spans="1:28">
      <c r="A810" t="s">
        <v>836</v>
      </c>
      <c r="B810">
        <v>0.999998419929286</v>
      </c>
      <c r="C810">
        <v>0.993099653132669</v>
      </c>
      <c r="D810">
        <v>0.94715629960489</v>
      </c>
      <c r="E810">
        <v>1.01535215486078</v>
      </c>
      <c r="F810">
        <v>1.00799160912924</v>
      </c>
      <c r="G810">
        <v>1.14062327877066</v>
      </c>
      <c r="H810">
        <v>0.932659478349136</v>
      </c>
      <c r="I810">
        <v>0.700890643713894</v>
      </c>
      <c r="J810">
        <v>0.565555765636039</v>
      </c>
      <c r="K810">
        <v>0.598607979571112</v>
      </c>
      <c r="L810">
        <v>2939.15521012765</v>
      </c>
      <c r="M810">
        <v>49.185519526771</v>
      </c>
      <c r="O810">
        <v>59.6579823106872</v>
      </c>
      <c r="P810">
        <v>-0.08715112612250581</v>
      </c>
      <c r="Q810">
        <v>0.577171841561845</v>
      </c>
      <c r="R810">
        <v>0.928043197727715</v>
      </c>
      <c r="S810" t="s">
        <v>2494</v>
      </c>
      <c r="T810" t="s">
        <v>3344</v>
      </c>
      <c r="U810" t="s">
        <v>3344</v>
      </c>
      <c r="V810" t="s">
        <v>3344</v>
      </c>
      <c r="W810" t="s">
        <v>4152</v>
      </c>
      <c r="X810">
        <v>2</v>
      </c>
      <c r="Y810" t="s">
        <v>5809</v>
      </c>
      <c r="Z810" t="s">
        <v>7467</v>
      </c>
      <c r="AA810">
        <v>0.8989498106837388</v>
      </c>
      <c r="AB810">
        <f>HYPERLINK("Melting_Curves/meltCurve_P0AFN2_pspC.pdf", "Melting_Curves/meltCurve_P0AFN2_pspC.pdf")</f>
        <v>0</v>
      </c>
    </row>
    <row r="811" spans="1:28">
      <c r="A811" t="s">
        <v>837</v>
      </c>
      <c r="B811">
        <v>0.999998419929286</v>
      </c>
      <c r="C811">
        <v>0.567637650781702</v>
      </c>
      <c r="D811">
        <v>0.295555703593125</v>
      </c>
      <c r="E811">
        <v>0.166364417099665</v>
      </c>
      <c r="F811">
        <v>0.122945204777002</v>
      </c>
      <c r="G811">
        <v>0.127420983118621</v>
      </c>
      <c r="H811">
        <v>0.0786067449690722</v>
      </c>
      <c r="I811">
        <v>0.0502738140751395</v>
      </c>
      <c r="J811">
        <v>0.0328084024213938</v>
      </c>
      <c r="K811">
        <v>0.0544633944213402</v>
      </c>
      <c r="L811">
        <v>943.570691742593</v>
      </c>
      <c r="M811">
        <v>23.2793137765098</v>
      </c>
      <c r="N811">
        <v>40.8483299267097</v>
      </c>
      <c r="O811">
        <v>40.237039689798</v>
      </c>
      <c r="P811">
        <v>-0.132731809006336</v>
      </c>
      <c r="Q811">
        <v>0.08233731585361639</v>
      </c>
      <c r="R811">
        <v>0.976018618061823</v>
      </c>
      <c r="S811" t="s">
        <v>2495</v>
      </c>
      <c r="T811" t="s">
        <v>3344</v>
      </c>
      <c r="U811" t="s">
        <v>3344</v>
      </c>
      <c r="V811" t="s">
        <v>3344</v>
      </c>
      <c r="W811" t="s">
        <v>4153</v>
      </c>
      <c r="X811">
        <v>1</v>
      </c>
      <c r="Y811" t="s">
        <v>5810</v>
      </c>
      <c r="Z811" t="s">
        <v>7468</v>
      </c>
      <c r="AA811">
        <v>0.2023434521056995</v>
      </c>
      <c r="AB811">
        <f>HYPERLINK("Melting_Curves/meltCurve_P0AFP4_ybbO.pdf", "Melting_Curves/meltCurve_P0AFP4_ybbO.pdf")</f>
        <v>0</v>
      </c>
    </row>
    <row r="812" spans="1:28">
      <c r="A812" t="s">
        <v>838</v>
      </c>
      <c r="B812">
        <v>0.999998419929286</v>
      </c>
      <c r="C812">
        <v>0.6254761423385</v>
      </c>
      <c r="D812">
        <v>0.323211562193491</v>
      </c>
      <c r="E812">
        <v>0.221936822090376</v>
      </c>
      <c r="F812">
        <v>0.190934062238054</v>
      </c>
      <c r="G812">
        <v>0.221601633509228</v>
      </c>
      <c r="H812">
        <v>0.169098354293609</v>
      </c>
      <c r="I812">
        <v>0.180910647501945</v>
      </c>
      <c r="J812">
        <v>0.166303915246585</v>
      </c>
      <c r="K812">
        <v>0.147902984057033</v>
      </c>
      <c r="L812">
        <v>1173.41663965197</v>
      </c>
      <c r="M812">
        <v>29.1040214355169</v>
      </c>
      <c r="N812">
        <v>40.9663556574631</v>
      </c>
      <c r="O812">
        <v>40.1291252004213</v>
      </c>
      <c r="P812">
        <v>-0.147854813948121</v>
      </c>
      <c r="Q812">
        <v>0.18454715697549</v>
      </c>
      <c r="R812">
        <v>0.987949059487915</v>
      </c>
      <c r="S812" t="s">
        <v>2496</v>
      </c>
      <c r="T812" t="s">
        <v>3344</v>
      </c>
      <c r="U812" t="s">
        <v>3344</v>
      </c>
      <c r="V812" t="s">
        <v>3344</v>
      </c>
      <c r="W812" t="s">
        <v>4154</v>
      </c>
      <c r="X812">
        <v>3</v>
      </c>
      <c r="Y812" t="s">
        <v>5811</v>
      </c>
      <c r="Z812" t="s">
        <v>7469</v>
      </c>
      <c r="AA812">
        <v>0.2811826026781933</v>
      </c>
      <c r="AB812">
        <f>HYPERLINK("Melting_Curves/meltCurve_P0AFP6_ybgI.pdf", "Melting_Curves/meltCurve_P0AFP6_ybgI.pdf")</f>
        <v>0</v>
      </c>
    </row>
    <row r="813" spans="1:28">
      <c r="A813" t="s">
        <v>839</v>
      </c>
      <c r="B813">
        <v>0.999998419929286</v>
      </c>
      <c r="C813">
        <v>0.893387378931876</v>
      </c>
      <c r="D813">
        <v>1.04213371657723</v>
      </c>
      <c r="E813">
        <v>0.8449036024701621</v>
      </c>
      <c r="F813">
        <v>0.822949043754035</v>
      </c>
      <c r="G813">
        <v>0.815256930726507</v>
      </c>
      <c r="H813">
        <v>0.519183138956727</v>
      </c>
      <c r="I813">
        <v>0.352316455502489</v>
      </c>
      <c r="J813">
        <v>0.282464678480456</v>
      </c>
      <c r="K813">
        <v>0.225744921803822</v>
      </c>
      <c r="L813">
        <v>612.0651862329551</v>
      </c>
      <c r="M813">
        <v>10.4753528455799</v>
      </c>
      <c r="N813">
        <v>58.4290759029978</v>
      </c>
      <c r="O813">
        <v>56.4201821529838</v>
      </c>
      <c r="P813">
        <v>-0.0464355892572783</v>
      </c>
      <c r="Q813">
        <v>0</v>
      </c>
      <c r="R813">
        <v>0.957139582608391</v>
      </c>
      <c r="S813" t="s">
        <v>2497</v>
      </c>
      <c r="T813" t="s">
        <v>3344</v>
      </c>
      <c r="U813" t="s">
        <v>3344</v>
      </c>
      <c r="V813" t="s">
        <v>3344</v>
      </c>
      <c r="W813" t="s">
        <v>4155</v>
      </c>
      <c r="X813">
        <v>5</v>
      </c>
      <c r="Y813" t="s">
        <v>5812</v>
      </c>
      <c r="Z813" t="s">
        <v>7470</v>
      </c>
      <c r="AA813">
        <v>0.7044042257235571</v>
      </c>
      <c r="AB813">
        <f>HYPERLINK("Melting_Curves/meltCurve_P0AFQ7_ycfH.pdf", "Melting_Curves/meltCurve_P0AFQ7_ycfH.pdf")</f>
        <v>0</v>
      </c>
    </row>
    <row r="814" spans="1:28">
      <c r="A814" t="s">
        <v>840</v>
      </c>
      <c r="B814">
        <v>0.999998419929286</v>
      </c>
      <c r="C814">
        <v>1.21391691911364</v>
      </c>
      <c r="D814">
        <v>0.980170093000604</v>
      </c>
      <c r="E814">
        <v>0.971496175432472</v>
      </c>
      <c r="F814">
        <v>0.801569182642149</v>
      </c>
      <c r="G814">
        <v>0.573999833037703</v>
      </c>
      <c r="H814">
        <v>0.241321438795926</v>
      </c>
      <c r="I814">
        <v>0.122164301565618</v>
      </c>
      <c r="J814">
        <v>0.0399450678583531</v>
      </c>
      <c r="K814">
        <v>0.120281317366196</v>
      </c>
      <c r="L814">
        <v>1141.43195372274</v>
      </c>
      <c r="M814">
        <v>21.1670854021942</v>
      </c>
      <c r="N814">
        <v>54.2131217983115</v>
      </c>
      <c r="O814">
        <v>53.4504743863903</v>
      </c>
      <c r="P814">
        <v>-0.09373625927696951</v>
      </c>
      <c r="Q814">
        <v>0.0532249676046001</v>
      </c>
      <c r="R814">
        <v>0.969404076411564</v>
      </c>
      <c r="S814" t="s">
        <v>2498</v>
      </c>
      <c r="T814" t="s">
        <v>3344</v>
      </c>
      <c r="U814" t="s">
        <v>3344</v>
      </c>
      <c r="V814" t="s">
        <v>3344</v>
      </c>
      <c r="W814" t="s">
        <v>4156</v>
      </c>
      <c r="X814">
        <v>1</v>
      </c>
      <c r="Y814" t="s">
        <v>5813</v>
      </c>
      <c r="Z814" t="s">
        <v>7471</v>
      </c>
      <c r="AA814">
        <v>0.5980066290573696</v>
      </c>
      <c r="AB814">
        <f>HYPERLINK("Melting_Curves/meltCurve_P0AFR0_rssA.pdf", "Melting_Curves/meltCurve_P0AFR0_rssA.pdf")</f>
        <v>0</v>
      </c>
    </row>
    <row r="815" spans="1:28">
      <c r="A815" t="s">
        <v>841</v>
      </c>
      <c r="B815">
        <v>0.999998419929286</v>
      </c>
      <c r="C815">
        <v>0.904610018666396</v>
      </c>
      <c r="D815">
        <v>0.740556213327746</v>
      </c>
      <c r="E815">
        <v>0.505539405603101</v>
      </c>
      <c r="F815">
        <v>0.189588513804142</v>
      </c>
      <c r="G815">
        <v>0.209974724416458</v>
      </c>
      <c r="H815">
        <v>0.0913104091216393</v>
      </c>
      <c r="I815">
        <v>0.0930622540168871</v>
      </c>
      <c r="J815">
        <v>0.131535333142366</v>
      </c>
      <c r="K815">
        <v>0.117060095669784</v>
      </c>
      <c r="L815">
        <v>771.63147754539</v>
      </c>
      <c r="M815">
        <v>16.9611749396904</v>
      </c>
      <c r="N815">
        <v>46.1013992338875</v>
      </c>
      <c r="O815">
        <v>44.8757068152192</v>
      </c>
      <c r="P815">
        <v>-0.08503361902893949</v>
      </c>
      <c r="Q815">
        <v>0.100131758132154</v>
      </c>
      <c r="R815">
        <v>0.990032821948608</v>
      </c>
      <c r="S815" t="s">
        <v>2499</v>
      </c>
      <c r="T815" t="s">
        <v>3344</v>
      </c>
      <c r="U815" t="s">
        <v>3344</v>
      </c>
      <c r="V815" t="s">
        <v>3344</v>
      </c>
      <c r="W815" t="s">
        <v>4157</v>
      </c>
      <c r="X815">
        <v>1</v>
      </c>
      <c r="Y815" t="s">
        <v>5814</v>
      </c>
      <c r="Z815" t="s">
        <v>7472</v>
      </c>
      <c r="AA815">
        <v>0.3714167407813745</v>
      </c>
      <c r="AB815">
        <f>HYPERLINK("Melting_Curves/meltCurve_P0AFR2_dauA.pdf", "Melting_Curves/meltCurve_P0AFR2_dauA.pdf")</f>
        <v>0</v>
      </c>
    </row>
    <row r="816" spans="1:28">
      <c r="A816" t="s">
        <v>842</v>
      </c>
      <c r="B816">
        <v>0.999998419929286</v>
      </c>
      <c r="C816">
        <v>0.877381371126283</v>
      </c>
      <c r="D816">
        <v>0.988521529207178</v>
      </c>
      <c r="E816">
        <v>0.817316069883934</v>
      </c>
      <c r="F816">
        <v>0.389332237117667</v>
      </c>
      <c r="G816">
        <v>0.152116466929865</v>
      </c>
      <c r="H816">
        <v>0.08996591970301659</v>
      </c>
      <c r="I816">
        <v>0.0590539641093744</v>
      </c>
      <c r="J816">
        <v>0.0478383656334047</v>
      </c>
      <c r="K816">
        <v>0.0472963263891903</v>
      </c>
      <c r="L816">
        <v>1253.32804139243</v>
      </c>
      <c r="M816">
        <v>25.5196143523289</v>
      </c>
      <c r="N816">
        <v>49.3292049543443</v>
      </c>
      <c r="O816">
        <v>48.8137470437283</v>
      </c>
      <c r="P816">
        <v>-0.123765207817502</v>
      </c>
      <c r="Q816">
        <v>0.0530627370447019</v>
      </c>
      <c r="R816">
        <v>0.990633249536955</v>
      </c>
      <c r="S816" t="s">
        <v>2500</v>
      </c>
      <c r="T816" t="s">
        <v>3344</v>
      </c>
      <c r="U816" t="s">
        <v>3344</v>
      </c>
      <c r="V816" t="s">
        <v>3344</v>
      </c>
      <c r="W816" t="s">
        <v>4158</v>
      </c>
      <c r="X816">
        <v>7</v>
      </c>
      <c r="Y816" t="s">
        <v>5815</v>
      </c>
      <c r="Z816" t="s">
        <v>7473</v>
      </c>
      <c r="AA816">
        <v>0.4432571087923182</v>
      </c>
      <c r="AB816">
        <f>HYPERLINK("Melting_Curves/meltCurve_P0AFR4_yciO.pdf", "Melting_Curves/meltCurve_P0AFR4_yciO.pdf")</f>
        <v>0</v>
      </c>
    </row>
    <row r="817" spans="1:28">
      <c r="A817" t="s">
        <v>843</v>
      </c>
      <c r="B817">
        <v>0.999998419929286</v>
      </c>
      <c r="C817">
        <v>0.924048718043202</v>
      </c>
      <c r="D817">
        <v>0.924259323297122</v>
      </c>
      <c r="E817">
        <v>0.992752906059826</v>
      </c>
      <c r="F817">
        <v>1.24768003988673</v>
      </c>
      <c r="G817">
        <v>1.43935156247364</v>
      </c>
      <c r="H817">
        <v>1.27246184971114</v>
      </c>
      <c r="I817">
        <v>0.985360460528264</v>
      </c>
      <c r="J817">
        <v>1.08994522129826</v>
      </c>
      <c r="K817">
        <v>0.872598008395212</v>
      </c>
      <c r="L817">
        <v>15000</v>
      </c>
      <c r="M817">
        <v>221.956426997515</v>
      </c>
      <c r="Q817">
        <v>0</v>
      </c>
      <c r="R817">
        <v>-0.128896575108658</v>
      </c>
      <c r="S817" t="s">
        <v>2501</v>
      </c>
      <c r="T817" t="s">
        <v>3344</v>
      </c>
      <c r="U817" t="s">
        <v>3344</v>
      </c>
      <c r="V817" t="s">
        <v>3344</v>
      </c>
      <c r="W817" t="s">
        <v>4159</v>
      </c>
      <c r="X817">
        <v>1</v>
      </c>
      <c r="Y817" t="s">
        <v>5816</v>
      </c>
      <c r="Z817" t="s">
        <v>7474</v>
      </c>
      <c r="AA817">
        <v>0.9986529780556036</v>
      </c>
      <c r="AB817">
        <f>HYPERLINK("Melting_Curves/meltCurve_P0AFS3_folM.pdf", "Melting_Curves/meltCurve_P0AFS3_folM.pdf")</f>
        <v>0</v>
      </c>
    </row>
    <row r="818" spans="1:28">
      <c r="A818" t="s">
        <v>844</v>
      </c>
      <c r="B818">
        <v>0.999998419929286</v>
      </c>
      <c r="C818">
        <v>0.792621665417838</v>
      </c>
      <c r="D818">
        <v>0.96527830830756</v>
      </c>
      <c r="E818">
        <v>0.91803143592679</v>
      </c>
      <c r="F818">
        <v>1.10032932796778</v>
      </c>
      <c r="G818">
        <v>1.27914109485776</v>
      </c>
      <c r="H818">
        <v>1.21113854500101</v>
      </c>
      <c r="I818">
        <v>0.6235336086827969</v>
      </c>
      <c r="J818">
        <v>0.498479179410393</v>
      </c>
      <c r="K818">
        <v>0.396948421387235</v>
      </c>
      <c r="L818">
        <v>13630.9426083757</v>
      </c>
      <c r="M818">
        <v>224.219389174902</v>
      </c>
      <c r="N818">
        <v>61.4112734502321</v>
      </c>
      <c r="O818">
        <v>60.788037796202</v>
      </c>
      <c r="P818">
        <v>-0.509286707763957</v>
      </c>
      <c r="Q818">
        <v>0.447709796117834</v>
      </c>
      <c r="R818">
        <v>0.762081196563769</v>
      </c>
      <c r="S818" t="s">
        <v>2502</v>
      </c>
      <c r="T818" t="s">
        <v>3344</v>
      </c>
      <c r="U818" t="s">
        <v>3344</v>
      </c>
      <c r="V818" t="s">
        <v>3344</v>
      </c>
      <c r="W818" t="s">
        <v>4160</v>
      </c>
      <c r="X818">
        <v>1</v>
      </c>
      <c r="Y818" t="s">
        <v>5817</v>
      </c>
      <c r="Z818" t="s">
        <v>7475</v>
      </c>
      <c r="AA818">
        <v>0.8858022203471942</v>
      </c>
      <c r="AB818">
        <f>HYPERLINK("Melting_Curves/meltCurve_P0AFS7_ydiK.pdf", "Melting_Curves/meltCurve_P0AFS7_ydiK.pdf")</f>
        <v>0</v>
      </c>
    </row>
    <row r="819" spans="1:28">
      <c r="A819" t="s">
        <v>845</v>
      </c>
      <c r="B819">
        <v>0.999998419929286</v>
      </c>
      <c r="C819">
        <v>0.741033574646448</v>
      </c>
      <c r="D819">
        <v>0.849279180088901</v>
      </c>
      <c r="E819">
        <v>0.850460746234615</v>
      </c>
      <c r="F819">
        <v>0.876019386796739</v>
      </c>
      <c r="G819">
        <v>0.913720928333946</v>
      </c>
      <c r="H819">
        <v>0.821927709734503</v>
      </c>
      <c r="I819">
        <v>0.61273932589887</v>
      </c>
      <c r="J819">
        <v>0.544786858453407</v>
      </c>
      <c r="K819">
        <v>0.5671486792145281</v>
      </c>
      <c r="L819">
        <v>234.209263830813</v>
      </c>
      <c r="M819">
        <v>3.13691538634718</v>
      </c>
      <c r="O819">
        <v>56.0421993563393</v>
      </c>
      <c r="P819">
        <v>-0.014373222022442</v>
      </c>
      <c r="Q819">
        <v>0</v>
      </c>
      <c r="R819">
        <v>0.5919270217924339</v>
      </c>
      <c r="S819" t="s">
        <v>2503</v>
      </c>
      <c r="T819" t="s">
        <v>3344</v>
      </c>
      <c r="U819" t="s">
        <v>3344</v>
      </c>
      <c r="V819" t="s">
        <v>3344</v>
      </c>
      <c r="W819" t="s">
        <v>4161</v>
      </c>
      <c r="X819">
        <v>3</v>
      </c>
      <c r="Y819" t="s">
        <v>5818</v>
      </c>
      <c r="Z819" t="s">
        <v>7476</v>
      </c>
      <c r="AA819">
        <v>0.7896724251973708</v>
      </c>
      <c r="AB819">
        <f>HYPERLINK("Melting_Curves/meltCurve_P0AFT2_yecS.pdf", "Melting_Curves/meltCurve_P0AFT2_yecS.pdf")</f>
        <v>0</v>
      </c>
    </row>
    <row r="820" spans="1:28">
      <c r="A820" t="s">
        <v>846</v>
      </c>
      <c r="B820">
        <v>0.999998419929286</v>
      </c>
      <c r="C820">
        <v>0.862979030163869</v>
      </c>
      <c r="D820">
        <v>0.8026160769299709</v>
      </c>
      <c r="E820">
        <v>0.685709334794628</v>
      </c>
      <c r="F820">
        <v>0.390785966498716</v>
      </c>
      <c r="G820">
        <v>0.280434401596944</v>
      </c>
      <c r="H820">
        <v>0.184485189028902</v>
      </c>
      <c r="I820">
        <v>0.150294325851416</v>
      </c>
      <c r="J820">
        <v>0.115580336056378</v>
      </c>
      <c r="K820">
        <v>0.117610957253197</v>
      </c>
      <c r="L820">
        <v>557.116311104735</v>
      </c>
      <c r="M820">
        <v>11.5706808985398</v>
      </c>
      <c r="N820">
        <v>48.7846267279424</v>
      </c>
      <c r="O820">
        <v>46.7781655277523</v>
      </c>
      <c r="P820">
        <v>-0.0575268783476773</v>
      </c>
      <c r="Q820">
        <v>0.06997522434183059</v>
      </c>
      <c r="R820">
        <v>0.990702922206138</v>
      </c>
      <c r="S820" t="s">
        <v>2504</v>
      </c>
      <c r="T820" t="s">
        <v>3344</v>
      </c>
      <c r="U820" t="s">
        <v>3344</v>
      </c>
      <c r="V820" t="s">
        <v>3344</v>
      </c>
      <c r="W820" t="s">
        <v>4162</v>
      </c>
      <c r="X820">
        <v>6</v>
      </c>
      <c r="Y820" t="s">
        <v>5819</v>
      </c>
      <c r="Z820" t="s">
        <v>7477</v>
      </c>
      <c r="AA820">
        <v>0.4460427208411051</v>
      </c>
      <c r="AB820">
        <f>HYPERLINK("Melting_Curves/meltCurve_P0AFU8_ribC.pdf", "Melting_Curves/meltCurve_P0AFU8_ribC.pdf")</f>
        <v>0</v>
      </c>
    </row>
    <row r="821" spans="1:28">
      <c r="A821" t="s">
        <v>847</v>
      </c>
      <c r="B821">
        <v>0.999998419929286</v>
      </c>
      <c r="C821">
        <v>1.66267636819777</v>
      </c>
      <c r="D821">
        <v>0.944055727454524</v>
      </c>
      <c r="E821">
        <v>1.05615254525318</v>
      </c>
      <c r="F821">
        <v>1.44093618976502</v>
      </c>
      <c r="G821">
        <v>1.09200622795507</v>
      </c>
      <c r="H821">
        <v>0.936111392263547</v>
      </c>
      <c r="I821">
        <v>1.54098781666009</v>
      </c>
      <c r="J821">
        <v>8.453992093414771</v>
      </c>
      <c r="K821">
        <v>16.3590405139112</v>
      </c>
      <c r="L821">
        <v>677.604669715674</v>
      </c>
      <c r="M821">
        <v>16.7989671462246</v>
      </c>
      <c r="O821">
        <v>39.777519596838</v>
      </c>
      <c r="P821">
        <v>0.0527938202643136</v>
      </c>
      <c r="Q821">
        <v>1.5</v>
      </c>
      <c r="R821">
        <v>-0.162376749264397</v>
      </c>
      <c r="S821" t="s">
        <v>2505</v>
      </c>
      <c r="T821" t="s">
        <v>3344</v>
      </c>
      <c r="U821" t="s">
        <v>3344</v>
      </c>
      <c r="V821" t="s">
        <v>3344</v>
      </c>
      <c r="W821" t="s">
        <v>4163</v>
      </c>
      <c r="X821">
        <v>2</v>
      </c>
      <c r="Y821" t="s">
        <v>5820</v>
      </c>
      <c r="Z821" t="s">
        <v>7478</v>
      </c>
      <c r="AA821">
        <v>1.430270971853796</v>
      </c>
      <c r="AB821">
        <f>HYPERLINK("Melting_Curves/meltCurve_P0AFW2_rmf.pdf", "Melting_Curves/meltCurve_P0AFW2_rmf.pdf")</f>
        <v>0</v>
      </c>
    </row>
    <row r="822" spans="1:28">
      <c r="A822" t="s">
        <v>848</v>
      </c>
      <c r="B822">
        <v>0.999998419929286</v>
      </c>
      <c r="C822">
        <v>1.02764198470254</v>
      </c>
      <c r="D822">
        <v>0.833375992572573</v>
      </c>
      <c r="E822">
        <v>0.893776260297188</v>
      </c>
      <c r="F822">
        <v>0.750908359944495</v>
      </c>
      <c r="G822">
        <v>0.799194956571206</v>
      </c>
      <c r="H822">
        <v>0.829461695940126</v>
      </c>
      <c r="I822">
        <v>0.979124611285934</v>
      </c>
      <c r="J822">
        <v>1.07025887577549</v>
      </c>
      <c r="K822">
        <v>0.964774233685881</v>
      </c>
      <c r="L822">
        <v>10334.6797573239</v>
      </c>
      <c r="M822">
        <v>250</v>
      </c>
      <c r="O822">
        <v>41.3360737391581</v>
      </c>
      <c r="P822">
        <v>-0.166154252774956</v>
      </c>
      <c r="Q822">
        <v>0.890109369314543</v>
      </c>
      <c r="R822">
        <v>0.228741807524259</v>
      </c>
      <c r="S822" t="s">
        <v>2506</v>
      </c>
      <c r="T822" t="s">
        <v>3344</v>
      </c>
      <c r="U822" t="s">
        <v>3344</v>
      </c>
      <c r="V822" t="s">
        <v>3344</v>
      </c>
      <c r="W822" t="s">
        <v>4164</v>
      </c>
      <c r="X822">
        <v>2</v>
      </c>
      <c r="Y822" t="s">
        <v>5821</v>
      </c>
      <c r="Z822" t="s">
        <v>7479</v>
      </c>
      <c r="AA822">
        <v>0.9060101607654101</v>
      </c>
      <c r="AB822">
        <f>HYPERLINK("Melting_Curves/meltCurve_P0AFW4_rnk.pdf", "Melting_Curves/meltCurve_P0AFW4_rnk.pdf")</f>
        <v>0</v>
      </c>
    </row>
    <row r="823" spans="1:28">
      <c r="A823" t="s">
        <v>849</v>
      </c>
      <c r="B823">
        <v>0.999998419929286</v>
      </c>
      <c r="C823">
        <v>0.873708312116467</v>
      </c>
      <c r="D823">
        <v>0.758932927786232</v>
      </c>
      <c r="E823">
        <v>0.845789619829467</v>
      </c>
      <c r="F823">
        <v>0.933778666855468</v>
      </c>
      <c r="G823">
        <v>0.978148588525468</v>
      </c>
      <c r="H823">
        <v>0.9104593206330091</v>
      </c>
      <c r="I823">
        <v>0.969633382859128</v>
      </c>
      <c r="J823">
        <v>0.820522118835362</v>
      </c>
      <c r="K823">
        <v>0.8095349186141479</v>
      </c>
      <c r="L823">
        <v>9522.75631450895</v>
      </c>
      <c r="M823">
        <v>250</v>
      </c>
      <c r="O823">
        <v>38.0885876980617</v>
      </c>
      <c r="P823">
        <v>-0.200463499790706</v>
      </c>
      <c r="Q823">
        <v>0.877834054712241</v>
      </c>
      <c r="R823">
        <v>0.22670709501474</v>
      </c>
      <c r="S823" t="s">
        <v>2507</v>
      </c>
      <c r="T823" t="s">
        <v>3344</v>
      </c>
      <c r="U823" t="s">
        <v>3344</v>
      </c>
      <c r="V823" t="s">
        <v>3344</v>
      </c>
      <c r="W823" t="s">
        <v>4165</v>
      </c>
      <c r="X823">
        <v>2</v>
      </c>
      <c r="Y823" t="s">
        <v>5822</v>
      </c>
      <c r="Z823" t="s">
        <v>7480</v>
      </c>
      <c r="AA823">
        <v>0.8822854576049284</v>
      </c>
      <c r="AB823">
        <f>HYPERLINK("Melting_Curves/meltCurve_P0AFW8_rof.pdf", "Melting_Curves/meltCurve_P0AFW8_rof.pdf")</f>
        <v>0</v>
      </c>
    </row>
    <row r="824" spans="1:28">
      <c r="A824" t="s">
        <v>850</v>
      </c>
      <c r="B824">
        <v>0.999998419929286</v>
      </c>
      <c r="C824">
        <v>0.715825256245795</v>
      </c>
      <c r="D824">
        <v>1.1455225269276</v>
      </c>
      <c r="E824">
        <v>1.21789023134826</v>
      </c>
      <c r="F824">
        <v>1.19140760976172</v>
      </c>
      <c r="G824">
        <v>2.06871436911745</v>
      </c>
      <c r="H824">
        <v>1.73976679031145</v>
      </c>
      <c r="I824">
        <v>1.11498534889131</v>
      </c>
      <c r="J824">
        <v>1.37165233528887</v>
      </c>
      <c r="K824">
        <v>1.53057362256033</v>
      </c>
      <c r="L824">
        <v>1392.18398309852</v>
      </c>
      <c r="M824">
        <v>29.2965326251357</v>
      </c>
      <c r="O824">
        <v>47.3006738461678</v>
      </c>
      <c r="P824">
        <v>0.0774215777964988</v>
      </c>
      <c r="Q824">
        <v>1.5</v>
      </c>
      <c r="R824">
        <v>0.471255551364838</v>
      </c>
      <c r="S824" t="s">
        <v>2508</v>
      </c>
      <c r="T824" t="s">
        <v>3344</v>
      </c>
      <c r="U824" t="s">
        <v>3344</v>
      </c>
      <c r="V824" t="s">
        <v>3344</v>
      </c>
      <c r="W824" t="s">
        <v>4166</v>
      </c>
      <c r="X824">
        <v>3</v>
      </c>
      <c r="Y824" t="s">
        <v>5823</v>
      </c>
      <c r="Z824" t="s">
        <v>7481</v>
      </c>
      <c r="AA824">
        <v>1.321581021405916</v>
      </c>
      <c r="AB824">
        <f>HYPERLINK("Melting_Curves/meltCurve_P0AFX0_hpf.pdf", "Melting_Curves/meltCurve_P0AFX0_hpf.pdf")</f>
        <v>0</v>
      </c>
    </row>
    <row r="825" spans="1:28">
      <c r="A825" t="s">
        <v>851</v>
      </c>
      <c r="B825">
        <v>0.999998419929286</v>
      </c>
      <c r="C825">
        <v>0.606317386997771</v>
      </c>
      <c r="D825">
        <v>0.354231414286972</v>
      </c>
      <c r="E825">
        <v>0.284941567389943</v>
      </c>
      <c r="F825">
        <v>0.172275542475939</v>
      </c>
      <c r="G825">
        <v>0.174687581783629</v>
      </c>
      <c r="H825">
        <v>0.117290080239278</v>
      </c>
      <c r="I825">
        <v>0.0500598660847372</v>
      </c>
      <c r="J825">
        <v>0.040623548685856</v>
      </c>
      <c r="K825">
        <v>0.0313288059887701</v>
      </c>
      <c r="L825">
        <v>663.017744402496</v>
      </c>
      <c r="M825">
        <v>16.0469192514232</v>
      </c>
      <c r="N825">
        <v>41.806489646868</v>
      </c>
      <c r="O825">
        <v>40.6917681810206</v>
      </c>
      <c r="P825">
        <v>-0.09015847352581741</v>
      </c>
      <c r="Q825">
        <v>0.08557568866064751</v>
      </c>
      <c r="R825">
        <v>0.95311630698696</v>
      </c>
      <c r="S825" t="s">
        <v>2509</v>
      </c>
      <c r="T825" t="s">
        <v>3344</v>
      </c>
      <c r="U825" t="s">
        <v>3344</v>
      </c>
      <c r="V825" t="s">
        <v>3344</v>
      </c>
      <c r="W825" t="s">
        <v>4167</v>
      </c>
      <c r="X825">
        <v>1</v>
      </c>
      <c r="Y825" t="s">
        <v>5824</v>
      </c>
      <c r="Z825" t="s">
        <v>7482</v>
      </c>
      <c r="AA825">
        <v>0.2417968934766498</v>
      </c>
      <c r="AB825">
        <f>HYPERLINK("Melting_Curves/meltCurve_P0AFX4_rsd.pdf", "Melting_Curves/meltCurve_P0AFX4_rsd.pdf")</f>
        <v>0</v>
      </c>
    </row>
    <row r="826" spans="1:28">
      <c r="A826" t="s">
        <v>852</v>
      </c>
      <c r="B826">
        <v>0.999998419929286</v>
      </c>
      <c r="C826">
        <v>0.891786297525904</v>
      </c>
      <c r="D826">
        <v>0.704156555442958</v>
      </c>
      <c r="E826">
        <v>0.334468074301672</v>
      </c>
      <c r="F826">
        <v>0.102348373228138</v>
      </c>
      <c r="G826">
        <v>0.0812256357479771</v>
      </c>
      <c r="H826">
        <v>0.0455884280658896</v>
      </c>
      <c r="I826">
        <v>0.0457308460434205</v>
      </c>
      <c r="J826">
        <v>0.0341622421096599</v>
      </c>
      <c r="K826">
        <v>0.0263619629865833</v>
      </c>
      <c r="L826">
        <v>888.3538187918761</v>
      </c>
      <c r="M826">
        <v>19.8876760351297</v>
      </c>
      <c r="N826">
        <v>44.819636158358</v>
      </c>
      <c r="O826">
        <v>44.2242822479552</v>
      </c>
      <c r="P826">
        <v>-0.10878390277966</v>
      </c>
      <c r="Q826">
        <v>0.0324198941023245</v>
      </c>
      <c r="R826">
        <v>0.998362544065449</v>
      </c>
      <c r="S826" t="s">
        <v>2510</v>
      </c>
      <c r="T826" t="s">
        <v>3344</v>
      </c>
      <c r="U826" t="s">
        <v>3344</v>
      </c>
      <c r="V826" t="s">
        <v>3344</v>
      </c>
      <c r="W826" t="s">
        <v>4168</v>
      </c>
      <c r="X826">
        <v>6</v>
      </c>
      <c r="Y826" t="s">
        <v>5825</v>
      </c>
      <c r="Z826" t="s">
        <v>7483</v>
      </c>
      <c r="AA826">
        <v>0.2926735540005288</v>
      </c>
      <c r="AB826">
        <f>HYPERLINK("Melting_Curves/meltCurve_P0AFX9_rseB.pdf", "Melting_Curves/meltCurve_P0AFX9_rseB.pdf")</f>
        <v>0</v>
      </c>
    </row>
    <row r="827" spans="1:28">
      <c r="A827" t="s">
        <v>853</v>
      </c>
      <c r="B827">
        <v>0.999998419929286</v>
      </c>
      <c r="C827">
        <v>1.10034633760116</v>
      </c>
      <c r="D827">
        <v>0.962926031874528</v>
      </c>
      <c r="E827">
        <v>0.94524735046419</v>
      </c>
      <c r="F827">
        <v>1.01303051406353</v>
      </c>
      <c r="G827">
        <v>1.21262344862085</v>
      </c>
      <c r="H827">
        <v>0.832746588452147</v>
      </c>
      <c r="I827">
        <v>0.522209727321345</v>
      </c>
      <c r="J827">
        <v>0.47268637422578</v>
      </c>
      <c r="K827">
        <v>0.369670366549325</v>
      </c>
      <c r="L827">
        <v>2786.12810968909</v>
      </c>
      <c r="M827">
        <v>47.3787581316767</v>
      </c>
      <c r="N827">
        <v>61.1430353822645</v>
      </c>
      <c r="O827">
        <v>58.7009522654678</v>
      </c>
      <c r="P827">
        <v>-0.117378638725793</v>
      </c>
      <c r="Q827">
        <v>0.418285276137018</v>
      </c>
      <c r="R827">
        <v>0.908436881273803</v>
      </c>
      <c r="S827" t="s">
        <v>2511</v>
      </c>
      <c r="T827" t="s">
        <v>3344</v>
      </c>
      <c r="U827" t="s">
        <v>3344</v>
      </c>
      <c r="V827" t="s">
        <v>3344</v>
      </c>
      <c r="W827" t="s">
        <v>4169</v>
      </c>
      <c r="X827">
        <v>1</v>
      </c>
      <c r="Y827" t="s">
        <v>5826</v>
      </c>
      <c r="Z827" t="s">
        <v>7484</v>
      </c>
      <c r="AA827">
        <v>0.8426849264847613</v>
      </c>
      <c r="AB827">
        <f>HYPERLINK("Melting_Curves/meltCurve_P0AFY8_seqA.pdf", "Melting_Curves/meltCurve_P0AFY8_seqA.pdf")</f>
        <v>0</v>
      </c>
    </row>
    <row r="828" spans="1:28">
      <c r="A828" t="s">
        <v>854</v>
      </c>
      <c r="B828">
        <v>0.999998419929286</v>
      </c>
      <c r="C828">
        <v>0.949587618436915</v>
      </c>
      <c r="D828">
        <v>1.28900478673029</v>
      </c>
      <c r="E828">
        <v>1.77318316965965</v>
      </c>
      <c r="F828">
        <v>1.81257822372843</v>
      </c>
      <c r="G828">
        <v>2.7958227970355</v>
      </c>
      <c r="H828">
        <v>2.25697885297665</v>
      </c>
      <c r="I828">
        <v>1.45233393285844</v>
      </c>
      <c r="J828">
        <v>2.09944468664601</v>
      </c>
      <c r="K828">
        <v>1.98096359447142</v>
      </c>
      <c r="S828" t="s">
        <v>2512</v>
      </c>
      <c r="T828" t="s">
        <v>3344</v>
      </c>
      <c r="U828" t="s">
        <v>3345</v>
      </c>
      <c r="V828" t="s">
        <v>3344</v>
      </c>
      <c r="W828" t="s">
        <v>4170</v>
      </c>
      <c r="X828">
        <v>1</v>
      </c>
      <c r="Y828" t="s">
        <v>5827</v>
      </c>
      <c r="Z828" t="s">
        <v>7485</v>
      </c>
      <c r="AB828">
        <f>HYPERLINK("Melting_Curves/meltCurve_P0AFZ1_sseB.pdf", "Melting_Curves/meltCurve_P0AFZ1_sseB.pdf")</f>
        <v>0</v>
      </c>
    </row>
    <row r="829" spans="1:28">
      <c r="A829" t="s">
        <v>855</v>
      </c>
      <c r="B829">
        <v>0.999998419929286</v>
      </c>
      <c r="C829">
        <v>0.896711335814016</v>
      </c>
      <c r="D829">
        <v>0.646984789522892</v>
      </c>
      <c r="E829">
        <v>0.7897423579334411</v>
      </c>
      <c r="F829">
        <v>0.804826326960288</v>
      </c>
      <c r="G829">
        <v>0.79860608945665</v>
      </c>
      <c r="H829">
        <v>0.759212893257517</v>
      </c>
      <c r="I829">
        <v>0.843165436946724</v>
      </c>
      <c r="J829">
        <v>0.817515945885441</v>
      </c>
      <c r="K829">
        <v>0.692077926346228</v>
      </c>
      <c r="L829">
        <v>9983.463419262731</v>
      </c>
      <c r="M829">
        <v>250</v>
      </c>
      <c r="O829">
        <v>39.9312982008422</v>
      </c>
      <c r="P829">
        <v>-0.361532713376251</v>
      </c>
      <c r="Q829">
        <v>0.769016471023558</v>
      </c>
      <c r="R829">
        <v>0.644366715137456</v>
      </c>
      <c r="S829" t="s">
        <v>2513</v>
      </c>
      <c r="T829" t="s">
        <v>3344</v>
      </c>
      <c r="U829" t="s">
        <v>3344</v>
      </c>
      <c r="V829" t="s">
        <v>3344</v>
      </c>
      <c r="W829" t="s">
        <v>4171</v>
      </c>
      <c r="X829">
        <v>2</v>
      </c>
      <c r="Y829" t="s">
        <v>5828</v>
      </c>
      <c r="Z829" t="s">
        <v>7486</v>
      </c>
      <c r="AA829">
        <v>0.7916217216396981</v>
      </c>
      <c r="AB829">
        <f>HYPERLINK("Melting_Curves/meltCurve_P0AFZ3_sspB.pdf", "Melting_Curves/meltCurve_P0AFZ3_sspB.pdf")</f>
        <v>0</v>
      </c>
    </row>
    <row r="830" spans="1:28">
      <c r="A830" t="s">
        <v>856</v>
      </c>
      <c r="B830">
        <v>0.999998419929286</v>
      </c>
      <c r="C830">
        <v>0.833599569265564</v>
      </c>
      <c r="D830">
        <v>0.670149883341462</v>
      </c>
      <c r="E830">
        <v>0.472032891555942</v>
      </c>
      <c r="F830">
        <v>0.342806194157487</v>
      </c>
      <c r="G830">
        <v>0.231948792554777</v>
      </c>
      <c r="H830">
        <v>0.185795534967992</v>
      </c>
      <c r="I830">
        <v>0.131798249256886</v>
      </c>
      <c r="J830">
        <v>0.122465927022286</v>
      </c>
      <c r="K830">
        <v>0.107514722494971</v>
      </c>
      <c r="L830">
        <v>520.814625180796</v>
      </c>
      <c r="M830">
        <v>11.465468569132</v>
      </c>
      <c r="N830">
        <v>46.2808189724141</v>
      </c>
      <c r="O830">
        <v>44.1086669249075</v>
      </c>
      <c r="P830">
        <v>-0.0587910569227727</v>
      </c>
      <c r="Q830">
        <v>0.09556236146040489</v>
      </c>
      <c r="R830">
        <v>0.994314614117801</v>
      </c>
      <c r="S830" t="s">
        <v>2514</v>
      </c>
      <c r="T830" t="s">
        <v>3344</v>
      </c>
      <c r="U830" t="s">
        <v>3344</v>
      </c>
      <c r="V830" t="s">
        <v>3344</v>
      </c>
      <c r="W830" t="s">
        <v>4172</v>
      </c>
      <c r="X830">
        <v>4</v>
      </c>
      <c r="Y830" t="s">
        <v>5829</v>
      </c>
      <c r="Z830" t="s">
        <v>7487</v>
      </c>
      <c r="AA830">
        <v>0.3843334175410285</v>
      </c>
      <c r="AB830">
        <f>HYPERLINK("Melting_Curves/meltCurve_P0AG00_wzzE.pdf", "Melting_Curves/meltCurve_P0AG00_wzzE.pdf")</f>
        <v>0</v>
      </c>
    </row>
    <row r="831" spans="1:28">
      <c r="A831" t="s">
        <v>857</v>
      </c>
      <c r="B831">
        <v>0.999998419929286</v>
      </c>
      <c r="C831">
        <v>0.919423039492502</v>
      </c>
      <c r="D831">
        <v>0.865358073145696</v>
      </c>
      <c r="E831">
        <v>0.997643239943356</v>
      </c>
      <c r="F831">
        <v>1.10622858509525</v>
      </c>
      <c r="G831">
        <v>1.15467801024802</v>
      </c>
      <c r="H831">
        <v>1.14219019481153</v>
      </c>
      <c r="I831">
        <v>0.989684042505393</v>
      </c>
      <c r="J831">
        <v>0.917201112221859</v>
      </c>
      <c r="K831">
        <v>0.626987921324716</v>
      </c>
      <c r="L831">
        <v>3951.92671074038</v>
      </c>
      <c r="M831">
        <v>60.0285936970193</v>
      </c>
      <c r="O831">
        <v>65.76112693966719</v>
      </c>
      <c r="P831">
        <v>-0.11506972838698</v>
      </c>
      <c r="Q831">
        <v>0.495766171817093</v>
      </c>
      <c r="R831">
        <v>0.632985046750683</v>
      </c>
      <c r="S831" t="s">
        <v>2515</v>
      </c>
      <c r="T831" t="s">
        <v>3344</v>
      </c>
      <c r="U831" t="s">
        <v>3344</v>
      </c>
      <c r="V831" t="s">
        <v>3344</v>
      </c>
      <c r="W831" t="s">
        <v>4173</v>
      </c>
      <c r="X831">
        <v>7</v>
      </c>
      <c r="Y831" t="s">
        <v>5830</v>
      </c>
      <c r="Z831" t="s">
        <v>7488</v>
      </c>
      <c r="AA831">
        <v>0.9754397065924499</v>
      </c>
      <c r="AB831">
        <f>HYPERLINK("Melting_Curves/meltCurve_P0AG07_rpe.pdf", "Melting_Curves/meltCurve_P0AG07_rpe.pdf")</f>
        <v>0</v>
      </c>
    </row>
    <row r="832" spans="1:28">
      <c r="A832" t="s">
        <v>858</v>
      </c>
      <c r="B832">
        <v>0.999998419929286</v>
      </c>
      <c r="C832">
        <v>0.824236831788186</v>
      </c>
      <c r="D832">
        <v>0.445356567246647</v>
      </c>
      <c r="E832">
        <v>0.5270934140071299</v>
      </c>
      <c r="F832">
        <v>0.391419414327453</v>
      </c>
      <c r="G832">
        <v>0.518153773518703</v>
      </c>
      <c r="H832">
        <v>0.457183556691107</v>
      </c>
      <c r="I832">
        <v>0.401131359279882</v>
      </c>
      <c r="J832">
        <v>0.322770365391677</v>
      </c>
      <c r="K832">
        <v>0.509616798154809</v>
      </c>
      <c r="L832">
        <v>10005.5163285593</v>
      </c>
      <c r="M832">
        <v>250</v>
      </c>
      <c r="N832">
        <v>40.3833520216439</v>
      </c>
      <c r="O832">
        <v>40.019505325649</v>
      </c>
      <c r="P832">
        <v>-0.864280677256331</v>
      </c>
      <c r="Q832">
        <v>0.446590653995689</v>
      </c>
      <c r="R832">
        <v>0.9092944578140389</v>
      </c>
      <c r="S832" t="s">
        <v>2516</v>
      </c>
      <c r="T832" t="s">
        <v>3344</v>
      </c>
      <c r="U832" t="s">
        <v>3344</v>
      </c>
      <c r="V832" t="s">
        <v>3344</v>
      </c>
      <c r="W832" t="s">
        <v>4174</v>
      </c>
      <c r="X832">
        <v>1</v>
      </c>
      <c r="Y832" t="s">
        <v>5831</v>
      </c>
      <c r="Z832" t="s">
        <v>7489</v>
      </c>
      <c r="AA832">
        <v>0.5023774973921801</v>
      </c>
      <c r="AB832">
        <f>HYPERLINK("Melting_Curves/meltCurve_P0AG14_sohB.pdf", "Melting_Curves/meltCurve_P0AG14_sohB.pdf")</f>
        <v>0</v>
      </c>
    </row>
    <row r="833" spans="1:28">
      <c r="A833" t="s">
        <v>859</v>
      </c>
      <c r="B833">
        <v>0.999998419929286</v>
      </c>
      <c r="C833">
        <v>0.769381130847781</v>
      </c>
      <c r="D833">
        <v>0.305353079647439</v>
      </c>
      <c r="E833">
        <v>0.292207650884011</v>
      </c>
      <c r="F833">
        <v>0.195291195482236</v>
      </c>
      <c r="G833">
        <v>0.220995854315653</v>
      </c>
      <c r="H833">
        <v>0.096325941433138</v>
      </c>
      <c r="I833">
        <v>0.06698606685059599</v>
      </c>
      <c r="J833">
        <v>0.0363653387361983</v>
      </c>
      <c r="K833">
        <v>0.0465376725878135</v>
      </c>
      <c r="L833">
        <v>978.265457337907</v>
      </c>
      <c r="M833">
        <v>23.6055191078624</v>
      </c>
      <c r="N833">
        <v>41.9171928628939</v>
      </c>
      <c r="O833">
        <v>41.1482615711633</v>
      </c>
      <c r="P833">
        <v>-0.126590490447931</v>
      </c>
      <c r="Q833">
        <v>0.117343782410975</v>
      </c>
      <c r="R833">
        <v>0.947318839489215</v>
      </c>
      <c r="S833" t="s">
        <v>2517</v>
      </c>
      <c r="T833" t="s">
        <v>3344</v>
      </c>
      <c r="U833" t="s">
        <v>3344</v>
      </c>
      <c r="V833" t="s">
        <v>3344</v>
      </c>
      <c r="W833" t="s">
        <v>4175</v>
      </c>
      <c r="X833">
        <v>1</v>
      </c>
      <c r="Y833" t="s">
        <v>5832</v>
      </c>
      <c r="Z833" t="s">
        <v>7490</v>
      </c>
      <c r="AA833">
        <v>0.2576007028540148</v>
      </c>
      <c r="AB833">
        <f>HYPERLINK("Melting_Curves/meltCurve_P0AG20_relA.pdf", "Melting_Curves/meltCurve_P0AG20_relA.pdf")</f>
        <v>0</v>
      </c>
    </row>
    <row r="834" spans="1:28">
      <c r="A834" t="s">
        <v>860</v>
      </c>
      <c r="B834">
        <v>0.999998419929286</v>
      </c>
      <c r="C834">
        <v>0.788041046738206</v>
      </c>
      <c r="D834">
        <v>0.929436903243002</v>
      </c>
      <c r="E834">
        <v>0.996977855795383</v>
      </c>
      <c r="F834">
        <v>1.18929207851635</v>
      </c>
      <c r="G834">
        <v>1.21958850306629</v>
      </c>
      <c r="H834">
        <v>1.0646145084909</v>
      </c>
      <c r="I834">
        <v>0.747707775189976</v>
      </c>
      <c r="J834">
        <v>0.7792782823658621</v>
      </c>
      <c r="K834">
        <v>0.809886519280627</v>
      </c>
      <c r="L834">
        <v>5824.26739391788</v>
      </c>
      <c r="M834">
        <v>98.167909344598</v>
      </c>
      <c r="O834">
        <v>59.3050373137021</v>
      </c>
      <c r="P834">
        <v>-0.0927627074970164</v>
      </c>
      <c r="Q834">
        <v>0.775841388120915</v>
      </c>
      <c r="R834">
        <v>0.461489302504572</v>
      </c>
      <c r="S834" t="s">
        <v>2518</v>
      </c>
      <c r="T834" t="s">
        <v>3344</v>
      </c>
      <c r="U834" t="s">
        <v>3344</v>
      </c>
      <c r="V834" t="s">
        <v>3344</v>
      </c>
      <c r="W834" t="s">
        <v>4176</v>
      </c>
      <c r="X834">
        <v>6</v>
      </c>
      <c r="Y834" t="s">
        <v>5833</v>
      </c>
      <c r="Z834" t="s">
        <v>7491</v>
      </c>
      <c r="AA834">
        <v>0.9428389534088076</v>
      </c>
      <c r="AB834">
        <f>HYPERLINK("Melting_Curves/meltCurve_P0AG27_yibN.pdf", "Melting_Curves/meltCurve_P0AG27_yibN.pdf")</f>
        <v>0</v>
      </c>
    </row>
    <row r="835" spans="1:28">
      <c r="A835" t="s">
        <v>861</v>
      </c>
      <c r="B835">
        <v>0.999998419929286</v>
      </c>
      <c r="C835">
        <v>0.621853649599017</v>
      </c>
      <c r="D835">
        <v>0.332794635455567</v>
      </c>
      <c r="E835">
        <v>0.219371150994529</v>
      </c>
      <c r="F835">
        <v>0.208191406004627</v>
      </c>
      <c r="G835">
        <v>0.184330483437742</v>
      </c>
      <c r="H835">
        <v>0.136325274916741</v>
      </c>
      <c r="I835">
        <v>0.120675452459788</v>
      </c>
      <c r="J835">
        <v>0.118922852584278</v>
      </c>
      <c r="K835">
        <v>0.112982714513579</v>
      </c>
      <c r="L835">
        <v>999.140375736853</v>
      </c>
      <c r="M835">
        <v>24.6292785827708</v>
      </c>
      <c r="N835">
        <v>41.1672352555958</v>
      </c>
      <c r="O835">
        <v>40.3025832264248</v>
      </c>
      <c r="P835">
        <v>-0.129738525529145</v>
      </c>
      <c r="Q835">
        <v>0.150811912216771</v>
      </c>
      <c r="R835">
        <v>0.97958960238334</v>
      </c>
      <c r="S835" t="s">
        <v>2519</v>
      </c>
      <c r="T835" t="s">
        <v>3344</v>
      </c>
      <c r="U835" t="s">
        <v>3344</v>
      </c>
      <c r="V835" t="s">
        <v>3344</v>
      </c>
      <c r="W835" t="s">
        <v>4177</v>
      </c>
      <c r="X835">
        <v>10</v>
      </c>
      <c r="Y835" t="s">
        <v>5834</v>
      </c>
      <c r="Z835" t="s">
        <v>7492</v>
      </c>
      <c r="AA835">
        <v>0.2613696236430356</v>
      </c>
      <c r="AB835">
        <f>HYPERLINK("Melting_Curves/meltCurve_P0AG30_rho.pdf", "Melting_Curves/meltCurve_P0AG30_rho.pdf")</f>
        <v>0</v>
      </c>
    </row>
    <row r="836" spans="1:28">
      <c r="A836" t="s">
        <v>862</v>
      </c>
      <c r="B836">
        <v>0.999998419929286</v>
      </c>
      <c r="C836">
        <v>0.9640974534579549</v>
      </c>
      <c r="D836">
        <v>0.840421335552744</v>
      </c>
      <c r="E836">
        <v>0.651188235562161</v>
      </c>
      <c r="F836">
        <v>0.240644681766376</v>
      </c>
      <c r="G836">
        <v>0.120237719898992</v>
      </c>
      <c r="H836">
        <v>0.0519862586939563</v>
      </c>
      <c r="I836">
        <v>0.0485081312310017</v>
      </c>
      <c r="J836">
        <v>0.0435528404268234</v>
      </c>
      <c r="K836">
        <v>0.0492233177865107</v>
      </c>
      <c r="L836">
        <v>946.213234688585</v>
      </c>
      <c r="M836">
        <v>19.9477220537996</v>
      </c>
      <c r="N836">
        <v>47.6020507850917</v>
      </c>
      <c r="O836">
        <v>46.9656530674197</v>
      </c>
      <c r="P836">
        <v>-0.102589197197251</v>
      </c>
      <c r="Q836">
        <v>0.0338726095467114</v>
      </c>
      <c r="R836">
        <v>0.995674748462816</v>
      </c>
      <c r="S836" t="s">
        <v>2520</v>
      </c>
      <c r="T836" t="s">
        <v>3344</v>
      </c>
      <c r="U836" t="s">
        <v>3344</v>
      </c>
      <c r="V836" t="s">
        <v>3344</v>
      </c>
      <c r="W836" t="s">
        <v>4178</v>
      </c>
      <c r="X836">
        <v>4</v>
      </c>
      <c r="Y836" t="s">
        <v>5835</v>
      </c>
      <c r="Z836" t="s">
        <v>7493</v>
      </c>
      <c r="AA836">
        <v>0.3826438142601239</v>
      </c>
      <c r="AB836">
        <f>HYPERLINK("Melting_Curves/meltCurve_P0AG40_ribF.pdf", "Melting_Curves/meltCurve_P0AG40_ribF.pdf")</f>
        <v>0</v>
      </c>
    </row>
    <row r="837" spans="1:28">
      <c r="A837" t="s">
        <v>863</v>
      </c>
      <c r="B837">
        <v>0.999998419929286</v>
      </c>
      <c r="C837">
        <v>0.881345019266105</v>
      </c>
      <c r="D837">
        <v>0.5358621714503859</v>
      </c>
      <c r="E837">
        <v>0.426313865272074</v>
      </c>
      <c r="F837">
        <v>0.317564280578787</v>
      </c>
      <c r="G837">
        <v>0.218165982804756</v>
      </c>
      <c r="H837">
        <v>0.10941563145952</v>
      </c>
      <c r="I837">
        <v>0.104191740647618</v>
      </c>
      <c r="J837">
        <v>0.110663653271174</v>
      </c>
      <c r="K837">
        <v>0.160824579088385</v>
      </c>
      <c r="L837">
        <v>598.995755584686</v>
      </c>
      <c r="M837">
        <v>13.5835426378369</v>
      </c>
      <c r="N837">
        <v>44.9918895533395</v>
      </c>
      <c r="O837">
        <v>43.1743608714513</v>
      </c>
      <c r="P837">
        <v>-0.0693559746285318</v>
      </c>
      <c r="Q837">
        <v>0.118358388125978</v>
      </c>
      <c r="R837">
        <v>0.973434829564781</v>
      </c>
      <c r="S837" t="s">
        <v>2521</v>
      </c>
      <c r="T837" t="s">
        <v>3344</v>
      </c>
      <c r="U837" t="s">
        <v>3344</v>
      </c>
      <c r="V837" t="s">
        <v>3344</v>
      </c>
      <c r="W837" t="s">
        <v>4179</v>
      </c>
      <c r="X837">
        <v>5</v>
      </c>
      <c r="Y837" t="s">
        <v>5836</v>
      </c>
      <c r="Z837" t="s">
        <v>7494</v>
      </c>
      <c r="AA837">
        <v>0.3535849489773257</v>
      </c>
      <c r="AB837">
        <f>HYPERLINK("Melting_Curves/meltCurve_P0AG44_rplQ.pdf", "Melting_Curves/meltCurve_P0AG44_rplQ.pdf")</f>
        <v>0</v>
      </c>
    </row>
    <row r="838" spans="1:28">
      <c r="A838" t="s">
        <v>864</v>
      </c>
      <c r="B838">
        <v>0.999998419929286</v>
      </c>
      <c r="C838">
        <v>0.759328951212814</v>
      </c>
      <c r="D838">
        <v>0.810654640789426</v>
      </c>
      <c r="E838">
        <v>0.660095888323403</v>
      </c>
      <c r="F838">
        <v>0.629152224241128</v>
      </c>
      <c r="G838">
        <v>0.586311664702671</v>
      </c>
      <c r="H838">
        <v>0.5266108996272389</v>
      </c>
      <c r="I838">
        <v>0.493783948396167</v>
      </c>
      <c r="J838">
        <v>0.546870232148181</v>
      </c>
      <c r="K838">
        <v>0.572235284123374</v>
      </c>
      <c r="L838">
        <v>457.991663794769</v>
      </c>
      <c r="M838">
        <v>10.6377603763298</v>
      </c>
      <c r="O838">
        <v>41.6155537569144</v>
      </c>
      <c r="P838">
        <v>-0.0304899969367342</v>
      </c>
      <c r="Q838">
        <v>0.5230684361087909</v>
      </c>
      <c r="R838">
        <v>0.899442741245478</v>
      </c>
      <c r="S838" t="s">
        <v>2522</v>
      </c>
      <c r="T838" t="s">
        <v>3344</v>
      </c>
      <c r="U838" t="s">
        <v>3344</v>
      </c>
      <c r="V838" t="s">
        <v>3344</v>
      </c>
      <c r="W838" t="s">
        <v>4180</v>
      </c>
      <c r="X838">
        <v>6</v>
      </c>
      <c r="Y838" t="s">
        <v>5837</v>
      </c>
      <c r="Z838" t="s">
        <v>7495</v>
      </c>
      <c r="AA838">
        <v>0.6439441049808122</v>
      </c>
      <c r="AB838">
        <f>HYPERLINK("Melting_Curves/meltCurve_P0AG48_rplU.pdf", "Melting_Curves/meltCurve_P0AG48_rplU.pdf")</f>
        <v>0</v>
      </c>
    </row>
    <row r="839" spans="1:28">
      <c r="A839" t="s">
        <v>865</v>
      </c>
      <c r="B839">
        <v>0.999998419929286</v>
      </c>
      <c r="C839">
        <v>0.74967117202547</v>
      </c>
      <c r="D839">
        <v>0.480624964082623</v>
      </c>
      <c r="E839">
        <v>0.29877835405129</v>
      </c>
      <c r="F839">
        <v>0.112491782552766</v>
      </c>
      <c r="G839">
        <v>0.0781967527895014</v>
      </c>
      <c r="H839">
        <v>0.0575301126411692</v>
      </c>
      <c r="I839">
        <v>0.0400372903173093</v>
      </c>
      <c r="J839">
        <v>0.06299518378805111</v>
      </c>
      <c r="K839">
        <v>0.0811523444835376</v>
      </c>
      <c r="L839">
        <v>703.281078293326</v>
      </c>
      <c r="M839">
        <v>16.4491229803947</v>
      </c>
      <c r="N839">
        <v>43.0560881815446</v>
      </c>
      <c r="O839">
        <v>42.1380095314031</v>
      </c>
      <c r="P839">
        <v>-0.0922940095184519</v>
      </c>
      <c r="Q839">
        <v>0.0543417340970761</v>
      </c>
      <c r="R839">
        <v>0.99027676588414</v>
      </c>
      <c r="S839" t="s">
        <v>2523</v>
      </c>
      <c r="T839" t="s">
        <v>3344</v>
      </c>
      <c r="U839" t="s">
        <v>3344</v>
      </c>
      <c r="V839" t="s">
        <v>3344</v>
      </c>
      <c r="W839" t="s">
        <v>4181</v>
      </c>
      <c r="X839">
        <v>3</v>
      </c>
      <c r="Y839" t="s">
        <v>5838</v>
      </c>
      <c r="Z839" t="s">
        <v>7496</v>
      </c>
      <c r="AA839">
        <v>0.2565772384837913</v>
      </c>
      <c r="AB839">
        <f>HYPERLINK("Melting_Curves/meltCurve_P0AG51_rpmD.pdf", "Melting_Curves/meltCurve_P0AG51_rpmD.pdf")</f>
        <v>0</v>
      </c>
    </row>
    <row r="840" spans="1:28">
      <c r="A840" t="s">
        <v>866</v>
      </c>
      <c r="B840">
        <v>0.999998419929286</v>
      </c>
      <c r="C840">
        <v>0.66571030108596</v>
      </c>
      <c r="D840">
        <v>0.383260882333204</v>
      </c>
      <c r="E840">
        <v>0.127055943185124</v>
      </c>
      <c r="F840">
        <v>0.0550893300695799</v>
      </c>
      <c r="G840">
        <v>0.0464066033957478</v>
      </c>
      <c r="H840">
        <v>0.0345332937979505</v>
      </c>
      <c r="I840">
        <v>0.0324774796159367</v>
      </c>
      <c r="J840">
        <v>0.0314021091424993</v>
      </c>
      <c r="K840">
        <v>0.0328971881253962</v>
      </c>
      <c r="L840">
        <v>856.263347165937</v>
      </c>
      <c r="M840">
        <v>20.591913445942</v>
      </c>
      <c r="N840">
        <v>41.7203809980194</v>
      </c>
      <c r="O840">
        <v>41.1962979639628</v>
      </c>
      <c r="P840">
        <v>-0.120855186120903</v>
      </c>
      <c r="Q840">
        <v>0.0328937417438731</v>
      </c>
      <c r="R840">
        <v>0.992344764166089</v>
      </c>
      <c r="S840" t="s">
        <v>2524</v>
      </c>
      <c r="T840" t="s">
        <v>3344</v>
      </c>
      <c r="U840" t="s">
        <v>3344</v>
      </c>
      <c r="V840" t="s">
        <v>3344</v>
      </c>
      <c r="W840" t="s">
        <v>4182</v>
      </c>
      <c r="X840">
        <v>11</v>
      </c>
      <c r="Y840" t="s">
        <v>5839</v>
      </c>
      <c r="Z840" t="s">
        <v>7497</v>
      </c>
      <c r="AA840">
        <v>0.1948758100904926</v>
      </c>
      <c r="AB840">
        <f>HYPERLINK("Melting_Curves/meltCurve_P0AG55_rplF.pdf", "Melting_Curves/meltCurve_P0AG55_rplF.pdf")</f>
        <v>0</v>
      </c>
    </row>
    <row r="841" spans="1:28">
      <c r="A841" t="s">
        <v>867</v>
      </c>
      <c r="B841">
        <v>0.999998419929286</v>
      </c>
      <c r="C841">
        <v>0.874890947911714</v>
      </c>
      <c r="D841">
        <v>0.695955067044257</v>
      </c>
      <c r="E841">
        <v>0.769284936492213</v>
      </c>
      <c r="F841">
        <v>1.07757477409606</v>
      </c>
      <c r="G841">
        <v>0.836205166759206</v>
      </c>
      <c r="H841">
        <v>0.747598676510115</v>
      </c>
      <c r="I841">
        <v>0.66802668374797</v>
      </c>
      <c r="J841">
        <v>0.75435228463554</v>
      </c>
      <c r="K841">
        <v>0.729195756561981</v>
      </c>
      <c r="L841">
        <v>116.942339139926</v>
      </c>
      <c r="M841">
        <v>0.7845299739291069</v>
      </c>
      <c r="O841">
        <v>43.3932629301666</v>
      </c>
      <c r="P841">
        <v>-0.00697504837868758</v>
      </c>
      <c r="Q841">
        <v>0</v>
      </c>
      <c r="R841">
        <v>0.252685091406696</v>
      </c>
      <c r="S841" t="s">
        <v>2525</v>
      </c>
      <c r="T841" t="s">
        <v>3344</v>
      </c>
      <c r="U841" t="s">
        <v>3344</v>
      </c>
      <c r="V841" t="s">
        <v>3344</v>
      </c>
      <c r="W841" t="s">
        <v>4183</v>
      </c>
      <c r="X841">
        <v>1</v>
      </c>
      <c r="Y841" t="s">
        <v>5840</v>
      </c>
      <c r="Z841" t="s">
        <v>7498</v>
      </c>
      <c r="AA841">
        <v>0.8147221385108067</v>
      </c>
      <c r="AB841">
        <f>HYPERLINK("Melting_Curves/meltCurve_P0AG59_rpsN.pdf", "Melting_Curves/meltCurve_P0AG59_rpsN.pdf")</f>
        <v>0</v>
      </c>
    </row>
    <row r="842" spans="1:28">
      <c r="A842" t="s">
        <v>868</v>
      </c>
      <c r="B842">
        <v>0.999998419929286</v>
      </c>
      <c r="C842">
        <v>0.701073865799491</v>
      </c>
      <c r="D842">
        <v>0.690701140228826</v>
      </c>
      <c r="E842">
        <v>0.253518462608918</v>
      </c>
      <c r="F842">
        <v>0.08177795459958789</v>
      </c>
      <c r="G842">
        <v>0.0389782979776024</v>
      </c>
      <c r="H842">
        <v>0.0232156672483438</v>
      </c>
      <c r="I842">
        <v>0.0190101383165936</v>
      </c>
      <c r="J842">
        <v>0.0253991458474669</v>
      </c>
      <c r="K842">
        <v>0.0233184277365411</v>
      </c>
      <c r="L842">
        <v>702.64843038264</v>
      </c>
      <c r="M842">
        <v>16.0114709729583</v>
      </c>
      <c r="N842">
        <v>43.8929356587391</v>
      </c>
      <c r="O842">
        <v>43.2166634998844</v>
      </c>
      <c r="P842">
        <v>-0.09248064095885029</v>
      </c>
      <c r="Q842">
        <v>0.00161811472655359</v>
      </c>
      <c r="R842">
        <v>0.971987727852036</v>
      </c>
      <c r="S842" t="s">
        <v>2526</v>
      </c>
      <c r="T842" t="s">
        <v>3344</v>
      </c>
      <c r="U842" t="s">
        <v>3344</v>
      </c>
      <c r="V842" t="s">
        <v>3344</v>
      </c>
      <c r="W842" t="s">
        <v>4184</v>
      </c>
      <c r="X842">
        <v>2</v>
      </c>
      <c r="Y842" t="s">
        <v>5841</v>
      </c>
      <c r="Z842" t="s">
        <v>7499</v>
      </c>
      <c r="AA842">
        <v>0.2524601664251642</v>
      </c>
      <c r="AB842">
        <f>HYPERLINK("Melting_Curves/meltCurve_P0AG63_rpsQ.pdf", "Melting_Curves/meltCurve_P0AG63_rpsQ.pdf")</f>
        <v>0</v>
      </c>
    </row>
    <row r="843" spans="1:28">
      <c r="A843" t="s">
        <v>869</v>
      </c>
      <c r="B843">
        <v>0.999998419929286</v>
      </c>
      <c r="C843">
        <v>1.13766645307468</v>
      </c>
      <c r="D843">
        <v>1.27253395364138</v>
      </c>
      <c r="E843">
        <v>1.37215431140184</v>
      </c>
      <c r="F843">
        <v>1.46022929591752</v>
      </c>
      <c r="G843">
        <v>1.73459538373211</v>
      </c>
      <c r="H843">
        <v>1.25656056540109</v>
      </c>
      <c r="I843">
        <v>1.0523679209482</v>
      </c>
      <c r="J843">
        <v>1.00413110493584</v>
      </c>
      <c r="K843">
        <v>0.8621932855387801</v>
      </c>
      <c r="S843" t="s">
        <v>2527</v>
      </c>
      <c r="T843" t="s">
        <v>3344</v>
      </c>
      <c r="U843" t="s">
        <v>3345</v>
      </c>
      <c r="V843" t="s">
        <v>3344</v>
      </c>
      <c r="W843" t="s">
        <v>4185</v>
      </c>
      <c r="X843">
        <v>21</v>
      </c>
      <c r="Y843" t="s">
        <v>5842</v>
      </c>
      <c r="Z843" t="s">
        <v>7500</v>
      </c>
      <c r="AB843">
        <f>HYPERLINK("Melting_Curves/meltCurve_P0AG67_rpsA.pdf", "Melting_Curves/meltCurve_P0AG67_rpsA.pdf")</f>
        <v>0</v>
      </c>
    </row>
    <row r="844" spans="1:28">
      <c r="A844" t="s">
        <v>870</v>
      </c>
      <c r="B844">
        <v>0.999998419929286</v>
      </c>
      <c r="C844">
        <v>0.951521352835746</v>
      </c>
      <c r="D844">
        <v>1.12899626311641</v>
      </c>
      <c r="E844">
        <v>1.15009393197218</v>
      </c>
      <c r="F844">
        <v>1.50494462038144</v>
      </c>
      <c r="G844">
        <v>1.52594766771839</v>
      </c>
      <c r="H844">
        <v>1.44241336520923</v>
      </c>
      <c r="I844">
        <v>1.18199956571586</v>
      </c>
      <c r="J844">
        <v>1.38232171824188</v>
      </c>
      <c r="K844">
        <v>0.875864471882316</v>
      </c>
      <c r="L844">
        <v>1380.33195859661</v>
      </c>
      <c r="M844">
        <v>30.9740364032201</v>
      </c>
      <c r="O844">
        <v>44.3796401828159</v>
      </c>
      <c r="P844">
        <v>0.0538918585622845</v>
      </c>
      <c r="Q844">
        <v>1.30886353356637</v>
      </c>
      <c r="R844">
        <v>0.34113038058377</v>
      </c>
      <c r="S844" t="s">
        <v>2528</v>
      </c>
      <c r="T844" t="s">
        <v>3344</v>
      </c>
      <c r="U844" t="s">
        <v>3344</v>
      </c>
      <c r="V844" t="s">
        <v>3344</v>
      </c>
      <c r="W844" t="s">
        <v>4186</v>
      </c>
      <c r="X844">
        <v>5</v>
      </c>
      <c r="Y844" t="s">
        <v>5843</v>
      </c>
      <c r="Z844" t="s">
        <v>7501</v>
      </c>
      <c r="AA844">
        <v>1.229374256133795</v>
      </c>
      <c r="AB844">
        <f>HYPERLINK("Melting_Curves/meltCurve_P0AG78_sbp.pdf", "Melting_Curves/meltCurve_P0AG78_sbp.pdf")</f>
        <v>0</v>
      </c>
    </row>
    <row r="845" spans="1:28">
      <c r="A845" t="s">
        <v>871</v>
      </c>
      <c r="B845">
        <v>0.999998419929286</v>
      </c>
      <c r="C845">
        <v>1.19889024124471</v>
      </c>
      <c r="D845">
        <v>1.36462383839319</v>
      </c>
      <c r="E845">
        <v>1.63473499815697</v>
      </c>
      <c r="F845">
        <v>1.51002066275882</v>
      </c>
      <c r="G845">
        <v>0.395644967399196</v>
      </c>
      <c r="H845">
        <v>0.101227305157778</v>
      </c>
      <c r="I845">
        <v>0.0590364747725172</v>
      </c>
      <c r="J845">
        <v>0.0469531113158302</v>
      </c>
      <c r="K845">
        <v>0.0451868875294865</v>
      </c>
      <c r="L845">
        <v>13417.8604661692</v>
      </c>
      <c r="M845">
        <v>250</v>
      </c>
      <c r="N845">
        <v>53.7004203205351</v>
      </c>
      <c r="O845">
        <v>53.6680028647139</v>
      </c>
      <c r="P845">
        <v>-1.09108191857006</v>
      </c>
      <c r="Q845">
        <v>0.0631009239695014</v>
      </c>
      <c r="R845">
        <v>0.791391398351172</v>
      </c>
      <c r="S845" t="s">
        <v>2529</v>
      </c>
      <c r="T845" t="s">
        <v>3344</v>
      </c>
      <c r="U845" t="s">
        <v>3344</v>
      </c>
      <c r="V845" t="s">
        <v>3344</v>
      </c>
      <c r="W845" t="s">
        <v>4187</v>
      </c>
      <c r="X845">
        <v>17</v>
      </c>
      <c r="Y845" t="s">
        <v>5844</v>
      </c>
      <c r="Z845" t="s">
        <v>7502</v>
      </c>
      <c r="AA845">
        <v>0.5838377888484281</v>
      </c>
      <c r="AB845">
        <f>HYPERLINK("Melting_Curves/meltCurve_P0AG80_ugpB.pdf", "Melting_Curves/meltCurve_P0AG80_ugpB.pdf")</f>
        <v>0</v>
      </c>
    </row>
    <row r="846" spans="1:28">
      <c r="A846" t="s">
        <v>872</v>
      </c>
      <c r="B846">
        <v>0.999998419929286</v>
      </c>
      <c r="C846">
        <v>1.06272042085383</v>
      </c>
      <c r="D846">
        <v>1.09657553999812</v>
      </c>
      <c r="E846">
        <v>1.26803673289141</v>
      </c>
      <c r="F846">
        <v>1.53436747982361</v>
      </c>
      <c r="G846">
        <v>1.65406584514922</v>
      </c>
      <c r="H846">
        <v>1.49041837233522</v>
      </c>
      <c r="I846">
        <v>1.26183493694932</v>
      </c>
      <c r="J846">
        <v>1.44346434026419</v>
      </c>
      <c r="K846">
        <v>1.55797600889874</v>
      </c>
      <c r="L846">
        <v>1485.98574246261</v>
      </c>
      <c r="M846">
        <v>32.4213274145614</v>
      </c>
      <c r="O846">
        <v>45.6602711824846</v>
      </c>
      <c r="P846">
        <v>0.0872303834987558</v>
      </c>
      <c r="Q846">
        <v>1.49139800624417</v>
      </c>
      <c r="R846">
        <v>0.793184872556176</v>
      </c>
      <c r="S846" t="s">
        <v>2530</v>
      </c>
      <c r="T846" t="s">
        <v>3344</v>
      </c>
      <c r="U846" t="s">
        <v>3344</v>
      </c>
      <c r="V846" t="s">
        <v>3344</v>
      </c>
      <c r="W846" t="s">
        <v>4188</v>
      </c>
      <c r="X846">
        <v>13</v>
      </c>
      <c r="Y846" t="s">
        <v>5845</v>
      </c>
      <c r="Z846" t="s">
        <v>7503</v>
      </c>
      <c r="AA846">
        <v>1.344318562694992</v>
      </c>
      <c r="AB846">
        <f>HYPERLINK("Melting_Curves/meltCurve_P0AG82_pstS.pdf", "Melting_Curves/meltCurve_P0AG82_pstS.pdf")</f>
        <v>0</v>
      </c>
    </row>
    <row r="847" spans="1:28">
      <c r="A847" t="s">
        <v>873</v>
      </c>
      <c r="B847">
        <v>0.999998419929286</v>
      </c>
      <c r="C847">
        <v>0.989712381430503</v>
      </c>
      <c r="D847">
        <v>1.00010174913109</v>
      </c>
      <c r="E847">
        <v>1.07345877388107</v>
      </c>
      <c r="F847">
        <v>1.10614171005761</v>
      </c>
      <c r="G847">
        <v>1.16647057447291</v>
      </c>
      <c r="H847">
        <v>0.825426933039216</v>
      </c>
      <c r="I847">
        <v>0.287951774899457</v>
      </c>
      <c r="J847">
        <v>0.09659215485148059</v>
      </c>
      <c r="K847">
        <v>0.070155250739614</v>
      </c>
      <c r="L847">
        <v>2784.40788707724</v>
      </c>
      <c r="M847">
        <v>46.885208147048</v>
      </c>
      <c r="N847">
        <v>59.5776679808703</v>
      </c>
      <c r="O847">
        <v>59.2800300799343</v>
      </c>
      <c r="P847">
        <v>-0.184002974095837</v>
      </c>
      <c r="Q847">
        <v>0.0694131242311694</v>
      </c>
      <c r="R847">
        <v>0.97197211842211</v>
      </c>
      <c r="S847" t="s">
        <v>2531</v>
      </c>
      <c r="T847" t="s">
        <v>3344</v>
      </c>
      <c r="U847" t="s">
        <v>3344</v>
      </c>
      <c r="V847" t="s">
        <v>3344</v>
      </c>
      <c r="W847" t="s">
        <v>4189</v>
      </c>
      <c r="X847">
        <v>14</v>
      </c>
      <c r="Y847" t="s">
        <v>5846</v>
      </c>
      <c r="Z847" t="s">
        <v>7504</v>
      </c>
      <c r="AA847">
        <v>0.7663914739762426</v>
      </c>
      <c r="AB847">
        <f>HYPERLINK("Melting_Curves/meltCurve_P0AG84_yghA.pdf", "Melting_Curves/meltCurve_P0AG84_yghA.pdf")</f>
        <v>0</v>
      </c>
    </row>
    <row r="848" spans="1:28">
      <c r="A848" t="s">
        <v>874</v>
      </c>
      <c r="B848">
        <v>0.999998419929286</v>
      </c>
      <c r="C848">
        <v>0.719069244440898</v>
      </c>
      <c r="D848">
        <v>0.905213613640489</v>
      </c>
      <c r="E848">
        <v>0.892549631774391</v>
      </c>
      <c r="F848">
        <v>0.668765957080688</v>
      </c>
      <c r="G848">
        <v>0.436610364796225</v>
      </c>
      <c r="H848">
        <v>0.273058986419934</v>
      </c>
      <c r="I848">
        <v>0.163761067827998</v>
      </c>
      <c r="J848">
        <v>0.119625982279043</v>
      </c>
      <c r="K848">
        <v>0.11044846233307</v>
      </c>
      <c r="L848">
        <v>585.062656371314</v>
      </c>
      <c r="M848">
        <v>11.071422840651</v>
      </c>
      <c r="N848">
        <v>52.8444161891277</v>
      </c>
      <c r="O848">
        <v>51.2082216688359</v>
      </c>
      <c r="P848">
        <v>-0.0540687892255054</v>
      </c>
      <c r="Q848">
        <v>0</v>
      </c>
      <c r="R848">
        <v>0.9333050687628131</v>
      </c>
      <c r="S848" t="s">
        <v>2532</v>
      </c>
      <c r="T848" t="s">
        <v>3344</v>
      </c>
      <c r="U848" t="s">
        <v>3344</v>
      </c>
      <c r="V848" t="s">
        <v>3344</v>
      </c>
      <c r="W848" t="s">
        <v>4190</v>
      </c>
      <c r="X848">
        <v>3</v>
      </c>
      <c r="Y848" t="s">
        <v>5847</v>
      </c>
      <c r="Z848" t="s">
        <v>7505</v>
      </c>
      <c r="AA848">
        <v>0.5505339219014103</v>
      </c>
      <c r="AB848">
        <f>HYPERLINK("Melting_Curves/meltCurve_P0AG86_secB.pdf", "Melting_Curves/meltCurve_P0AG86_secB.pdf")</f>
        <v>0</v>
      </c>
    </row>
    <row r="849" spans="1:28">
      <c r="A849" t="s">
        <v>875</v>
      </c>
      <c r="B849">
        <v>0.999998419929286</v>
      </c>
      <c r="C849">
        <v>1.2702844157126</v>
      </c>
      <c r="D849">
        <v>1.15486402651608</v>
      </c>
      <c r="E849">
        <v>0.494221173272842</v>
      </c>
      <c r="F849">
        <v>0.08915000831281999</v>
      </c>
      <c r="G849">
        <v>0.0663714798529384</v>
      </c>
      <c r="H849">
        <v>0.0375434280566959</v>
      </c>
      <c r="I849">
        <v>0.027956250296834</v>
      </c>
      <c r="J849">
        <v>0.0313586136272205</v>
      </c>
      <c r="K849">
        <v>0.0259012939287039</v>
      </c>
      <c r="L849">
        <v>6544.15459710406</v>
      </c>
      <c r="M849">
        <v>140.554097102859</v>
      </c>
      <c r="N849">
        <v>46.5919586338427</v>
      </c>
      <c r="O849">
        <v>46.5502612969736</v>
      </c>
      <c r="P849">
        <v>-0.719846467987147</v>
      </c>
      <c r="Q849">
        <v>0.046373126221322</v>
      </c>
      <c r="R849">
        <v>0.958978936193378</v>
      </c>
      <c r="S849" t="s">
        <v>2533</v>
      </c>
      <c r="T849" t="s">
        <v>3344</v>
      </c>
      <c r="U849" t="s">
        <v>3344</v>
      </c>
      <c r="V849" t="s">
        <v>3344</v>
      </c>
      <c r="W849" t="s">
        <v>4191</v>
      </c>
      <c r="X849">
        <v>5</v>
      </c>
      <c r="Y849" t="s">
        <v>5848</v>
      </c>
      <c r="Z849" t="s">
        <v>7506</v>
      </c>
      <c r="AA849">
        <v>0.3504988748839341</v>
      </c>
      <c r="AB849">
        <f>HYPERLINK("Melting_Curves/meltCurve_P0AG90_secD.pdf", "Melting_Curves/meltCurve_P0AG90_secD.pdf")</f>
        <v>0</v>
      </c>
    </row>
    <row r="850" spans="1:28">
      <c r="A850" t="s">
        <v>876</v>
      </c>
      <c r="B850">
        <v>0.999998419929286</v>
      </c>
      <c r="C850">
        <v>0.714215162246407</v>
      </c>
      <c r="D850">
        <v>0.884161573155259</v>
      </c>
      <c r="E850">
        <v>0.85063573956375</v>
      </c>
      <c r="F850">
        <v>0.921113341738327</v>
      </c>
      <c r="G850">
        <v>1.00040387344253</v>
      </c>
      <c r="H850">
        <v>0.989451184321153</v>
      </c>
      <c r="I850">
        <v>0.722331281946029</v>
      </c>
      <c r="J850">
        <v>0.76788020975523</v>
      </c>
      <c r="K850">
        <v>0.755042029972341</v>
      </c>
      <c r="L850">
        <v>89.10549019167949</v>
      </c>
      <c r="M850">
        <v>1e-05</v>
      </c>
      <c r="O850">
        <v>37.1371663383779</v>
      </c>
      <c r="P850">
        <v>-0.00454974439024473</v>
      </c>
      <c r="Q850">
        <v>0.07701000471967639</v>
      </c>
      <c r="R850">
        <v>0.09303132603940679</v>
      </c>
      <c r="S850" t="s">
        <v>2534</v>
      </c>
      <c r="T850" t="s">
        <v>3344</v>
      </c>
      <c r="U850" t="s">
        <v>3344</v>
      </c>
      <c r="V850" t="s">
        <v>3344</v>
      </c>
      <c r="W850" t="s">
        <v>4192</v>
      </c>
      <c r="X850">
        <v>4</v>
      </c>
      <c r="Y850" t="s">
        <v>5849</v>
      </c>
      <c r="Z850" t="s">
        <v>7507</v>
      </c>
      <c r="AA850">
        <v>0.8612418215372079</v>
      </c>
      <c r="AB850">
        <f>HYPERLINK("Melting_Curves/meltCurve_P0AG96_secE.pdf", "Melting_Curves/meltCurve_P0AG96_secE.pdf")</f>
        <v>0</v>
      </c>
    </row>
    <row r="851" spans="1:28">
      <c r="A851" t="s">
        <v>877</v>
      </c>
      <c r="B851">
        <v>0.999998419929286</v>
      </c>
      <c r="C851">
        <v>1.08504230261196</v>
      </c>
      <c r="D851">
        <v>1.12753527637524</v>
      </c>
      <c r="E851">
        <v>1.40631964173412</v>
      </c>
      <c r="F851">
        <v>1.45446156546613</v>
      </c>
      <c r="G851">
        <v>1.84160742160459</v>
      </c>
      <c r="H851">
        <v>1.83333263917198</v>
      </c>
      <c r="I851">
        <v>1.60440512134685</v>
      </c>
      <c r="J851">
        <v>1.49570625622723</v>
      </c>
      <c r="K851">
        <v>1.53663247422969</v>
      </c>
      <c r="L851">
        <v>1398.64054598295</v>
      </c>
      <c r="M851">
        <v>31.5568098982863</v>
      </c>
      <c r="O851">
        <v>44.1444959857571</v>
      </c>
      <c r="P851">
        <v>0.08935702992184399</v>
      </c>
      <c r="Q851">
        <v>1.5</v>
      </c>
      <c r="R851">
        <v>0.679792166061865</v>
      </c>
      <c r="S851" t="s">
        <v>2535</v>
      </c>
      <c r="T851" t="s">
        <v>3344</v>
      </c>
      <c r="U851" t="s">
        <v>3344</v>
      </c>
      <c r="V851" t="s">
        <v>3344</v>
      </c>
      <c r="W851" t="s">
        <v>4193</v>
      </c>
      <c r="X851">
        <v>2</v>
      </c>
      <c r="Y851" t="s">
        <v>5850</v>
      </c>
      <c r="Z851" t="s">
        <v>7508</v>
      </c>
      <c r="AA851">
        <v>1.375473361277304</v>
      </c>
      <c r="AB851">
        <f>HYPERLINK("Melting_Curves/meltCurve_P0AG99_secG.pdf", "Melting_Curves/meltCurve_P0AG99_secG.pdf")</f>
        <v>0</v>
      </c>
    </row>
    <row r="852" spans="1:28">
      <c r="A852" t="s">
        <v>878</v>
      </c>
      <c r="B852">
        <v>0.999998419929286</v>
      </c>
      <c r="C852">
        <v>0.753973295771909</v>
      </c>
      <c r="D852">
        <v>0.584644311074952</v>
      </c>
      <c r="E852">
        <v>0.369956292372471</v>
      </c>
      <c r="F852">
        <v>0.246627769868202</v>
      </c>
      <c r="G852">
        <v>0.213848642039931</v>
      </c>
      <c r="H852">
        <v>0.144403415873595</v>
      </c>
      <c r="I852">
        <v>0.088055437991237</v>
      </c>
      <c r="J852">
        <v>0.0669193676489858</v>
      </c>
      <c r="K852">
        <v>0.0560047429875117</v>
      </c>
      <c r="L852">
        <v>526.153955185051</v>
      </c>
      <c r="M852">
        <v>11.9525073360959</v>
      </c>
      <c r="N852">
        <v>44.5551056448867</v>
      </c>
      <c r="O852">
        <v>42.8424733248175</v>
      </c>
      <c r="P852">
        <v>-0.06510256941202611</v>
      </c>
      <c r="Q852">
        <v>0.0668164056725923</v>
      </c>
      <c r="R852">
        <v>0.985374324355756</v>
      </c>
      <c r="S852" t="s">
        <v>2536</v>
      </c>
      <c r="T852" t="s">
        <v>3344</v>
      </c>
      <c r="U852" t="s">
        <v>3344</v>
      </c>
      <c r="V852" t="s">
        <v>3344</v>
      </c>
      <c r="W852" t="s">
        <v>4194</v>
      </c>
      <c r="X852">
        <v>2</v>
      </c>
      <c r="Y852" t="s">
        <v>5851</v>
      </c>
      <c r="Z852" t="s">
        <v>7509</v>
      </c>
      <c r="AA852">
        <v>0.321479324326383</v>
      </c>
      <c r="AB852">
        <f>HYPERLINK("Melting_Curves/meltCurve_P0AGA2_secY.pdf", "Melting_Curves/meltCurve_P0AGA2_secY.pdf")</f>
        <v>0</v>
      </c>
    </row>
    <row r="853" spans="1:28">
      <c r="A853" t="s">
        <v>879</v>
      </c>
      <c r="B853">
        <v>0.999998419929286</v>
      </c>
      <c r="C853">
        <v>1.13266738117989</v>
      </c>
      <c r="D853">
        <v>0.867573343985266</v>
      </c>
      <c r="E853">
        <v>0.7946049547103891</v>
      </c>
      <c r="F853">
        <v>0.487240446983216</v>
      </c>
      <c r="G853">
        <v>0.440275494337372</v>
      </c>
      <c r="H853">
        <v>0.299916584636053</v>
      </c>
      <c r="I853">
        <v>0.250158808271862</v>
      </c>
      <c r="J853">
        <v>0.128843482729434</v>
      </c>
      <c r="K853">
        <v>0.122704286578044</v>
      </c>
      <c r="L853">
        <v>632.253353780955</v>
      </c>
      <c r="M853">
        <v>12.5139610132383</v>
      </c>
      <c r="N853">
        <v>51.5497766285908</v>
      </c>
      <c r="O853">
        <v>49.2856929277366</v>
      </c>
      <c r="P853">
        <v>-0.0564911818307846</v>
      </c>
      <c r="Q853">
        <v>0.110230018422737</v>
      </c>
      <c r="R853">
        <v>0.964216220050695</v>
      </c>
      <c r="S853" t="s">
        <v>2537</v>
      </c>
      <c r="T853" t="s">
        <v>3344</v>
      </c>
      <c r="U853" t="s">
        <v>3344</v>
      </c>
      <c r="V853" t="s">
        <v>3344</v>
      </c>
      <c r="W853" t="s">
        <v>4195</v>
      </c>
      <c r="X853">
        <v>2</v>
      </c>
      <c r="Y853" t="s">
        <v>5852</v>
      </c>
      <c r="Z853" t="s">
        <v>7510</v>
      </c>
      <c r="AA853">
        <v>0.5342667469490744</v>
      </c>
      <c r="AB853">
        <f>HYPERLINK("Melting_Curves/meltCurve_P0AGA6_uhpA.pdf", "Melting_Curves/meltCurve_P0AGA6_uhpA.pdf")</f>
        <v>0</v>
      </c>
    </row>
    <row r="854" spans="1:28">
      <c r="A854" t="s">
        <v>880</v>
      </c>
      <c r="B854">
        <v>0.999998419929286</v>
      </c>
      <c r="C854">
        <v>0.88407550881132</v>
      </c>
      <c r="D854">
        <v>0.754059386546873</v>
      </c>
      <c r="E854">
        <v>0.573718573477199</v>
      </c>
      <c r="F854">
        <v>0.283127787659657</v>
      </c>
      <c r="G854">
        <v>0.226286746888903</v>
      </c>
      <c r="H854">
        <v>0.154779687690936</v>
      </c>
      <c r="I854">
        <v>0.122772813981294</v>
      </c>
      <c r="J854">
        <v>0.150821711617202</v>
      </c>
      <c r="K854">
        <v>0.102042740227324</v>
      </c>
      <c r="L854">
        <v>643.45929566482</v>
      </c>
      <c r="M854">
        <v>13.9122908318492</v>
      </c>
      <c r="N854">
        <v>47.0265975307033</v>
      </c>
      <c r="O854">
        <v>45.3269680939906</v>
      </c>
      <c r="P854">
        <v>-0.0688772550757282</v>
      </c>
      <c r="Q854">
        <v>0.102498972275048</v>
      </c>
      <c r="R854">
        <v>0.993434391483954</v>
      </c>
      <c r="S854" t="s">
        <v>2538</v>
      </c>
      <c r="T854" t="s">
        <v>3344</v>
      </c>
      <c r="U854" t="s">
        <v>3344</v>
      </c>
      <c r="V854" t="s">
        <v>3344</v>
      </c>
      <c r="W854" t="s">
        <v>4196</v>
      </c>
      <c r="X854">
        <v>1</v>
      </c>
      <c r="Y854" t="s">
        <v>5853</v>
      </c>
      <c r="Z854" t="s">
        <v>7511</v>
      </c>
      <c r="AA854">
        <v>0.4028834349558753</v>
      </c>
      <c r="AB854">
        <f>HYPERLINK("Melting_Curves/meltCurve_P0AGB0_serB.pdf", "Melting_Curves/meltCurve_P0AGB0_serB.pdf")</f>
        <v>0</v>
      </c>
    </row>
    <row r="855" spans="1:28">
      <c r="A855" t="s">
        <v>881</v>
      </c>
      <c r="B855">
        <v>0.999998419929286</v>
      </c>
      <c r="C855">
        <v>0.889609058592971</v>
      </c>
      <c r="D855">
        <v>0.9895583051317141</v>
      </c>
      <c r="E855">
        <v>1.05118147413915</v>
      </c>
      <c r="F855">
        <v>1.19694120722985</v>
      </c>
      <c r="G855">
        <v>1.24135094664518</v>
      </c>
      <c r="H855">
        <v>1.03411034213616</v>
      </c>
      <c r="I855">
        <v>0.694217186934678</v>
      </c>
      <c r="J855">
        <v>0.40402182555371</v>
      </c>
      <c r="K855">
        <v>0.2746736958743</v>
      </c>
      <c r="L855">
        <v>2989.83710690425</v>
      </c>
      <c r="M855">
        <v>48.6015978124551</v>
      </c>
      <c r="N855">
        <v>62.5957661086833</v>
      </c>
      <c r="O855">
        <v>61.4133989237971</v>
      </c>
      <c r="P855">
        <v>-0.141740886254406</v>
      </c>
      <c r="Q855">
        <v>0.283580875181741</v>
      </c>
      <c r="R855">
        <v>0.874983944388747</v>
      </c>
      <c r="S855" t="s">
        <v>2539</v>
      </c>
      <c r="T855" t="s">
        <v>3344</v>
      </c>
      <c r="U855" t="s">
        <v>3344</v>
      </c>
      <c r="V855" t="s">
        <v>3344</v>
      </c>
      <c r="W855" t="s">
        <v>4197</v>
      </c>
      <c r="X855">
        <v>6</v>
      </c>
      <c r="Y855" t="s">
        <v>5854</v>
      </c>
      <c r="Z855" t="s">
        <v>7512</v>
      </c>
      <c r="AA855">
        <v>0.8704290090474469</v>
      </c>
      <c r="AB855">
        <f>HYPERLINK("Melting_Curves/meltCurve_P0AGB6_rpoE.pdf", "Melting_Curves/meltCurve_P0AGB6_rpoE.pdf")</f>
        <v>0</v>
      </c>
    </row>
    <row r="856" spans="1:28">
      <c r="A856" t="s">
        <v>882</v>
      </c>
      <c r="B856">
        <v>0.999998419929286</v>
      </c>
      <c r="C856">
        <v>1.40289738188844</v>
      </c>
      <c r="D856">
        <v>0.757940470515006</v>
      </c>
      <c r="E856">
        <v>0.143205992767768</v>
      </c>
      <c r="F856">
        <v>0.138482611473202</v>
      </c>
      <c r="G856">
        <v>0.140946230820898</v>
      </c>
      <c r="H856">
        <v>0.107159555515674</v>
      </c>
      <c r="I856">
        <v>0.09294887889747599</v>
      </c>
      <c r="J856">
        <v>0.0581501379890642</v>
      </c>
      <c r="K856">
        <v>0.06652579236231861</v>
      </c>
      <c r="L856">
        <v>10792.5520003627</v>
      </c>
      <c r="M856">
        <v>250</v>
      </c>
      <c r="N856">
        <v>43.2117246660719</v>
      </c>
      <c r="O856">
        <v>43.1674318934559</v>
      </c>
      <c r="P856">
        <v>-1.29325731120434</v>
      </c>
      <c r="Q856">
        <v>0.106774169881086</v>
      </c>
      <c r="R856">
        <v>0.919147674826315</v>
      </c>
      <c r="S856" t="s">
        <v>2540</v>
      </c>
      <c r="T856" t="s">
        <v>3344</v>
      </c>
      <c r="U856" t="s">
        <v>3344</v>
      </c>
      <c r="V856" t="s">
        <v>3344</v>
      </c>
      <c r="W856" t="s">
        <v>4198</v>
      </c>
      <c r="X856">
        <v>4</v>
      </c>
      <c r="Y856" t="s">
        <v>5855</v>
      </c>
      <c r="Z856" t="s">
        <v>7513</v>
      </c>
      <c r="AA856">
        <v>0.2905548155249519</v>
      </c>
      <c r="AB856">
        <f>HYPERLINK("Melting_Curves/meltCurve_P0AGC3_slt.pdf", "Melting_Curves/meltCurve_P0AGC3_slt.pdf")</f>
        <v>0</v>
      </c>
    </row>
    <row r="857" spans="1:28">
      <c r="A857" t="s">
        <v>883</v>
      </c>
      <c r="B857">
        <v>0.999998419929286</v>
      </c>
      <c r="C857">
        <v>1.03277638808035</v>
      </c>
      <c r="D857">
        <v>0.968908193192036</v>
      </c>
      <c r="E857">
        <v>1.27374307629599</v>
      </c>
      <c r="F857">
        <v>1.33413222835742</v>
      </c>
      <c r="G857">
        <v>1.71088954608377</v>
      </c>
      <c r="H857">
        <v>1.68396563490615</v>
      </c>
      <c r="I857">
        <v>1.50308768421988</v>
      </c>
      <c r="J857">
        <v>1.63236077576127</v>
      </c>
      <c r="K857">
        <v>1.34909417107366</v>
      </c>
      <c r="L857">
        <v>1511.49800230794</v>
      </c>
      <c r="M857">
        <v>32.3121683799933</v>
      </c>
      <c r="O857">
        <v>46.5999042186921</v>
      </c>
      <c r="P857">
        <v>0.0866748698131125</v>
      </c>
      <c r="Q857">
        <v>1.5</v>
      </c>
      <c r="R857">
        <v>0.803114426264998</v>
      </c>
      <c r="S857" t="s">
        <v>2541</v>
      </c>
      <c r="T857" t="s">
        <v>3344</v>
      </c>
      <c r="U857" t="s">
        <v>3344</v>
      </c>
      <c r="V857" t="s">
        <v>3344</v>
      </c>
      <c r="W857" t="s">
        <v>4199</v>
      </c>
      <c r="X857">
        <v>9</v>
      </c>
      <c r="Y857" t="s">
        <v>5856</v>
      </c>
      <c r="Z857" t="s">
        <v>7514</v>
      </c>
      <c r="AA857">
        <v>1.334543851958558</v>
      </c>
      <c r="AB857">
        <f>HYPERLINK("Melting_Curves/meltCurve_P0AGD1_sodC.pdf", "Melting_Curves/meltCurve_P0AGD1_sodC.pdf")</f>
        <v>0</v>
      </c>
    </row>
    <row r="858" spans="1:28">
      <c r="A858" t="s">
        <v>884</v>
      </c>
      <c r="B858">
        <v>0.999998419929286</v>
      </c>
      <c r="C858">
        <v>0.835521197352304</v>
      </c>
      <c r="D858">
        <v>0.984324048991964</v>
      </c>
      <c r="E858">
        <v>1.02225526631071</v>
      </c>
      <c r="F858">
        <v>1.29967106786677</v>
      </c>
      <c r="G858">
        <v>1.47559866623141</v>
      </c>
      <c r="H858">
        <v>1.43397855754665</v>
      </c>
      <c r="I858">
        <v>1.18720101070523</v>
      </c>
      <c r="J858">
        <v>1.04168831565355</v>
      </c>
      <c r="K858">
        <v>1.25259402289713</v>
      </c>
      <c r="L858">
        <v>11764.4638013144</v>
      </c>
      <c r="M858">
        <v>250</v>
      </c>
      <c r="O858">
        <v>47.0548522853445</v>
      </c>
      <c r="P858">
        <v>0.374282155065836</v>
      </c>
      <c r="Q858">
        <v>1.28178861339985</v>
      </c>
      <c r="R858">
        <v>0.608328640868015</v>
      </c>
      <c r="S858" t="s">
        <v>2542</v>
      </c>
      <c r="T858" t="s">
        <v>3344</v>
      </c>
      <c r="U858" t="s">
        <v>3344</v>
      </c>
      <c r="V858" t="s">
        <v>3344</v>
      </c>
      <c r="W858" t="s">
        <v>4200</v>
      </c>
      <c r="X858">
        <v>8</v>
      </c>
      <c r="Y858" t="s">
        <v>5857</v>
      </c>
      <c r="Z858" t="s">
        <v>7515</v>
      </c>
      <c r="AA858">
        <v>1.187292372591928</v>
      </c>
      <c r="AB858">
        <f>HYPERLINK("Melting_Curves/meltCurve_P0AGD3_sodB.pdf", "Melting_Curves/meltCurve_P0AGD3_sodB.pdf")</f>
        <v>0</v>
      </c>
    </row>
    <row r="859" spans="1:28">
      <c r="A859" t="s">
        <v>885</v>
      </c>
      <c r="B859">
        <v>0.999998419929286</v>
      </c>
      <c r="C859">
        <v>0.726792740629323</v>
      </c>
      <c r="D859">
        <v>0.434974911021159</v>
      </c>
      <c r="E859">
        <v>0.321243797430968</v>
      </c>
      <c r="F859">
        <v>0.259384187859256</v>
      </c>
      <c r="G859">
        <v>0.204453437868096</v>
      </c>
      <c r="H859">
        <v>0.158951544699143</v>
      </c>
      <c r="I859">
        <v>0.148693038146826</v>
      </c>
      <c r="J859">
        <v>0.140464600998037</v>
      </c>
      <c r="K859">
        <v>0.152625236388987</v>
      </c>
      <c r="L859">
        <v>749.555666021245</v>
      </c>
      <c r="M859">
        <v>17.963756823826</v>
      </c>
      <c r="N859">
        <v>42.7018117514169</v>
      </c>
      <c r="O859">
        <v>41.2192179815088</v>
      </c>
      <c r="P859">
        <v>-0.09061574126101291</v>
      </c>
      <c r="Q859">
        <v>0.168342286065829</v>
      </c>
      <c r="R859">
        <v>0.980529567679196</v>
      </c>
      <c r="S859" t="s">
        <v>2543</v>
      </c>
      <c r="T859" t="s">
        <v>3344</v>
      </c>
      <c r="U859" t="s">
        <v>3344</v>
      </c>
      <c r="V859" t="s">
        <v>3344</v>
      </c>
      <c r="W859" t="s">
        <v>4201</v>
      </c>
      <c r="X859">
        <v>2</v>
      </c>
      <c r="Y859" t="s">
        <v>5858</v>
      </c>
      <c r="Z859" t="s">
        <v>7516</v>
      </c>
      <c r="AA859">
        <v>0.3159097222809068</v>
      </c>
      <c r="AB859">
        <f>HYPERLINK("Melting_Curves/meltCurve_P0AGD7_ffh.pdf", "Melting_Curves/meltCurve_P0AGD7_ffh.pdf")</f>
        <v>0</v>
      </c>
    </row>
    <row r="860" spans="1:28">
      <c r="A860" t="s">
        <v>886</v>
      </c>
      <c r="B860">
        <v>0.999998419929286</v>
      </c>
      <c r="C860">
        <v>0.8970817535323909</v>
      </c>
      <c r="D860">
        <v>1.0943717418058</v>
      </c>
      <c r="E860">
        <v>1.20119685819689</v>
      </c>
      <c r="F860">
        <v>1.56399959066096</v>
      </c>
      <c r="G860">
        <v>1.59429750554662</v>
      </c>
      <c r="H860">
        <v>1.31014205592137</v>
      </c>
      <c r="I860">
        <v>1.1273885858407</v>
      </c>
      <c r="J860">
        <v>1.11216457489251</v>
      </c>
      <c r="K860">
        <v>1.16200148120159</v>
      </c>
      <c r="L860">
        <v>1753.11421347351</v>
      </c>
      <c r="M860">
        <v>39.4145934207762</v>
      </c>
      <c r="O860">
        <v>44.3647695266732</v>
      </c>
      <c r="P860">
        <v>0.0675517492744044</v>
      </c>
      <c r="Q860">
        <v>1.30414232656389</v>
      </c>
      <c r="R860">
        <v>0.435835243734511</v>
      </c>
      <c r="S860" t="s">
        <v>2544</v>
      </c>
      <c r="T860" t="s">
        <v>3344</v>
      </c>
      <c r="U860" t="s">
        <v>3344</v>
      </c>
      <c r="V860" t="s">
        <v>3344</v>
      </c>
      <c r="W860" t="s">
        <v>4202</v>
      </c>
      <c r="X860">
        <v>5</v>
      </c>
      <c r="Y860" t="s">
        <v>5859</v>
      </c>
      <c r="Z860" t="s">
        <v>7517</v>
      </c>
      <c r="AA860">
        <v>1.227355380093034</v>
      </c>
      <c r="AB860">
        <f>HYPERLINK("Melting_Curves/meltCurve_P0AGE0_ssb.pdf", "Melting_Curves/meltCurve_P0AGE0_ssb.pdf")</f>
        <v>0</v>
      </c>
    </row>
    <row r="861" spans="1:28">
      <c r="A861" t="s">
        <v>887</v>
      </c>
      <c r="B861">
        <v>0.999998419929286</v>
      </c>
      <c r="C861">
        <v>0.845966613416311</v>
      </c>
      <c r="D861">
        <v>0.810935978964719</v>
      </c>
      <c r="E861">
        <v>0.6678186511993049</v>
      </c>
      <c r="F861">
        <v>0.77707521200353</v>
      </c>
      <c r="G861">
        <v>0.839549112953861</v>
      </c>
      <c r="H861">
        <v>0.790182882060383</v>
      </c>
      <c r="I861">
        <v>0.698118183660246</v>
      </c>
      <c r="J861">
        <v>0.7726301491755611</v>
      </c>
      <c r="K861">
        <v>0.75302600491881</v>
      </c>
      <c r="L861">
        <v>1592.09305261807</v>
      </c>
      <c r="M861">
        <v>40.3487040567712</v>
      </c>
      <c r="O861">
        <v>39.3617928844949</v>
      </c>
      <c r="P861">
        <v>-0.0610274030461058</v>
      </c>
      <c r="Q861">
        <v>0.761861686113269</v>
      </c>
      <c r="R861">
        <v>0.703632202619502</v>
      </c>
      <c r="S861" t="s">
        <v>2545</v>
      </c>
      <c r="T861" t="s">
        <v>3344</v>
      </c>
      <c r="U861" t="s">
        <v>3344</v>
      </c>
      <c r="V861" t="s">
        <v>3344</v>
      </c>
      <c r="W861" t="s">
        <v>4203</v>
      </c>
      <c r="X861">
        <v>4</v>
      </c>
      <c r="Y861" t="s">
        <v>5860</v>
      </c>
      <c r="Z861" t="s">
        <v>7518</v>
      </c>
      <c r="AA861">
        <v>0.7824465854719267</v>
      </c>
      <c r="AB861">
        <f>HYPERLINK("Melting_Curves/meltCurve_P0AGE6_chrR.pdf", "Melting_Curves/meltCurve_P0AGE6_chrR.pdf")</f>
        <v>0</v>
      </c>
    </row>
    <row r="862" spans="1:28">
      <c r="A862" t="s">
        <v>888</v>
      </c>
      <c r="B862">
        <v>0.999998419929286</v>
      </c>
      <c r="C862">
        <v>0.937999982154946</v>
      </c>
      <c r="D862">
        <v>1.04873148478536</v>
      </c>
      <c r="E862">
        <v>1.04944244651227</v>
      </c>
      <c r="F862">
        <v>1.056545507477</v>
      </c>
      <c r="G862">
        <v>0.362004224745549</v>
      </c>
      <c r="H862">
        <v>0.0483347680538432</v>
      </c>
      <c r="I862">
        <v>0.0223076856334553</v>
      </c>
      <c r="J862">
        <v>0.0207253153620908</v>
      </c>
      <c r="K862">
        <v>0.0201977401693653</v>
      </c>
      <c r="L862">
        <v>13415.1993239074</v>
      </c>
      <c r="M862">
        <v>250</v>
      </c>
      <c r="N862">
        <v>53.6731204970399</v>
      </c>
      <c r="O862">
        <v>53.657363153512</v>
      </c>
      <c r="P862">
        <v>-1.13231039804198</v>
      </c>
      <c r="Q862">
        <v>0.0278913537049294</v>
      </c>
      <c r="R862">
        <v>0.994439453890168</v>
      </c>
      <c r="S862" t="s">
        <v>2546</v>
      </c>
      <c r="T862" t="s">
        <v>3344</v>
      </c>
      <c r="U862" t="s">
        <v>3344</v>
      </c>
      <c r="V862" t="s">
        <v>3344</v>
      </c>
      <c r="W862" t="s">
        <v>4204</v>
      </c>
      <c r="X862">
        <v>10</v>
      </c>
      <c r="Y862" t="s">
        <v>5861</v>
      </c>
      <c r="Z862" t="s">
        <v>7519</v>
      </c>
      <c r="AA862">
        <v>0.5678530711075197</v>
      </c>
      <c r="AB862">
        <f>HYPERLINK("Melting_Curves/meltCurve_P0AGE9_sucD.pdf", "Melting_Curves/meltCurve_P0AGE9_sucD.pdf")</f>
        <v>0</v>
      </c>
    </row>
    <row r="863" spans="1:28">
      <c r="A863" t="s">
        <v>889</v>
      </c>
      <c r="B863">
        <v>0.999998419929286</v>
      </c>
      <c r="C863">
        <v>0.948020423378173</v>
      </c>
      <c r="D863">
        <v>0.86083712807963</v>
      </c>
      <c r="E863">
        <v>0.968031097427981</v>
      </c>
      <c r="F863">
        <v>1.00292239596278</v>
      </c>
      <c r="G863">
        <v>1.16130650255531</v>
      </c>
      <c r="H863">
        <v>0.855128045872226</v>
      </c>
      <c r="I863">
        <v>0.738060066380489</v>
      </c>
      <c r="J863">
        <v>0.61774186125331</v>
      </c>
      <c r="K863">
        <v>0.609258470563214</v>
      </c>
      <c r="L863">
        <v>2176.31508596398</v>
      </c>
      <c r="M863">
        <v>36.7619964272891</v>
      </c>
      <c r="O863">
        <v>59.0257727877485</v>
      </c>
      <c r="P863">
        <v>-0.0610782839592798</v>
      </c>
      <c r="Q863">
        <v>0.607727241974317</v>
      </c>
      <c r="R863">
        <v>0.802835863706306</v>
      </c>
      <c r="S863" t="s">
        <v>2547</v>
      </c>
      <c r="T863" t="s">
        <v>3344</v>
      </c>
      <c r="U863" t="s">
        <v>3344</v>
      </c>
      <c r="V863" t="s">
        <v>3344</v>
      </c>
      <c r="W863" t="s">
        <v>4205</v>
      </c>
      <c r="X863">
        <v>4</v>
      </c>
      <c r="Y863" t="s">
        <v>5862</v>
      </c>
      <c r="Z863" t="s">
        <v>7520</v>
      </c>
      <c r="AA863">
        <v>0.8995186899776216</v>
      </c>
      <c r="AB863">
        <f>HYPERLINK("Melting_Curves/meltCurve_P0AGF2_csdE.pdf", "Melting_Curves/meltCurve_P0AGF2_csdE.pdf")</f>
        <v>0</v>
      </c>
    </row>
    <row r="864" spans="1:28">
      <c r="A864" t="s">
        <v>890</v>
      </c>
      <c r="B864">
        <v>0.999998419929286</v>
      </c>
      <c r="C864">
        <v>0.995865154284216</v>
      </c>
      <c r="D864">
        <v>1.07355423200192</v>
      </c>
      <c r="E864">
        <v>1.16506701760654</v>
      </c>
      <c r="F864">
        <v>1.2152192459239</v>
      </c>
      <c r="G864">
        <v>0.998891117375782</v>
      </c>
      <c r="H864">
        <v>0.528222585758068</v>
      </c>
      <c r="I864">
        <v>0.254154102359558</v>
      </c>
      <c r="J864">
        <v>0.10505096734182</v>
      </c>
      <c r="K864">
        <v>0.0660458171736614</v>
      </c>
      <c r="L864">
        <v>2285.12930210935</v>
      </c>
      <c r="M864">
        <v>39.7443532058218</v>
      </c>
      <c r="N864">
        <v>57.8252458432392</v>
      </c>
      <c r="O864">
        <v>57.3507146552107</v>
      </c>
      <c r="P864">
        <v>-0.155695154120475</v>
      </c>
      <c r="Q864">
        <v>0.101335546768808</v>
      </c>
      <c r="R864">
        <v>0.950984417439663</v>
      </c>
      <c r="S864" t="s">
        <v>2548</v>
      </c>
      <c r="T864" t="s">
        <v>3344</v>
      </c>
      <c r="U864" t="s">
        <v>3344</v>
      </c>
      <c r="V864" t="s">
        <v>3344</v>
      </c>
      <c r="W864" t="s">
        <v>4206</v>
      </c>
      <c r="X864">
        <v>6</v>
      </c>
      <c r="Y864" t="s">
        <v>5863</v>
      </c>
      <c r="Z864" t="s">
        <v>7521</v>
      </c>
      <c r="AA864">
        <v>0.7186904877735466</v>
      </c>
      <c r="AB864">
        <f>HYPERLINK("Melting_Curves/meltCurve_P0AGG2_tesB.pdf", "Melting_Curves/meltCurve_P0AGG2_tesB.pdf")</f>
        <v>0</v>
      </c>
    </row>
    <row r="865" spans="1:28">
      <c r="A865" t="s">
        <v>891</v>
      </c>
      <c r="B865">
        <v>0.999998419929286</v>
      </c>
      <c r="C865">
        <v>0.781833084962405</v>
      </c>
      <c r="D865">
        <v>0.921107658438551</v>
      </c>
      <c r="E865">
        <v>0.689120089882285</v>
      </c>
      <c r="F865">
        <v>0.732914541376234</v>
      </c>
      <c r="G865">
        <v>0.624699858168714</v>
      </c>
      <c r="H865">
        <v>0.572122286387571</v>
      </c>
      <c r="I865">
        <v>0.697812659750759</v>
      </c>
      <c r="J865">
        <v>0.909147984275163</v>
      </c>
      <c r="K865">
        <v>0.566390234708776</v>
      </c>
      <c r="L865">
        <v>571.880881589424</v>
      </c>
      <c r="M865">
        <v>13.6618329695722</v>
      </c>
      <c r="O865">
        <v>40.9934272054374</v>
      </c>
      <c r="P865">
        <v>-0.0272292492881302</v>
      </c>
      <c r="Q865">
        <v>0.673233335660627</v>
      </c>
      <c r="R865">
        <v>0.453791938450126</v>
      </c>
      <c r="S865" t="s">
        <v>2549</v>
      </c>
      <c r="T865" t="s">
        <v>3344</v>
      </c>
      <c r="U865" t="s">
        <v>3344</v>
      </c>
      <c r="V865" t="s">
        <v>3344</v>
      </c>
      <c r="W865" t="s">
        <v>4207</v>
      </c>
      <c r="X865">
        <v>3</v>
      </c>
      <c r="Y865" t="s">
        <v>5864</v>
      </c>
      <c r="Z865" t="s">
        <v>7522</v>
      </c>
      <c r="AA865">
        <v>0.7377941692025755</v>
      </c>
      <c r="AB865">
        <f>HYPERLINK("Melting_Curves/meltCurve_P0AGG4_trxC.pdf", "Melting_Curves/meltCurve_P0AGG4_trxC.pdf")</f>
        <v>0</v>
      </c>
    </row>
    <row r="866" spans="1:28">
      <c r="A866" t="s">
        <v>892</v>
      </c>
      <c r="B866">
        <v>0.999998419929286</v>
      </c>
      <c r="C866">
        <v>1.08713496182385</v>
      </c>
      <c r="D866">
        <v>1.15496293875806</v>
      </c>
      <c r="E866">
        <v>1.25628353441125</v>
      </c>
      <c r="F866">
        <v>1.27833306087599</v>
      </c>
      <c r="G866">
        <v>1.32102898373069</v>
      </c>
      <c r="H866">
        <v>1.10015899781073</v>
      </c>
      <c r="I866">
        <v>0.867038507067021</v>
      </c>
      <c r="J866">
        <v>0.544828237833122</v>
      </c>
      <c r="K866">
        <v>0.276762901041845</v>
      </c>
      <c r="L866">
        <v>2748.32784390767</v>
      </c>
      <c r="M866">
        <v>43.1908372092838</v>
      </c>
      <c r="N866">
        <v>64.3821358309996</v>
      </c>
      <c r="O866">
        <v>63.4962374061685</v>
      </c>
      <c r="P866">
        <v>-0.136438094543325</v>
      </c>
      <c r="Q866">
        <v>0.197673105246416</v>
      </c>
      <c r="R866">
        <v>0.719395190241867</v>
      </c>
      <c r="S866" t="s">
        <v>2550</v>
      </c>
      <c r="T866" t="s">
        <v>3344</v>
      </c>
      <c r="U866" t="s">
        <v>3344</v>
      </c>
      <c r="V866" t="s">
        <v>3344</v>
      </c>
      <c r="W866" t="s">
        <v>4208</v>
      </c>
      <c r="X866">
        <v>8</v>
      </c>
      <c r="Y866" t="s">
        <v>5865</v>
      </c>
      <c r="Z866" t="s">
        <v>7523</v>
      </c>
      <c r="AA866">
        <v>0.9079804464086126</v>
      </c>
      <c r="AB866">
        <f>HYPERLINK("Melting_Curves/meltCurve_P0AGG8_tldD.pdf", "Melting_Curves/meltCurve_P0AGG8_tldD.pdf")</f>
        <v>0</v>
      </c>
    </row>
    <row r="867" spans="1:28">
      <c r="A867" t="s">
        <v>893</v>
      </c>
      <c r="B867">
        <v>0.999998419929286</v>
      </c>
      <c r="C867">
        <v>0.96856844031333</v>
      </c>
      <c r="D867">
        <v>0.954804184938347</v>
      </c>
      <c r="E867">
        <v>0.777458252251874</v>
      </c>
      <c r="F867">
        <v>0.62900329275725</v>
      </c>
      <c r="G867">
        <v>0.6716366140890681</v>
      </c>
      <c r="H867">
        <v>0.451193637130998</v>
      </c>
      <c r="I867">
        <v>0.244614535381519</v>
      </c>
      <c r="J867">
        <v>0.12830722239928</v>
      </c>
      <c r="K867">
        <v>0.0955441089729062</v>
      </c>
      <c r="L867">
        <v>539.827870002434</v>
      </c>
      <c r="M867">
        <v>9.85125569572754</v>
      </c>
      <c r="N867">
        <v>54.7978736719289</v>
      </c>
      <c r="O867">
        <v>52.683099548533</v>
      </c>
      <c r="P867">
        <v>-0.0467717806596525</v>
      </c>
      <c r="Q867">
        <v>0</v>
      </c>
      <c r="R867">
        <v>0.96395575686864</v>
      </c>
      <c r="S867" t="s">
        <v>2551</v>
      </c>
      <c r="T867" t="s">
        <v>3344</v>
      </c>
      <c r="U867" t="s">
        <v>3344</v>
      </c>
      <c r="V867" t="s">
        <v>3344</v>
      </c>
      <c r="W867" t="s">
        <v>4209</v>
      </c>
      <c r="X867">
        <v>2</v>
      </c>
      <c r="Y867" t="s">
        <v>5866</v>
      </c>
      <c r="Z867" t="s">
        <v>7524</v>
      </c>
      <c r="AA867">
        <v>0.6063518921760349</v>
      </c>
      <c r="AB867">
        <f>HYPERLINK("Melting_Curves/meltCurve_P0AGI1_rbsC.pdf", "Melting_Curves/meltCurve_P0AGI1_rbsC.pdf")</f>
        <v>0</v>
      </c>
    </row>
    <row r="868" spans="1:28">
      <c r="A868" t="s">
        <v>894</v>
      </c>
      <c r="B868">
        <v>0.999998419929286</v>
      </c>
      <c r="C868">
        <v>0.6823767847214109</v>
      </c>
      <c r="D868">
        <v>0.207816558519783</v>
      </c>
      <c r="E868">
        <v>0.09826038795805769</v>
      </c>
      <c r="F868">
        <v>0.0508701719375695</v>
      </c>
      <c r="G868">
        <v>0.08451580082897089</v>
      </c>
      <c r="H868">
        <v>0.0391340817164354</v>
      </c>
      <c r="I868">
        <v>0.0255896050982703</v>
      </c>
      <c r="J868">
        <v>0.0169261934995994</v>
      </c>
      <c r="K868">
        <v>0</v>
      </c>
      <c r="L868">
        <v>1267.83859972147</v>
      </c>
      <c r="M868">
        <v>31.0314227185355</v>
      </c>
      <c r="N868">
        <v>40.9697868866468</v>
      </c>
      <c r="O868">
        <v>40.6880594849583</v>
      </c>
      <c r="P868">
        <v>-0.182835581593093</v>
      </c>
      <c r="Q868">
        <v>0.0410775254743276</v>
      </c>
      <c r="R868">
        <v>0.9931546249919599</v>
      </c>
      <c r="S868" t="s">
        <v>2552</v>
      </c>
      <c r="T868" t="s">
        <v>3344</v>
      </c>
      <c r="U868" t="s">
        <v>3344</v>
      </c>
      <c r="V868" t="s">
        <v>3344</v>
      </c>
      <c r="W868" t="s">
        <v>4210</v>
      </c>
      <c r="X868">
        <v>1</v>
      </c>
      <c r="Y868" t="s">
        <v>5867</v>
      </c>
      <c r="Z868" t="s">
        <v>7525</v>
      </c>
      <c r="AA868">
        <v>0.170138363286477</v>
      </c>
      <c r="AB868">
        <f>HYPERLINK("Melting_Curves/meltCurve_P0AGJ2_trmH.pdf", "Melting_Curves/meltCurve_P0AGJ2_trmH.pdf")</f>
        <v>0</v>
      </c>
    </row>
    <row r="869" spans="1:28">
      <c r="A869" t="s">
        <v>895</v>
      </c>
      <c r="B869">
        <v>0.999998419929286</v>
      </c>
      <c r="C869">
        <v>1.19744490569121</v>
      </c>
      <c r="D869">
        <v>1.20686442519601</v>
      </c>
      <c r="E869">
        <v>1.10701078659433</v>
      </c>
      <c r="F869">
        <v>0.294740727297226</v>
      </c>
      <c r="G869">
        <v>0.179703111171258</v>
      </c>
      <c r="H869">
        <v>0.07326390046959021</v>
      </c>
      <c r="I869">
        <v>0.0535538154592825</v>
      </c>
      <c r="J869">
        <v>0.0429506736440808</v>
      </c>
      <c r="K869">
        <v>0.0443500510170047</v>
      </c>
      <c r="L869">
        <v>12490.5935146466</v>
      </c>
      <c r="M869">
        <v>250</v>
      </c>
      <c r="N869">
        <v>49.9966551013638</v>
      </c>
      <c r="O869">
        <v>49.9591642630456</v>
      </c>
      <c r="P869">
        <v>-1.15248558619547</v>
      </c>
      <c r="Q869">
        <v>0.0787643016452302</v>
      </c>
      <c r="R869">
        <v>0.958103957594724</v>
      </c>
      <c r="S869" t="s">
        <v>2553</v>
      </c>
      <c r="T869" t="s">
        <v>3344</v>
      </c>
      <c r="U869" t="s">
        <v>3344</v>
      </c>
      <c r="V869" t="s">
        <v>3344</v>
      </c>
      <c r="W869" t="s">
        <v>4211</v>
      </c>
      <c r="X869">
        <v>5</v>
      </c>
      <c r="Y869" t="s">
        <v>5868</v>
      </c>
      <c r="Z869" t="s">
        <v>7526</v>
      </c>
      <c r="AA869">
        <v>0.4768918024688978</v>
      </c>
      <c r="AB869">
        <f>HYPERLINK("Melting_Curves/meltCurve_P0AGJ5_yfiF.pdf", "Melting_Curves/meltCurve_P0AGJ5_yfiF.pdf")</f>
        <v>0</v>
      </c>
    </row>
    <row r="870" spans="1:28">
      <c r="A870" t="s">
        <v>896</v>
      </c>
      <c r="B870">
        <v>0.999998419929286</v>
      </c>
      <c r="C870">
        <v>0.904658710953029</v>
      </c>
      <c r="D870">
        <v>0.903201434172474</v>
      </c>
      <c r="E870">
        <v>0.78138428201799</v>
      </c>
      <c r="F870">
        <v>0.445338178987394</v>
      </c>
      <c r="G870">
        <v>0.159504927223219</v>
      </c>
      <c r="H870">
        <v>0.0602899558048887</v>
      </c>
      <c r="I870">
        <v>0.0569030786610429</v>
      </c>
      <c r="J870">
        <v>0.0571843172638356</v>
      </c>
      <c r="K870">
        <v>0.0551865405096219</v>
      </c>
      <c r="L870">
        <v>977.433221194311</v>
      </c>
      <c r="M870">
        <v>19.8443810121069</v>
      </c>
      <c r="N870">
        <v>49.423629720856</v>
      </c>
      <c r="O870">
        <v>48.7628899528703</v>
      </c>
      <c r="P870">
        <v>-0.09841077195436899</v>
      </c>
      <c r="Q870">
        <v>0.0327468619151166</v>
      </c>
      <c r="R870">
        <v>0.992074666961031</v>
      </c>
      <c r="S870" t="s">
        <v>2554</v>
      </c>
      <c r="T870" t="s">
        <v>3344</v>
      </c>
      <c r="U870" t="s">
        <v>3344</v>
      </c>
      <c r="V870" t="s">
        <v>3344</v>
      </c>
      <c r="W870" t="s">
        <v>4212</v>
      </c>
      <c r="X870">
        <v>3</v>
      </c>
      <c r="Y870" t="s">
        <v>5869</v>
      </c>
      <c r="Z870" t="s">
        <v>7527</v>
      </c>
      <c r="AA870">
        <v>0.4407944411436254</v>
      </c>
      <c r="AB870">
        <f>HYPERLINK("Melting_Curves/meltCurve_P0AGJ7_trmL.pdf", "Melting_Curves/meltCurve_P0AGJ7_trmL.pdf")</f>
        <v>0</v>
      </c>
    </row>
    <row r="871" spans="1:28">
      <c r="A871" t="s">
        <v>897</v>
      </c>
      <c r="B871">
        <v>0.999998419929286</v>
      </c>
      <c r="C871">
        <v>1.02224162343213</v>
      </c>
      <c r="D871">
        <v>0.773619089337973</v>
      </c>
      <c r="E871">
        <v>0.457990763251974</v>
      </c>
      <c r="F871">
        <v>0.152015567889242</v>
      </c>
      <c r="G871">
        <v>0.0875527371011017</v>
      </c>
      <c r="H871">
        <v>0.0484306621671888</v>
      </c>
      <c r="I871">
        <v>0.0581558506277797</v>
      </c>
      <c r="J871">
        <v>0.0401372369958198</v>
      </c>
      <c r="K871">
        <v>0.0433516464085693</v>
      </c>
      <c r="L871">
        <v>985.627318993971</v>
      </c>
      <c r="M871">
        <v>21.5136633515335</v>
      </c>
      <c r="N871">
        <v>46.004361687453</v>
      </c>
      <c r="O871">
        <v>45.4237087570991</v>
      </c>
      <c r="P871">
        <v>-0.113366171966099</v>
      </c>
      <c r="Q871">
        <v>0.0425835494753011</v>
      </c>
      <c r="R871">
        <v>0.995992429892152</v>
      </c>
      <c r="S871" t="s">
        <v>2555</v>
      </c>
      <c r="T871" t="s">
        <v>3344</v>
      </c>
      <c r="U871" t="s">
        <v>3344</v>
      </c>
      <c r="V871" t="s">
        <v>3344</v>
      </c>
      <c r="W871" t="s">
        <v>4213</v>
      </c>
      <c r="X871">
        <v>3</v>
      </c>
      <c r="Y871" t="s">
        <v>5870</v>
      </c>
      <c r="Z871" t="s">
        <v>7528</v>
      </c>
      <c r="AA871">
        <v>0.3346554456530802</v>
      </c>
      <c r="AB871">
        <f>HYPERLINK("Melting_Curves/meltCurve_P0AGJ9_tyrS.pdf", "Melting_Curves/meltCurve_P0AGJ9_tyrS.pdf")</f>
        <v>0</v>
      </c>
    </row>
    <row r="872" spans="1:28">
      <c r="A872" t="s">
        <v>898</v>
      </c>
      <c r="B872">
        <v>0.999998419929286</v>
      </c>
      <c r="C872">
        <v>0.674739933227309</v>
      </c>
      <c r="D872">
        <v>1.02707786116552</v>
      </c>
      <c r="E872">
        <v>1.03926421194696</v>
      </c>
      <c r="F872">
        <v>1.15474736427276</v>
      </c>
      <c r="G872">
        <v>1.17204461879609</v>
      </c>
      <c r="H872">
        <v>0.836027650812882</v>
      </c>
      <c r="I872">
        <v>0.284652301477508</v>
      </c>
      <c r="J872">
        <v>0.224036208434428</v>
      </c>
      <c r="K872">
        <v>0.101570264082096</v>
      </c>
      <c r="L872">
        <v>3124.2928927205</v>
      </c>
      <c r="M872">
        <v>52.9165612311538</v>
      </c>
      <c r="N872">
        <v>59.4571032940096</v>
      </c>
      <c r="O872">
        <v>58.957744371234</v>
      </c>
      <c r="P872">
        <v>-0.189721296392239</v>
      </c>
      <c r="Q872">
        <v>0.154477945006453</v>
      </c>
      <c r="R872">
        <v>0.886260632785135</v>
      </c>
      <c r="S872" t="s">
        <v>2556</v>
      </c>
      <c r="T872" t="s">
        <v>3344</v>
      </c>
      <c r="U872" t="s">
        <v>3344</v>
      </c>
      <c r="V872" t="s">
        <v>3344</v>
      </c>
      <c r="W872" t="s">
        <v>4214</v>
      </c>
      <c r="X872">
        <v>2</v>
      </c>
      <c r="Y872" t="s">
        <v>5871</v>
      </c>
      <c r="Z872" t="s">
        <v>7529</v>
      </c>
      <c r="AA872">
        <v>0.7775935650678437</v>
      </c>
      <c r="AB872">
        <f>HYPERLINK("Melting_Curves/meltCurve_P0AGK4_yhbY.pdf", "Melting_Curves/meltCurve_P0AGK4_yhbY.pdf")</f>
        <v>0</v>
      </c>
    </row>
    <row r="873" spans="1:28">
      <c r="A873" t="s">
        <v>899</v>
      </c>
      <c r="B873">
        <v>0.999998419929286</v>
      </c>
      <c r="C873">
        <v>1.03339503720545</v>
      </c>
      <c r="D873">
        <v>0.88961717110025</v>
      </c>
      <c r="E873">
        <v>0.757474705681873</v>
      </c>
      <c r="F873">
        <v>0.878578659923815</v>
      </c>
      <c r="G873">
        <v>0.726934224333573</v>
      </c>
      <c r="H873">
        <v>0.449905842240326</v>
      </c>
      <c r="I873">
        <v>0.38648419283022</v>
      </c>
      <c r="J873">
        <v>0.511283215362117</v>
      </c>
      <c r="K873">
        <v>0.441351030950572</v>
      </c>
      <c r="L873">
        <v>540.844567369144</v>
      </c>
      <c r="M873">
        <v>10.2004585695447</v>
      </c>
      <c r="N873">
        <v>59.8678111497451</v>
      </c>
      <c r="O873">
        <v>51.1049319045263</v>
      </c>
      <c r="P873">
        <v>-0.0327354422185511</v>
      </c>
      <c r="Q873">
        <v>0.344269205072608</v>
      </c>
      <c r="R873">
        <v>0.881851261452811</v>
      </c>
      <c r="S873" t="s">
        <v>2557</v>
      </c>
      <c r="T873" t="s">
        <v>3344</v>
      </c>
      <c r="U873" t="s">
        <v>3344</v>
      </c>
      <c r="V873" t="s">
        <v>3344</v>
      </c>
      <c r="W873" t="s">
        <v>4215</v>
      </c>
      <c r="X873">
        <v>1</v>
      </c>
      <c r="Y873" t="s">
        <v>5872</v>
      </c>
      <c r="Z873" t="s">
        <v>7530</v>
      </c>
      <c r="AA873">
        <v>0.709040422910165</v>
      </c>
      <c r="AB873">
        <f>HYPERLINK("Melting_Curves/meltCurve_P0AGK8_iscR.pdf", "Melting_Curves/meltCurve_P0AGK8_iscR.pdf")</f>
        <v>0</v>
      </c>
    </row>
    <row r="874" spans="1:28">
      <c r="A874" t="s">
        <v>900</v>
      </c>
      <c r="B874">
        <v>0.999998419929286</v>
      </c>
      <c r="C874">
        <v>0.799706740551321</v>
      </c>
      <c r="D874">
        <v>1.08575817109256</v>
      </c>
      <c r="E874">
        <v>0.869006082403434</v>
      </c>
      <c r="F874">
        <v>1.39787274675426</v>
      </c>
      <c r="G874">
        <v>1.08876660511588</v>
      </c>
      <c r="H874">
        <v>1.5880455352106</v>
      </c>
      <c r="I874">
        <v>0.760436947208591</v>
      </c>
      <c r="J874">
        <v>1.28541133309896</v>
      </c>
      <c r="K874">
        <v>0.70761267897777</v>
      </c>
      <c r="L874">
        <v>15000</v>
      </c>
      <c r="M874">
        <v>222.99666953612</v>
      </c>
      <c r="Q874">
        <v>0</v>
      </c>
      <c r="R874">
        <v>0.06719214945874639</v>
      </c>
      <c r="S874" t="s">
        <v>2558</v>
      </c>
      <c r="T874" t="s">
        <v>3344</v>
      </c>
      <c r="U874" t="s">
        <v>3344</v>
      </c>
      <c r="V874" t="s">
        <v>3344</v>
      </c>
      <c r="W874" t="s">
        <v>4216</v>
      </c>
      <c r="X874">
        <v>3</v>
      </c>
      <c r="Y874" t="s">
        <v>5873</v>
      </c>
      <c r="Z874" t="s">
        <v>7531</v>
      </c>
      <c r="AA874">
        <v>0.9965833139061328</v>
      </c>
      <c r="AB874">
        <f>HYPERLINK("Melting_Curves/meltCurve_P0AGL2_tdcF.pdf", "Melting_Curves/meltCurve_P0AGL2_tdcF.pdf")</f>
        <v>0</v>
      </c>
    </row>
    <row r="875" spans="1:28">
      <c r="A875" t="s">
        <v>901</v>
      </c>
      <c r="B875">
        <v>0.999998419929286</v>
      </c>
      <c r="C875">
        <v>0.65938809771983</v>
      </c>
      <c r="D875">
        <v>1.07851479578893</v>
      </c>
      <c r="E875">
        <v>0.875664852278295</v>
      </c>
      <c r="F875">
        <v>0.573249151968632</v>
      </c>
      <c r="G875">
        <v>0.403792919046332</v>
      </c>
      <c r="H875">
        <v>0.2301828184484</v>
      </c>
      <c r="I875">
        <v>0.0944846196797088</v>
      </c>
      <c r="J875">
        <v>0.115424098218882</v>
      </c>
      <c r="K875">
        <v>0.0982126221092756</v>
      </c>
      <c r="L875">
        <v>805.47410147372</v>
      </c>
      <c r="M875">
        <v>15.6613416028817</v>
      </c>
      <c r="N875">
        <v>51.8778920579354</v>
      </c>
      <c r="O875">
        <v>50.6140929786907</v>
      </c>
      <c r="P875">
        <v>-0.0724785462473756</v>
      </c>
      <c r="Q875">
        <v>0.0631395271294815</v>
      </c>
      <c r="R875">
        <v>0.90093948389843</v>
      </c>
      <c r="S875" t="s">
        <v>2559</v>
      </c>
      <c r="T875" t="s">
        <v>3344</v>
      </c>
      <c r="U875" t="s">
        <v>3344</v>
      </c>
      <c r="V875" t="s">
        <v>3344</v>
      </c>
      <c r="W875" t="s">
        <v>4217</v>
      </c>
      <c r="X875">
        <v>1</v>
      </c>
      <c r="Y875" t="s">
        <v>5874</v>
      </c>
      <c r="Z875" t="s">
        <v>7532</v>
      </c>
      <c r="AA875">
        <v>0.5312896347078723</v>
      </c>
      <c r="AB875">
        <f>HYPERLINK("Melting_Curves/meltCurve_P0AGL5_ratA.pdf", "Melting_Curves/meltCurve_P0AGL5_ratA.pdf")</f>
        <v>0</v>
      </c>
    </row>
    <row r="876" spans="1:28">
      <c r="A876" t="s">
        <v>902</v>
      </c>
      <c r="B876">
        <v>0.999998419929286</v>
      </c>
      <c r="C876">
        <v>0.9841025008330671</v>
      </c>
      <c r="D876">
        <v>0.987758935166692</v>
      </c>
      <c r="E876">
        <v>0.9387654720827771</v>
      </c>
      <c r="F876">
        <v>0.726897440070409</v>
      </c>
      <c r="G876">
        <v>0.21485472200894</v>
      </c>
      <c r="H876">
        <v>0.0885720145927938</v>
      </c>
      <c r="I876">
        <v>0.0434270111300039</v>
      </c>
      <c r="J876">
        <v>0.046524126573986</v>
      </c>
      <c r="K876">
        <v>0.0372056490924906</v>
      </c>
      <c r="L876">
        <v>1716.75825255361</v>
      </c>
      <c r="M876">
        <v>33.3397490706745</v>
      </c>
      <c r="N876">
        <v>51.6308270031383</v>
      </c>
      <c r="O876">
        <v>51.3086369596505</v>
      </c>
      <c r="P876">
        <v>-0.155523379711767</v>
      </c>
      <c r="Q876">
        <v>0.0426252398854799</v>
      </c>
      <c r="R876">
        <v>0.998868543790565</v>
      </c>
      <c r="S876" t="s">
        <v>2560</v>
      </c>
      <c r="T876" t="s">
        <v>3344</v>
      </c>
      <c r="U876" t="s">
        <v>3344</v>
      </c>
      <c r="V876" t="s">
        <v>3344</v>
      </c>
      <c r="W876" t="s">
        <v>4218</v>
      </c>
      <c r="X876">
        <v>2</v>
      </c>
      <c r="Y876" t="s">
        <v>5875</v>
      </c>
      <c r="Z876" t="s">
        <v>7533</v>
      </c>
      <c r="AA876">
        <v>0.5100132497796507</v>
      </c>
      <c r="AB876">
        <f>HYPERLINK("Melting_Curves/meltCurve_P0AGL7_rsmE.pdf", "Melting_Curves/meltCurve_P0AGL7_rsmE.pdf")</f>
        <v>0</v>
      </c>
    </row>
    <row r="877" spans="1:28">
      <c r="A877" t="s">
        <v>903</v>
      </c>
      <c r="B877">
        <v>0.999998419929286</v>
      </c>
      <c r="C877">
        <v>0.89847693716195</v>
      </c>
      <c r="D877">
        <v>0.870123320428185</v>
      </c>
      <c r="E877">
        <v>0.707514867666974</v>
      </c>
      <c r="F877">
        <v>0.513970952002572</v>
      </c>
      <c r="G877">
        <v>0.377892378231175</v>
      </c>
      <c r="H877">
        <v>0.327820803939708</v>
      </c>
      <c r="I877">
        <v>0.279706859247087</v>
      </c>
      <c r="J877">
        <v>0.347091747112815</v>
      </c>
      <c r="K877">
        <v>0.360752812319941</v>
      </c>
      <c r="L877">
        <v>711.75038515852</v>
      </c>
      <c r="M877">
        <v>15.090708483032</v>
      </c>
      <c r="N877">
        <v>50.3279885496184</v>
      </c>
      <c r="O877">
        <v>46.3598360574727</v>
      </c>
      <c r="P877">
        <v>-0.056454863772009</v>
      </c>
      <c r="Q877">
        <v>0.306333427348438</v>
      </c>
      <c r="R877">
        <v>0.984398405041409</v>
      </c>
      <c r="S877" t="s">
        <v>2561</v>
      </c>
      <c r="T877" t="s">
        <v>3344</v>
      </c>
      <c r="U877" t="s">
        <v>3344</v>
      </c>
      <c r="V877" t="s">
        <v>3344</v>
      </c>
      <c r="W877" t="s">
        <v>4219</v>
      </c>
      <c r="X877">
        <v>6</v>
      </c>
      <c r="Y877" t="s">
        <v>5876</v>
      </c>
      <c r="Z877" t="s">
        <v>7534</v>
      </c>
      <c r="AA877">
        <v>0.5567596940980477</v>
      </c>
      <c r="AB877">
        <f>HYPERLINK("Melting_Curves/meltCurve_P0C018_rplR.pdf", "Melting_Curves/meltCurve_P0C018_rplR.pdf")</f>
        <v>0</v>
      </c>
    </row>
    <row r="878" spans="1:28">
      <c r="A878" t="s">
        <v>904</v>
      </c>
      <c r="B878">
        <v>0.999998419929286</v>
      </c>
      <c r="C878">
        <v>0.738187473104156</v>
      </c>
      <c r="D878">
        <v>0.941966473155454</v>
      </c>
      <c r="E878">
        <v>0.800138599186312</v>
      </c>
      <c r="F878">
        <v>0.796685794100811</v>
      </c>
      <c r="G878">
        <v>0.592477336752891</v>
      </c>
      <c r="H878">
        <v>0.389770615799184</v>
      </c>
      <c r="I878">
        <v>0.412697667889411</v>
      </c>
      <c r="J878">
        <v>0.580861422621967</v>
      </c>
      <c r="K878">
        <v>0.513202708394037</v>
      </c>
      <c r="L878">
        <v>434.163835548177</v>
      </c>
      <c r="M878">
        <v>8.78287264472832</v>
      </c>
      <c r="N878">
        <v>61.1930941658006</v>
      </c>
      <c r="O878">
        <v>47.07127117471</v>
      </c>
      <c r="P878">
        <v>-0.0276580381752625</v>
      </c>
      <c r="Q878">
        <v>0.407545522376028</v>
      </c>
      <c r="R878">
        <v>0.746839153515367</v>
      </c>
      <c r="S878" t="s">
        <v>2562</v>
      </c>
      <c r="T878" t="s">
        <v>3344</v>
      </c>
      <c r="U878" t="s">
        <v>3344</v>
      </c>
      <c r="V878" t="s">
        <v>3344</v>
      </c>
      <c r="W878" t="s">
        <v>4220</v>
      </c>
      <c r="X878">
        <v>2</v>
      </c>
      <c r="Y878" t="s">
        <v>5877</v>
      </c>
      <c r="Z878" t="s">
        <v>7535</v>
      </c>
      <c r="AA878">
        <v>0.6771308227820676</v>
      </c>
      <c r="AB878">
        <f>HYPERLINK("Melting_Curves/meltCurve_P0C037_yaiE.pdf", "Melting_Curves/meltCurve_P0C037_yaiE.pdf")</f>
        <v>0</v>
      </c>
    </row>
    <row r="879" spans="1:28">
      <c r="A879" t="s">
        <v>905</v>
      </c>
      <c r="B879">
        <v>0.999998419929286</v>
      </c>
      <c r="C879">
        <v>0.926424756139975</v>
      </c>
      <c r="D879">
        <v>1.04215185016065</v>
      </c>
      <c r="E879">
        <v>0.969435062112353</v>
      </c>
      <c r="F879">
        <v>1.03826399802764</v>
      </c>
      <c r="G879">
        <v>1.1255092810478</v>
      </c>
      <c r="H879">
        <v>0.924976013404631</v>
      </c>
      <c r="I879">
        <v>0.796767272423783</v>
      </c>
      <c r="J879">
        <v>0.7263348679124531</v>
      </c>
      <c r="K879">
        <v>0.684743787522319</v>
      </c>
      <c r="L879">
        <v>2296.52254965901</v>
      </c>
      <c r="M879">
        <v>38.3792550326529</v>
      </c>
      <c r="O879">
        <v>59.675817631151</v>
      </c>
      <c r="P879">
        <v>-0.0495190860587703</v>
      </c>
      <c r="Q879">
        <v>0.6920121872300981</v>
      </c>
      <c r="R879">
        <v>0.854649543458646</v>
      </c>
      <c r="S879" t="s">
        <v>2563</v>
      </c>
      <c r="T879" t="s">
        <v>3344</v>
      </c>
      <c r="U879" t="s">
        <v>3344</v>
      </c>
      <c r="V879" t="s">
        <v>3344</v>
      </c>
      <c r="W879" t="s">
        <v>4221</v>
      </c>
      <c r="X879">
        <v>3</v>
      </c>
      <c r="Y879" t="s">
        <v>5878</v>
      </c>
      <c r="Z879" t="s">
        <v>7536</v>
      </c>
      <c r="AA879">
        <v>0.9275040327670584</v>
      </c>
      <c r="AB879">
        <f>HYPERLINK("Melting_Curves/meltCurve_P0C054_ibpA.pdf", "Melting_Curves/meltCurve_P0C054_ibpA.pdf")</f>
        <v>0</v>
      </c>
    </row>
    <row r="880" spans="1:28">
      <c r="A880" t="s">
        <v>906</v>
      </c>
      <c r="B880">
        <v>0.999998419929286</v>
      </c>
      <c r="C880">
        <v>0.648763546409913</v>
      </c>
      <c r="D880">
        <v>1.25754408217626</v>
      </c>
      <c r="E880">
        <v>0.8789725150525149</v>
      </c>
      <c r="F880">
        <v>0.932262990504141</v>
      </c>
      <c r="G880">
        <v>0.549810966496273</v>
      </c>
      <c r="H880">
        <v>0.277294426582931</v>
      </c>
      <c r="I880">
        <v>0.154253711228604</v>
      </c>
      <c r="J880">
        <v>0.124205167032822</v>
      </c>
      <c r="K880">
        <v>0.093431944329671</v>
      </c>
      <c r="L880">
        <v>1389.98428060843</v>
      </c>
      <c r="M880">
        <v>25.7421222223356</v>
      </c>
      <c r="N880">
        <v>54.4872601425605</v>
      </c>
      <c r="O880">
        <v>53.6737937898639</v>
      </c>
      <c r="P880">
        <v>-0.107495750449354</v>
      </c>
      <c r="Q880">
        <v>0.103471641486918</v>
      </c>
      <c r="R880">
        <v>0.8697642255101961</v>
      </c>
      <c r="S880" t="s">
        <v>2564</v>
      </c>
      <c r="T880" t="s">
        <v>3344</v>
      </c>
      <c r="U880" t="s">
        <v>3344</v>
      </c>
      <c r="V880" t="s">
        <v>3344</v>
      </c>
      <c r="W880" t="s">
        <v>4222</v>
      </c>
      <c r="X880">
        <v>1</v>
      </c>
      <c r="Y880" t="s">
        <v>5879</v>
      </c>
      <c r="Z880" t="s">
        <v>7537</v>
      </c>
      <c r="AA880">
        <v>0.6188617068545427</v>
      </c>
      <c r="AB880">
        <f>HYPERLINK("Melting_Curves/meltCurve_P0C077_relE.pdf", "Melting_Curves/meltCurve_P0C077_relE.pdf")</f>
        <v>0</v>
      </c>
    </row>
    <row r="881" spans="1:28">
      <c r="A881" t="s">
        <v>907</v>
      </c>
      <c r="B881">
        <v>0.999998419929286</v>
      </c>
      <c r="C881">
        <v>1.04397535603843</v>
      </c>
      <c r="D881">
        <v>0.750210636367843</v>
      </c>
      <c r="E881">
        <v>0.778292987449234</v>
      </c>
      <c r="F881">
        <v>0.930924478100506</v>
      </c>
      <c r="G881">
        <v>1.13157341193266</v>
      </c>
      <c r="H881">
        <v>0.974938906603718</v>
      </c>
      <c r="I881">
        <v>1.10007340804158</v>
      </c>
      <c r="J881">
        <v>1.07389130788982</v>
      </c>
      <c r="K881">
        <v>0.982562141229685</v>
      </c>
      <c r="L881">
        <v>2763.4388735475</v>
      </c>
      <c r="M881">
        <v>53.1821706465141</v>
      </c>
      <c r="O881">
        <v>51.8884398604213</v>
      </c>
      <c r="P881">
        <v>0.0126845849813962</v>
      </c>
      <c r="Q881">
        <v>1.04950402565031</v>
      </c>
      <c r="R881">
        <v>0.0422333657042153</v>
      </c>
      <c r="S881" t="s">
        <v>2565</v>
      </c>
      <c r="T881" t="s">
        <v>3344</v>
      </c>
      <c r="U881" t="s">
        <v>3344</v>
      </c>
      <c r="V881" t="s">
        <v>3344</v>
      </c>
      <c r="W881" t="s">
        <v>4223</v>
      </c>
      <c r="X881">
        <v>2</v>
      </c>
      <c r="Y881" t="s">
        <v>5880</v>
      </c>
      <c r="Z881" t="s">
        <v>7538</v>
      </c>
      <c r="AA881">
        <v>1.024714914002133</v>
      </c>
      <c r="AB881">
        <f>HYPERLINK("Melting_Curves/meltCurve_P0C079_relB.pdf", "Melting_Curves/meltCurve_P0C079_relB.pdf")</f>
        <v>0</v>
      </c>
    </row>
    <row r="882" spans="1:28">
      <c r="A882" t="s">
        <v>908</v>
      </c>
      <c r="B882">
        <v>0.999998419929286</v>
      </c>
      <c r="C882">
        <v>0.765698117819022</v>
      </c>
      <c r="D882">
        <v>0.936547646887209</v>
      </c>
      <c r="E882">
        <v>1.04164734413583</v>
      </c>
      <c r="F882">
        <v>1.20107569410537</v>
      </c>
      <c r="G882">
        <v>1.60173726838251</v>
      </c>
      <c r="H882">
        <v>1.52699905632205</v>
      </c>
      <c r="I882">
        <v>1.31851459908383</v>
      </c>
      <c r="J882">
        <v>1.47768457021552</v>
      </c>
      <c r="K882">
        <v>1.4691012118942</v>
      </c>
      <c r="L882">
        <v>12566.2132763228</v>
      </c>
      <c r="M882">
        <v>250</v>
      </c>
      <c r="O882">
        <v>50.2616364996372</v>
      </c>
      <c r="P882">
        <v>0.595393646058157</v>
      </c>
      <c r="Q882">
        <v>1.47880734352669</v>
      </c>
      <c r="R882">
        <v>0.860280654042642</v>
      </c>
      <c r="S882" t="s">
        <v>2566</v>
      </c>
      <c r="T882" t="s">
        <v>3344</v>
      </c>
      <c r="U882" t="s">
        <v>3344</v>
      </c>
      <c r="V882" t="s">
        <v>3344</v>
      </c>
      <c r="W882" t="s">
        <v>4224</v>
      </c>
      <c r="X882">
        <v>8</v>
      </c>
      <c r="Y882" t="s">
        <v>5881</v>
      </c>
      <c r="Z882" t="s">
        <v>7539</v>
      </c>
      <c r="AA882">
        <v>1.267054803411766</v>
      </c>
      <c r="AB882">
        <f>HYPERLINK("Melting_Curves/meltCurve_P0C0L2_osmC.pdf", "Melting_Curves/meltCurve_P0C0L2_osmC.pdf")</f>
        <v>0</v>
      </c>
    </row>
    <row r="883" spans="1:28">
      <c r="A883" t="s">
        <v>909</v>
      </c>
      <c r="B883">
        <v>0.999998419929286</v>
      </c>
      <c r="C883">
        <v>0.915011821530345</v>
      </c>
      <c r="D883">
        <v>0.5487324530583531</v>
      </c>
      <c r="E883">
        <v>0.320856627909926</v>
      </c>
      <c r="F883">
        <v>0.204824158631522</v>
      </c>
      <c r="G883">
        <v>0.184655713400462</v>
      </c>
      <c r="H883">
        <v>0.137920988888084</v>
      </c>
      <c r="I883">
        <v>0.079366783081704</v>
      </c>
      <c r="J883">
        <v>0.0793969641369784</v>
      </c>
      <c r="K883">
        <v>0.0611978405135503</v>
      </c>
      <c r="L883">
        <v>802.294091178638</v>
      </c>
      <c r="M883">
        <v>18.4174168774539</v>
      </c>
      <c r="N883">
        <v>44.1150368831847</v>
      </c>
      <c r="O883">
        <v>43.0578810933445</v>
      </c>
      <c r="P883">
        <v>-0.095909927939553</v>
      </c>
      <c r="Q883">
        <v>0.103133265311683</v>
      </c>
      <c r="R883">
        <v>0.986179943357525</v>
      </c>
      <c r="S883" t="s">
        <v>2567</v>
      </c>
      <c r="T883" t="s">
        <v>3344</v>
      </c>
      <c r="U883" t="s">
        <v>3344</v>
      </c>
      <c r="V883" t="s">
        <v>3344</v>
      </c>
      <c r="W883" t="s">
        <v>4225</v>
      </c>
      <c r="X883">
        <v>1</v>
      </c>
      <c r="Y883" t="s">
        <v>5882</v>
      </c>
      <c r="Z883" t="s">
        <v>7540</v>
      </c>
      <c r="AA883">
        <v>0.3139276254394785</v>
      </c>
      <c r="AB883">
        <f>HYPERLINK("Melting_Curves/meltCurve_P0C0L7_proP.pdf", "Melting_Curves/meltCurve_P0C0L7_proP.pdf")</f>
        <v>0</v>
      </c>
    </row>
    <row r="884" spans="1:28">
      <c r="A884" t="s">
        <v>910</v>
      </c>
      <c r="B884">
        <v>0.999998419929286</v>
      </c>
      <c r="C884">
        <v>1.03211316355529</v>
      </c>
      <c r="D884">
        <v>1.0494648710201</v>
      </c>
      <c r="E884">
        <v>1.09053622516159</v>
      </c>
      <c r="F884">
        <v>0.881517993153346</v>
      </c>
      <c r="G884">
        <v>0.952849622161082</v>
      </c>
      <c r="H884">
        <v>0.817850444292751</v>
      </c>
      <c r="I884">
        <v>0.612517413358136</v>
      </c>
      <c r="J884">
        <v>0.547539797761821</v>
      </c>
      <c r="K884">
        <v>0.369463158753791</v>
      </c>
      <c r="L884">
        <v>833.341360781428</v>
      </c>
      <c r="M884">
        <v>13.1909151747901</v>
      </c>
      <c r="N884">
        <v>64.21242393921059</v>
      </c>
      <c r="O884">
        <v>61.7764019489786</v>
      </c>
      <c r="P884">
        <v>-0.0482685229121416</v>
      </c>
      <c r="Q884">
        <v>0.09593607723320489</v>
      </c>
      <c r="R884">
        <v>0.951327535455174</v>
      </c>
      <c r="S884" t="s">
        <v>2568</v>
      </c>
      <c r="T884" t="s">
        <v>3344</v>
      </c>
      <c r="U884" t="s">
        <v>3344</v>
      </c>
      <c r="V884" t="s">
        <v>3344</v>
      </c>
      <c r="W884" t="s">
        <v>4226</v>
      </c>
      <c r="X884">
        <v>4</v>
      </c>
      <c r="Y884" t="s">
        <v>5883</v>
      </c>
      <c r="Z884" t="s">
        <v>7541</v>
      </c>
      <c r="AA884">
        <v>0.8460844630223701</v>
      </c>
      <c r="AB884">
        <f>HYPERLINK("Melting_Curves/meltCurve_P0C0S1_mscS.pdf", "Melting_Curves/meltCurve_P0C0S1_mscS.pdf")</f>
        <v>0</v>
      </c>
    </row>
    <row r="885" spans="1:28">
      <c r="A885" t="s">
        <v>911</v>
      </c>
      <c r="B885">
        <v>0.999998419929286</v>
      </c>
      <c r="C885">
        <v>0.918757579785074</v>
      </c>
      <c r="D885">
        <v>0.959747498873312</v>
      </c>
      <c r="E885">
        <v>0.81534979963223</v>
      </c>
      <c r="F885">
        <v>0.968089932004031</v>
      </c>
      <c r="G885">
        <v>1.03820700220717</v>
      </c>
      <c r="H885">
        <v>0.929203298066815</v>
      </c>
      <c r="I885">
        <v>0.6303923546588009</v>
      </c>
      <c r="J885">
        <v>0.361250151050876</v>
      </c>
      <c r="K885">
        <v>0.116773031496589</v>
      </c>
      <c r="L885">
        <v>1704.98943022029</v>
      </c>
      <c r="M885">
        <v>27.3015558089917</v>
      </c>
      <c r="N885">
        <v>62.4502614157901</v>
      </c>
      <c r="O885">
        <v>62.1180973272931</v>
      </c>
      <c r="P885">
        <v>-0.109878663583155</v>
      </c>
      <c r="Q885">
        <v>0</v>
      </c>
      <c r="R885">
        <v>0.944523077308182</v>
      </c>
      <c r="S885" t="s">
        <v>2569</v>
      </c>
      <c r="T885" t="s">
        <v>3344</v>
      </c>
      <c r="U885" t="s">
        <v>3344</v>
      </c>
      <c r="V885" t="s">
        <v>3344</v>
      </c>
      <c r="W885" t="s">
        <v>4227</v>
      </c>
      <c r="X885">
        <v>2</v>
      </c>
      <c r="Y885" t="s">
        <v>5884</v>
      </c>
      <c r="Z885" t="s">
        <v>7542</v>
      </c>
      <c r="AA885">
        <v>0.8437481942867452</v>
      </c>
      <c r="AB885">
        <f>HYPERLINK("Melting_Curves/meltCurve_P0C0U4_rimK.pdf", "Melting_Curves/meltCurve_P0C0U4_rimK.pdf")</f>
        <v>0</v>
      </c>
    </row>
    <row r="886" spans="1:28">
      <c r="A886" t="s">
        <v>912</v>
      </c>
      <c r="B886">
        <v>0.999998419929286</v>
      </c>
      <c r="C886">
        <v>1.25472233493564</v>
      </c>
      <c r="D886">
        <v>1.28910203753385</v>
      </c>
      <c r="E886">
        <v>1.47123942407081</v>
      </c>
      <c r="F886">
        <v>1.69509870386959</v>
      </c>
      <c r="G886">
        <v>1.91651603303246</v>
      </c>
      <c r="H886">
        <v>1.96423588391464</v>
      </c>
      <c r="I886">
        <v>1.69800383900455</v>
      </c>
      <c r="J886">
        <v>1.88827836587451</v>
      </c>
      <c r="K886">
        <v>1.83881458523383</v>
      </c>
      <c r="L886">
        <v>968.077859041344</v>
      </c>
      <c r="M886">
        <v>23.7389135183235</v>
      </c>
      <c r="O886">
        <v>40.4941280908501</v>
      </c>
      <c r="P886">
        <v>0.0732800860796408</v>
      </c>
      <c r="Q886">
        <v>1.5</v>
      </c>
      <c r="R886">
        <v>0.235855254885134</v>
      </c>
      <c r="S886" t="s">
        <v>2570</v>
      </c>
      <c r="T886" t="s">
        <v>3344</v>
      </c>
      <c r="U886" t="s">
        <v>3344</v>
      </c>
      <c r="V886" t="s">
        <v>3344</v>
      </c>
      <c r="W886" t="s">
        <v>4228</v>
      </c>
      <c r="X886">
        <v>16</v>
      </c>
      <c r="Y886" t="s">
        <v>5885</v>
      </c>
      <c r="Z886" t="s">
        <v>7543</v>
      </c>
      <c r="AA886">
        <v>1.431076456698792</v>
      </c>
      <c r="AB886">
        <f>HYPERLINK("Melting_Curves/meltCurve_P0C0V0_degP.pdf", "Melting_Curves/meltCurve_P0C0V0_degP.pdf")</f>
        <v>0</v>
      </c>
    </row>
    <row r="887" spans="1:28">
      <c r="A887" t="s">
        <v>913</v>
      </c>
      <c r="B887">
        <v>0.999998419929286</v>
      </c>
      <c r="C887">
        <v>0.872699399782481</v>
      </c>
      <c r="D887">
        <v>0.762462495547571</v>
      </c>
      <c r="E887">
        <v>0.699234513414123</v>
      </c>
      <c r="F887">
        <v>0.631874739176201</v>
      </c>
      <c r="G887">
        <v>0.5969532441068029</v>
      </c>
      <c r="H887">
        <v>0.484376129144819</v>
      </c>
      <c r="I887">
        <v>0.382969828460911</v>
      </c>
      <c r="J887">
        <v>0.361869782062738</v>
      </c>
      <c r="K887">
        <v>0.344618108567347</v>
      </c>
      <c r="L887">
        <v>294.540475523339</v>
      </c>
      <c r="M887">
        <v>5.5636115463812</v>
      </c>
      <c r="N887">
        <v>56.0036076607593</v>
      </c>
      <c r="O887">
        <v>47.2832410669367</v>
      </c>
      <c r="P887">
        <v>-0.0256656899180197</v>
      </c>
      <c r="Q887">
        <v>0.131179867199511</v>
      </c>
      <c r="R887">
        <v>0.973507410348658</v>
      </c>
      <c r="S887" t="s">
        <v>2571</v>
      </c>
      <c r="T887" t="s">
        <v>3344</v>
      </c>
      <c r="U887" t="s">
        <v>3344</v>
      </c>
      <c r="V887" t="s">
        <v>3344</v>
      </c>
      <c r="W887" t="s">
        <v>4229</v>
      </c>
      <c r="X887">
        <v>14</v>
      </c>
      <c r="Y887" t="s">
        <v>5886</v>
      </c>
      <c r="Z887" t="s">
        <v>7544</v>
      </c>
      <c r="AA887">
        <v>0.6073564039248586</v>
      </c>
      <c r="AB887">
        <f>HYPERLINK("Melting_Curves/meltCurve_P0C8J6_gatY.pdf", "Melting_Curves/meltCurve_P0C8J6_gatY.pdf")</f>
        <v>0</v>
      </c>
    </row>
    <row r="888" spans="1:28">
      <c r="A888" t="s">
        <v>914</v>
      </c>
      <c r="B888">
        <v>0.999998419929286</v>
      </c>
      <c r="C888">
        <v>0.950942228206999</v>
      </c>
      <c r="D888">
        <v>0.765215300357893</v>
      </c>
      <c r="E888">
        <v>0.433813665071333</v>
      </c>
      <c r="F888">
        <v>0.13895258097738</v>
      </c>
      <c r="G888">
        <v>0.08471189988201371</v>
      </c>
      <c r="H888">
        <v>0.0413592768096885</v>
      </c>
      <c r="I888">
        <v>0.0452587729484161</v>
      </c>
      <c r="J888">
        <v>0.0341164929591859</v>
      </c>
      <c r="K888">
        <v>0.0291830608684224</v>
      </c>
      <c r="L888">
        <v>914.533054900594</v>
      </c>
      <c r="M888">
        <v>20.048686271001</v>
      </c>
      <c r="N888">
        <v>45.758153538935</v>
      </c>
      <c r="O888">
        <v>45.169048120355</v>
      </c>
      <c r="P888">
        <v>-0.10760904904679</v>
      </c>
      <c r="Q888">
        <v>0.0302721556093598</v>
      </c>
      <c r="R888">
        <v>0.998960235321014</v>
      </c>
      <c r="S888" t="s">
        <v>2572</v>
      </c>
      <c r="T888" t="s">
        <v>3344</v>
      </c>
      <c r="U888" t="s">
        <v>3344</v>
      </c>
      <c r="V888" t="s">
        <v>3344</v>
      </c>
      <c r="W888" t="s">
        <v>4230</v>
      </c>
      <c r="X888">
        <v>7</v>
      </c>
      <c r="Y888" t="s">
        <v>5887</v>
      </c>
      <c r="Z888" t="s">
        <v>7545</v>
      </c>
      <c r="AA888">
        <v>0.3213911315997174</v>
      </c>
      <c r="AB888">
        <f>HYPERLINK("Melting_Curves/meltCurve_P0C8J8_gatZ.pdf", "Melting_Curves/meltCurve_P0C8J8_gatZ.pdf")</f>
        <v>0</v>
      </c>
    </row>
    <row r="889" spans="1:28">
      <c r="A889" t="s">
        <v>915</v>
      </c>
      <c r="B889">
        <v>0.999998419929286</v>
      </c>
      <c r="C889">
        <v>1.18835643876723</v>
      </c>
      <c r="D889">
        <v>1.09940030838744</v>
      </c>
      <c r="E889">
        <v>0.958761068276435</v>
      </c>
      <c r="F889">
        <v>0.620535754108096</v>
      </c>
      <c r="G889">
        <v>0.344948910924125</v>
      </c>
      <c r="H889">
        <v>0.158705822370905</v>
      </c>
      <c r="I889">
        <v>0.104343569698394</v>
      </c>
      <c r="J889">
        <v>0.0856554082339622</v>
      </c>
      <c r="K889">
        <v>0.08255733458897049</v>
      </c>
      <c r="L889">
        <v>1230.55198786402</v>
      </c>
      <c r="M889">
        <v>23.9782404866934</v>
      </c>
      <c r="N889">
        <v>51.7284682904442</v>
      </c>
      <c r="O889">
        <v>50.9665760545343</v>
      </c>
      <c r="P889">
        <v>-0.107464245490564</v>
      </c>
      <c r="Q889">
        <v>0.0863385932000654</v>
      </c>
      <c r="R889">
        <v>0.973028756231764</v>
      </c>
      <c r="S889" t="s">
        <v>2573</v>
      </c>
      <c r="T889" t="s">
        <v>3344</v>
      </c>
      <c r="U889" t="s">
        <v>3344</v>
      </c>
      <c r="V889" t="s">
        <v>3344</v>
      </c>
      <c r="W889" t="s">
        <v>4231</v>
      </c>
      <c r="X889">
        <v>3</v>
      </c>
      <c r="Y889" t="s">
        <v>5888</v>
      </c>
      <c r="Z889" t="s">
        <v>7546</v>
      </c>
      <c r="AA889">
        <v>0.531160480607755</v>
      </c>
      <c r="AB889">
        <f>HYPERLINK("Melting_Curves/meltCurve_P0CB39_eptC.pdf", "Melting_Curves/meltCurve_P0CB39_eptC.pdf")</f>
        <v>0</v>
      </c>
    </row>
    <row r="890" spans="1:28">
      <c r="A890" t="s">
        <v>916</v>
      </c>
      <c r="B890">
        <v>0.999998419929286</v>
      </c>
      <c r="C890">
        <v>1.00254793764401</v>
      </c>
      <c r="D890">
        <v>0.986816705677881</v>
      </c>
      <c r="E890">
        <v>0.889966086384035</v>
      </c>
      <c r="F890">
        <v>0.624531969315703</v>
      </c>
      <c r="G890">
        <v>0.399897975340763</v>
      </c>
      <c r="H890">
        <v>0.319877079603503</v>
      </c>
      <c r="I890">
        <v>0.189851399046087</v>
      </c>
      <c r="J890">
        <v>0.183472300346937</v>
      </c>
      <c r="K890">
        <v>0.176471630678711</v>
      </c>
      <c r="L890">
        <v>903.128276289428</v>
      </c>
      <c r="M890">
        <v>17.6875948096994</v>
      </c>
      <c r="N890">
        <v>52.2690314187891</v>
      </c>
      <c r="O890">
        <v>50.4207216468204</v>
      </c>
      <c r="P890">
        <v>-0.0729801110031308</v>
      </c>
      <c r="Q890">
        <v>0.167887837255276</v>
      </c>
      <c r="R890">
        <v>0.996498996348072</v>
      </c>
      <c r="S890" t="s">
        <v>2574</v>
      </c>
      <c r="T890" t="s">
        <v>3344</v>
      </c>
      <c r="U890" t="s">
        <v>3344</v>
      </c>
      <c r="V890" t="s">
        <v>3344</v>
      </c>
      <c r="W890" t="s">
        <v>4232</v>
      </c>
      <c r="X890">
        <v>11</v>
      </c>
      <c r="Y890" t="s">
        <v>5889</v>
      </c>
      <c r="Z890" t="s">
        <v>7547</v>
      </c>
      <c r="AA890">
        <v>0.5711100547897895</v>
      </c>
      <c r="AB890">
        <f>HYPERLINK("Melting_Curves/meltCurve_P0CE47_tufA.pdf", "Melting_Curves/meltCurve_P0CE47_tufA.pdf")</f>
        <v>0</v>
      </c>
    </row>
    <row r="891" spans="1:28">
      <c r="A891" t="s">
        <v>917</v>
      </c>
      <c r="B891">
        <v>0.999998419929286</v>
      </c>
      <c r="C891">
        <v>0.986896142304247</v>
      </c>
      <c r="D891">
        <v>1.27493438507642</v>
      </c>
      <c r="E891">
        <v>0.982925907853802</v>
      </c>
      <c r="F891">
        <v>1.01364924913565</v>
      </c>
      <c r="G891">
        <v>1.32821846268124</v>
      </c>
      <c r="H891">
        <v>0.783571860620264</v>
      </c>
      <c r="I891">
        <v>0.695974464382239</v>
      </c>
      <c r="J891">
        <v>0.355235307170341</v>
      </c>
      <c r="K891">
        <v>0</v>
      </c>
      <c r="L891">
        <v>1986.97893694002</v>
      </c>
      <c r="M891">
        <v>31.8402353830271</v>
      </c>
      <c r="N891">
        <v>62.404632063237</v>
      </c>
      <c r="O891">
        <v>62.1600404582075</v>
      </c>
      <c r="P891">
        <v>-0.128058145754955</v>
      </c>
      <c r="Q891">
        <v>0</v>
      </c>
      <c r="R891">
        <v>0.8479502541374651</v>
      </c>
      <c r="S891" t="s">
        <v>2575</v>
      </c>
      <c r="T891" t="s">
        <v>3344</v>
      </c>
      <c r="U891" t="s">
        <v>3344</v>
      </c>
      <c r="V891" t="s">
        <v>3344</v>
      </c>
      <c r="W891" t="s">
        <v>4233</v>
      </c>
      <c r="X891">
        <v>1</v>
      </c>
      <c r="Y891" t="s">
        <v>5890</v>
      </c>
      <c r="Z891" t="s">
        <v>7548</v>
      </c>
      <c r="AA891">
        <v>0.8450082854962591</v>
      </c>
      <c r="AB891">
        <f>HYPERLINK("Melting_Curves/meltCurve_P0CK95_yghJ.pdf", "Melting_Curves/meltCurve_P0CK95_yghJ.pdf")</f>
        <v>0</v>
      </c>
    </row>
    <row r="892" spans="1:28">
      <c r="A892" t="s">
        <v>918</v>
      </c>
      <c r="B892">
        <v>0.999998419929286</v>
      </c>
      <c r="C892">
        <v>0.819407342737286</v>
      </c>
      <c r="D892">
        <v>0.814812347751209</v>
      </c>
      <c r="E892">
        <v>0.605326608769593</v>
      </c>
      <c r="F892">
        <v>0.277134170793107</v>
      </c>
      <c r="G892">
        <v>0.128484978597682</v>
      </c>
      <c r="H892">
        <v>0.07918037507604329</v>
      </c>
      <c r="I892">
        <v>0.0417594060318744</v>
      </c>
      <c r="J892">
        <v>0.0338708691845154</v>
      </c>
      <c r="K892">
        <v>0.0278586086660875</v>
      </c>
      <c r="L892">
        <v>653.988197673857</v>
      </c>
      <c r="M892">
        <v>13.8381758478761</v>
      </c>
      <c r="N892">
        <v>47.2597093263838</v>
      </c>
      <c r="O892">
        <v>46.305582189786</v>
      </c>
      <c r="P892">
        <v>-0.07472150772299931</v>
      </c>
      <c r="Q892">
        <v>0</v>
      </c>
      <c r="R892">
        <v>0.986858306152137</v>
      </c>
      <c r="S892" t="s">
        <v>2576</v>
      </c>
      <c r="T892" t="s">
        <v>3344</v>
      </c>
      <c r="U892" t="s">
        <v>3344</v>
      </c>
      <c r="V892" t="s">
        <v>3344</v>
      </c>
      <c r="W892" t="s">
        <v>4234</v>
      </c>
      <c r="X892">
        <v>6</v>
      </c>
      <c r="Y892" t="s">
        <v>5891</v>
      </c>
      <c r="Z892" t="s">
        <v>7549</v>
      </c>
      <c r="AA892">
        <v>0.3677234595159977</v>
      </c>
      <c r="AB892">
        <f>HYPERLINK("Melting_Curves/meltCurve_P0DMC7_rcsB.pdf", "Melting_Curves/meltCurve_P0DMC7_rcsB.pdf")</f>
        <v>0</v>
      </c>
    </row>
    <row r="893" spans="1:28">
      <c r="A893" t="s">
        <v>919</v>
      </c>
      <c r="B893">
        <v>0.999998419929286</v>
      </c>
      <c r="C893">
        <v>1.04488543880171</v>
      </c>
      <c r="D893">
        <v>1.14145440951203</v>
      </c>
      <c r="E893">
        <v>1.31749161262437</v>
      </c>
      <c r="F893">
        <v>1.5568135782297</v>
      </c>
      <c r="G893">
        <v>1.67860733730479</v>
      </c>
      <c r="H893">
        <v>1.50626697101949</v>
      </c>
      <c r="I893">
        <v>1.3089944205454</v>
      </c>
      <c r="J893">
        <v>1.25322909742251</v>
      </c>
      <c r="K893">
        <v>1.05652064944618</v>
      </c>
      <c r="L893">
        <v>1557.66616330467</v>
      </c>
      <c r="M893">
        <v>35.6692625007398</v>
      </c>
      <c r="O893">
        <v>43.5331011565267</v>
      </c>
      <c r="P893">
        <v>0.0796456756645796</v>
      </c>
      <c r="Q893">
        <v>1.38881811761141</v>
      </c>
      <c r="R893">
        <v>0.461669387900652</v>
      </c>
      <c r="S893" t="s">
        <v>2577</v>
      </c>
      <c r="T893" t="s">
        <v>3344</v>
      </c>
      <c r="U893" t="s">
        <v>3344</v>
      </c>
      <c r="V893" t="s">
        <v>3344</v>
      </c>
      <c r="W893" t="s">
        <v>4235</v>
      </c>
      <c r="X893">
        <v>6</v>
      </c>
      <c r="Y893" t="s">
        <v>5892</v>
      </c>
      <c r="Z893" t="s">
        <v>7550</v>
      </c>
      <c r="AA893">
        <v>1.300877528338963</v>
      </c>
      <c r="AB893">
        <f>HYPERLINK("Melting_Curves/meltCurve_P10100_rlpA.pdf", "Melting_Curves/meltCurve_P10100_rlpA.pdf")</f>
        <v>0</v>
      </c>
    </row>
    <row r="894" spans="1:28">
      <c r="A894" t="s">
        <v>920</v>
      </c>
      <c r="B894">
        <v>0.999998419929286</v>
      </c>
      <c r="C894">
        <v>1.17620008920661</v>
      </c>
      <c r="D894">
        <v>1.10149797054379</v>
      </c>
      <c r="E894">
        <v>1.30271022937307</v>
      </c>
      <c r="F894">
        <v>1.31164981986707</v>
      </c>
      <c r="G894">
        <v>1.60068252842749</v>
      </c>
      <c r="H894">
        <v>1.20932437203151</v>
      </c>
      <c r="I894">
        <v>0.415172656188117</v>
      </c>
      <c r="J894">
        <v>0.220152812204372</v>
      </c>
      <c r="K894">
        <v>0.171693152125994</v>
      </c>
      <c r="L894">
        <v>15000</v>
      </c>
      <c r="M894">
        <v>246.882735975693</v>
      </c>
      <c r="N894">
        <v>60.8802043580374</v>
      </c>
      <c r="O894">
        <v>60.7535780200595</v>
      </c>
      <c r="P894">
        <v>-0.816878126691628</v>
      </c>
      <c r="Q894">
        <v>0.195921266653484</v>
      </c>
      <c r="R894">
        <v>0.716982483166075</v>
      </c>
      <c r="S894" t="s">
        <v>2578</v>
      </c>
      <c r="T894" t="s">
        <v>3344</v>
      </c>
      <c r="U894" t="s">
        <v>3344</v>
      </c>
      <c r="V894" t="s">
        <v>3344</v>
      </c>
      <c r="W894" t="s">
        <v>4236</v>
      </c>
      <c r="X894">
        <v>8</v>
      </c>
      <c r="Y894" t="s">
        <v>5893</v>
      </c>
      <c r="Z894" t="s">
        <v>7551</v>
      </c>
      <c r="AA894">
        <v>0.8327749407658434</v>
      </c>
      <c r="AB894">
        <f>HYPERLINK("Melting_Curves/meltCurve_P10121_ftsY.pdf", "Melting_Curves/meltCurve_P10121_ftsY.pdf")</f>
        <v>0</v>
      </c>
    </row>
    <row r="895" spans="1:28">
      <c r="A895" t="s">
        <v>921</v>
      </c>
      <c r="B895">
        <v>0.999998419929286</v>
      </c>
      <c r="C895">
        <v>0.544480840158197</v>
      </c>
      <c r="D895">
        <v>0.388554253302542</v>
      </c>
      <c r="E895">
        <v>0.19017829902158</v>
      </c>
      <c r="F895">
        <v>0.111821488152477</v>
      </c>
      <c r="G895">
        <v>0.08315666115454649</v>
      </c>
      <c r="H895">
        <v>0.0604580676532348</v>
      </c>
      <c r="I895">
        <v>0.06281213088828649</v>
      </c>
      <c r="J895">
        <v>0.0762476415843128</v>
      </c>
      <c r="K895">
        <v>0.0650988547612447</v>
      </c>
      <c r="L895">
        <v>749.278818027478</v>
      </c>
      <c r="M895">
        <v>18.2991442425948</v>
      </c>
      <c r="N895">
        <v>41.3020642191444</v>
      </c>
      <c r="O895">
        <v>40.4665237871508</v>
      </c>
      <c r="P895">
        <v>-0.104808924688324</v>
      </c>
      <c r="Q895">
        <v>0.0729498617270669</v>
      </c>
      <c r="R895">
        <v>0.968794907533972</v>
      </c>
      <c r="S895" t="s">
        <v>2579</v>
      </c>
      <c r="T895" t="s">
        <v>3344</v>
      </c>
      <c r="U895" t="s">
        <v>3344</v>
      </c>
      <c r="V895" t="s">
        <v>3344</v>
      </c>
      <c r="W895" t="s">
        <v>4237</v>
      </c>
      <c r="X895">
        <v>1</v>
      </c>
      <c r="Y895" t="s">
        <v>5894</v>
      </c>
      <c r="Z895" t="s">
        <v>7552</v>
      </c>
      <c r="AA895">
        <v>0.2145356015902875</v>
      </c>
      <c r="AB895">
        <f>HYPERLINK("Melting_Curves/meltCurve_P10346_glnQ.pdf", "Melting_Curves/meltCurve_P10346_glnQ.pdf")</f>
        <v>0</v>
      </c>
    </row>
    <row r="896" spans="1:28">
      <c r="A896" t="s">
        <v>922</v>
      </c>
      <c r="B896">
        <v>0.999998419929286</v>
      </c>
      <c r="C896">
        <v>0.875956011922664</v>
      </c>
      <c r="D896">
        <v>0.697798263124364</v>
      </c>
      <c r="E896">
        <v>0.392636514612741</v>
      </c>
      <c r="F896">
        <v>0.192152666866459</v>
      </c>
      <c r="G896">
        <v>0.168938062388098</v>
      </c>
      <c r="H896">
        <v>0.144813736584883</v>
      </c>
      <c r="I896">
        <v>0.141464526600881</v>
      </c>
      <c r="J896">
        <v>0.149610126100324</v>
      </c>
      <c r="K896">
        <v>0.129777289439021</v>
      </c>
      <c r="L896">
        <v>830.35592919287</v>
      </c>
      <c r="M896">
        <v>18.7338621857956</v>
      </c>
      <c r="N896">
        <v>45.0692109120214</v>
      </c>
      <c r="O896">
        <v>43.8280136994763</v>
      </c>
      <c r="P896">
        <v>-0.0926284123991217</v>
      </c>
      <c r="Q896">
        <v>0.133217017052385</v>
      </c>
      <c r="R896">
        <v>0.9976422232689111</v>
      </c>
      <c r="S896" t="s">
        <v>2580</v>
      </c>
      <c r="T896" t="s">
        <v>3344</v>
      </c>
      <c r="U896" t="s">
        <v>3344</v>
      </c>
      <c r="V896" t="s">
        <v>3344</v>
      </c>
      <c r="W896" t="s">
        <v>4238</v>
      </c>
      <c r="X896">
        <v>3</v>
      </c>
      <c r="Y896" t="s">
        <v>5895</v>
      </c>
      <c r="Z896" t="s">
        <v>7553</v>
      </c>
      <c r="AA896">
        <v>0.358076340667047</v>
      </c>
      <c r="AB896">
        <f>HYPERLINK("Melting_Curves/meltCurve_P10371_hisA.pdf", "Melting_Curves/meltCurve_P10371_hisA.pdf")</f>
        <v>0</v>
      </c>
    </row>
    <row r="897" spans="1:28">
      <c r="A897" t="s">
        <v>923</v>
      </c>
      <c r="B897">
        <v>0.999998419929286</v>
      </c>
      <c r="C897">
        <v>1.46580658350945</v>
      </c>
      <c r="D897">
        <v>1.13171213627371</v>
      </c>
      <c r="E897">
        <v>1.22579843644923</v>
      </c>
      <c r="F897">
        <v>0.454366577793528</v>
      </c>
      <c r="G897">
        <v>0.370781571552612</v>
      </c>
      <c r="H897">
        <v>0.214716655173173</v>
      </c>
      <c r="I897">
        <v>0.18211470638507</v>
      </c>
      <c r="J897">
        <v>0.128170085014947</v>
      </c>
      <c r="K897">
        <v>0.145745211778798</v>
      </c>
      <c r="L897">
        <v>10189.0559319246</v>
      </c>
      <c r="M897">
        <v>203.765606184067</v>
      </c>
      <c r="N897">
        <v>50.136380558611</v>
      </c>
      <c r="O897">
        <v>49.9990074691993</v>
      </c>
      <c r="P897">
        <v>-0.806616923678466</v>
      </c>
      <c r="Q897">
        <v>0.208305422314258</v>
      </c>
      <c r="R897">
        <v>0.865488165006397</v>
      </c>
      <c r="S897" t="s">
        <v>2581</v>
      </c>
      <c r="T897" t="s">
        <v>3344</v>
      </c>
      <c r="U897" t="s">
        <v>3344</v>
      </c>
      <c r="V897" t="s">
        <v>3344</v>
      </c>
      <c r="W897" t="s">
        <v>4239</v>
      </c>
      <c r="X897">
        <v>2</v>
      </c>
      <c r="Y897" t="s">
        <v>5896</v>
      </c>
      <c r="Z897" t="s">
        <v>7554</v>
      </c>
      <c r="AA897">
        <v>0.5515781166266353</v>
      </c>
      <c r="AB897">
        <f>HYPERLINK("Melting_Curves/meltCurve_P10378_entE.pdf", "Melting_Curves/meltCurve_P10378_entE.pdf")</f>
        <v>0</v>
      </c>
    </row>
    <row r="898" spans="1:28">
      <c r="A898" t="s">
        <v>924</v>
      </c>
      <c r="B898">
        <v>0.999998419929286</v>
      </c>
      <c r="C898">
        <v>0.960566550628958</v>
      </c>
      <c r="D898">
        <v>1.04204295891271</v>
      </c>
      <c r="E898">
        <v>1.07881098735239</v>
      </c>
      <c r="F898">
        <v>1.27275316171705</v>
      </c>
      <c r="G898">
        <v>1.44557262067323</v>
      </c>
      <c r="H898">
        <v>1.43871106964213</v>
      </c>
      <c r="I898">
        <v>1.158606089123</v>
      </c>
      <c r="J898">
        <v>1.2923474446019</v>
      </c>
      <c r="K898">
        <v>1.4132836027737</v>
      </c>
      <c r="L898">
        <v>1923.95017713858</v>
      </c>
      <c r="M898">
        <v>39.9889091618625</v>
      </c>
      <c r="O898">
        <v>47.9922465460881</v>
      </c>
      <c r="P898">
        <v>0.0723879790560408</v>
      </c>
      <c r="Q898">
        <v>1.34750180809595</v>
      </c>
      <c r="R898">
        <v>0.791409425789251</v>
      </c>
      <c r="S898" t="s">
        <v>2582</v>
      </c>
      <c r="T898" t="s">
        <v>3344</v>
      </c>
      <c r="U898" t="s">
        <v>3344</v>
      </c>
      <c r="V898" t="s">
        <v>3344</v>
      </c>
      <c r="W898" t="s">
        <v>4240</v>
      </c>
      <c r="X898">
        <v>3</v>
      </c>
      <c r="Y898" t="s">
        <v>5897</v>
      </c>
      <c r="Z898" t="s">
        <v>7555</v>
      </c>
      <c r="AA898">
        <v>1.217629717328618</v>
      </c>
      <c r="AB898">
        <f>HYPERLINK("Melting_Curves/meltCurve_P10384_fadL.pdf", "Melting_Curves/meltCurve_P10384_fadL.pdf")</f>
        <v>0</v>
      </c>
    </row>
    <row r="899" spans="1:28">
      <c r="A899" t="s">
        <v>925</v>
      </c>
      <c r="B899">
        <v>0.999998419929286</v>
      </c>
      <c r="C899">
        <v>0.408777970005525</v>
      </c>
      <c r="D899">
        <v>0.162038438232195</v>
      </c>
      <c r="E899">
        <v>0.0823600552382764</v>
      </c>
      <c r="F899">
        <v>0.0638242761436876</v>
      </c>
      <c r="G899">
        <v>0.0694972381438551</v>
      </c>
      <c r="H899">
        <v>0.042835539966791</v>
      </c>
      <c r="I899">
        <v>0.0320755576544204</v>
      </c>
      <c r="J899">
        <v>0.0338771672411471</v>
      </c>
      <c r="K899">
        <v>0.0314164020621121</v>
      </c>
      <c r="L899">
        <v>1807.09706307054</v>
      </c>
      <c r="M899">
        <v>45.7527274352119</v>
      </c>
      <c r="N899">
        <v>39.6090941170256</v>
      </c>
      <c r="O899">
        <v>39.4218017847696</v>
      </c>
      <c r="P899">
        <v>-0.272535302750508</v>
      </c>
      <c r="Q899">
        <v>0.0607056533572915</v>
      </c>
      <c r="R899">
        <v>0.986450445934726</v>
      </c>
      <c r="S899" t="s">
        <v>2583</v>
      </c>
      <c r="T899" t="s">
        <v>3344</v>
      </c>
      <c r="U899" t="s">
        <v>3344</v>
      </c>
      <c r="V899" t="s">
        <v>3344</v>
      </c>
      <c r="W899" t="s">
        <v>4241</v>
      </c>
      <c r="X899">
        <v>5</v>
      </c>
      <c r="Y899" t="s">
        <v>5898</v>
      </c>
      <c r="Z899" t="s">
        <v>7556</v>
      </c>
      <c r="AA899">
        <v>0.1418603722226184</v>
      </c>
      <c r="AB899">
        <f>HYPERLINK("Melting_Curves/meltCurve_P10408_secA.pdf", "Melting_Curves/meltCurve_P10408_secA.pdf")</f>
        <v>0</v>
      </c>
    </row>
    <row r="900" spans="1:28">
      <c r="A900" t="s">
        <v>926</v>
      </c>
      <c r="B900">
        <v>0.999998419929286</v>
      </c>
      <c r="C900">
        <v>0.972724066724719</v>
      </c>
      <c r="D900">
        <v>0.648844923521629</v>
      </c>
      <c r="E900">
        <v>0.324977709394438</v>
      </c>
      <c r="F900">
        <v>0.161156426411866</v>
      </c>
      <c r="G900">
        <v>0.151089579595526</v>
      </c>
      <c r="H900">
        <v>0.0831169563454958</v>
      </c>
      <c r="I900">
        <v>0.0586123016748141</v>
      </c>
      <c r="J900">
        <v>0.06880418623448149</v>
      </c>
      <c r="K900">
        <v>0.0454147125662232</v>
      </c>
      <c r="L900">
        <v>922.6616577736351</v>
      </c>
      <c r="M900">
        <v>20.8113188083921</v>
      </c>
      <c r="N900">
        <v>44.6843470227551</v>
      </c>
      <c r="O900">
        <v>43.9313480104768</v>
      </c>
      <c r="P900">
        <v>-0.109532883021328</v>
      </c>
      <c r="Q900">
        <v>0.0751583957229517</v>
      </c>
      <c r="R900">
        <v>0.993285355007156</v>
      </c>
      <c r="S900" t="s">
        <v>2584</v>
      </c>
      <c r="T900" t="s">
        <v>3344</v>
      </c>
      <c r="U900" t="s">
        <v>3344</v>
      </c>
      <c r="V900" t="s">
        <v>3344</v>
      </c>
      <c r="W900" t="s">
        <v>4242</v>
      </c>
      <c r="X900">
        <v>2</v>
      </c>
      <c r="Y900" t="s">
        <v>5899</v>
      </c>
      <c r="Z900" t="s">
        <v>7557</v>
      </c>
      <c r="AA900">
        <v>0.3125345499810088</v>
      </c>
      <c r="AB900">
        <f>HYPERLINK("Melting_Curves/meltCurve_P10441_lpxB.pdf", "Melting_Curves/meltCurve_P10441_lpxB.pdf")</f>
        <v>0</v>
      </c>
    </row>
    <row r="901" spans="1:28">
      <c r="A901" t="s">
        <v>927</v>
      </c>
      <c r="B901">
        <v>0.999998419929286</v>
      </c>
      <c r="C901">
        <v>0.92054819038335</v>
      </c>
      <c r="D901">
        <v>0.964447804407128</v>
      </c>
      <c r="E901">
        <v>0.455102083923629</v>
      </c>
      <c r="F901">
        <v>0.201782851563394</v>
      </c>
      <c r="G901">
        <v>0.181695610490102</v>
      </c>
      <c r="H901">
        <v>0.105872646295853</v>
      </c>
      <c r="I901">
        <v>0.07230557502599801</v>
      </c>
      <c r="J901">
        <v>0.07725091595705209</v>
      </c>
      <c r="K901">
        <v>0.0719063643979682</v>
      </c>
      <c r="L901">
        <v>1426.73175226121</v>
      </c>
      <c r="M901">
        <v>30.9250155436747</v>
      </c>
      <c r="N901">
        <v>46.479696294596</v>
      </c>
      <c r="O901">
        <v>45.9435716748049</v>
      </c>
      <c r="P901">
        <v>-0.151042803750344</v>
      </c>
      <c r="Q901">
        <v>0.102421695180298</v>
      </c>
      <c r="R901">
        <v>0.988478518652277</v>
      </c>
      <c r="S901" t="s">
        <v>2585</v>
      </c>
      <c r="T901" t="s">
        <v>3344</v>
      </c>
      <c r="U901" t="s">
        <v>3344</v>
      </c>
      <c r="V901" t="s">
        <v>3344</v>
      </c>
      <c r="W901" t="s">
        <v>4243</v>
      </c>
      <c r="X901">
        <v>1</v>
      </c>
      <c r="Y901" t="s">
        <v>5900</v>
      </c>
      <c r="Z901" t="s">
        <v>7558</v>
      </c>
      <c r="AA901">
        <v>0.3805659132276566</v>
      </c>
      <c r="AB901">
        <f>HYPERLINK("Melting_Curves/meltCurve_P10908_ugpQ.pdf", "Melting_Curves/meltCurve_P10908_ugpQ.pdf")</f>
        <v>0</v>
      </c>
    </row>
    <row r="902" spans="1:28">
      <c r="A902" t="s">
        <v>928</v>
      </c>
      <c r="B902">
        <v>0.999998419929286</v>
      </c>
      <c r="C902">
        <v>1.32328884129071</v>
      </c>
      <c r="D902">
        <v>1.11213543248874</v>
      </c>
      <c r="E902">
        <v>1.12115947251441</v>
      </c>
      <c r="F902">
        <v>0.920107470048345</v>
      </c>
      <c r="G902">
        <v>0.801835982653112</v>
      </c>
      <c r="H902">
        <v>0.593706830852938</v>
      </c>
      <c r="I902">
        <v>0.501623361491375</v>
      </c>
      <c r="J902">
        <v>0.419415452180872</v>
      </c>
      <c r="K902">
        <v>0.425651145061848</v>
      </c>
      <c r="L902">
        <v>1282.68973747578</v>
      </c>
      <c r="M902">
        <v>23.154352381969</v>
      </c>
      <c r="N902">
        <v>59.9901652012576</v>
      </c>
      <c r="O902">
        <v>54.9890986356492</v>
      </c>
      <c r="P902">
        <v>-0.061576340656662</v>
      </c>
      <c r="Q902">
        <v>0.415061896306984</v>
      </c>
      <c r="R902">
        <v>0.855664469421764</v>
      </c>
      <c r="S902" t="s">
        <v>2586</v>
      </c>
      <c r="T902" t="s">
        <v>3344</v>
      </c>
      <c r="U902" t="s">
        <v>3344</v>
      </c>
      <c r="V902" t="s">
        <v>3344</v>
      </c>
      <c r="W902" t="s">
        <v>4244</v>
      </c>
      <c r="X902">
        <v>10</v>
      </c>
      <c r="Y902" t="s">
        <v>5901</v>
      </c>
      <c r="Z902" t="s">
        <v>7559</v>
      </c>
      <c r="AA902">
        <v>0.7792011829588877</v>
      </c>
      <c r="AB902">
        <f>HYPERLINK("Melting_Curves/meltCurve_P11349_narH.pdf", "Melting_Curves/meltCurve_P11349_narH.pdf")</f>
        <v>0</v>
      </c>
    </row>
    <row r="903" spans="1:28">
      <c r="A903" t="s">
        <v>929</v>
      </c>
      <c r="B903">
        <v>0.999998419929286</v>
      </c>
      <c r="C903">
        <v>1.25658729582975</v>
      </c>
      <c r="D903">
        <v>1.15075756932967</v>
      </c>
      <c r="E903">
        <v>1.28623853041937</v>
      </c>
      <c r="F903">
        <v>1.43105260198209</v>
      </c>
      <c r="G903">
        <v>1.47140779263495</v>
      </c>
      <c r="H903">
        <v>0.903885530735235</v>
      </c>
      <c r="I903">
        <v>0.133944009594698</v>
      </c>
      <c r="J903">
        <v>0.073167372213805</v>
      </c>
      <c r="K903">
        <v>0.0705791818706873</v>
      </c>
      <c r="L903">
        <v>4797.2834721763</v>
      </c>
      <c r="M903">
        <v>81.36417397720111</v>
      </c>
      <c r="N903">
        <v>59.0749211818733</v>
      </c>
      <c r="O903">
        <v>58.9250501256085</v>
      </c>
      <c r="P903">
        <v>-0.320061478927741</v>
      </c>
      <c r="Q903">
        <v>0.0728285187154499</v>
      </c>
      <c r="R903">
        <v>0.801140221112345</v>
      </c>
      <c r="S903" t="s">
        <v>2587</v>
      </c>
      <c r="T903" t="s">
        <v>3344</v>
      </c>
      <c r="U903" t="s">
        <v>3344</v>
      </c>
      <c r="V903" t="s">
        <v>3344</v>
      </c>
      <c r="W903" t="s">
        <v>4245</v>
      </c>
      <c r="X903">
        <v>6</v>
      </c>
      <c r="Y903" t="s">
        <v>5902</v>
      </c>
      <c r="Z903" t="s">
        <v>7560</v>
      </c>
      <c r="AA903">
        <v>0.7524434468197412</v>
      </c>
      <c r="AB903">
        <f>HYPERLINK("Melting_Curves/meltCurve_P11447_argH.pdf", "Melting_Curves/meltCurve_P11447_argH.pdf")</f>
        <v>0</v>
      </c>
    </row>
    <row r="904" spans="1:28">
      <c r="A904" t="s">
        <v>930</v>
      </c>
      <c r="B904">
        <v>0.999998419929286</v>
      </c>
      <c r="C904">
        <v>0.846062196408585</v>
      </c>
      <c r="D904">
        <v>0.448587555748907</v>
      </c>
      <c r="E904">
        <v>0.261044000895111</v>
      </c>
      <c r="F904">
        <v>0.190794280893149</v>
      </c>
      <c r="G904">
        <v>0.165230354877068</v>
      </c>
      <c r="H904">
        <v>0.0639159845363805</v>
      </c>
      <c r="I904">
        <v>0.0441976227398515</v>
      </c>
      <c r="J904">
        <v>0.0280702901059142</v>
      </c>
      <c r="K904">
        <v>0.020929838274138</v>
      </c>
      <c r="L904">
        <v>760.542121566515</v>
      </c>
      <c r="M904">
        <v>17.7395907561698</v>
      </c>
      <c r="N904">
        <v>43.2071011747882</v>
      </c>
      <c r="O904">
        <v>42.338911677064</v>
      </c>
      <c r="P904">
        <v>-0.09803161028613321</v>
      </c>
      <c r="Q904">
        <v>0.06416449896913801</v>
      </c>
      <c r="R904">
        <v>0.978701237202437</v>
      </c>
      <c r="S904" t="s">
        <v>2588</v>
      </c>
      <c r="T904" t="s">
        <v>3344</v>
      </c>
      <c r="U904" t="s">
        <v>3344</v>
      </c>
      <c r="V904" t="s">
        <v>3344</v>
      </c>
      <c r="W904" t="s">
        <v>4246</v>
      </c>
      <c r="X904">
        <v>3</v>
      </c>
      <c r="Y904" t="s">
        <v>5903</v>
      </c>
      <c r="Z904" t="s">
        <v>7561</v>
      </c>
      <c r="AA904">
        <v>0.2646235872652035</v>
      </c>
      <c r="AB904">
        <f>HYPERLINK("Melting_Curves/meltCurve_P11454_entF.pdf", "Melting_Curves/meltCurve_P11454_entF.pdf")</f>
        <v>0</v>
      </c>
    </row>
    <row r="905" spans="1:28">
      <c r="A905" t="s">
        <v>931</v>
      </c>
      <c r="B905">
        <v>0.999998419929286</v>
      </c>
      <c r="C905">
        <v>1.13554774301711</v>
      </c>
      <c r="D905">
        <v>1.23777724076258</v>
      </c>
      <c r="E905">
        <v>1.38585609781347</v>
      </c>
      <c r="F905">
        <v>1.32672540932342</v>
      </c>
      <c r="G905">
        <v>1.38197845157035</v>
      </c>
      <c r="H905">
        <v>1.00294474260201</v>
      </c>
      <c r="I905">
        <v>0.66222794160729</v>
      </c>
      <c r="J905">
        <v>0.671147431807786</v>
      </c>
      <c r="K905">
        <v>0.530448554832669</v>
      </c>
      <c r="L905">
        <v>6019.46553541479</v>
      </c>
      <c r="M905">
        <v>100.342176277278</v>
      </c>
      <c r="O905">
        <v>59.9655693720408</v>
      </c>
      <c r="P905">
        <v>-0.167392817439002</v>
      </c>
      <c r="Q905">
        <v>0.599856991794822</v>
      </c>
      <c r="R905">
        <v>0.464389775868801</v>
      </c>
      <c r="S905" t="s">
        <v>2589</v>
      </c>
      <c r="T905" t="s">
        <v>3344</v>
      </c>
      <c r="U905" t="s">
        <v>3344</v>
      </c>
      <c r="V905" t="s">
        <v>3344</v>
      </c>
      <c r="W905" t="s">
        <v>4247</v>
      </c>
      <c r="X905">
        <v>9</v>
      </c>
      <c r="Y905" t="s">
        <v>5904</v>
      </c>
      <c r="Z905" t="s">
        <v>7562</v>
      </c>
      <c r="AA905">
        <v>0.9067532504861543</v>
      </c>
      <c r="AB905">
        <f>HYPERLINK("Melting_Curves/meltCurve_P11557_damX.pdf", "Melting_Curves/meltCurve_P11557_damX.pdf")</f>
        <v>0</v>
      </c>
    </row>
    <row r="906" spans="1:28">
      <c r="A906" t="s">
        <v>932</v>
      </c>
      <c r="B906">
        <v>0.999998419929286</v>
      </c>
      <c r="C906">
        <v>1.18060238021269</v>
      </c>
      <c r="D906">
        <v>1.15752182708131</v>
      </c>
      <c r="E906">
        <v>0.933456663846725</v>
      </c>
      <c r="F906">
        <v>0.197809576696458</v>
      </c>
      <c r="G906">
        <v>0.171622775758519</v>
      </c>
      <c r="H906">
        <v>0.122095527522056</v>
      </c>
      <c r="I906">
        <v>0.101202188761398</v>
      </c>
      <c r="J906">
        <v>0.106127681239011</v>
      </c>
      <c r="K906">
        <v>0.0927163975309486</v>
      </c>
      <c r="L906">
        <v>3124.10717401284</v>
      </c>
      <c r="M906">
        <v>64.5279851032512</v>
      </c>
      <c r="N906">
        <v>48.6180630028606</v>
      </c>
      <c r="O906">
        <v>48.3683299501246</v>
      </c>
      <c r="P906">
        <v>-0.294086771065728</v>
      </c>
      <c r="Q906">
        <v>0.118244198805908</v>
      </c>
      <c r="R906">
        <v>0.971545080635829</v>
      </c>
      <c r="S906" t="s">
        <v>2590</v>
      </c>
      <c r="T906" t="s">
        <v>3344</v>
      </c>
      <c r="U906" t="s">
        <v>3344</v>
      </c>
      <c r="V906" t="s">
        <v>3344</v>
      </c>
      <c r="W906" t="s">
        <v>4248</v>
      </c>
      <c r="X906">
        <v>12</v>
      </c>
      <c r="Y906" t="s">
        <v>5905</v>
      </c>
      <c r="Z906" t="s">
        <v>7563</v>
      </c>
      <c r="AA906">
        <v>0.4548734178689903</v>
      </c>
      <c r="AB906">
        <f>HYPERLINK("Melting_Curves/meltCurve_P11875_argS.pdf", "Melting_Curves/meltCurve_P11875_argS.pdf")</f>
        <v>0</v>
      </c>
    </row>
    <row r="907" spans="1:28">
      <c r="A907" t="s">
        <v>933</v>
      </c>
      <c r="B907">
        <v>0.999998419929286</v>
      </c>
      <c r="C907">
        <v>1.19234294590817</v>
      </c>
      <c r="D907">
        <v>1.36182873470755</v>
      </c>
      <c r="E907">
        <v>0.962926244767202</v>
      </c>
      <c r="F907">
        <v>0.136046953206302</v>
      </c>
      <c r="G907">
        <v>0.08752685719005179</v>
      </c>
      <c r="H907">
        <v>0.0522717733406313</v>
      </c>
      <c r="I907">
        <v>0.0417445959634157</v>
      </c>
      <c r="J907">
        <v>0.0360711411567683</v>
      </c>
      <c r="K907">
        <v>0.0347934619493212</v>
      </c>
      <c r="L907">
        <v>3590.92943130448</v>
      </c>
      <c r="M907">
        <v>73.8373310536093</v>
      </c>
      <c r="N907">
        <v>48.7028399882794</v>
      </c>
      <c r="O907">
        <v>48.5973426323508</v>
      </c>
      <c r="P907">
        <v>-0.360755897765482</v>
      </c>
      <c r="Q907">
        <v>0.0502487325616961</v>
      </c>
      <c r="R907">
        <v>0.940001567917474</v>
      </c>
      <c r="S907" t="s">
        <v>2591</v>
      </c>
      <c r="T907" t="s">
        <v>3344</v>
      </c>
      <c r="U907" t="s">
        <v>3344</v>
      </c>
      <c r="V907" t="s">
        <v>3344</v>
      </c>
      <c r="W907" t="s">
        <v>4249</v>
      </c>
      <c r="X907">
        <v>4</v>
      </c>
      <c r="Y907" t="s">
        <v>5906</v>
      </c>
      <c r="Z907" t="s">
        <v>7564</v>
      </c>
      <c r="AA907">
        <v>0.4194614099341435</v>
      </c>
      <c r="AB907">
        <f>HYPERLINK("Melting_Curves/meltCurve_P11880_murF.pdf", "Melting_Curves/meltCurve_P11880_murF.pdf")</f>
        <v>0</v>
      </c>
    </row>
    <row r="908" spans="1:28">
      <c r="A908" t="s">
        <v>934</v>
      </c>
      <c r="B908">
        <v>0.999998419929286</v>
      </c>
      <c r="C908">
        <v>1.03043106866806</v>
      </c>
      <c r="D908">
        <v>0.675653693765992</v>
      </c>
      <c r="E908">
        <v>0.225505576921069</v>
      </c>
      <c r="F908">
        <v>0.113003810281285</v>
      </c>
      <c r="G908">
        <v>0.117715198212345</v>
      </c>
      <c r="H908">
        <v>0.0636074719251168</v>
      </c>
      <c r="I908">
        <v>0.0372965017536818</v>
      </c>
      <c r="J908">
        <v>0.0167457005571554</v>
      </c>
      <c r="K908">
        <v>0.0254675519443162</v>
      </c>
      <c r="L908">
        <v>1291.12884713299</v>
      </c>
      <c r="M908">
        <v>29.2723468215595</v>
      </c>
      <c r="N908">
        <v>44.2898990939988</v>
      </c>
      <c r="O908">
        <v>43.9031469559868</v>
      </c>
      <c r="P908">
        <v>-0.157220960087319</v>
      </c>
      <c r="Q908">
        <v>0.0567964573701058</v>
      </c>
      <c r="R908">
        <v>0.9915567823866011</v>
      </c>
      <c r="S908" t="s">
        <v>2592</v>
      </c>
      <c r="T908" t="s">
        <v>3344</v>
      </c>
      <c r="U908" t="s">
        <v>3344</v>
      </c>
      <c r="V908" t="s">
        <v>3344</v>
      </c>
      <c r="W908" t="s">
        <v>4250</v>
      </c>
      <c r="X908">
        <v>2</v>
      </c>
      <c r="Y908" t="s">
        <v>5907</v>
      </c>
      <c r="Z908" t="s">
        <v>7565</v>
      </c>
      <c r="AA908">
        <v>0.2857776141080658</v>
      </c>
      <c r="AB908">
        <f>HYPERLINK("Melting_Curves/meltCurve_P12008_aroC.pdf", "Melting_Curves/meltCurve_P12008_aroC.pdf")</f>
        <v>0</v>
      </c>
    </row>
    <row r="909" spans="1:28">
      <c r="A909" t="s">
        <v>935</v>
      </c>
      <c r="B909">
        <v>0.999998419929286</v>
      </c>
      <c r="C909">
        <v>1.03713119876805</v>
      </c>
      <c r="D909">
        <v>1.00093370281597</v>
      </c>
      <c r="E909">
        <v>1.04075072509011</v>
      </c>
      <c r="F909">
        <v>0.294875512540608</v>
      </c>
      <c r="G909">
        <v>0.0577001959675317</v>
      </c>
      <c r="H909">
        <v>0.0360820867089178</v>
      </c>
      <c r="I909">
        <v>0.0309335854335599</v>
      </c>
      <c r="J909">
        <v>0.0228629973469794</v>
      </c>
      <c r="K909">
        <v>0.0233228928860835</v>
      </c>
      <c r="L909">
        <v>12500.0498674394</v>
      </c>
      <c r="M909">
        <v>250</v>
      </c>
      <c r="N909">
        <v>50.014365558048</v>
      </c>
      <c r="O909">
        <v>49.9969998218848</v>
      </c>
      <c r="P909">
        <v>-1.20734701393722</v>
      </c>
      <c r="Q909">
        <v>0.0341803467220067</v>
      </c>
      <c r="R909">
        <v>0.998239549301843</v>
      </c>
      <c r="S909" t="s">
        <v>2593</v>
      </c>
      <c r="T909" t="s">
        <v>3344</v>
      </c>
      <c r="U909" t="s">
        <v>3344</v>
      </c>
      <c r="V909" t="s">
        <v>3344</v>
      </c>
      <c r="W909" t="s">
        <v>4251</v>
      </c>
      <c r="X909">
        <v>2</v>
      </c>
      <c r="Y909" t="s">
        <v>5908</v>
      </c>
      <c r="Z909" t="s">
        <v>7566</v>
      </c>
      <c r="AA909">
        <v>0.4527933684639769</v>
      </c>
      <c r="AB909">
        <f>HYPERLINK("Melting_Curves/meltCurve_P12281_moeA.pdf", "Melting_Curves/meltCurve_P12281_moeA.pdf")</f>
        <v>0</v>
      </c>
    </row>
    <row r="910" spans="1:28">
      <c r="A910" t="s">
        <v>936</v>
      </c>
      <c r="B910">
        <v>0.999998419929286</v>
      </c>
      <c r="C910">
        <v>0.9580505955320801</v>
      </c>
      <c r="D910">
        <v>1.21427046225985</v>
      </c>
      <c r="E910">
        <v>1.11486052624783</v>
      </c>
      <c r="F910">
        <v>1.14555266354861</v>
      </c>
      <c r="G910">
        <v>1.05866393523771</v>
      </c>
      <c r="H910">
        <v>0.677692051308457</v>
      </c>
      <c r="I910">
        <v>0.259653999013332</v>
      </c>
      <c r="J910">
        <v>0.176856912690768</v>
      </c>
      <c r="K910">
        <v>0.295668346307373</v>
      </c>
      <c r="L910">
        <v>6800.16360257949</v>
      </c>
      <c r="M910">
        <v>118.171540928093</v>
      </c>
      <c r="N910">
        <v>57.8721432068545</v>
      </c>
      <c r="O910">
        <v>57.5283733749616</v>
      </c>
      <c r="P910">
        <v>-0.388373914331212</v>
      </c>
      <c r="Q910">
        <v>0.243725881921806</v>
      </c>
      <c r="R910">
        <v>0.936824419439493</v>
      </c>
      <c r="S910" t="s">
        <v>2594</v>
      </c>
      <c r="T910" t="s">
        <v>3344</v>
      </c>
      <c r="U910" t="s">
        <v>3344</v>
      </c>
      <c r="V910" t="s">
        <v>3344</v>
      </c>
      <c r="W910" t="s">
        <v>4252</v>
      </c>
      <c r="X910">
        <v>1</v>
      </c>
      <c r="Y910" t="s">
        <v>5909</v>
      </c>
      <c r="Z910" t="s">
        <v>7567</v>
      </c>
      <c r="AA910">
        <v>0.7619859216691171</v>
      </c>
      <c r="AB910">
        <f>HYPERLINK("Melting_Curves/meltCurve_P12282_moeB.pdf", "Melting_Curves/meltCurve_P12282_moeB.pdf")</f>
        <v>0</v>
      </c>
    </row>
    <row r="911" spans="1:28">
      <c r="A911" t="s">
        <v>937</v>
      </c>
      <c r="B911">
        <v>0.999998419929286</v>
      </c>
      <c r="C911">
        <v>0.790344513970076</v>
      </c>
      <c r="D911">
        <v>0.933595520748805</v>
      </c>
      <c r="E911">
        <v>0.606228504236017</v>
      </c>
      <c r="F911">
        <v>0.274582453908732</v>
      </c>
      <c r="G911">
        <v>0.204351273412922</v>
      </c>
      <c r="H911">
        <v>0.153342218394625</v>
      </c>
      <c r="I911">
        <v>0.06523383149131649</v>
      </c>
      <c r="J911">
        <v>0.0593281267159414</v>
      </c>
      <c r="K911">
        <v>0.0528287795150739</v>
      </c>
      <c r="L911">
        <v>745.9115368393821</v>
      </c>
      <c r="M911">
        <v>15.7179312397565</v>
      </c>
      <c r="N911">
        <v>47.7898500050841</v>
      </c>
      <c r="O911">
        <v>46.7078569704399</v>
      </c>
      <c r="P911">
        <v>-0.07976254570761419</v>
      </c>
      <c r="Q911">
        <v>0.0519812707693862</v>
      </c>
      <c r="R911">
        <v>0.968249625223177</v>
      </c>
      <c r="S911" t="s">
        <v>2595</v>
      </c>
      <c r="T911" t="s">
        <v>3344</v>
      </c>
      <c r="U911" t="s">
        <v>3344</v>
      </c>
      <c r="V911" t="s">
        <v>3344</v>
      </c>
      <c r="W911" t="s">
        <v>4253</v>
      </c>
      <c r="X911">
        <v>1</v>
      </c>
      <c r="Y911" t="s">
        <v>5910</v>
      </c>
      <c r="Z911" t="s">
        <v>7568</v>
      </c>
      <c r="AA911">
        <v>0.4018593452570006</v>
      </c>
      <c r="AB911">
        <f>HYPERLINK("Melting_Curves/meltCurve_P12295_ung.pdf", "Melting_Curves/meltCurve_P12295_ung.pdf")</f>
        <v>0</v>
      </c>
    </row>
    <row r="912" spans="1:28">
      <c r="A912" t="s">
        <v>938</v>
      </c>
      <c r="B912">
        <v>0.999998419929286</v>
      </c>
      <c r="C912">
        <v>0.864932308443396</v>
      </c>
      <c r="D912">
        <v>0.953350537323469</v>
      </c>
      <c r="E912">
        <v>1.06115501856387</v>
      </c>
      <c r="F912">
        <v>1.19054633677473</v>
      </c>
      <c r="G912">
        <v>1.58204895709374</v>
      </c>
      <c r="H912">
        <v>1.37846458756699</v>
      </c>
      <c r="I912">
        <v>0.521587857423963</v>
      </c>
      <c r="J912">
        <v>0.0726622583198252</v>
      </c>
      <c r="K912">
        <v>0.0578719984833373</v>
      </c>
      <c r="L912">
        <v>15000</v>
      </c>
      <c r="M912">
        <v>245.948906892135</v>
      </c>
      <c r="N912">
        <v>61.022983709638</v>
      </c>
      <c r="O912">
        <v>60.9842443481817</v>
      </c>
      <c r="P912">
        <v>-0.942445498777152</v>
      </c>
      <c r="Q912">
        <v>0.065263965881383</v>
      </c>
      <c r="R912">
        <v>0.768653776981313</v>
      </c>
      <c r="S912" t="s">
        <v>2596</v>
      </c>
      <c r="T912" t="s">
        <v>3344</v>
      </c>
      <c r="U912" t="s">
        <v>3344</v>
      </c>
      <c r="V912" t="s">
        <v>3344</v>
      </c>
      <c r="W912" t="s">
        <v>4254</v>
      </c>
      <c r="X912">
        <v>8</v>
      </c>
      <c r="Y912" t="s">
        <v>5911</v>
      </c>
      <c r="Z912" t="s">
        <v>7569</v>
      </c>
      <c r="AA912">
        <v>0.8127908935020504</v>
      </c>
      <c r="AB912">
        <f>HYPERLINK("Melting_Curves/meltCurve_P12758_udp.pdf", "Melting_Curves/meltCurve_P12758_udp.pdf")</f>
        <v>0</v>
      </c>
    </row>
    <row r="913" spans="1:28">
      <c r="A913" t="s">
        <v>939</v>
      </c>
      <c r="B913">
        <v>0.999998419929286</v>
      </c>
      <c r="C913">
        <v>0.818713254191055</v>
      </c>
      <c r="D913">
        <v>1.01983729175251</v>
      </c>
      <c r="E913">
        <v>1.06563913234886</v>
      </c>
      <c r="F913">
        <v>0.983232582355025</v>
      </c>
      <c r="G913">
        <v>0.532120128180577</v>
      </c>
      <c r="H913">
        <v>0.163514903232114</v>
      </c>
      <c r="I913">
        <v>0.0710400211225181</v>
      </c>
      <c r="J913">
        <v>0.0541325770338675</v>
      </c>
      <c r="K913">
        <v>0.0420769638520269</v>
      </c>
      <c r="L913">
        <v>2133.16444256058</v>
      </c>
      <c r="M913">
        <v>39.5737790813112</v>
      </c>
      <c r="N913">
        <v>54.0734845966475</v>
      </c>
      <c r="O913">
        <v>53.7663877152642</v>
      </c>
      <c r="P913">
        <v>-0.17324496696892</v>
      </c>
      <c r="Q913">
        <v>0.0584941832564372</v>
      </c>
      <c r="R913">
        <v>0.978024507861066</v>
      </c>
      <c r="S913" t="s">
        <v>2597</v>
      </c>
      <c r="T913" t="s">
        <v>3344</v>
      </c>
      <c r="U913" t="s">
        <v>3344</v>
      </c>
      <c r="V913" t="s">
        <v>3344</v>
      </c>
      <c r="W913" t="s">
        <v>4255</v>
      </c>
      <c r="X913">
        <v>3</v>
      </c>
      <c r="Y913" t="s">
        <v>5912</v>
      </c>
      <c r="Z913" t="s">
        <v>7570</v>
      </c>
      <c r="AA913">
        <v>0.5925398820828179</v>
      </c>
      <c r="AB913">
        <f>HYPERLINK("Melting_Curves/meltCurve_P12994_ybhB.pdf", "Melting_Curves/meltCurve_P12994_ybhB.pdf")</f>
        <v>0</v>
      </c>
    </row>
    <row r="914" spans="1:28">
      <c r="A914" t="s">
        <v>940</v>
      </c>
      <c r="B914">
        <v>0.999998419929286</v>
      </c>
      <c r="C914">
        <v>1.2227242784421</v>
      </c>
      <c r="D914">
        <v>1.17440704568266</v>
      </c>
      <c r="E914">
        <v>1.16349422359689</v>
      </c>
      <c r="F914">
        <v>1.17791073793404</v>
      </c>
      <c r="G914">
        <v>0.520863246202242</v>
      </c>
      <c r="H914">
        <v>0.173105669102711</v>
      </c>
      <c r="I914">
        <v>0.0808633208971641</v>
      </c>
      <c r="J914">
        <v>0.0528662207862679</v>
      </c>
      <c r="K914">
        <v>0.122422786161317</v>
      </c>
      <c r="L914">
        <v>8517.74169274801</v>
      </c>
      <c r="M914">
        <v>158.469418497102</v>
      </c>
      <c r="N914">
        <v>53.8321265966452</v>
      </c>
      <c r="O914">
        <v>53.7415067527961</v>
      </c>
      <c r="P914">
        <v>-0.658082022552038</v>
      </c>
      <c r="Q914">
        <v>0.10730235554771</v>
      </c>
      <c r="R914">
        <v>0.940570694053118</v>
      </c>
      <c r="S914" t="s">
        <v>2598</v>
      </c>
      <c r="T914" t="s">
        <v>3344</v>
      </c>
      <c r="U914" t="s">
        <v>3344</v>
      </c>
      <c r="V914" t="s">
        <v>3344</v>
      </c>
      <c r="W914" t="s">
        <v>4256</v>
      </c>
      <c r="X914">
        <v>1</v>
      </c>
      <c r="Y914" t="s">
        <v>5913</v>
      </c>
      <c r="Z914" t="s">
        <v>7571</v>
      </c>
      <c r="AA914">
        <v>0.6059368161190601</v>
      </c>
      <c r="AB914">
        <f>HYPERLINK("Melting_Curves/meltCurve_P13001_bioH.pdf", "Melting_Curves/meltCurve_P13001_bioH.pdf")</f>
        <v>0</v>
      </c>
    </row>
    <row r="915" spans="1:28">
      <c r="A915" t="s">
        <v>941</v>
      </c>
      <c r="B915">
        <v>0.999998419929286</v>
      </c>
      <c r="C915">
        <v>0.859899850051126</v>
      </c>
      <c r="D915">
        <v>0.465713419454674</v>
      </c>
      <c r="E915">
        <v>0.312745091251297</v>
      </c>
      <c r="F915">
        <v>0.250864071389997</v>
      </c>
      <c r="G915">
        <v>0.174435605345606</v>
      </c>
      <c r="H915">
        <v>0.145819122961244</v>
      </c>
      <c r="I915">
        <v>0.08208842655605759</v>
      </c>
      <c r="J915">
        <v>0.141182612284868</v>
      </c>
      <c r="K915">
        <v>0.08997251439619131</v>
      </c>
      <c r="L915">
        <v>808.5557005977749</v>
      </c>
      <c r="M915">
        <v>18.9434664674737</v>
      </c>
      <c r="N915">
        <v>43.3967526089596</v>
      </c>
      <c r="O915">
        <v>42.2154546975129</v>
      </c>
      <c r="P915">
        <v>-0.0971635706885004</v>
      </c>
      <c r="Q915">
        <v>0.1339201443266</v>
      </c>
      <c r="R915">
        <v>0.978936536797704</v>
      </c>
      <c r="S915" t="s">
        <v>2599</v>
      </c>
      <c r="T915" t="s">
        <v>3344</v>
      </c>
      <c r="U915" t="s">
        <v>3344</v>
      </c>
      <c r="V915" t="s">
        <v>3344</v>
      </c>
      <c r="W915" t="s">
        <v>4257</v>
      </c>
      <c r="X915">
        <v>2</v>
      </c>
      <c r="Y915" t="s">
        <v>5914</v>
      </c>
      <c r="Z915" t="s">
        <v>7572</v>
      </c>
      <c r="AA915">
        <v>0.3119277132701713</v>
      </c>
      <c r="AB915">
        <f>HYPERLINK("Melting_Curves/meltCurve_P13009_metH.pdf", "Melting_Curves/meltCurve_P13009_metH.pdf")</f>
        <v>0</v>
      </c>
    </row>
    <row r="916" spans="1:28">
      <c r="A916" t="s">
        <v>942</v>
      </c>
      <c r="B916">
        <v>0.999998419929286</v>
      </c>
      <c r="C916">
        <v>1.3565907923874</v>
      </c>
      <c r="D916">
        <v>0.438315820580548</v>
      </c>
      <c r="E916">
        <v>0.746750510927299</v>
      </c>
      <c r="F916">
        <v>0.589116847827717</v>
      </c>
      <c r="G916">
        <v>0.403507561013732</v>
      </c>
      <c r="H916">
        <v>0.158471636391812</v>
      </c>
      <c r="I916">
        <v>0.121830937485482</v>
      </c>
      <c r="J916">
        <v>0.240896182154304</v>
      </c>
      <c r="K916">
        <v>0.298238093276704</v>
      </c>
      <c r="L916">
        <v>580.459064019397</v>
      </c>
      <c r="M916">
        <v>12.0245087298873</v>
      </c>
      <c r="N916">
        <v>50.0049271062231</v>
      </c>
      <c r="O916">
        <v>46.9960202289488</v>
      </c>
      <c r="P916">
        <v>-0.0530838575138817</v>
      </c>
      <c r="Q916">
        <v>0.170316706788049</v>
      </c>
      <c r="R916">
        <v>0.721586887373294</v>
      </c>
      <c r="S916" t="s">
        <v>2600</v>
      </c>
      <c r="T916" t="s">
        <v>3344</v>
      </c>
      <c r="U916" t="s">
        <v>3344</v>
      </c>
      <c r="V916" t="s">
        <v>3344</v>
      </c>
      <c r="W916" t="s">
        <v>4258</v>
      </c>
      <c r="X916">
        <v>1</v>
      </c>
      <c r="Y916" t="s">
        <v>5915</v>
      </c>
      <c r="Z916" t="s">
        <v>7573</v>
      </c>
      <c r="AA916">
        <v>0.5076317912610533</v>
      </c>
      <c r="AB916">
        <f>HYPERLINK("Melting_Curves/meltCurve_P13016_ampD.pdf", "Melting_Curves/meltCurve_P13016_ampD.pdf")</f>
        <v>0</v>
      </c>
    </row>
    <row r="917" spans="1:28">
      <c r="A917" t="s">
        <v>943</v>
      </c>
      <c r="B917">
        <v>0.999998419929286</v>
      </c>
      <c r="C917">
        <v>0.992192177540687</v>
      </c>
      <c r="D917">
        <v>0.8085295406677659</v>
      </c>
      <c r="E917">
        <v>0.76463076382388</v>
      </c>
      <c r="F917">
        <v>0.5735538819785559</v>
      </c>
      <c r="G917">
        <v>0.457505355201025</v>
      </c>
      <c r="H917">
        <v>0.344140347198422</v>
      </c>
      <c r="I917">
        <v>0.199773388151114</v>
      </c>
      <c r="J917">
        <v>0.224477978110482</v>
      </c>
      <c r="K917">
        <v>0.200904538608536</v>
      </c>
      <c r="L917">
        <v>500.183632935572</v>
      </c>
      <c r="M917">
        <v>9.831975584865621</v>
      </c>
      <c r="N917">
        <v>52.1727153281046</v>
      </c>
      <c r="O917">
        <v>48.9026261903459</v>
      </c>
      <c r="P917">
        <v>-0.0448271809622238</v>
      </c>
      <c r="Q917">
        <v>0.108610509817797</v>
      </c>
      <c r="R917">
        <v>0.987256094688978</v>
      </c>
      <c r="S917" t="s">
        <v>2601</v>
      </c>
      <c r="T917" t="s">
        <v>3344</v>
      </c>
      <c r="U917" t="s">
        <v>3344</v>
      </c>
      <c r="V917" t="s">
        <v>3344</v>
      </c>
      <c r="W917" t="s">
        <v>4259</v>
      </c>
      <c r="X917">
        <v>4</v>
      </c>
      <c r="Y917" t="s">
        <v>5916</v>
      </c>
      <c r="Z917" t="s">
        <v>7574</v>
      </c>
      <c r="AA917">
        <v>0.5487549372584691</v>
      </c>
      <c r="AB917">
        <f>HYPERLINK("Melting_Curves/meltCurve_P13024_fdhE.pdf", "Melting_Curves/meltCurve_P13024_fdhE.pdf")</f>
        <v>0</v>
      </c>
    </row>
    <row r="918" spans="1:28">
      <c r="A918" t="s">
        <v>944</v>
      </c>
      <c r="B918">
        <v>0.999998419929286</v>
      </c>
      <c r="C918">
        <v>1.9361301192599</v>
      </c>
      <c r="D918">
        <v>1.79578306331737</v>
      </c>
      <c r="E918">
        <v>1.71707755301117</v>
      </c>
      <c r="F918">
        <v>0.616784740076349</v>
      </c>
      <c r="G918">
        <v>0.266078461200711</v>
      </c>
      <c r="H918">
        <v>0.102000248949581</v>
      </c>
      <c r="I918">
        <v>0.0780477159026645</v>
      </c>
      <c r="J918">
        <v>0.0723004851963116</v>
      </c>
      <c r="K918">
        <v>0.0702426800548383</v>
      </c>
      <c r="L918">
        <v>5782.48807121175</v>
      </c>
      <c r="M918">
        <v>114.921463010262</v>
      </c>
      <c r="N918">
        <v>50.4345095852195</v>
      </c>
      <c r="O918">
        <v>50.3016462885915</v>
      </c>
      <c r="P918">
        <v>-0.504010324506651</v>
      </c>
      <c r="Q918">
        <v>0.117569774210545</v>
      </c>
      <c r="R918">
        <v>0.629655264547899</v>
      </c>
      <c r="S918" t="s">
        <v>2602</v>
      </c>
      <c r="T918" t="s">
        <v>3344</v>
      </c>
      <c r="U918" t="s">
        <v>3344</v>
      </c>
      <c r="V918" t="s">
        <v>3344</v>
      </c>
      <c r="W918" t="s">
        <v>4260</v>
      </c>
      <c r="X918">
        <v>26</v>
      </c>
      <c r="Y918" t="s">
        <v>5917</v>
      </c>
      <c r="Z918" t="s">
        <v>7575</v>
      </c>
      <c r="AA918">
        <v>0.5096457313820983</v>
      </c>
      <c r="AB918">
        <f>HYPERLINK("Melting_Curves/meltCurve_P13029_katG.pdf", "Melting_Curves/meltCurve_P13029_katG.pdf")</f>
        <v>0</v>
      </c>
    </row>
    <row r="919" spans="1:28">
      <c r="A919" t="s">
        <v>945</v>
      </c>
      <c r="B919">
        <v>0.999998419929286</v>
      </c>
      <c r="C919">
        <v>1.21535858447337</v>
      </c>
      <c r="D919">
        <v>0.976936884359724</v>
      </c>
      <c r="E919">
        <v>0.987008601544338</v>
      </c>
      <c r="F919">
        <v>0.884156180848278</v>
      </c>
      <c r="G919">
        <v>0.656696050942881</v>
      </c>
      <c r="H919">
        <v>0.373756538681826</v>
      </c>
      <c r="I919">
        <v>0.300431791066933</v>
      </c>
      <c r="J919">
        <v>0.239969833070088</v>
      </c>
      <c r="K919">
        <v>0.198342606904869</v>
      </c>
      <c r="L919">
        <v>1195.27015603272</v>
      </c>
      <c r="M919">
        <v>21.9895901502902</v>
      </c>
      <c r="N919">
        <v>55.7016583684896</v>
      </c>
      <c r="O919">
        <v>53.9126169148588</v>
      </c>
      <c r="P919">
        <v>-0.080960967162593</v>
      </c>
      <c r="Q919">
        <v>0.206038611652386</v>
      </c>
      <c r="R919">
        <v>0.961826542572079</v>
      </c>
      <c r="S919" t="s">
        <v>2603</v>
      </c>
      <c r="T919" t="s">
        <v>3344</v>
      </c>
      <c r="U919" t="s">
        <v>3344</v>
      </c>
      <c r="V919" t="s">
        <v>3344</v>
      </c>
      <c r="W919" t="s">
        <v>4261</v>
      </c>
      <c r="X919">
        <v>4</v>
      </c>
      <c r="Y919" t="s">
        <v>5918</v>
      </c>
      <c r="Z919" t="s">
        <v>7576</v>
      </c>
      <c r="AA919">
        <v>0.6736962330810286</v>
      </c>
      <c r="AB919">
        <f>HYPERLINK("Melting_Curves/meltCurve_P13035_glpD.pdf", "Melting_Curves/meltCurve_P13035_glpD.pdf")</f>
        <v>0</v>
      </c>
    </row>
    <row r="920" spans="1:28">
      <c r="A920" t="s">
        <v>946</v>
      </c>
      <c r="B920">
        <v>0.999998419929286</v>
      </c>
      <c r="C920">
        <v>0.859575485828954</v>
      </c>
      <c r="D920">
        <v>0.512333707150687</v>
      </c>
      <c r="E920">
        <v>0.307179217224149</v>
      </c>
      <c r="F920">
        <v>0.172625447596439</v>
      </c>
      <c r="G920">
        <v>0.18166464093757</v>
      </c>
      <c r="H920">
        <v>0.131403218626274</v>
      </c>
      <c r="I920">
        <v>0.0816671957573704</v>
      </c>
      <c r="J920">
        <v>0.0978486588925926</v>
      </c>
      <c r="K920">
        <v>0.101403444641896</v>
      </c>
      <c r="L920">
        <v>823.067966614021</v>
      </c>
      <c r="M920">
        <v>19.1505868092472</v>
      </c>
      <c r="N920">
        <v>43.57307693228</v>
      </c>
      <c r="O920">
        <v>42.5183208840757</v>
      </c>
      <c r="P920">
        <v>-0.09966300302146471</v>
      </c>
      <c r="Q920">
        <v>0.114943079340065</v>
      </c>
      <c r="R920">
        <v>0.991057290676739</v>
      </c>
      <c r="S920" t="s">
        <v>2604</v>
      </c>
      <c r="T920" t="s">
        <v>3344</v>
      </c>
      <c r="U920" t="s">
        <v>3344</v>
      </c>
      <c r="V920" t="s">
        <v>3344</v>
      </c>
      <c r="W920" t="s">
        <v>4262</v>
      </c>
      <c r="X920">
        <v>2</v>
      </c>
      <c r="Y920" t="s">
        <v>5919</v>
      </c>
      <c r="Z920" t="s">
        <v>7577</v>
      </c>
      <c r="AA920">
        <v>0.3049674777407351</v>
      </c>
      <c r="AB920">
        <f>HYPERLINK("Melting_Curves/meltCurve_P13445_rpoS.pdf", "Melting_Curves/meltCurve_P13445_rpoS.pdf")</f>
        <v>0</v>
      </c>
    </row>
    <row r="921" spans="1:28">
      <c r="A921" t="s">
        <v>947</v>
      </c>
      <c r="B921">
        <v>0.999998419929286</v>
      </c>
      <c r="C921">
        <v>1.07383955755133</v>
      </c>
      <c r="D921">
        <v>1.30949871567112</v>
      </c>
      <c r="E921">
        <v>1.45542757347943</v>
      </c>
      <c r="F921">
        <v>1.30099849511934</v>
      </c>
      <c r="G921">
        <v>0.73304181783178</v>
      </c>
      <c r="H921">
        <v>0.302366104176136</v>
      </c>
      <c r="I921">
        <v>0.137080223870686</v>
      </c>
      <c r="J921">
        <v>0.152232145144158</v>
      </c>
      <c r="K921">
        <v>0.114627130679119</v>
      </c>
      <c r="L921">
        <v>2471.47006422668</v>
      </c>
      <c r="M921">
        <v>44.8711268417778</v>
      </c>
      <c r="N921">
        <v>55.4849746855038</v>
      </c>
      <c r="O921">
        <v>54.9702411802994</v>
      </c>
      <c r="P921">
        <v>-0.175532121526744</v>
      </c>
      <c r="Q921">
        <v>0.139845194682303</v>
      </c>
      <c r="R921">
        <v>0.843021282661762</v>
      </c>
      <c r="S921" t="s">
        <v>2605</v>
      </c>
      <c r="T921" t="s">
        <v>3344</v>
      </c>
      <c r="U921" t="s">
        <v>3344</v>
      </c>
      <c r="V921" t="s">
        <v>3344</v>
      </c>
      <c r="W921" t="s">
        <v>4263</v>
      </c>
      <c r="X921">
        <v>11</v>
      </c>
      <c r="Y921" t="s">
        <v>5920</v>
      </c>
      <c r="Z921" t="s">
        <v>7578</v>
      </c>
      <c r="AA921">
        <v>0.6607912209421499</v>
      </c>
      <c r="AB921">
        <f>HYPERLINK("Melting_Curves/meltCurve_P13482_treA.pdf", "Melting_Curves/meltCurve_P13482_treA.pdf")</f>
        <v>0</v>
      </c>
    </row>
    <row r="922" spans="1:28">
      <c r="A922" t="s">
        <v>948</v>
      </c>
      <c r="B922">
        <v>0.999998419929286</v>
      </c>
      <c r="C922">
        <v>1.42381760175153</v>
      </c>
      <c r="D922">
        <v>1.51966472559092</v>
      </c>
      <c r="E922">
        <v>1.95020188929977</v>
      </c>
      <c r="F922">
        <v>1.86665255189825</v>
      </c>
      <c r="G922">
        <v>0.436652040041131</v>
      </c>
      <c r="H922">
        <v>0.145894670812863</v>
      </c>
      <c r="I922">
        <v>0.0747747245819736</v>
      </c>
      <c r="J922">
        <v>0.0583089003055632</v>
      </c>
      <c r="K922">
        <v>0.0533467471593818</v>
      </c>
      <c r="L922">
        <v>13424.939257057</v>
      </c>
      <c r="M922">
        <v>250</v>
      </c>
      <c r="N922">
        <v>53.7388185684417</v>
      </c>
      <c r="O922">
        <v>53.696325445158</v>
      </c>
      <c r="P922">
        <v>-1.06725048223187</v>
      </c>
      <c r="Q922">
        <v>0.0830812160884246</v>
      </c>
      <c r="R922">
        <v>0.621552879634226</v>
      </c>
      <c r="S922" t="s">
        <v>2606</v>
      </c>
      <c r="T922" t="s">
        <v>3344</v>
      </c>
      <c r="U922" t="s">
        <v>3344</v>
      </c>
      <c r="V922" t="s">
        <v>3344</v>
      </c>
      <c r="W922" t="s">
        <v>4264</v>
      </c>
      <c r="X922">
        <v>1</v>
      </c>
      <c r="Y922" t="s">
        <v>5921</v>
      </c>
      <c r="Z922" t="s">
        <v>7579</v>
      </c>
      <c r="AA922">
        <v>0.5935783254312514</v>
      </c>
      <c r="AB922">
        <f>HYPERLINK("Melting_Curves/meltCurve_P13656_chiA.pdf", "Melting_Curves/meltCurve_P13656_chiA.pdf")</f>
        <v>0</v>
      </c>
    </row>
    <row r="923" spans="1:28">
      <c r="A923" t="s">
        <v>949</v>
      </c>
      <c r="B923">
        <v>0.999998419929286</v>
      </c>
      <c r="C923">
        <v>0.779513991935909</v>
      </c>
      <c r="D923">
        <v>0.915397797055942</v>
      </c>
      <c r="E923">
        <v>0.8201548204243509</v>
      </c>
      <c r="F923">
        <v>0.8490011550629319</v>
      </c>
      <c r="G923">
        <v>0.889474112101051</v>
      </c>
      <c r="H923">
        <v>0.616354227181467</v>
      </c>
      <c r="I923">
        <v>0.431360542390792</v>
      </c>
      <c r="J923">
        <v>0.455772026248652</v>
      </c>
      <c r="K923">
        <v>0.348930114661989</v>
      </c>
      <c r="L923">
        <v>412.339593713787</v>
      </c>
      <c r="M923">
        <v>6.68746454784392</v>
      </c>
      <c r="N923">
        <v>61.6585836789152</v>
      </c>
      <c r="O923">
        <v>56.8464620120461</v>
      </c>
      <c r="P923">
        <v>-0.0294746287703775</v>
      </c>
      <c r="Q923">
        <v>0</v>
      </c>
      <c r="R923">
        <v>0.8303898060896751</v>
      </c>
      <c r="S923" t="s">
        <v>2607</v>
      </c>
      <c r="T923" t="s">
        <v>3344</v>
      </c>
      <c r="U923" t="s">
        <v>3344</v>
      </c>
      <c r="V923" t="s">
        <v>3344</v>
      </c>
      <c r="W923" t="s">
        <v>4265</v>
      </c>
      <c r="X923">
        <v>1</v>
      </c>
      <c r="Y923" t="s">
        <v>5922</v>
      </c>
      <c r="Z923" t="s">
        <v>7580</v>
      </c>
      <c r="AA923">
        <v>0.739062640680105</v>
      </c>
      <c r="AB923">
        <f>HYPERLINK("Melting_Curves/meltCurve_P13857_rimL.pdf", "Melting_Curves/meltCurve_P13857_rimL.pdf")</f>
        <v>0</v>
      </c>
    </row>
    <row r="924" spans="1:28">
      <c r="A924" t="s">
        <v>950</v>
      </c>
      <c r="B924">
        <v>0.999998419929286</v>
      </c>
      <c r="C924">
        <v>0.916090794276883</v>
      </c>
      <c r="D924">
        <v>1.09384852671035</v>
      </c>
      <c r="E924">
        <v>0.613602348002941</v>
      </c>
      <c r="F924">
        <v>0.235938889714664</v>
      </c>
      <c r="G924">
        <v>0</v>
      </c>
      <c r="H924">
        <v>0.210007306320937</v>
      </c>
      <c r="I924">
        <v>0</v>
      </c>
      <c r="J924">
        <v>0</v>
      </c>
      <c r="K924">
        <v>0</v>
      </c>
      <c r="L924">
        <v>1489.88386692188</v>
      </c>
      <c r="M924">
        <v>31.3948962120725</v>
      </c>
      <c r="N924">
        <v>47.5907553374633</v>
      </c>
      <c r="O924">
        <v>47.2649540421754</v>
      </c>
      <c r="P924">
        <v>-0.159009270600672</v>
      </c>
      <c r="Q924">
        <v>0.0424527959246648</v>
      </c>
      <c r="R924">
        <v>0.965554876243603</v>
      </c>
      <c r="S924" t="s">
        <v>2608</v>
      </c>
      <c r="T924" t="s">
        <v>3344</v>
      </c>
      <c r="U924" t="s">
        <v>3344</v>
      </c>
      <c r="V924" t="s">
        <v>3344</v>
      </c>
      <c r="W924" t="s">
        <v>4266</v>
      </c>
      <c r="X924">
        <v>1</v>
      </c>
      <c r="Y924" t="s">
        <v>5923</v>
      </c>
      <c r="Z924" t="s">
        <v>7581</v>
      </c>
      <c r="AA924">
        <v>0.3813195352897411</v>
      </c>
      <c r="AB924">
        <f>HYPERLINK("Melting_Curves/meltCurve_P14375_zraR.pdf", "Melting_Curves/meltCurve_P14375_zraR.pdf")</f>
        <v>0</v>
      </c>
    </row>
    <row r="925" spans="1:28">
      <c r="A925" t="s">
        <v>951</v>
      </c>
      <c r="B925">
        <v>0.999998419929286</v>
      </c>
      <c r="C925">
        <v>1.09534033294657</v>
      </c>
      <c r="D925">
        <v>1.1209069642851</v>
      </c>
      <c r="E925">
        <v>1.24273527018282</v>
      </c>
      <c r="F925">
        <v>0.535274692658411</v>
      </c>
      <c r="G925">
        <v>0.131346999295551</v>
      </c>
      <c r="H925">
        <v>0.06462199371302151</v>
      </c>
      <c r="I925">
        <v>0.0476789550303276</v>
      </c>
      <c r="J925">
        <v>0.0426410753435771</v>
      </c>
      <c r="K925">
        <v>0.0396762429048816</v>
      </c>
      <c r="L925">
        <v>6902.3618247285</v>
      </c>
      <c r="M925">
        <v>137.485520295508</v>
      </c>
      <c r="N925">
        <v>50.255328984894</v>
      </c>
      <c r="O925">
        <v>50.1936581661999</v>
      </c>
      <c r="P925">
        <v>-0.640149360171827</v>
      </c>
      <c r="Q925">
        <v>0.06516875698319841</v>
      </c>
      <c r="R925">
        <v>0.964380120787302</v>
      </c>
      <c r="S925" t="s">
        <v>2609</v>
      </c>
      <c r="T925" t="s">
        <v>3344</v>
      </c>
      <c r="U925" t="s">
        <v>3344</v>
      </c>
      <c r="V925" t="s">
        <v>3344</v>
      </c>
      <c r="W925" t="s">
        <v>4267</v>
      </c>
      <c r="X925">
        <v>7</v>
      </c>
      <c r="Y925" t="s">
        <v>5924</v>
      </c>
      <c r="Z925" t="s">
        <v>7582</v>
      </c>
      <c r="AA925">
        <v>0.4769004142168114</v>
      </c>
      <c r="AB925">
        <f>HYPERLINK("Melting_Curves/meltCurve_P14900_murD.pdf", "Melting_Curves/meltCurve_P14900_murD.pdf")</f>
        <v>0</v>
      </c>
    </row>
    <row r="926" spans="1:28">
      <c r="A926" t="s">
        <v>952</v>
      </c>
      <c r="B926">
        <v>0.999998419929286</v>
      </c>
      <c r="C926">
        <v>1.2513557092889</v>
      </c>
      <c r="D926">
        <v>0.977826572428348</v>
      </c>
      <c r="E926">
        <v>1.14351451250978</v>
      </c>
      <c r="F926">
        <v>1.35385059833137</v>
      </c>
      <c r="G926">
        <v>1.35705526601768</v>
      </c>
      <c r="H926">
        <v>0.780178787246246</v>
      </c>
      <c r="I926">
        <v>0.214828947401481</v>
      </c>
      <c r="J926">
        <v>0.0490557504507731</v>
      </c>
      <c r="K926">
        <v>0.0746891230158314</v>
      </c>
      <c r="L926">
        <v>3187.53867449026</v>
      </c>
      <c r="M926">
        <v>54.1568679676525</v>
      </c>
      <c r="N926">
        <v>59.0114485061464</v>
      </c>
      <c r="O926">
        <v>58.7774271239678</v>
      </c>
      <c r="P926">
        <v>-0.215173791991245</v>
      </c>
      <c r="Q926">
        <v>0.06587256864758161</v>
      </c>
      <c r="R926">
        <v>0.859083786088304</v>
      </c>
      <c r="S926" t="s">
        <v>2610</v>
      </c>
      <c r="T926" t="s">
        <v>3344</v>
      </c>
      <c r="U926" t="s">
        <v>3344</v>
      </c>
      <c r="V926" t="s">
        <v>3344</v>
      </c>
      <c r="W926" t="s">
        <v>4268</v>
      </c>
      <c r="X926">
        <v>1</v>
      </c>
      <c r="Y926" t="s">
        <v>5925</v>
      </c>
      <c r="Z926" t="s">
        <v>7583</v>
      </c>
      <c r="AA926">
        <v>0.7484647543638813</v>
      </c>
      <c r="AB926">
        <f>HYPERLINK("Melting_Curves/meltCurve_P15028_fecB.pdf", "Melting_Curves/meltCurve_P15028_fecB.pdf")</f>
        <v>0</v>
      </c>
    </row>
    <row r="927" spans="1:28">
      <c r="A927" t="s">
        <v>953</v>
      </c>
      <c r="B927">
        <v>0.999998419929286</v>
      </c>
      <c r="C927">
        <v>1.27204621988995</v>
      </c>
      <c r="D927">
        <v>1.32813997296746</v>
      </c>
      <c r="E927">
        <v>1.44172797642713</v>
      </c>
      <c r="F927">
        <v>1.33375621765329</v>
      </c>
      <c r="G927">
        <v>0.76970968309171</v>
      </c>
      <c r="H927">
        <v>0.193163718626383</v>
      </c>
      <c r="I927">
        <v>0.111737306837516</v>
      </c>
      <c r="J927">
        <v>0.107746434244877</v>
      </c>
      <c r="K927">
        <v>0.0924389096710764</v>
      </c>
      <c r="L927">
        <v>3289.17022192657</v>
      </c>
      <c r="M927">
        <v>59.9908137885811</v>
      </c>
      <c r="N927">
        <v>55.0571744534384</v>
      </c>
      <c r="O927">
        <v>54.7670721657357</v>
      </c>
      <c r="P927">
        <v>-0.243577207511331</v>
      </c>
      <c r="Q927">
        <v>0.110530151210502</v>
      </c>
      <c r="R927">
        <v>0.838687289766806</v>
      </c>
      <c r="S927" t="s">
        <v>2611</v>
      </c>
      <c r="T927" t="s">
        <v>3344</v>
      </c>
      <c r="U927" t="s">
        <v>3344</v>
      </c>
      <c r="V927" t="s">
        <v>3344</v>
      </c>
      <c r="W927" t="s">
        <v>4269</v>
      </c>
      <c r="X927">
        <v>10</v>
      </c>
      <c r="Y927" t="s">
        <v>5926</v>
      </c>
      <c r="Z927" t="s">
        <v>7584</v>
      </c>
      <c r="AA927">
        <v>0.6406003916596215</v>
      </c>
      <c r="AB927">
        <f>HYPERLINK("Melting_Curves/meltCurve_P15034_pepP.pdf", "Melting_Curves/meltCurve_P15034_pepP.pdf")</f>
        <v>0</v>
      </c>
    </row>
    <row r="928" spans="1:28">
      <c r="A928" t="s">
        <v>954</v>
      </c>
      <c r="B928">
        <v>0.999998419929286</v>
      </c>
      <c r="C928">
        <v>0.686616862889557</v>
      </c>
      <c r="D928">
        <v>0.659241080858273</v>
      </c>
      <c r="E928">
        <v>0.487479952705738</v>
      </c>
      <c r="F928">
        <v>0.135457923448781</v>
      </c>
      <c r="G928">
        <v>0.0765797101988739</v>
      </c>
      <c r="H928">
        <v>0.0736961247901331</v>
      </c>
      <c r="I928">
        <v>0.0202372681297008</v>
      </c>
      <c r="J928">
        <v>0.0109304546950765</v>
      </c>
      <c r="K928">
        <v>0.007938964516819901</v>
      </c>
      <c r="L928">
        <v>552.147536441061</v>
      </c>
      <c r="M928">
        <v>12.3199228659659</v>
      </c>
      <c r="N928">
        <v>44.8174519142881</v>
      </c>
      <c r="O928">
        <v>43.6857262104765</v>
      </c>
      <c r="P928">
        <v>-0.0705184844829234</v>
      </c>
      <c r="Q928">
        <v>0</v>
      </c>
      <c r="R928">
        <v>0.964364912383687</v>
      </c>
      <c r="S928" t="s">
        <v>2612</v>
      </c>
      <c r="T928" t="s">
        <v>3344</v>
      </c>
      <c r="U928" t="s">
        <v>3344</v>
      </c>
      <c r="V928" t="s">
        <v>3344</v>
      </c>
      <c r="W928" t="s">
        <v>4270</v>
      </c>
      <c r="X928">
        <v>1</v>
      </c>
      <c r="Y928" t="s">
        <v>5927</v>
      </c>
      <c r="Z928" t="s">
        <v>7585</v>
      </c>
      <c r="AA928">
        <v>0.2956030589146855</v>
      </c>
      <c r="AB928">
        <f>HYPERLINK("Melting_Curves/meltCurve_P15038_helD.pdf", "Melting_Curves/meltCurve_P15038_helD.pdf")</f>
        <v>0</v>
      </c>
    </row>
    <row r="929" spans="1:28">
      <c r="A929" t="s">
        <v>955</v>
      </c>
      <c r="B929">
        <v>0.999998419929286</v>
      </c>
      <c r="C929">
        <v>1.29433473319362</v>
      </c>
      <c r="D929">
        <v>0.986136986059614</v>
      </c>
      <c r="E929">
        <v>0.623398326616209</v>
      </c>
      <c r="F929">
        <v>0.553681984816381</v>
      </c>
      <c r="G929">
        <v>0.205995576706948</v>
      </c>
      <c r="H929">
        <v>0.119048002835949</v>
      </c>
      <c r="I929">
        <v>0.130681402207244</v>
      </c>
      <c r="J929">
        <v>0.135207593460397</v>
      </c>
      <c r="K929">
        <v>0.148373627742629</v>
      </c>
      <c r="L929">
        <v>949.607650200939</v>
      </c>
      <c r="M929">
        <v>19.4463220792297</v>
      </c>
      <c r="N929">
        <v>49.5096283188811</v>
      </c>
      <c r="O929">
        <v>48.3246662934963</v>
      </c>
      <c r="P929">
        <v>-0.08885501798476179</v>
      </c>
      <c r="Q929">
        <v>0.11680340103539</v>
      </c>
      <c r="R929">
        <v>0.927324450357996</v>
      </c>
      <c r="S929" t="s">
        <v>2613</v>
      </c>
      <c r="T929" t="s">
        <v>3344</v>
      </c>
      <c r="U929" t="s">
        <v>3344</v>
      </c>
      <c r="V929" t="s">
        <v>3344</v>
      </c>
      <c r="W929" t="s">
        <v>4271</v>
      </c>
      <c r="X929">
        <v>9</v>
      </c>
      <c r="Y929" t="s">
        <v>5928</v>
      </c>
      <c r="Z929" t="s">
        <v>7586</v>
      </c>
      <c r="AA929">
        <v>0.4773875629388969</v>
      </c>
      <c r="AB929">
        <f>HYPERLINK("Melting_Curves/meltCurve_P15042_ligA.pdf", "Melting_Curves/meltCurve_P15042_ligA.pdf")</f>
        <v>0</v>
      </c>
    </row>
    <row r="930" spans="1:28">
      <c r="A930" t="s">
        <v>956</v>
      </c>
      <c r="B930">
        <v>0.999998419929286</v>
      </c>
      <c r="C930">
        <v>1.0493646239123</v>
      </c>
      <c r="D930">
        <v>0.915686479458535</v>
      </c>
      <c r="E930">
        <v>0.45299066533153</v>
      </c>
      <c r="F930">
        <v>0.276731172149395</v>
      </c>
      <c r="G930">
        <v>0.148123294471724</v>
      </c>
      <c r="H930">
        <v>0.201522380419828</v>
      </c>
      <c r="I930">
        <v>0.145749361081358</v>
      </c>
      <c r="J930">
        <v>0.0629724730386194</v>
      </c>
      <c r="K930">
        <v>0.0859937903511999</v>
      </c>
      <c r="L930">
        <v>1245.32584924738</v>
      </c>
      <c r="M930">
        <v>27.0606317843868</v>
      </c>
      <c r="N930">
        <v>46.546043719515</v>
      </c>
      <c r="O930">
        <v>45.7707355793742</v>
      </c>
      <c r="P930">
        <v>-0.128328882238338</v>
      </c>
      <c r="Q930">
        <v>0.131779627462285</v>
      </c>
      <c r="R930">
        <v>0.984873715071951</v>
      </c>
      <c r="S930" t="s">
        <v>2614</v>
      </c>
      <c r="T930" t="s">
        <v>3344</v>
      </c>
      <c r="U930" t="s">
        <v>3344</v>
      </c>
      <c r="V930" t="s">
        <v>3344</v>
      </c>
      <c r="W930" t="s">
        <v>4272</v>
      </c>
      <c r="X930">
        <v>1</v>
      </c>
      <c r="Y930" t="s">
        <v>5929</v>
      </c>
      <c r="Z930" t="s">
        <v>7587</v>
      </c>
      <c r="AA930">
        <v>0.3989378681606551</v>
      </c>
      <c r="AB930">
        <f>HYPERLINK("Melting_Curves/meltCurve_P15067_glgX.pdf", "Melting_Curves/meltCurve_P15067_glgX.pdf")</f>
        <v>0</v>
      </c>
    </row>
    <row r="931" spans="1:28">
      <c r="A931" t="s">
        <v>957</v>
      </c>
      <c r="B931">
        <v>0.999998419929286</v>
      </c>
      <c r="C931">
        <v>1.01077674201675</v>
      </c>
      <c r="D931">
        <v>0.937868961216149</v>
      </c>
      <c r="E931">
        <v>1.17564915810222</v>
      </c>
      <c r="F931">
        <v>1.25426981550799</v>
      </c>
      <c r="G931">
        <v>1.54870112734435</v>
      </c>
      <c r="H931">
        <v>1.50631424791864</v>
      </c>
      <c r="I931">
        <v>1.3757766715949</v>
      </c>
      <c r="J931">
        <v>1.18025804565544</v>
      </c>
      <c r="K931">
        <v>1.15440454901536</v>
      </c>
      <c r="L931">
        <v>2032.25264569729</v>
      </c>
      <c r="M931">
        <v>43.4844584206097</v>
      </c>
      <c r="O931">
        <v>46.6366328940226</v>
      </c>
      <c r="P931">
        <v>0.0794733812863878</v>
      </c>
      <c r="Q931">
        <v>1.34093701845419</v>
      </c>
      <c r="R931">
        <v>0.637638130835035</v>
      </c>
      <c r="S931" t="s">
        <v>2615</v>
      </c>
      <c r="T931" t="s">
        <v>3344</v>
      </c>
      <c r="U931" t="s">
        <v>3344</v>
      </c>
      <c r="V931" t="s">
        <v>3344</v>
      </c>
      <c r="W931" t="s">
        <v>4273</v>
      </c>
      <c r="X931">
        <v>2</v>
      </c>
      <c r="Y931" t="s">
        <v>5930</v>
      </c>
      <c r="Z931" t="s">
        <v>7588</v>
      </c>
      <c r="AA931">
        <v>1.229370293131961</v>
      </c>
      <c r="AB931">
        <f>HYPERLINK("Melting_Curves/meltCurve_P15070_fliN.pdf", "Melting_Curves/meltCurve_P15070_fliN.pdf")</f>
        <v>0</v>
      </c>
    </row>
    <row r="932" spans="1:28">
      <c r="A932" t="s">
        <v>958</v>
      </c>
      <c r="B932">
        <v>0.999998419929286</v>
      </c>
      <c r="C932">
        <v>1.09516997689644</v>
      </c>
      <c r="D932">
        <v>0.938883368235551</v>
      </c>
      <c r="E932">
        <v>0.585212387639251</v>
      </c>
      <c r="F932">
        <v>0.246794721126468</v>
      </c>
      <c r="G932">
        <v>0.159444954030287</v>
      </c>
      <c r="H932">
        <v>0.083076597383528</v>
      </c>
      <c r="I932">
        <v>0.0648239981078242</v>
      </c>
      <c r="J932">
        <v>0.0619880488784363</v>
      </c>
      <c r="K932">
        <v>0.0537584328636784</v>
      </c>
      <c r="L932">
        <v>1166.99165603667</v>
      </c>
      <c r="M932">
        <v>24.740989171164</v>
      </c>
      <c r="N932">
        <v>47.4669383157598</v>
      </c>
      <c r="O932">
        <v>46.8634333353756</v>
      </c>
      <c r="P932">
        <v>-0.122475095683256</v>
      </c>
      <c r="Q932">
        <v>0.0720624438627675</v>
      </c>
      <c r="R932">
        <v>0.99144082424728</v>
      </c>
      <c r="S932" t="s">
        <v>2616</v>
      </c>
      <c r="T932" t="s">
        <v>3344</v>
      </c>
      <c r="U932" t="s">
        <v>3344</v>
      </c>
      <c r="V932" t="s">
        <v>3344</v>
      </c>
      <c r="W932" t="s">
        <v>4274</v>
      </c>
      <c r="X932">
        <v>6</v>
      </c>
      <c r="Y932" t="s">
        <v>5931</v>
      </c>
      <c r="Z932" t="s">
        <v>7589</v>
      </c>
      <c r="AA932">
        <v>0.3945591478934339</v>
      </c>
      <c r="AB932">
        <f>HYPERLINK("Melting_Curves/meltCurve_P15078_cstA.pdf", "Melting_Curves/meltCurve_P15078_cstA.pdf")</f>
        <v>0</v>
      </c>
    </row>
    <row r="933" spans="1:28">
      <c r="A933" t="s">
        <v>959</v>
      </c>
      <c r="B933">
        <v>0.999998419929286</v>
      </c>
      <c r="C933">
        <v>0.903301557579296</v>
      </c>
      <c r="D933">
        <v>0.955957886503299</v>
      </c>
      <c r="E933">
        <v>0.507187622704968</v>
      </c>
      <c r="F933">
        <v>0.160898253805563</v>
      </c>
      <c r="G933">
        <v>0.13847958109206</v>
      </c>
      <c r="H933">
        <v>0.0603688230977827</v>
      </c>
      <c r="I933">
        <v>0.0473059596898594</v>
      </c>
      <c r="J933">
        <v>0.0289772654768221</v>
      </c>
      <c r="K933">
        <v>0.0321270304644799</v>
      </c>
      <c r="L933">
        <v>1293.02432367231</v>
      </c>
      <c r="M933">
        <v>27.7695500173166</v>
      </c>
      <c r="N933">
        <v>46.7540393641056</v>
      </c>
      <c r="O933">
        <v>46.3232111435837</v>
      </c>
      <c r="P933">
        <v>-0.141818624407032</v>
      </c>
      <c r="Q933">
        <v>0.0537209479080412</v>
      </c>
      <c r="R933">
        <v>0.990579185114524</v>
      </c>
      <c r="S933" t="s">
        <v>2617</v>
      </c>
      <c r="T933" t="s">
        <v>3344</v>
      </c>
      <c r="U933" t="s">
        <v>3344</v>
      </c>
      <c r="V933" t="s">
        <v>3344</v>
      </c>
      <c r="W933" t="s">
        <v>4275</v>
      </c>
      <c r="X933">
        <v>2</v>
      </c>
      <c r="Y933" t="s">
        <v>5932</v>
      </c>
      <c r="Z933" t="s">
        <v>7590</v>
      </c>
      <c r="AA933">
        <v>0.3617340372793809</v>
      </c>
      <c r="AB933">
        <f>HYPERLINK("Melting_Curves/meltCurve_P15082_srlR.pdf", "Melting_Curves/meltCurve_P15082_srlR.pdf")</f>
        <v>0</v>
      </c>
    </row>
    <row r="934" spans="1:28">
      <c r="A934" t="s">
        <v>960</v>
      </c>
      <c r="B934">
        <v>0.999998419929286</v>
      </c>
      <c r="C934">
        <v>0.927850387905367</v>
      </c>
      <c r="D934">
        <v>0.478241231575408</v>
      </c>
      <c r="E934">
        <v>0.199971765469825</v>
      </c>
      <c r="F934">
        <v>0.09231516207659669</v>
      </c>
      <c r="G934">
        <v>0.07102933096359119</v>
      </c>
      <c r="H934">
        <v>0.0181585463881882</v>
      </c>
      <c r="I934">
        <v>0</v>
      </c>
      <c r="J934">
        <v>0.0314386622667337</v>
      </c>
      <c r="K934">
        <v>0</v>
      </c>
      <c r="L934">
        <v>1044.50221433277</v>
      </c>
      <c r="M934">
        <v>24.2554654066592</v>
      </c>
      <c r="N934">
        <v>43.176784085864</v>
      </c>
      <c r="O934">
        <v>42.7730466394389</v>
      </c>
      <c r="P934">
        <v>-0.137364673507198</v>
      </c>
      <c r="Q934">
        <v>0.0310775098917129</v>
      </c>
      <c r="R934">
        <v>0.992119997257796</v>
      </c>
      <c r="S934" t="s">
        <v>2618</v>
      </c>
      <c r="T934" t="s">
        <v>3344</v>
      </c>
      <c r="U934" t="s">
        <v>3344</v>
      </c>
      <c r="V934" t="s">
        <v>3344</v>
      </c>
      <c r="W934" t="s">
        <v>4276</v>
      </c>
      <c r="X934">
        <v>2</v>
      </c>
      <c r="Y934" t="s">
        <v>5933</v>
      </c>
      <c r="Z934" t="s">
        <v>7591</v>
      </c>
      <c r="AA934">
        <v>0.2355624222797468</v>
      </c>
      <c r="AB934">
        <f>HYPERLINK("Melting_Curves/meltCurve_P15254_purL.pdf", "Melting_Curves/meltCurve_P15254_purL.pdf")</f>
        <v>0</v>
      </c>
    </row>
    <row r="935" spans="1:28">
      <c r="A935" t="s">
        <v>961</v>
      </c>
      <c r="B935">
        <v>0.999998419929286</v>
      </c>
      <c r="C935">
        <v>1.28257492690747</v>
      </c>
      <c r="D935">
        <v>1.25510368743325</v>
      </c>
      <c r="E935">
        <v>1.42341059984171</v>
      </c>
      <c r="F935">
        <v>1.23235411626467</v>
      </c>
      <c r="G935">
        <v>1.27989015641934</v>
      </c>
      <c r="H935">
        <v>0.917385042296574</v>
      </c>
      <c r="I935">
        <v>0.620922128582677</v>
      </c>
      <c r="J935">
        <v>0.698327972210396</v>
      </c>
      <c r="K935">
        <v>0.46425403458884</v>
      </c>
      <c r="L935">
        <v>3573.76808430286</v>
      </c>
      <c r="M935">
        <v>60.6907624446705</v>
      </c>
      <c r="O935">
        <v>58.8210470761627</v>
      </c>
      <c r="P935">
        <v>-0.108933843951831</v>
      </c>
      <c r="Q935">
        <v>0.577688606862425</v>
      </c>
      <c r="R935">
        <v>0.506981261175121</v>
      </c>
      <c r="S935" t="s">
        <v>2619</v>
      </c>
      <c r="T935" t="s">
        <v>3344</v>
      </c>
      <c r="U935" t="s">
        <v>3344</v>
      </c>
      <c r="V935" t="s">
        <v>3344</v>
      </c>
      <c r="W935" t="s">
        <v>4277</v>
      </c>
      <c r="X935">
        <v>1</v>
      </c>
      <c r="Y935" t="s">
        <v>5934</v>
      </c>
      <c r="Z935" t="s">
        <v>7592</v>
      </c>
      <c r="AA935">
        <v>0.8864944086669754</v>
      </c>
      <c r="AB935">
        <f>HYPERLINK("Melting_Curves/meltCurve_P15286_flk.pdf", "Melting_Curves/meltCurve_P15286_flk.pdf")</f>
        <v>0</v>
      </c>
    </row>
    <row r="936" spans="1:28">
      <c r="A936" t="s">
        <v>962</v>
      </c>
      <c r="B936">
        <v>0.999998419929286</v>
      </c>
      <c r="C936">
        <v>1.38179024856064</v>
      </c>
      <c r="D936">
        <v>1.41301772095812</v>
      </c>
      <c r="E936">
        <v>1.74381267733935</v>
      </c>
      <c r="F936">
        <v>1.80134461752101</v>
      </c>
      <c r="G936">
        <v>1.58743070432207</v>
      </c>
      <c r="H936">
        <v>0.614140173080586</v>
      </c>
      <c r="I936">
        <v>0.205880055023845</v>
      </c>
      <c r="J936">
        <v>0.132654094711577</v>
      </c>
      <c r="K936">
        <v>0.105503140438758</v>
      </c>
      <c r="L936">
        <v>14360.847849943</v>
      </c>
      <c r="M936">
        <v>250</v>
      </c>
      <c r="N936">
        <v>57.5241730475066</v>
      </c>
      <c r="O936">
        <v>57.439722623131</v>
      </c>
      <c r="P936">
        <v>-0.927045565322127</v>
      </c>
      <c r="Q936">
        <v>0.148012265774593</v>
      </c>
      <c r="R936">
        <v>0.555421336080957</v>
      </c>
      <c r="S936" t="s">
        <v>2620</v>
      </c>
      <c r="T936" t="s">
        <v>3344</v>
      </c>
      <c r="U936" t="s">
        <v>3344</v>
      </c>
      <c r="V936" t="s">
        <v>3344</v>
      </c>
      <c r="W936" t="s">
        <v>4278</v>
      </c>
      <c r="X936">
        <v>9</v>
      </c>
      <c r="Y936" t="s">
        <v>5935</v>
      </c>
      <c r="Z936" t="s">
        <v>7593</v>
      </c>
      <c r="AA936">
        <v>0.7286821138676056</v>
      </c>
      <c r="AB936">
        <f>HYPERLINK("Melting_Curves/meltCurve_P15288_pepD.pdf", "Melting_Curves/meltCurve_P15288_pepD.pdf")</f>
        <v>0</v>
      </c>
    </row>
    <row r="937" spans="1:28">
      <c r="A937" t="s">
        <v>963</v>
      </c>
      <c r="B937">
        <v>0.999998419929286</v>
      </c>
      <c r="C937">
        <v>0.8766604893073759</v>
      </c>
      <c r="D937">
        <v>0.770418714522084</v>
      </c>
      <c r="E937">
        <v>0.834467458681696</v>
      </c>
      <c r="F937">
        <v>0.751103502402177</v>
      </c>
      <c r="G937">
        <v>0.953472328670359</v>
      </c>
      <c r="H937">
        <v>0.7451258822412939</v>
      </c>
      <c r="I937">
        <v>0.877942882921901</v>
      </c>
      <c r="J937">
        <v>0.810872794398639</v>
      </c>
      <c r="K937">
        <v>0.673554176592059</v>
      </c>
      <c r="L937">
        <v>9954.906576318779</v>
      </c>
      <c r="M937">
        <v>250</v>
      </c>
      <c r="O937">
        <v>39.8170781169498</v>
      </c>
      <c r="P937">
        <v>-0.310608368566141</v>
      </c>
      <c r="Q937">
        <v>0.802119717450413</v>
      </c>
      <c r="R937">
        <v>0.412257226646098</v>
      </c>
      <c r="S937" t="s">
        <v>2621</v>
      </c>
      <c r="T937" t="s">
        <v>3344</v>
      </c>
      <c r="U937" t="s">
        <v>3344</v>
      </c>
      <c r="V937" t="s">
        <v>3344</v>
      </c>
      <c r="W937" t="s">
        <v>4279</v>
      </c>
      <c r="X937">
        <v>2</v>
      </c>
      <c r="Y937" t="s">
        <v>5936</v>
      </c>
      <c r="Z937" t="s">
        <v>7594</v>
      </c>
      <c r="AA937">
        <v>0.8207318275539853</v>
      </c>
      <c r="AB937">
        <f>HYPERLINK("Melting_Curves/meltCurve_P15373_prlF.pdf", "Melting_Curves/meltCurve_P15373_prlF.pdf")</f>
        <v>0</v>
      </c>
    </row>
    <row r="938" spans="1:28">
      <c r="A938" t="s">
        <v>964</v>
      </c>
      <c r="B938">
        <v>0.999998419929286</v>
      </c>
      <c r="C938">
        <v>1.24929869838822</v>
      </c>
      <c r="D938">
        <v>1.24933144776404</v>
      </c>
      <c r="E938">
        <v>1.44692971401552</v>
      </c>
      <c r="F938">
        <v>1.62085339043217</v>
      </c>
      <c r="G938">
        <v>1.41099149992783</v>
      </c>
      <c r="H938">
        <v>0.369155100584115</v>
      </c>
      <c r="I938">
        <v>0.146521007251749</v>
      </c>
      <c r="J938">
        <v>0.100259860392035</v>
      </c>
      <c r="K938">
        <v>0.078839831170068</v>
      </c>
      <c r="L938">
        <v>14299.2575889314</v>
      </c>
      <c r="M938">
        <v>250</v>
      </c>
      <c r="N938">
        <v>57.2530866876266</v>
      </c>
      <c r="O938">
        <v>57.1933702021845</v>
      </c>
      <c r="P938">
        <v>-0.974173095547053</v>
      </c>
      <c r="Q938">
        <v>0.108540122331329</v>
      </c>
      <c r="R938">
        <v>0.747366374592368</v>
      </c>
      <c r="S938" t="s">
        <v>2622</v>
      </c>
      <c r="T938" t="s">
        <v>3344</v>
      </c>
      <c r="U938" t="s">
        <v>3344</v>
      </c>
      <c r="V938" t="s">
        <v>3344</v>
      </c>
      <c r="W938" t="s">
        <v>4280</v>
      </c>
      <c r="X938">
        <v>11</v>
      </c>
      <c r="Y938" t="s">
        <v>5937</v>
      </c>
      <c r="Z938" t="s">
        <v>7595</v>
      </c>
      <c r="AA938">
        <v>0.7087910139891898</v>
      </c>
      <c r="AB938">
        <f>HYPERLINK("Melting_Curves/meltCurve_P15639_purH.pdf", "Melting_Curves/meltCurve_P15639_purH.pdf")</f>
        <v>0</v>
      </c>
    </row>
    <row r="939" spans="1:28">
      <c r="A939" t="s">
        <v>965</v>
      </c>
      <c r="B939">
        <v>0.999998419929286</v>
      </c>
      <c r="C939">
        <v>1.11954939991012</v>
      </c>
      <c r="D939">
        <v>1.10847221659695</v>
      </c>
      <c r="E939">
        <v>1.12178372958116</v>
      </c>
      <c r="F939">
        <v>0.994573536035583</v>
      </c>
      <c r="G939">
        <v>0.69706953226922</v>
      </c>
      <c r="H939">
        <v>0.464820832833733</v>
      </c>
      <c r="I939">
        <v>0.349934267633138</v>
      </c>
      <c r="J939">
        <v>0.296975477097377</v>
      </c>
      <c r="K939">
        <v>0.269709255685531</v>
      </c>
      <c r="L939">
        <v>1569.90584501971</v>
      </c>
      <c r="M939">
        <v>28.6740497416689</v>
      </c>
      <c r="N939">
        <v>56.474296064401</v>
      </c>
      <c r="O939">
        <v>54.4858397537961</v>
      </c>
      <c r="P939">
        <v>-0.0931936321570352</v>
      </c>
      <c r="Q939">
        <v>0.291667053941714</v>
      </c>
      <c r="R939">
        <v>0.960882874460174</v>
      </c>
      <c r="S939" t="s">
        <v>2623</v>
      </c>
      <c r="T939" t="s">
        <v>3344</v>
      </c>
      <c r="U939" t="s">
        <v>3344</v>
      </c>
      <c r="V939" t="s">
        <v>3344</v>
      </c>
      <c r="W939" t="s">
        <v>4281</v>
      </c>
      <c r="X939">
        <v>4</v>
      </c>
      <c r="Y939" t="s">
        <v>5938</v>
      </c>
      <c r="Z939" t="s">
        <v>7596</v>
      </c>
      <c r="AA939">
        <v>0.7156372491180062</v>
      </c>
      <c r="AB939">
        <f>HYPERLINK("Melting_Curves/meltCurve_P15640_purD.pdf", "Melting_Curves/meltCurve_P15640_purD.pdf")</f>
        <v>0</v>
      </c>
    </row>
    <row r="940" spans="1:28">
      <c r="A940" t="s">
        <v>966</v>
      </c>
      <c r="B940">
        <v>0.999998419929286</v>
      </c>
      <c r="C940">
        <v>0.983229806580398</v>
      </c>
      <c r="D940">
        <v>0.807632989040789</v>
      </c>
      <c r="E940">
        <v>0.810004906118308</v>
      </c>
      <c r="F940">
        <v>0.507286894607928</v>
      </c>
      <c r="G940">
        <v>0.242040163242644</v>
      </c>
      <c r="H940">
        <v>0.0995179869751974</v>
      </c>
      <c r="I940">
        <v>0.0660140642469188</v>
      </c>
      <c r="J940">
        <v>0.0651807270339467</v>
      </c>
      <c r="K940">
        <v>0.0629686508722458</v>
      </c>
      <c r="L940">
        <v>770.159560150958</v>
      </c>
      <c r="M940">
        <v>15.4276668248373</v>
      </c>
      <c r="N940">
        <v>50.0450627718455</v>
      </c>
      <c r="O940">
        <v>49.1044600951806</v>
      </c>
      <c r="P940">
        <v>-0.0770748645881415</v>
      </c>
      <c r="Q940">
        <v>0.0188071565399636</v>
      </c>
      <c r="R940">
        <v>0.9865252971991471</v>
      </c>
      <c r="S940" t="s">
        <v>2624</v>
      </c>
      <c r="T940" t="s">
        <v>3344</v>
      </c>
      <c r="U940" t="s">
        <v>3344</v>
      </c>
      <c r="V940" t="s">
        <v>3344</v>
      </c>
      <c r="W940" t="s">
        <v>4282</v>
      </c>
      <c r="X940">
        <v>3</v>
      </c>
      <c r="Y940" t="s">
        <v>5939</v>
      </c>
      <c r="Z940" t="s">
        <v>7597</v>
      </c>
      <c r="AA940">
        <v>0.4611244888333574</v>
      </c>
      <c r="AB940">
        <f>HYPERLINK("Melting_Curves/meltCurve_P15770_aroE.pdf", "Melting_Curves/meltCurve_P15770_aroE.pdf")</f>
        <v>0</v>
      </c>
    </row>
    <row r="941" spans="1:28">
      <c r="A941" t="s">
        <v>967</v>
      </c>
      <c r="B941">
        <v>0.999998419929286</v>
      </c>
      <c r="C941">
        <v>0.95734201688516</v>
      </c>
      <c r="D941">
        <v>0.512785740677989</v>
      </c>
      <c r="E941">
        <v>0.260387233831339</v>
      </c>
      <c r="F941">
        <v>0.193848917888966</v>
      </c>
      <c r="G941">
        <v>0.146952454841295</v>
      </c>
      <c r="H941">
        <v>0.112761760646519</v>
      </c>
      <c r="I941">
        <v>0.110418032333903</v>
      </c>
      <c r="J941">
        <v>0.0969503085589986</v>
      </c>
      <c r="K941">
        <v>0.109304909195192</v>
      </c>
      <c r="L941">
        <v>1179.93632668879</v>
      </c>
      <c r="M941">
        <v>27.4888870185174</v>
      </c>
      <c r="N941">
        <v>43.3936738436399</v>
      </c>
      <c r="O941">
        <v>42.6988866977281</v>
      </c>
      <c r="P941">
        <v>-0.140242580831958</v>
      </c>
      <c r="Q941">
        <v>0.128644720927995</v>
      </c>
      <c r="R941">
        <v>0.990118680569021</v>
      </c>
      <c r="S941" t="s">
        <v>2625</v>
      </c>
      <c r="T941" t="s">
        <v>3344</v>
      </c>
      <c r="U941" t="s">
        <v>3344</v>
      </c>
      <c r="V941" t="s">
        <v>3344</v>
      </c>
      <c r="W941" t="s">
        <v>4283</v>
      </c>
      <c r="X941">
        <v>5</v>
      </c>
      <c r="Y941" t="s">
        <v>5940</v>
      </c>
      <c r="Z941" t="s">
        <v>7598</v>
      </c>
      <c r="AA941">
        <v>0.3066241468429814</v>
      </c>
      <c r="AB941">
        <f>HYPERLINK("Melting_Curves/meltCurve_P15877_gcd.pdf", "Melting_Curves/meltCurve_P15877_gcd.pdf")</f>
        <v>0</v>
      </c>
    </row>
    <row r="942" spans="1:28">
      <c r="A942" t="s">
        <v>968</v>
      </c>
      <c r="B942">
        <v>0.999998419929286</v>
      </c>
      <c r="C942">
        <v>1.72832881192043</v>
      </c>
      <c r="D942">
        <v>1.68750295212012</v>
      </c>
      <c r="E942">
        <v>0.552863985495902</v>
      </c>
      <c r="F942">
        <v>0.190621340983688</v>
      </c>
      <c r="G942">
        <v>0.134113607575591</v>
      </c>
      <c r="H942">
        <v>0.066116748395831</v>
      </c>
      <c r="I942">
        <v>0.0654841878051422</v>
      </c>
      <c r="J942">
        <v>0.07534190169197311</v>
      </c>
      <c r="K942">
        <v>0.06331606293436259</v>
      </c>
      <c r="L942">
        <v>11227.9958415533</v>
      </c>
      <c r="M942">
        <v>240.929548832648</v>
      </c>
      <c r="N942">
        <v>46.6456163546452</v>
      </c>
      <c r="O942">
        <v>46.5996066881889</v>
      </c>
      <c r="P942">
        <v>-1.16437555912214</v>
      </c>
      <c r="Q942">
        <v>0.0991649922346932</v>
      </c>
      <c r="R942">
        <v>0.753065777236113</v>
      </c>
      <c r="S942" t="s">
        <v>2626</v>
      </c>
      <c r="T942" t="s">
        <v>3344</v>
      </c>
      <c r="U942" t="s">
        <v>3344</v>
      </c>
      <c r="V942" t="s">
        <v>3344</v>
      </c>
      <c r="W942" t="s">
        <v>4284</v>
      </c>
      <c r="X942">
        <v>3</v>
      </c>
      <c r="Y942" t="s">
        <v>5941</v>
      </c>
      <c r="Z942" t="s">
        <v>7599</v>
      </c>
      <c r="AA942">
        <v>0.3875961340833775</v>
      </c>
      <c r="AB942">
        <f>HYPERLINK("Melting_Curves/meltCurve_P15977_malQ.pdf", "Melting_Curves/meltCurve_P15977_malQ.pdf")</f>
        <v>0</v>
      </c>
    </row>
    <row r="943" spans="1:28">
      <c r="A943" t="s">
        <v>969</v>
      </c>
      <c r="B943">
        <v>0.999998419929286</v>
      </c>
      <c r="C943">
        <v>1.24066702978952</v>
      </c>
      <c r="D943">
        <v>0.945711094201832</v>
      </c>
      <c r="E943">
        <v>1.03874650584078</v>
      </c>
      <c r="F943">
        <v>0.742520524422928</v>
      </c>
      <c r="G943">
        <v>0.435565110736959</v>
      </c>
      <c r="H943">
        <v>0.213122321410512</v>
      </c>
      <c r="I943">
        <v>0.145067257035943</v>
      </c>
      <c r="J943">
        <v>0.104609239173637</v>
      </c>
      <c r="K943">
        <v>0.103792058895138</v>
      </c>
      <c r="L943">
        <v>1263.23724039348</v>
      </c>
      <c r="M943">
        <v>24.0617645050228</v>
      </c>
      <c r="N943">
        <v>53.0173200815063</v>
      </c>
      <c r="O943">
        <v>52.1411851563801</v>
      </c>
      <c r="P943">
        <v>-0.103294434539867</v>
      </c>
      <c r="Q943">
        <v>0.104669161828979</v>
      </c>
      <c r="R943">
        <v>0.961467586334166</v>
      </c>
      <c r="S943" t="s">
        <v>2627</v>
      </c>
      <c r="T943" t="s">
        <v>3344</v>
      </c>
      <c r="U943" t="s">
        <v>3344</v>
      </c>
      <c r="V943" t="s">
        <v>3344</v>
      </c>
      <c r="W943" t="s">
        <v>4285</v>
      </c>
      <c r="X943">
        <v>5</v>
      </c>
      <c r="Y943" t="s">
        <v>5942</v>
      </c>
      <c r="Z943" t="s">
        <v>7600</v>
      </c>
      <c r="AA943">
        <v>0.5757264368675369</v>
      </c>
      <c r="AB943">
        <f>HYPERLINK("Melting_Curves/meltCurve_P16095_sdaA.pdf", "Melting_Curves/meltCurve_P16095_sdaA.pdf")</f>
        <v>0</v>
      </c>
    </row>
    <row r="944" spans="1:28">
      <c r="A944" t="s">
        <v>970</v>
      </c>
      <c r="B944">
        <v>0.999998419929286</v>
      </c>
      <c r="C944">
        <v>1.58432499068408</v>
      </c>
      <c r="D944">
        <v>0.8968785372442269</v>
      </c>
      <c r="E944">
        <v>0.504169485912515</v>
      </c>
      <c r="F944">
        <v>0.152336005459385</v>
      </c>
      <c r="G944">
        <v>0.0702233948512368</v>
      </c>
      <c r="H944">
        <v>0.0305603876473204</v>
      </c>
      <c r="I944">
        <v>0.0198660370015069</v>
      </c>
      <c r="J944">
        <v>0.0215816299738348</v>
      </c>
      <c r="K944">
        <v>0.0257702052179017</v>
      </c>
      <c r="L944">
        <v>1510.58890631469</v>
      </c>
      <c r="M944">
        <v>32.4241135713045</v>
      </c>
      <c r="N944">
        <v>46.6934209366603</v>
      </c>
      <c r="O944">
        <v>46.4123028138914</v>
      </c>
      <c r="P944">
        <v>-0.168513952760295</v>
      </c>
      <c r="Q944">
        <v>0.035152302290603</v>
      </c>
      <c r="R944">
        <v>0.872364525400147</v>
      </c>
      <c r="S944" t="s">
        <v>2628</v>
      </c>
      <c r="T944" t="s">
        <v>3344</v>
      </c>
      <c r="U944" t="s">
        <v>3344</v>
      </c>
      <c r="V944" t="s">
        <v>3344</v>
      </c>
      <c r="W944" t="s">
        <v>4286</v>
      </c>
      <c r="X944">
        <v>1</v>
      </c>
      <c r="Y944" t="s">
        <v>5943</v>
      </c>
      <c r="Z944" t="s">
        <v>7601</v>
      </c>
      <c r="AA944">
        <v>0.3482849652333349</v>
      </c>
      <c r="AB944">
        <f>HYPERLINK("Melting_Curves/meltCurve_P16384_miaA.pdf", "Melting_Curves/meltCurve_P16384_miaA.pdf")</f>
        <v>0</v>
      </c>
    </row>
    <row r="945" spans="1:28">
      <c r="A945" t="s">
        <v>971</v>
      </c>
      <c r="B945">
        <v>0.999998419929286</v>
      </c>
      <c r="C945">
        <v>1.07044395562185</v>
      </c>
      <c r="D945">
        <v>1.00788297137603</v>
      </c>
      <c r="E945">
        <v>1.06994535245354</v>
      </c>
      <c r="F945">
        <v>1.00622856021259</v>
      </c>
      <c r="G945">
        <v>1.08189251077489</v>
      </c>
      <c r="H945">
        <v>0.76518824177088</v>
      </c>
      <c r="I945">
        <v>0.56051704229032</v>
      </c>
      <c r="J945">
        <v>0.452169142637253</v>
      </c>
      <c r="K945">
        <v>0.419767423989893</v>
      </c>
      <c r="L945">
        <v>2239.84236295697</v>
      </c>
      <c r="M945">
        <v>38.4073561489524</v>
      </c>
      <c r="N945">
        <v>61.625985770275</v>
      </c>
      <c r="O945">
        <v>58.1606301703916</v>
      </c>
      <c r="P945">
        <v>-0.0930500686917682</v>
      </c>
      <c r="Q945">
        <v>0.436374903718797</v>
      </c>
      <c r="R945">
        <v>0.963788812937404</v>
      </c>
      <c r="S945" t="s">
        <v>2629</v>
      </c>
      <c r="T945" t="s">
        <v>3344</v>
      </c>
      <c r="U945" t="s">
        <v>3344</v>
      </c>
      <c r="V945" t="s">
        <v>3344</v>
      </c>
      <c r="W945" t="s">
        <v>4287</v>
      </c>
      <c r="X945">
        <v>9</v>
      </c>
      <c r="Y945" t="s">
        <v>5944</v>
      </c>
      <c r="Z945" t="s">
        <v>7602</v>
      </c>
      <c r="AA945">
        <v>0.8390790570740652</v>
      </c>
      <c r="AB945">
        <f>HYPERLINK("Melting_Curves/meltCurve_P16456_selD.pdf", "Melting_Curves/meltCurve_P16456_selD.pdf")</f>
        <v>0</v>
      </c>
    </row>
    <row r="946" spans="1:28">
      <c r="A946" t="s">
        <v>972</v>
      </c>
      <c r="B946">
        <v>0.999998419929286</v>
      </c>
      <c r="C946">
        <v>1.10560560902685</v>
      </c>
      <c r="D946">
        <v>1.39564575380192</v>
      </c>
      <c r="E946">
        <v>0.747264582468378</v>
      </c>
      <c r="F946">
        <v>0.908984272389653</v>
      </c>
      <c r="G946">
        <v>0.349681357761816</v>
      </c>
      <c r="H946">
        <v>0.371469865307547</v>
      </c>
      <c r="I946">
        <v>0.295609012429494</v>
      </c>
      <c r="J946">
        <v>0.241357722467594</v>
      </c>
      <c r="K946">
        <v>0.388976828204148</v>
      </c>
      <c r="L946">
        <v>3621.3153753571</v>
      </c>
      <c r="M946">
        <v>70.3133102356677</v>
      </c>
      <c r="N946">
        <v>52.2746422274991</v>
      </c>
      <c r="O946">
        <v>51.4609479478791</v>
      </c>
      <c r="P946">
        <v>-0.231250465947196</v>
      </c>
      <c r="Q946">
        <v>0.323009256238311</v>
      </c>
      <c r="R946">
        <v>0.834348292206014</v>
      </c>
      <c r="S946" t="s">
        <v>2630</v>
      </c>
      <c r="T946" t="s">
        <v>3344</v>
      </c>
      <c r="U946" t="s">
        <v>3344</v>
      </c>
      <c r="V946" t="s">
        <v>3344</v>
      </c>
      <c r="W946" t="s">
        <v>4288</v>
      </c>
      <c r="X946">
        <v>1</v>
      </c>
      <c r="Y946" t="s">
        <v>5945</v>
      </c>
      <c r="Z946" t="s">
        <v>7603</v>
      </c>
      <c r="AA946">
        <v>0.6510547396815909</v>
      </c>
      <c r="AB946">
        <f>HYPERLINK("Melting_Curves/meltCurve_P16525_tus.pdf", "Melting_Curves/meltCurve_P16525_tus.pdf")</f>
        <v>0</v>
      </c>
    </row>
    <row r="947" spans="1:28">
      <c r="A947" t="s">
        <v>973</v>
      </c>
      <c r="B947">
        <v>0.999998419929286</v>
      </c>
      <c r="C947">
        <v>1.03418680084495</v>
      </c>
      <c r="D947">
        <v>0.939407066218045</v>
      </c>
      <c r="E947">
        <v>0.718056776877848</v>
      </c>
      <c r="F947">
        <v>1.26061491246353</v>
      </c>
      <c r="G947">
        <v>0.827579018506074</v>
      </c>
      <c r="H947">
        <v>0.636623745418746</v>
      </c>
      <c r="I947">
        <v>0.37868363577209</v>
      </c>
      <c r="J947">
        <v>0.175051612840657</v>
      </c>
      <c r="K947">
        <v>0.232103745488008</v>
      </c>
      <c r="L947">
        <v>1538.17215860567</v>
      </c>
      <c r="M947">
        <v>26.5910187439042</v>
      </c>
      <c r="N947">
        <v>58.823535070934</v>
      </c>
      <c r="O947">
        <v>57.5213852632325</v>
      </c>
      <c r="P947">
        <v>-0.0949239722711243</v>
      </c>
      <c r="Q947">
        <v>0.178655105010174</v>
      </c>
      <c r="R947">
        <v>0.856434996839874</v>
      </c>
      <c r="S947" t="s">
        <v>2631</v>
      </c>
      <c r="T947" t="s">
        <v>3344</v>
      </c>
      <c r="U947" t="s">
        <v>3344</v>
      </c>
      <c r="V947" t="s">
        <v>3344</v>
      </c>
      <c r="W947" t="s">
        <v>4289</v>
      </c>
      <c r="X947">
        <v>1</v>
      </c>
      <c r="Y947" t="s">
        <v>5946</v>
      </c>
      <c r="Z947" t="s">
        <v>7604</v>
      </c>
      <c r="AA947">
        <v>0.7545909529355685</v>
      </c>
      <c r="AB947">
        <f>HYPERLINK("Melting_Curves/meltCurve_P16528_iclR.pdf", "Melting_Curves/meltCurve_P16528_iclR.pdf")</f>
        <v>0</v>
      </c>
    </row>
    <row r="948" spans="1:28">
      <c r="A948" t="s">
        <v>974</v>
      </c>
      <c r="B948">
        <v>0.999998419929286</v>
      </c>
      <c r="C948">
        <v>0.958647424774509</v>
      </c>
      <c r="D948">
        <v>0.496242312459368</v>
      </c>
      <c r="E948">
        <v>0.316546513348071</v>
      </c>
      <c r="F948">
        <v>0.186774651911232</v>
      </c>
      <c r="G948">
        <v>0.112486586826043</v>
      </c>
      <c r="H948">
        <v>0.07543279278259039</v>
      </c>
      <c r="I948">
        <v>0.0597706855605265</v>
      </c>
      <c r="J948">
        <v>0.0559768236768145</v>
      </c>
      <c r="K948">
        <v>0.0587569784642503</v>
      </c>
      <c r="L948">
        <v>858.47931037775</v>
      </c>
      <c r="M948">
        <v>19.7418611307734</v>
      </c>
      <c r="N948">
        <v>43.8541536196592</v>
      </c>
      <c r="O948">
        <v>43.0464162451249</v>
      </c>
      <c r="P948">
        <v>-0.105885862950989</v>
      </c>
      <c r="Q948">
        <v>0.0765104478879518</v>
      </c>
      <c r="R948">
        <v>0.980393520876126</v>
      </c>
      <c r="S948" t="s">
        <v>2632</v>
      </c>
      <c r="T948" t="s">
        <v>3344</v>
      </c>
      <c r="U948" t="s">
        <v>3344</v>
      </c>
      <c r="V948" t="s">
        <v>3344</v>
      </c>
      <c r="W948" t="s">
        <v>4290</v>
      </c>
      <c r="X948">
        <v>13</v>
      </c>
      <c r="Y948" t="s">
        <v>5947</v>
      </c>
      <c r="Z948" t="s">
        <v>7605</v>
      </c>
      <c r="AA948">
        <v>0.2890938173315009</v>
      </c>
      <c r="AB948">
        <f>HYPERLINK("Melting_Curves/meltCurve_P16659_proS.pdf", "Melting_Curves/meltCurve_P16659_proS.pdf")</f>
        <v>0</v>
      </c>
    </row>
    <row r="949" spans="1:28">
      <c r="A949" t="s">
        <v>975</v>
      </c>
      <c r="B949">
        <v>0.999998419929286</v>
      </c>
      <c r="C949">
        <v>0.845011656319644</v>
      </c>
      <c r="D949">
        <v>0.996246043861636</v>
      </c>
      <c r="E949">
        <v>1.06799758188346</v>
      </c>
      <c r="F949">
        <v>1.31159856564162</v>
      </c>
      <c r="G949">
        <v>1.43922597557395</v>
      </c>
      <c r="H949">
        <v>1.40755250282306</v>
      </c>
      <c r="I949">
        <v>1.3202235200058</v>
      </c>
      <c r="J949">
        <v>1.38874359292258</v>
      </c>
      <c r="K949">
        <v>1.47150663099596</v>
      </c>
      <c r="L949">
        <v>1970.39988803262</v>
      </c>
      <c r="M949">
        <v>40.5724875408198</v>
      </c>
      <c r="O949">
        <v>48.447392558436</v>
      </c>
      <c r="P949">
        <v>0.0849609446044489</v>
      </c>
      <c r="Q949">
        <v>1.40580486064455</v>
      </c>
      <c r="R949">
        <v>0.91699709847996</v>
      </c>
      <c r="S949" t="s">
        <v>2633</v>
      </c>
      <c r="T949" t="s">
        <v>3344</v>
      </c>
      <c r="U949" t="s">
        <v>3344</v>
      </c>
      <c r="V949" t="s">
        <v>3344</v>
      </c>
      <c r="W949" t="s">
        <v>4291</v>
      </c>
      <c r="X949">
        <v>7</v>
      </c>
      <c r="Y949" t="s">
        <v>5948</v>
      </c>
      <c r="Z949" t="s">
        <v>7606</v>
      </c>
      <c r="AA949">
        <v>1.248044374980012</v>
      </c>
      <c r="AB949">
        <f>HYPERLINK("Melting_Curves/meltCurve_P16681_phnB.pdf", "Melting_Curves/meltCurve_P16681_phnB.pdf")</f>
        <v>0</v>
      </c>
    </row>
    <row r="950" spans="1:28">
      <c r="A950" t="s">
        <v>976</v>
      </c>
      <c r="B950">
        <v>0.999998419929286</v>
      </c>
      <c r="C950">
        <v>0.981040596268082</v>
      </c>
      <c r="D950">
        <v>1.0913436553456</v>
      </c>
      <c r="E950">
        <v>1.18951606571909</v>
      </c>
      <c r="F950">
        <v>1.54865310162524</v>
      </c>
      <c r="G950">
        <v>1.79957283500032</v>
      </c>
      <c r="H950">
        <v>1.62881771155206</v>
      </c>
      <c r="I950">
        <v>1.05154081585134</v>
      </c>
      <c r="J950">
        <v>0.692082884275563</v>
      </c>
      <c r="K950">
        <v>0.334576721946923</v>
      </c>
      <c r="L950">
        <v>15000</v>
      </c>
      <c r="M950">
        <v>233.859943956922</v>
      </c>
      <c r="N950">
        <v>64.4457372606124</v>
      </c>
      <c r="O950">
        <v>64.1362628871447</v>
      </c>
      <c r="P950">
        <v>-0.606611306660591</v>
      </c>
      <c r="Q950">
        <v>0.334545590982635</v>
      </c>
      <c r="R950">
        <v>0.208405934824902</v>
      </c>
      <c r="S950" t="s">
        <v>2634</v>
      </c>
      <c r="T950" t="s">
        <v>3344</v>
      </c>
      <c r="U950" t="s">
        <v>3344</v>
      </c>
      <c r="V950" t="s">
        <v>3344</v>
      </c>
      <c r="W950" t="s">
        <v>4292</v>
      </c>
      <c r="X950">
        <v>19</v>
      </c>
      <c r="Y950" t="s">
        <v>5949</v>
      </c>
      <c r="Z950" t="s">
        <v>7607</v>
      </c>
      <c r="AA950">
        <v>0.9366664797139659</v>
      </c>
      <c r="AB950">
        <f>HYPERLINK("Melting_Curves/meltCurve_P16700_cysP.pdf", "Melting_Curves/meltCurve_P16700_cysP.pdf")</f>
        <v>0</v>
      </c>
    </row>
    <row r="951" spans="1:28">
      <c r="A951" t="s">
        <v>977</v>
      </c>
      <c r="B951">
        <v>0.999998419929286</v>
      </c>
      <c r="C951">
        <v>0.89682065960454</v>
      </c>
      <c r="D951">
        <v>0.779188228518131</v>
      </c>
      <c r="E951">
        <v>0.842169390653377</v>
      </c>
      <c r="F951">
        <v>0.840223850469336</v>
      </c>
      <c r="G951">
        <v>0.913635161567828</v>
      </c>
      <c r="H951">
        <v>0.76563112537208</v>
      </c>
      <c r="I951">
        <v>0.6353261273226291</v>
      </c>
      <c r="J951">
        <v>0.5254195831817911</v>
      </c>
      <c r="K951">
        <v>0.368968177642862</v>
      </c>
      <c r="L951">
        <v>385.082058910027</v>
      </c>
      <c r="M951">
        <v>5.87585672888175</v>
      </c>
      <c r="N951">
        <v>65.5363254546897</v>
      </c>
      <c r="O951">
        <v>59.1457949663713</v>
      </c>
      <c r="P951">
        <v>-0.0249229680686847</v>
      </c>
      <c r="Q951">
        <v>0</v>
      </c>
      <c r="R951">
        <v>0.774053417445978</v>
      </c>
      <c r="S951" t="s">
        <v>2635</v>
      </c>
      <c r="T951" t="s">
        <v>3344</v>
      </c>
      <c r="U951" t="s">
        <v>3344</v>
      </c>
      <c r="V951" t="s">
        <v>3344</v>
      </c>
      <c r="W951" t="s">
        <v>4293</v>
      </c>
      <c r="X951">
        <v>9</v>
      </c>
      <c r="Y951" t="s">
        <v>5950</v>
      </c>
      <c r="Z951" t="s">
        <v>7608</v>
      </c>
      <c r="AA951">
        <v>0.7870994811412092</v>
      </c>
      <c r="AB951">
        <f>HYPERLINK("Melting_Curves/meltCurve_P16703_cysM.pdf", "Melting_Curves/meltCurve_P16703_cysM.pdf")</f>
        <v>0</v>
      </c>
    </row>
    <row r="952" spans="1:28">
      <c r="A952" t="s">
        <v>978</v>
      </c>
      <c r="B952">
        <v>0.999998419929286</v>
      </c>
      <c r="C952">
        <v>1.24406770454907</v>
      </c>
      <c r="D952">
        <v>1.28235307277371</v>
      </c>
      <c r="E952">
        <v>1.00379116745524</v>
      </c>
      <c r="F952">
        <v>1.12897659619658</v>
      </c>
      <c r="G952">
        <v>1.49713026724506</v>
      </c>
      <c r="H952">
        <v>0.609615350691772</v>
      </c>
      <c r="I952">
        <v>0.832423153122304</v>
      </c>
      <c r="J952">
        <v>0</v>
      </c>
      <c r="K952">
        <v>0</v>
      </c>
      <c r="L952">
        <v>9834.042487925501</v>
      </c>
      <c r="M952">
        <v>159.61128890673</v>
      </c>
      <c r="N952">
        <v>61.6124743058476</v>
      </c>
      <c r="O952">
        <v>61.6027782963973</v>
      </c>
      <c r="P952">
        <v>-0.647743879702627</v>
      </c>
      <c r="Q952">
        <v>0</v>
      </c>
      <c r="R952">
        <v>0.767300198728886</v>
      </c>
      <c r="S952" t="s">
        <v>2636</v>
      </c>
      <c r="T952" t="s">
        <v>3344</v>
      </c>
      <c r="U952" t="s">
        <v>3344</v>
      </c>
      <c r="V952" t="s">
        <v>3344</v>
      </c>
      <c r="W952" t="s">
        <v>4294</v>
      </c>
      <c r="X952">
        <v>2</v>
      </c>
      <c r="Y952" t="s">
        <v>5951</v>
      </c>
      <c r="Z952" t="s">
        <v>7609</v>
      </c>
      <c r="AA952">
        <v>0.8206803036653229</v>
      </c>
      <c r="AB952">
        <f>HYPERLINK("Melting_Curves/meltCurve_P16926_mreC.pdf", "Melting_Curves/meltCurve_P16926_mreC.pdf")</f>
        <v>0</v>
      </c>
    </row>
    <row r="953" spans="1:28">
      <c r="A953" t="s">
        <v>979</v>
      </c>
      <c r="B953">
        <v>0.999998419929286</v>
      </c>
      <c r="C953">
        <v>1.01202159397754</v>
      </c>
      <c r="D953">
        <v>1.05556729536651</v>
      </c>
      <c r="E953">
        <v>1.10484802457989</v>
      </c>
      <c r="F953">
        <v>1.15355678504008</v>
      </c>
      <c r="G953">
        <v>0.936614331100319</v>
      </c>
      <c r="H953">
        <v>0.510529202835513</v>
      </c>
      <c r="I953">
        <v>0.159535893731246</v>
      </c>
      <c r="J953">
        <v>0.0640198005796043</v>
      </c>
      <c r="K953">
        <v>0.0485705063511773</v>
      </c>
      <c r="L953">
        <v>2265.52249392328</v>
      </c>
      <c r="M953">
        <v>39.503485273361</v>
      </c>
      <c r="N953">
        <v>57.5222595360435</v>
      </c>
      <c r="O953">
        <v>57.2035636013331</v>
      </c>
      <c r="P953">
        <v>-0.163009738264797</v>
      </c>
      <c r="Q953">
        <v>0.0558081188717526</v>
      </c>
      <c r="R953">
        <v>0.979101704432272</v>
      </c>
      <c r="S953" t="s">
        <v>2637</v>
      </c>
      <c r="T953" t="s">
        <v>3344</v>
      </c>
      <c r="U953" t="s">
        <v>3344</v>
      </c>
      <c r="V953" t="s">
        <v>3344</v>
      </c>
      <c r="W953" t="s">
        <v>4295</v>
      </c>
      <c r="X953">
        <v>6</v>
      </c>
      <c r="Y953" t="s">
        <v>5952</v>
      </c>
      <c r="Z953" t="s">
        <v>7610</v>
      </c>
      <c r="AA953">
        <v>0.6998984734966759</v>
      </c>
      <c r="AB953">
        <f>HYPERLINK("Melting_Curves/meltCurve_P17115_gutQ.pdf", "Melting_Curves/meltCurve_P17115_gutQ.pdf")</f>
        <v>0</v>
      </c>
    </row>
    <row r="954" spans="1:28">
      <c r="A954" t="s">
        <v>980</v>
      </c>
      <c r="B954">
        <v>0.999998419929286</v>
      </c>
      <c r="C954">
        <v>0.838064570204863</v>
      </c>
      <c r="D954">
        <v>0.992556807986816</v>
      </c>
      <c r="E954">
        <v>1.11401684570103</v>
      </c>
      <c r="F954">
        <v>1.34659817145491</v>
      </c>
      <c r="G954">
        <v>0.746414077420622</v>
      </c>
      <c r="H954">
        <v>0.16908696087649</v>
      </c>
      <c r="I954">
        <v>0.0726603960387727</v>
      </c>
      <c r="J954">
        <v>0.0430792276009938</v>
      </c>
      <c r="K954">
        <v>0.0410344550670686</v>
      </c>
      <c r="L954">
        <v>2995.80153799305</v>
      </c>
      <c r="M954">
        <v>54.5520922870289</v>
      </c>
      <c r="N954">
        <v>55.0418138780344</v>
      </c>
      <c r="O954">
        <v>54.8426994398046</v>
      </c>
      <c r="P954">
        <v>-0.234139161370973</v>
      </c>
      <c r="Q954">
        <v>0.0584547972830921</v>
      </c>
      <c r="R954">
        <v>0.927673812349214</v>
      </c>
      <c r="S954" t="s">
        <v>2638</v>
      </c>
      <c r="T954" t="s">
        <v>3344</v>
      </c>
      <c r="U954" t="s">
        <v>3344</v>
      </c>
      <c r="V954" t="s">
        <v>3344</v>
      </c>
      <c r="W954" t="s">
        <v>4296</v>
      </c>
      <c r="X954">
        <v>9</v>
      </c>
      <c r="Y954" t="s">
        <v>5953</v>
      </c>
      <c r="Z954" t="s">
        <v>7611</v>
      </c>
      <c r="AA954">
        <v>0.6226681028827605</v>
      </c>
      <c r="AB954">
        <f>HYPERLINK("Melting_Curves/meltCurve_P17117_nfsA.pdf", "Melting_Curves/meltCurve_P17117_nfsA.pdf")</f>
        <v>0</v>
      </c>
    </row>
    <row r="955" spans="1:28">
      <c r="A955" t="s">
        <v>981</v>
      </c>
      <c r="B955">
        <v>0.999998419929286</v>
      </c>
      <c r="C955">
        <v>1.38278534836685</v>
      </c>
      <c r="D955">
        <v>1.37316402405198</v>
      </c>
      <c r="E955">
        <v>1.49889758966958</v>
      </c>
      <c r="F955">
        <v>1.0600817012281</v>
      </c>
      <c r="G955">
        <v>0.982590172639773</v>
      </c>
      <c r="H955">
        <v>0.322889277567618</v>
      </c>
      <c r="I955">
        <v>0.124585101186918</v>
      </c>
      <c r="J955">
        <v>0.0598678541972164</v>
      </c>
      <c r="K955">
        <v>0.0539530286536334</v>
      </c>
      <c r="L955">
        <v>3918.98986122841</v>
      </c>
      <c r="M955">
        <v>69.2734646713787</v>
      </c>
      <c r="N955">
        <v>56.7091898960127</v>
      </c>
      <c r="O955">
        <v>56.525665377189</v>
      </c>
      <c r="P955">
        <v>-0.282864364678021</v>
      </c>
      <c r="Q955">
        <v>0.0767553473795209</v>
      </c>
      <c r="R955">
        <v>0.824588734454255</v>
      </c>
      <c r="S955" t="s">
        <v>2639</v>
      </c>
      <c r="T955" t="s">
        <v>3344</v>
      </c>
      <c r="U955" t="s">
        <v>3344</v>
      </c>
      <c r="V955" t="s">
        <v>3344</v>
      </c>
      <c r="W955" t="s">
        <v>4297</v>
      </c>
      <c r="X955">
        <v>15</v>
      </c>
      <c r="Y955" t="s">
        <v>5954</v>
      </c>
      <c r="Z955" t="s">
        <v>7612</v>
      </c>
      <c r="AA955">
        <v>0.6802992700203933</v>
      </c>
      <c r="AB955">
        <f>HYPERLINK("Melting_Curves/meltCurve_P17169_glmS.pdf", "Melting_Curves/meltCurve_P17169_glmS.pdf")</f>
        <v>0</v>
      </c>
    </row>
    <row r="956" spans="1:28">
      <c r="A956" t="s">
        <v>982</v>
      </c>
      <c r="B956">
        <v>0.999998419929286</v>
      </c>
      <c r="C956">
        <v>0.650416090073878</v>
      </c>
      <c r="D956">
        <v>0.420459770923939</v>
      </c>
      <c r="E956">
        <v>0.221717938849862</v>
      </c>
      <c r="F956">
        <v>0.133867755860004</v>
      </c>
      <c r="G956">
        <v>0.104117652310325</v>
      </c>
      <c r="H956">
        <v>0.042830734008835</v>
      </c>
      <c r="I956">
        <v>0.0508129976722285</v>
      </c>
      <c r="J956">
        <v>0.0293781828533547</v>
      </c>
      <c r="K956">
        <v>0.041647888165578</v>
      </c>
      <c r="L956">
        <v>690.84741446063</v>
      </c>
      <c r="M956">
        <v>16.4973790722741</v>
      </c>
      <c r="N956">
        <v>42.1498414351393</v>
      </c>
      <c r="O956">
        <v>41.2753984084848</v>
      </c>
      <c r="P956">
        <v>-0.09485504969069029</v>
      </c>
      <c r="Q956">
        <v>0.0507806865110873</v>
      </c>
      <c r="R956">
        <v>0.9834024795607</v>
      </c>
      <c r="S956" t="s">
        <v>2640</v>
      </c>
      <c r="T956" t="s">
        <v>3344</v>
      </c>
      <c r="U956" t="s">
        <v>3344</v>
      </c>
      <c r="V956" t="s">
        <v>3344</v>
      </c>
      <c r="W956" t="s">
        <v>4298</v>
      </c>
      <c r="X956">
        <v>1</v>
      </c>
      <c r="Y956" t="s">
        <v>5955</v>
      </c>
      <c r="Z956" t="s">
        <v>7613</v>
      </c>
      <c r="AA956">
        <v>0.2275811365844151</v>
      </c>
      <c r="AB956">
        <f>HYPERLINK("Melting_Curves/meltCurve_P17443_murG.pdf", "Melting_Curves/meltCurve_P17443_murG.pdf")</f>
        <v>0</v>
      </c>
    </row>
    <row r="957" spans="1:28">
      <c r="A957" t="s">
        <v>983</v>
      </c>
      <c r="B957">
        <v>0.999998419929286</v>
      </c>
      <c r="C957">
        <v>0.69347540215579</v>
      </c>
      <c r="D957">
        <v>0.9123440269927811</v>
      </c>
      <c r="E957">
        <v>0.366215879861337</v>
      </c>
      <c r="F957">
        <v>0.08657008710427801</v>
      </c>
      <c r="G957">
        <v>0.053719883018673</v>
      </c>
      <c r="H957">
        <v>0.0258631461266831</v>
      </c>
      <c r="I957">
        <v>0.0255471411205885</v>
      </c>
      <c r="J957">
        <v>0.0234456118647102</v>
      </c>
      <c r="K957">
        <v>0.0164842450712606</v>
      </c>
      <c r="L957">
        <v>1091.27460581978</v>
      </c>
      <c r="M957">
        <v>23.9264634999317</v>
      </c>
      <c r="N957">
        <v>45.6721729769723</v>
      </c>
      <c r="O957">
        <v>45.2945031071137</v>
      </c>
      <c r="P957">
        <v>-0.129930653056564</v>
      </c>
      <c r="Q957">
        <v>0.0161437467816649</v>
      </c>
      <c r="R957">
        <v>0.939206213522933</v>
      </c>
      <c r="S957" t="s">
        <v>2641</v>
      </c>
      <c r="T957" t="s">
        <v>3344</v>
      </c>
      <c r="U957" t="s">
        <v>3344</v>
      </c>
      <c r="V957" t="s">
        <v>3344</v>
      </c>
      <c r="W957" t="s">
        <v>4299</v>
      </c>
      <c r="X957">
        <v>4</v>
      </c>
      <c r="Y957" t="s">
        <v>5956</v>
      </c>
      <c r="Z957" t="s">
        <v>7614</v>
      </c>
      <c r="AA957">
        <v>0.3073830977129985</v>
      </c>
      <c r="AB957">
        <f>HYPERLINK("Melting_Curves/meltCurve_P17854_cysH.pdf", "Melting_Curves/meltCurve_P17854_cysH.pdf")</f>
        <v>0</v>
      </c>
    </row>
    <row r="958" spans="1:28">
      <c r="A958" t="s">
        <v>984</v>
      </c>
      <c r="B958">
        <v>0.999998419929286</v>
      </c>
      <c r="C958">
        <v>0.950552062641588</v>
      </c>
      <c r="D958">
        <v>0.467566092136842</v>
      </c>
      <c r="E958">
        <v>0.116865577902909</v>
      </c>
      <c r="F958">
        <v>0.0915545326243288</v>
      </c>
      <c r="G958">
        <v>0.09154286443171521</v>
      </c>
      <c r="H958">
        <v>0.0712481164417904</v>
      </c>
      <c r="I958">
        <v>0.07435452963732481</v>
      </c>
      <c r="J958">
        <v>0.0654910236132572</v>
      </c>
      <c r="K958">
        <v>0.0700559645762508</v>
      </c>
      <c r="L958">
        <v>1695.44462336745</v>
      </c>
      <c r="M958">
        <v>39.7306679368486</v>
      </c>
      <c r="N958">
        <v>42.8563218439824</v>
      </c>
      <c r="O958">
        <v>42.5657683452865</v>
      </c>
      <c r="P958">
        <v>-0.215155351440637</v>
      </c>
      <c r="Q958">
        <v>0.0779683466258704</v>
      </c>
      <c r="R958">
        <v>0.999468701031355</v>
      </c>
      <c r="S958" t="s">
        <v>2642</v>
      </c>
      <c r="T958" t="s">
        <v>3344</v>
      </c>
      <c r="U958" t="s">
        <v>3344</v>
      </c>
      <c r="V958" t="s">
        <v>3344</v>
      </c>
      <c r="W958" t="s">
        <v>4300</v>
      </c>
      <c r="X958">
        <v>2</v>
      </c>
      <c r="Y958" t="s">
        <v>5957</v>
      </c>
      <c r="Z958" t="s">
        <v>7615</v>
      </c>
      <c r="AA958">
        <v>0.2551498682408268</v>
      </c>
      <c r="AB958">
        <f>HYPERLINK("Melting_Curves/meltCurve_P17952_murC.pdf", "Melting_Curves/meltCurve_P17952_murC.pdf")</f>
        <v>0</v>
      </c>
    </row>
    <row r="959" spans="1:28">
      <c r="A959" t="s">
        <v>985</v>
      </c>
      <c r="B959">
        <v>0.999998419929286</v>
      </c>
      <c r="C959">
        <v>0.990259087504924</v>
      </c>
      <c r="D959">
        <v>0.949039327258738</v>
      </c>
      <c r="E959">
        <v>0.76906824513584</v>
      </c>
      <c r="F959">
        <v>0.302128172944185</v>
      </c>
      <c r="G959">
        <v>0.140099337791246</v>
      </c>
      <c r="H959">
        <v>0.103698069880062</v>
      </c>
      <c r="I959">
        <v>0.0833121612057138</v>
      </c>
      <c r="J959">
        <v>0.0848105409662236</v>
      </c>
      <c r="K959">
        <v>0.0757963132097029</v>
      </c>
      <c r="L959">
        <v>1383.85981077318</v>
      </c>
      <c r="M959">
        <v>28.6712966415009</v>
      </c>
      <c r="N959">
        <v>48.5805296784554</v>
      </c>
      <c r="O959">
        <v>48.0333890175927</v>
      </c>
      <c r="P959">
        <v>-0.136600090130733</v>
      </c>
      <c r="Q959">
        <v>0.0846152389268815</v>
      </c>
      <c r="R959">
        <v>0.999269203421487</v>
      </c>
      <c r="S959" t="s">
        <v>2643</v>
      </c>
      <c r="T959" t="s">
        <v>3344</v>
      </c>
      <c r="U959" t="s">
        <v>3344</v>
      </c>
      <c r="V959" t="s">
        <v>3344</v>
      </c>
      <c r="W959" t="s">
        <v>4301</v>
      </c>
      <c r="X959">
        <v>5</v>
      </c>
      <c r="Y959" t="s">
        <v>5958</v>
      </c>
      <c r="Z959" t="s">
        <v>7616</v>
      </c>
      <c r="AA959">
        <v>0.4343498275838741</v>
      </c>
      <c r="AB959">
        <f>HYPERLINK("Melting_Curves/meltCurve_P17993_ubiG.pdf", "Melting_Curves/meltCurve_P17993_ubiG.pdf")</f>
        <v>0</v>
      </c>
    </row>
    <row r="960" spans="1:28">
      <c r="A960" t="s">
        <v>986</v>
      </c>
      <c r="B960">
        <v>0.999998419929286</v>
      </c>
      <c r="C960">
        <v>0.935346230216901</v>
      </c>
      <c r="D960">
        <v>0.858193415196094</v>
      </c>
      <c r="E960">
        <v>0.80286870427474</v>
      </c>
      <c r="F960">
        <v>0.372634747107503</v>
      </c>
      <c r="G960">
        <v>0.083248349214064</v>
      </c>
      <c r="H960">
        <v>0.053278746153372</v>
      </c>
      <c r="I960">
        <v>0.043809056137157</v>
      </c>
      <c r="J960">
        <v>0.0363081983455221</v>
      </c>
      <c r="K960">
        <v>0.0434450058011354</v>
      </c>
      <c r="L960">
        <v>1169.4955948186</v>
      </c>
      <c r="M960">
        <v>23.9260654892313</v>
      </c>
      <c r="N960">
        <v>48.9927292622444</v>
      </c>
      <c r="O960">
        <v>48.5419440273822</v>
      </c>
      <c r="P960">
        <v>-0.119912903617126</v>
      </c>
      <c r="Q960">
        <v>0.0268834956177166</v>
      </c>
      <c r="R960">
        <v>0.988801873363098</v>
      </c>
      <c r="S960" t="s">
        <v>2644</v>
      </c>
      <c r="T960" t="s">
        <v>3344</v>
      </c>
      <c r="U960" t="s">
        <v>3344</v>
      </c>
      <c r="V960" t="s">
        <v>3344</v>
      </c>
      <c r="W960" t="s">
        <v>4302</v>
      </c>
      <c r="X960">
        <v>2</v>
      </c>
      <c r="Y960" t="s">
        <v>5959</v>
      </c>
      <c r="Z960" t="s">
        <v>7617</v>
      </c>
      <c r="AA960">
        <v>0.4213654207556585</v>
      </c>
      <c r="AB960">
        <f>HYPERLINK("Melting_Curves/meltCurve_P18196_minC.pdf", "Melting_Curves/meltCurve_P18196_minC.pdf")</f>
        <v>0</v>
      </c>
    </row>
    <row r="961" spans="1:28">
      <c r="A961" t="s">
        <v>987</v>
      </c>
      <c r="B961">
        <v>0.999998419929286</v>
      </c>
      <c r="C961">
        <v>1.22319529658427</v>
      </c>
      <c r="D961">
        <v>0.914018841152087</v>
      </c>
      <c r="E961">
        <v>0.511629755979929</v>
      </c>
      <c r="F961">
        <v>0.482693684157552</v>
      </c>
      <c r="G961">
        <v>0.115172902818589</v>
      </c>
      <c r="H961">
        <v>0.08914837841822661</v>
      </c>
      <c r="I961">
        <v>0.12665149794015</v>
      </c>
      <c r="J961">
        <v>0</v>
      </c>
      <c r="K961">
        <v>0</v>
      </c>
      <c r="L961">
        <v>815.00993850103</v>
      </c>
      <c r="M961">
        <v>16.8981281011732</v>
      </c>
      <c r="N961">
        <v>48.3764851137032</v>
      </c>
      <c r="O961">
        <v>47.5705264178948</v>
      </c>
      <c r="P961">
        <v>-0.0866078457725956</v>
      </c>
      <c r="Q961">
        <v>0.0248104983082193</v>
      </c>
      <c r="R961">
        <v>0.9409541223361469</v>
      </c>
      <c r="S961" t="s">
        <v>2645</v>
      </c>
      <c r="T961" t="s">
        <v>3344</v>
      </c>
      <c r="U961" t="s">
        <v>3344</v>
      </c>
      <c r="V961" t="s">
        <v>3344</v>
      </c>
      <c r="W961" t="s">
        <v>4303</v>
      </c>
      <c r="X961">
        <v>1</v>
      </c>
      <c r="Y961" t="s">
        <v>5960</v>
      </c>
      <c r="Z961" t="s">
        <v>7618</v>
      </c>
      <c r="AA961">
        <v>0.4073110642099247</v>
      </c>
      <c r="AB961">
        <f>HYPERLINK("Melting_Curves/meltCurve_P18392_rstB.pdf", "Melting_Curves/meltCurve_P18392_rstB.pdf")</f>
        <v>0</v>
      </c>
    </row>
    <row r="962" spans="1:28">
      <c r="A962" t="s">
        <v>988</v>
      </c>
      <c r="B962">
        <v>0.999998419929286</v>
      </c>
      <c r="C962">
        <v>1.12357216413982</v>
      </c>
      <c r="D962">
        <v>0.967231449816464</v>
      </c>
      <c r="E962">
        <v>0.756267838908012</v>
      </c>
      <c r="F962">
        <v>0.638640334821812</v>
      </c>
      <c r="G962">
        <v>0.597518292449451</v>
      </c>
      <c r="H962">
        <v>0.386133774068775</v>
      </c>
      <c r="I962">
        <v>0.218267124121895</v>
      </c>
      <c r="J962">
        <v>0.136650819631905</v>
      </c>
      <c r="K962">
        <v>0.115713131424706</v>
      </c>
      <c r="L962">
        <v>559.274452664623</v>
      </c>
      <c r="M962">
        <v>10.3256620505814</v>
      </c>
      <c r="N962">
        <v>54.1635441350465</v>
      </c>
      <c r="O962">
        <v>52.2500742585649</v>
      </c>
      <c r="P962">
        <v>-0.049426272835933</v>
      </c>
      <c r="Q962">
        <v>0</v>
      </c>
      <c r="R962">
        <v>0.966040739722029</v>
      </c>
      <c r="S962" t="s">
        <v>2646</v>
      </c>
      <c r="T962" t="s">
        <v>3344</v>
      </c>
      <c r="U962" t="s">
        <v>3344</v>
      </c>
      <c r="V962" t="s">
        <v>3344</v>
      </c>
      <c r="W962" t="s">
        <v>4304</v>
      </c>
      <c r="X962">
        <v>7</v>
      </c>
      <c r="Y962" t="s">
        <v>5961</v>
      </c>
      <c r="Z962" t="s">
        <v>7619</v>
      </c>
      <c r="AA962">
        <v>0.5891076359369997</v>
      </c>
      <c r="AB962">
        <f>HYPERLINK("Melting_Curves/meltCurve_P18775_dmsA.pdf", "Melting_Curves/meltCurve_P18775_dmsA.pdf")</f>
        <v>0</v>
      </c>
    </row>
    <row r="963" spans="1:28">
      <c r="A963" t="s">
        <v>989</v>
      </c>
      <c r="B963">
        <v>0.999998419929286</v>
      </c>
      <c r="C963">
        <v>0.8390767602453471</v>
      </c>
      <c r="D963">
        <v>0.6699857950468741</v>
      </c>
      <c r="E963">
        <v>0.6360399944039981</v>
      </c>
      <c r="F963">
        <v>0.694872666748976</v>
      </c>
      <c r="G963">
        <v>0.748507385567041</v>
      </c>
      <c r="H963">
        <v>0.682410738293397</v>
      </c>
      <c r="I963">
        <v>0.6845136305584441</v>
      </c>
      <c r="J963">
        <v>0.819240451008266</v>
      </c>
      <c r="K963">
        <v>0.7883853308266</v>
      </c>
      <c r="L963">
        <v>9964.465582463259</v>
      </c>
      <c r="M963">
        <v>250</v>
      </c>
      <c r="O963">
        <v>39.8553117189264</v>
      </c>
      <c r="P963">
        <v>-0.446153676603729</v>
      </c>
      <c r="Q963">
        <v>0.7154944988431911</v>
      </c>
      <c r="R963">
        <v>0.739479117786819</v>
      </c>
      <c r="S963" t="s">
        <v>2647</v>
      </c>
      <c r="T963" t="s">
        <v>3344</v>
      </c>
      <c r="U963" t="s">
        <v>3344</v>
      </c>
      <c r="V963" t="s">
        <v>3344</v>
      </c>
      <c r="W963" t="s">
        <v>4305</v>
      </c>
      <c r="X963">
        <v>2</v>
      </c>
      <c r="Y963" t="s">
        <v>5962</v>
      </c>
      <c r="Z963" t="s">
        <v>7620</v>
      </c>
      <c r="AA963">
        <v>0.7426169851342462</v>
      </c>
      <c r="AB963">
        <f>HYPERLINK("Melting_Curves/meltCurve_P18776_dmsB.pdf", "Melting_Curves/meltCurve_P18776_dmsB.pdf")</f>
        <v>0</v>
      </c>
    </row>
    <row r="964" spans="1:28">
      <c r="A964" t="s">
        <v>990</v>
      </c>
      <c r="B964">
        <v>0.999998419929286</v>
      </c>
      <c r="C964">
        <v>0.867700520645488</v>
      </c>
      <c r="D964">
        <v>0.6408469079785289</v>
      </c>
      <c r="E964">
        <v>0.179586063853205</v>
      </c>
      <c r="F964">
        <v>0.1025403657727</v>
      </c>
      <c r="G964">
        <v>0.07293035563973441</v>
      </c>
      <c r="H964">
        <v>0.0509735576479192</v>
      </c>
      <c r="I964">
        <v>0.0505698825728138</v>
      </c>
      <c r="J964">
        <v>0.0434319031124687</v>
      </c>
      <c r="K964">
        <v>0.0428442042475411</v>
      </c>
      <c r="L964">
        <v>1066.96701010255</v>
      </c>
      <c r="M964">
        <v>24.4548733477609</v>
      </c>
      <c r="N964">
        <v>43.8138824272736</v>
      </c>
      <c r="O964">
        <v>43.3414387148166</v>
      </c>
      <c r="P964">
        <v>-0.134183063329657</v>
      </c>
      <c r="Q964">
        <v>0.0487621531249317</v>
      </c>
      <c r="R964">
        <v>0.9961884103345811</v>
      </c>
      <c r="S964" t="s">
        <v>2648</v>
      </c>
      <c r="T964" t="s">
        <v>3344</v>
      </c>
      <c r="U964" t="s">
        <v>3344</v>
      </c>
      <c r="V964" t="s">
        <v>3344</v>
      </c>
      <c r="W964" t="s">
        <v>4306</v>
      </c>
      <c r="X964">
        <v>9</v>
      </c>
      <c r="Y964" t="s">
        <v>5963</v>
      </c>
      <c r="Z964" t="s">
        <v>7621</v>
      </c>
      <c r="AA964">
        <v>0.2672261369567658</v>
      </c>
      <c r="AB964">
        <f>HYPERLINK("Melting_Curves/meltCurve_P18843_nadE.pdf", "Melting_Curves/meltCurve_P18843_nadE.pdf")</f>
        <v>0</v>
      </c>
    </row>
    <row r="965" spans="1:28">
      <c r="A965" t="s">
        <v>991</v>
      </c>
      <c r="B965">
        <v>0.999998419929286</v>
      </c>
      <c r="C965">
        <v>1.07543087014812</v>
      </c>
      <c r="D965">
        <v>1.08851250588579</v>
      </c>
      <c r="E965">
        <v>1.18205268872062</v>
      </c>
      <c r="F965">
        <v>1.39051189537134</v>
      </c>
      <c r="G965">
        <v>1.60162730564439</v>
      </c>
      <c r="H965">
        <v>1.03265916673067</v>
      </c>
      <c r="I965">
        <v>0.5981645930089869</v>
      </c>
      <c r="J965">
        <v>0.582993868387953</v>
      </c>
      <c r="K965">
        <v>0.64391819845052</v>
      </c>
      <c r="L965">
        <v>14821.9848217073</v>
      </c>
      <c r="M965">
        <v>250</v>
      </c>
      <c r="O965">
        <v>59.2841451003848</v>
      </c>
      <c r="P965">
        <v>-0.413002574349812</v>
      </c>
      <c r="Q965">
        <v>0.608247926744118</v>
      </c>
      <c r="R965">
        <v>0.447125960137571</v>
      </c>
      <c r="S965" t="s">
        <v>2649</v>
      </c>
      <c r="T965" t="s">
        <v>3344</v>
      </c>
      <c r="U965" t="s">
        <v>3344</v>
      </c>
      <c r="V965" t="s">
        <v>3344</v>
      </c>
      <c r="W965" t="s">
        <v>4307</v>
      </c>
      <c r="X965">
        <v>11</v>
      </c>
      <c r="Y965" t="s">
        <v>5964</v>
      </c>
      <c r="Z965" t="s">
        <v>7622</v>
      </c>
      <c r="AA965">
        <v>0.8993335691237028</v>
      </c>
      <c r="AB965">
        <f>HYPERLINK("Melting_Curves/meltCurve_P18956_ggt.pdf", "Melting_Curves/meltCurve_P18956_ggt.pdf")</f>
        <v>0</v>
      </c>
    </row>
    <row r="966" spans="1:28">
      <c r="A966" t="s">
        <v>992</v>
      </c>
      <c r="B966">
        <v>0.999998419929286</v>
      </c>
      <c r="C966">
        <v>1.46287627800967</v>
      </c>
      <c r="D966">
        <v>1.33522678247638</v>
      </c>
      <c r="E966">
        <v>1.19606198188095</v>
      </c>
      <c r="F966">
        <v>1.13752413689237</v>
      </c>
      <c r="G966">
        <v>1.31039675239832</v>
      </c>
      <c r="H966">
        <v>0.932937546099835</v>
      </c>
      <c r="I966">
        <v>0.693432545125146</v>
      </c>
      <c r="J966">
        <v>0.652517884854948</v>
      </c>
      <c r="K966">
        <v>0.419394994238324</v>
      </c>
      <c r="L966">
        <v>1842.61737232073</v>
      </c>
      <c r="M966">
        <v>29.8465506306087</v>
      </c>
      <c r="N966">
        <v>65.66215513874771</v>
      </c>
      <c r="O966">
        <v>61.4612159516126</v>
      </c>
      <c r="P966">
        <v>-0.07089371440630179</v>
      </c>
      <c r="Q966">
        <v>0.416055261583181</v>
      </c>
      <c r="R966">
        <v>0.516735263337199</v>
      </c>
      <c r="S966" t="s">
        <v>2650</v>
      </c>
      <c r="T966" t="s">
        <v>3344</v>
      </c>
      <c r="U966" t="s">
        <v>3344</v>
      </c>
      <c r="V966" t="s">
        <v>3344</v>
      </c>
      <c r="W966" t="s">
        <v>4308</v>
      </c>
      <c r="X966">
        <v>4</v>
      </c>
      <c r="Y966" t="s">
        <v>5965</v>
      </c>
      <c r="Z966" t="s">
        <v>7623</v>
      </c>
      <c r="AA966">
        <v>0.8973473170536314</v>
      </c>
      <c r="AB966">
        <f>HYPERLINK("Melting_Curves/meltCurve_P19318_narY.pdf", "Melting_Curves/meltCurve_P19318_narY.pdf")</f>
        <v>0</v>
      </c>
    </row>
    <row r="967" spans="1:28">
      <c r="A967" t="s">
        <v>993</v>
      </c>
      <c r="B967">
        <v>0.999998419929286</v>
      </c>
      <c r="C967">
        <v>1.10885631365295</v>
      </c>
      <c r="D967">
        <v>0.996445122262905</v>
      </c>
      <c r="E967">
        <v>0.822784705266383</v>
      </c>
      <c r="F967">
        <v>0.725804037260068</v>
      </c>
      <c r="G967">
        <v>0.685233914643239</v>
      </c>
      <c r="H967">
        <v>0.574356699779476</v>
      </c>
      <c r="I967">
        <v>0.506817818390629</v>
      </c>
      <c r="J967">
        <v>0.4546685167323</v>
      </c>
      <c r="K967">
        <v>0.39826910347139</v>
      </c>
      <c r="L967">
        <v>564.304980307021</v>
      </c>
      <c r="M967">
        <v>10.6730312021491</v>
      </c>
      <c r="N967">
        <v>60.3466473404021</v>
      </c>
      <c r="O967">
        <v>51.1172971847546</v>
      </c>
      <c r="P967">
        <v>-0.0330702046066721</v>
      </c>
      <c r="Q967">
        <v>0.366695685840595</v>
      </c>
      <c r="R967">
        <v>0.953208357411073</v>
      </c>
      <c r="S967" t="s">
        <v>2651</v>
      </c>
      <c r="T967" t="s">
        <v>3344</v>
      </c>
      <c r="U967" t="s">
        <v>3344</v>
      </c>
      <c r="V967" t="s">
        <v>3344</v>
      </c>
      <c r="W967" t="s">
        <v>4309</v>
      </c>
      <c r="X967">
        <v>9</v>
      </c>
      <c r="Y967" t="s">
        <v>5966</v>
      </c>
      <c r="Z967" t="s">
        <v>7624</v>
      </c>
      <c r="AA967">
        <v>0.7160613851435184</v>
      </c>
      <c r="AB967">
        <f>HYPERLINK("Melting_Curves/meltCurve_P19319_narZ.pdf", "Melting_Curves/meltCurve_P19319_narZ.pdf")</f>
        <v>0</v>
      </c>
    </row>
    <row r="968" spans="1:28">
      <c r="A968" t="s">
        <v>994</v>
      </c>
      <c r="B968">
        <v>0.999998419929286</v>
      </c>
      <c r="C968">
        <v>1.55623108063673</v>
      </c>
      <c r="D968">
        <v>1.30105708555286</v>
      </c>
      <c r="E968">
        <v>1.29213137501791</v>
      </c>
      <c r="F968">
        <v>0.9700477571382</v>
      </c>
      <c r="G968">
        <v>0.614020924108982</v>
      </c>
      <c r="H968">
        <v>0.505135102600754</v>
      </c>
      <c r="I968">
        <v>0.478298116763796</v>
      </c>
      <c r="J968">
        <v>0.318675245042803</v>
      </c>
      <c r="K968">
        <v>0.266015490743104</v>
      </c>
      <c r="L968">
        <v>1643.54961776741</v>
      </c>
      <c r="M968">
        <v>30.5635119639476</v>
      </c>
      <c r="N968">
        <v>56.0719633903078</v>
      </c>
      <c r="O968">
        <v>53.5462579355232</v>
      </c>
      <c r="P968">
        <v>-0.0917481508295894</v>
      </c>
      <c r="Q968">
        <v>0.35704505610814</v>
      </c>
      <c r="R968">
        <v>0.72151413024588</v>
      </c>
      <c r="S968" t="s">
        <v>2652</v>
      </c>
      <c r="T968" t="s">
        <v>3344</v>
      </c>
      <c r="U968" t="s">
        <v>3344</v>
      </c>
      <c r="V968" t="s">
        <v>3344</v>
      </c>
      <c r="W968" t="s">
        <v>4310</v>
      </c>
      <c r="X968">
        <v>1</v>
      </c>
      <c r="Y968" t="s">
        <v>5967</v>
      </c>
      <c r="Z968" t="s">
        <v>7625</v>
      </c>
      <c r="AA968">
        <v>0.7205295179055109</v>
      </c>
      <c r="AB968">
        <f>HYPERLINK("Melting_Curves/meltCurve_P19624_pdxA.pdf", "Melting_Curves/meltCurve_P19624_pdxA.pdf")</f>
        <v>0</v>
      </c>
    </row>
    <row r="969" spans="1:28">
      <c r="A969" t="s">
        <v>995</v>
      </c>
      <c r="B969">
        <v>0.999998419929286</v>
      </c>
      <c r="C969">
        <v>0.925907545961548</v>
      </c>
      <c r="D969">
        <v>0.974790986361498</v>
      </c>
      <c r="E969">
        <v>0.973569411015031</v>
      </c>
      <c r="F969">
        <v>0.753073639698532</v>
      </c>
      <c r="G969">
        <v>0.252616530184067</v>
      </c>
      <c r="H969">
        <v>0.142929856287105</v>
      </c>
      <c r="I969">
        <v>0.0904249595046069</v>
      </c>
      <c r="J969">
        <v>0.0806623567312733</v>
      </c>
      <c r="K969">
        <v>0.0784367762816363</v>
      </c>
      <c r="L969">
        <v>1801.98769678871</v>
      </c>
      <c r="M969">
        <v>34.9333067660248</v>
      </c>
      <c r="N969">
        <v>51.8722798385065</v>
      </c>
      <c r="O969">
        <v>51.415498508341</v>
      </c>
      <c r="P969">
        <v>-0.154855513819176</v>
      </c>
      <c r="Q969">
        <v>0.0883262740257377</v>
      </c>
      <c r="R969">
        <v>0.9955958576081519</v>
      </c>
      <c r="S969" t="s">
        <v>2653</v>
      </c>
      <c r="T969" t="s">
        <v>3344</v>
      </c>
      <c r="U969" t="s">
        <v>3344</v>
      </c>
      <c r="V969" t="s">
        <v>3344</v>
      </c>
      <c r="W969" t="s">
        <v>4311</v>
      </c>
      <c r="X969">
        <v>5</v>
      </c>
      <c r="Y969" t="s">
        <v>5968</v>
      </c>
      <c r="Z969" t="s">
        <v>7626</v>
      </c>
      <c r="AA969">
        <v>0.5357594765491146</v>
      </c>
      <c r="AB969">
        <f>HYPERLINK("Melting_Curves/meltCurve_P19636_eutC.pdf", "Melting_Curves/meltCurve_P19636_eutC.pdf")</f>
        <v>0</v>
      </c>
    </row>
    <row r="970" spans="1:28">
      <c r="A970" t="s">
        <v>996</v>
      </c>
      <c r="B970">
        <v>0.999998419929286</v>
      </c>
      <c r="C970">
        <v>1.00667166177308</v>
      </c>
      <c r="D970">
        <v>1.23294496700248</v>
      </c>
      <c r="E970">
        <v>1.35019835688109</v>
      </c>
      <c r="F970">
        <v>1.48175838654777</v>
      </c>
      <c r="G970">
        <v>1.44634889446354</v>
      </c>
      <c r="H970">
        <v>0.371931878824308</v>
      </c>
      <c r="I970">
        <v>0.0677383594982348</v>
      </c>
      <c r="J970">
        <v>0.0401557384174071</v>
      </c>
      <c r="K970">
        <v>0.0314398570810548</v>
      </c>
      <c r="L970">
        <v>14312.2696017499</v>
      </c>
      <c r="M970">
        <v>250</v>
      </c>
      <c r="N970">
        <v>57.2714121174725</v>
      </c>
      <c r="O970">
        <v>57.2454148595377</v>
      </c>
      <c r="P970">
        <v>-1.04108275288364</v>
      </c>
      <c r="Q970">
        <v>0.0464445758771579</v>
      </c>
      <c r="R970">
        <v>0.8178248464257249</v>
      </c>
      <c r="S970" t="s">
        <v>2654</v>
      </c>
      <c r="T970" t="s">
        <v>3344</v>
      </c>
      <c r="U970" t="s">
        <v>3344</v>
      </c>
      <c r="V970" t="s">
        <v>3344</v>
      </c>
      <c r="W970" t="s">
        <v>4312</v>
      </c>
      <c r="X970">
        <v>17</v>
      </c>
      <c r="Y970" t="s">
        <v>5969</v>
      </c>
      <c r="Z970" t="s">
        <v>7627</v>
      </c>
      <c r="AA970">
        <v>0.6901609990573405</v>
      </c>
      <c r="AB970">
        <f>HYPERLINK("Melting_Curves/meltCurve_P19926_agp.pdf", "Melting_Curves/meltCurve_P19926_agp.pdf")</f>
        <v>0</v>
      </c>
    </row>
    <row r="971" spans="1:28">
      <c r="A971" t="s">
        <v>997</v>
      </c>
      <c r="B971">
        <v>0.999998419929286</v>
      </c>
      <c r="C971">
        <v>1.17870595385271</v>
      </c>
      <c r="D971">
        <v>1.12735679600478</v>
      </c>
      <c r="E971">
        <v>1.33627747848411</v>
      </c>
      <c r="F971">
        <v>1.44363266263983</v>
      </c>
      <c r="G971">
        <v>1.54994610198173</v>
      </c>
      <c r="H971">
        <v>1.23217142812484</v>
      </c>
      <c r="I971">
        <v>1.13056365243439</v>
      </c>
      <c r="J971">
        <v>1.09801146536456</v>
      </c>
      <c r="K971">
        <v>1.23889501750632</v>
      </c>
      <c r="L971">
        <v>933.870469008994</v>
      </c>
      <c r="M971">
        <v>23.1431584592665</v>
      </c>
      <c r="O971">
        <v>40.0542451710228</v>
      </c>
      <c r="P971">
        <v>0.040867688213186</v>
      </c>
      <c r="Q971">
        <v>1.28291635394988</v>
      </c>
      <c r="R971">
        <v>0.29188925448332</v>
      </c>
      <c r="S971" t="s">
        <v>2655</v>
      </c>
      <c r="T971" t="s">
        <v>3344</v>
      </c>
      <c r="U971" t="s">
        <v>3344</v>
      </c>
      <c r="V971" t="s">
        <v>3344</v>
      </c>
      <c r="W971" t="s">
        <v>4313</v>
      </c>
      <c r="X971">
        <v>5</v>
      </c>
      <c r="Y971" t="s">
        <v>5970</v>
      </c>
      <c r="Z971" t="s">
        <v>7628</v>
      </c>
      <c r="AA971">
        <v>1.247424685738372</v>
      </c>
      <c r="AB971">
        <f>HYPERLINK("Melting_Curves/meltCurve_P19934_tolA.pdf", "Melting_Curves/meltCurve_P19934_tolA.pdf")</f>
        <v>0</v>
      </c>
    </row>
    <row r="972" spans="1:28">
      <c r="A972" t="s">
        <v>998</v>
      </c>
      <c r="B972">
        <v>0.999998419929286</v>
      </c>
      <c r="C972">
        <v>1.09066201312498</v>
      </c>
      <c r="D972">
        <v>0.837877269489938</v>
      </c>
      <c r="E972">
        <v>0.584325962795576</v>
      </c>
      <c r="F972">
        <v>0.270444804167866</v>
      </c>
      <c r="G972">
        <v>0.195167975689037</v>
      </c>
      <c r="H972">
        <v>0.13166725687176</v>
      </c>
      <c r="I972">
        <v>0.0954275863171217</v>
      </c>
      <c r="J972">
        <v>0.103572564301787</v>
      </c>
      <c r="K972">
        <v>0.105582914030024</v>
      </c>
      <c r="L972">
        <v>975.297072231828</v>
      </c>
      <c r="M972">
        <v>20.8278721734717</v>
      </c>
      <c r="N972">
        <v>47.3723220728277</v>
      </c>
      <c r="O972">
        <v>46.4012750826698</v>
      </c>
      <c r="P972">
        <v>-0.100248743866747</v>
      </c>
      <c r="Q972">
        <v>0.106670038675674</v>
      </c>
      <c r="R972">
        <v>0.988633225815906</v>
      </c>
      <c r="S972" t="s">
        <v>2656</v>
      </c>
      <c r="T972" t="s">
        <v>3344</v>
      </c>
      <c r="U972" t="s">
        <v>3344</v>
      </c>
      <c r="V972" t="s">
        <v>3344</v>
      </c>
      <c r="W972" t="s">
        <v>4314</v>
      </c>
      <c r="X972">
        <v>3</v>
      </c>
      <c r="Y972" t="s">
        <v>5971</v>
      </c>
      <c r="Z972" t="s">
        <v>7629</v>
      </c>
      <c r="AA972">
        <v>0.4100701894612716</v>
      </c>
      <c r="AB972">
        <f>HYPERLINK("Melting_Curves/meltCurve_P20083_parE.pdf", "Melting_Curves/meltCurve_P20083_parE.pdf")</f>
        <v>0</v>
      </c>
    </row>
    <row r="973" spans="1:28">
      <c r="A973" t="s">
        <v>999</v>
      </c>
      <c r="B973">
        <v>0.999998419929286</v>
      </c>
      <c r="C973">
        <v>1.29327790233862</v>
      </c>
      <c r="D973">
        <v>1.19122148978354</v>
      </c>
      <c r="E973">
        <v>1.10239154741655</v>
      </c>
      <c r="F973">
        <v>0.679207263231581</v>
      </c>
      <c r="G973">
        <v>0.607482145148056</v>
      </c>
      <c r="H973">
        <v>0.471801877999609</v>
      </c>
      <c r="I973">
        <v>0.315763545318906</v>
      </c>
      <c r="J973">
        <v>0.299706871451067</v>
      </c>
      <c r="K973">
        <v>0.269911357928443</v>
      </c>
      <c r="L973">
        <v>1030.99451450847</v>
      </c>
      <c r="M973">
        <v>19.494013267273</v>
      </c>
      <c r="N973">
        <v>55.2414478355316</v>
      </c>
      <c r="O973">
        <v>52.3406339447472</v>
      </c>
      <c r="P973">
        <v>-0.0668466220399139</v>
      </c>
      <c r="Q973">
        <v>0.28210398687112</v>
      </c>
      <c r="R973">
        <v>0.876295063468622</v>
      </c>
      <c r="S973" t="s">
        <v>2657</v>
      </c>
      <c r="T973" t="s">
        <v>3344</v>
      </c>
      <c r="U973" t="s">
        <v>3344</v>
      </c>
      <c r="V973" t="s">
        <v>3344</v>
      </c>
      <c r="W973" t="s">
        <v>4315</v>
      </c>
      <c r="X973">
        <v>3</v>
      </c>
      <c r="Y973" t="s">
        <v>5972</v>
      </c>
      <c r="Z973" t="s">
        <v>7630</v>
      </c>
      <c r="AA973">
        <v>0.6717111316823442</v>
      </c>
      <c r="AB973">
        <f>HYPERLINK("Melting_Curves/meltCurve_P20099_bisC.pdf", "Melting_Curves/meltCurve_P20099_bisC.pdf")</f>
        <v>0</v>
      </c>
    </row>
    <row r="974" spans="1:28">
      <c r="A974" t="s">
        <v>1000</v>
      </c>
      <c r="B974">
        <v>0.999998419929286</v>
      </c>
      <c r="C974">
        <v>0.827985615756154</v>
      </c>
      <c r="D974">
        <v>0.955141955741722</v>
      </c>
      <c r="E974">
        <v>1.07715366778942</v>
      </c>
      <c r="F974">
        <v>1.22989511620463</v>
      </c>
      <c r="G974">
        <v>1.1212323590168</v>
      </c>
      <c r="H974">
        <v>0.326513309104259</v>
      </c>
      <c r="I974">
        <v>0.04780843286249</v>
      </c>
      <c r="J974">
        <v>0.0301722528520967</v>
      </c>
      <c r="K974">
        <v>0.031893374196613</v>
      </c>
      <c r="L974">
        <v>14301.6134803375</v>
      </c>
      <c r="M974">
        <v>250</v>
      </c>
      <c r="N974">
        <v>57.223865303753</v>
      </c>
      <c r="O974">
        <v>57.2027931402541</v>
      </c>
      <c r="P974">
        <v>-1.05258779900206</v>
      </c>
      <c r="Q974">
        <v>0.0366246079612641</v>
      </c>
      <c r="R974">
        <v>0.952558841682609</v>
      </c>
      <c r="S974" t="s">
        <v>2658</v>
      </c>
      <c r="T974" t="s">
        <v>3344</v>
      </c>
      <c r="U974" t="s">
        <v>3344</v>
      </c>
      <c r="V974" t="s">
        <v>3344</v>
      </c>
      <c r="W974" t="s">
        <v>4316</v>
      </c>
      <c r="X974">
        <v>4</v>
      </c>
      <c r="Y974" t="s">
        <v>5973</v>
      </c>
      <c r="Z974" t="s">
        <v>7631</v>
      </c>
      <c r="AA974">
        <v>0.6856013430238892</v>
      </c>
      <c r="AB974">
        <f>HYPERLINK("Melting_Curves/meltCurve_P20605_fic.pdf", "Melting_Curves/meltCurve_P20605_fic.pdf")</f>
        <v>0</v>
      </c>
    </row>
    <row r="975" spans="1:28">
      <c r="A975" t="s">
        <v>1001</v>
      </c>
      <c r="B975">
        <v>0.999998419929286</v>
      </c>
      <c r="C975">
        <v>0.954616228208553</v>
      </c>
      <c r="D975">
        <v>0.675557358052887</v>
      </c>
      <c r="E975">
        <v>0.4847927462401</v>
      </c>
      <c r="F975">
        <v>0.217387689065809</v>
      </c>
      <c r="G975">
        <v>0.159016655797554</v>
      </c>
      <c r="H975">
        <v>0.0805051880639215</v>
      </c>
      <c r="I975">
        <v>0.0583019302713086</v>
      </c>
      <c r="J975">
        <v>0.0439921523758826</v>
      </c>
      <c r="K975">
        <v>0.0456858134754163</v>
      </c>
      <c r="L975">
        <v>687.087665436983</v>
      </c>
      <c r="M975">
        <v>15.023977986162</v>
      </c>
      <c r="N975">
        <v>45.9856278601283</v>
      </c>
      <c r="O975">
        <v>44.9454561031955</v>
      </c>
      <c r="P975">
        <v>-0.0802624161956003</v>
      </c>
      <c r="Q975">
        <v>0.0396501481136525</v>
      </c>
      <c r="R975">
        <v>0.9931248678196239</v>
      </c>
      <c r="S975" t="s">
        <v>2659</v>
      </c>
      <c r="T975" t="s">
        <v>3344</v>
      </c>
      <c r="U975" t="s">
        <v>3344</v>
      </c>
      <c r="V975" t="s">
        <v>3344</v>
      </c>
      <c r="W975" t="s">
        <v>4317</v>
      </c>
      <c r="X975">
        <v>2</v>
      </c>
      <c r="Y975" t="s">
        <v>5974</v>
      </c>
      <c r="Z975" t="s">
        <v>7632</v>
      </c>
      <c r="AA975">
        <v>0.3414430788166426</v>
      </c>
      <c r="AB975">
        <f>HYPERLINK("Melting_Curves/meltCurve_P20966_fruA.pdf", "Melting_Curves/meltCurve_P20966_fruA.pdf")</f>
        <v>0</v>
      </c>
    </row>
    <row r="976" spans="1:28">
      <c r="A976" t="s">
        <v>1002</v>
      </c>
      <c r="B976">
        <v>0.999998419929286</v>
      </c>
      <c r="C976">
        <v>0.824799581450654</v>
      </c>
      <c r="D976">
        <v>0.6933714958221699</v>
      </c>
      <c r="E976">
        <v>0.63588067854565</v>
      </c>
      <c r="F976">
        <v>0.576854364990285</v>
      </c>
      <c r="G976">
        <v>0.500686069793326</v>
      </c>
      <c r="H976">
        <v>0.366861241298901</v>
      </c>
      <c r="I976">
        <v>0.326122772241706</v>
      </c>
      <c r="J976">
        <v>0.279556095925789</v>
      </c>
      <c r="K976">
        <v>0.305276999354759</v>
      </c>
      <c r="L976">
        <v>330.06447471363</v>
      </c>
      <c r="M976">
        <v>6.78660099412799</v>
      </c>
      <c r="N976">
        <v>51.8529991103441</v>
      </c>
      <c r="O976">
        <v>44.9357101944631</v>
      </c>
      <c r="P976">
        <v>-0.0313326778795066</v>
      </c>
      <c r="Q976">
        <v>0.17187469274898</v>
      </c>
      <c r="R976">
        <v>0.966401409117426</v>
      </c>
      <c r="S976" t="s">
        <v>2660</v>
      </c>
      <c r="T976" t="s">
        <v>3344</v>
      </c>
      <c r="U976" t="s">
        <v>3344</v>
      </c>
      <c r="V976" t="s">
        <v>3344</v>
      </c>
      <c r="W976" t="s">
        <v>4318</v>
      </c>
      <c r="X976">
        <v>3</v>
      </c>
      <c r="Y976" t="s">
        <v>5975</v>
      </c>
      <c r="Z976" t="s">
        <v>7633</v>
      </c>
      <c r="AA976">
        <v>0.5392685465728932</v>
      </c>
      <c r="AB976">
        <f>HYPERLINK("Melting_Curves/meltCurve_P21151_fadA.pdf", "Melting_Curves/meltCurve_P21151_fadA.pdf")</f>
        <v>0</v>
      </c>
    </row>
    <row r="977" spans="1:28">
      <c r="A977" t="s">
        <v>1003</v>
      </c>
      <c r="B977">
        <v>0.999998419929286</v>
      </c>
      <c r="C977">
        <v>1.20620712573869</v>
      </c>
      <c r="D977">
        <v>1.43751248486657</v>
      </c>
      <c r="E977">
        <v>1.50632114116274</v>
      </c>
      <c r="F977">
        <v>1.86905229174954</v>
      </c>
      <c r="G977">
        <v>2.05531688058488</v>
      </c>
      <c r="H977">
        <v>1.6377781116197</v>
      </c>
      <c r="I977">
        <v>0.862607078122406</v>
      </c>
      <c r="J977">
        <v>0.16257115726613</v>
      </c>
      <c r="K977">
        <v>0.0794166832057505</v>
      </c>
      <c r="L977">
        <v>5401.95513523654</v>
      </c>
      <c r="M977">
        <v>86.7532509406594</v>
      </c>
      <c r="N977">
        <v>62.4002307643334</v>
      </c>
      <c r="O977">
        <v>62.2349826408419</v>
      </c>
      <c r="P977">
        <v>-0.319238803400923</v>
      </c>
      <c r="Q977">
        <v>0.0839389779516065</v>
      </c>
      <c r="R977">
        <v>0.308887988587401</v>
      </c>
      <c r="S977" t="s">
        <v>2661</v>
      </c>
      <c r="T977" t="s">
        <v>3344</v>
      </c>
      <c r="U977" t="s">
        <v>3344</v>
      </c>
      <c r="V977" t="s">
        <v>3344</v>
      </c>
      <c r="W977" t="s">
        <v>4319</v>
      </c>
      <c r="X977">
        <v>12</v>
      </c>
      <c r="Y977" t="s">
        <v>5976</v>
      </c>
      <c r="Z977" t="s">
        <v>7634</v>
      </c>
      <c r="AA977">
        <v>0.8562838604138764</v>
      </c>
      <c r="AB977">
        <f>HYPERLINK("Melting_Curves/meltCurve_P21165_pepQ.pdf", "Melting_Curves/meltCurve_P21165_pepQ.pdf")</f>
        <v>0</v>
      </c>
    </row>
    <row r="978" spans="1:28">
      <c r="A978" t="s">
        <v>1004</v>
      </c>
      <c r="B978">
        <v>0.999998419929286</v>
      </c>
      <c r="C978">
        <v>1.53173069251215</v>
      </c>
      <c r="D978">
        <v>1.43450519030761</v>
      </c>
      <c r="E978">
        <v>1.54021986871506</v>
      </c>
      <c r="F978">
        <v>1.15274441969085</v>
      </c>
      <c r="G978">
        <v>0.522704265261047</v>
      </c>
      <c r="H978">
        <v>0.293276778682028</v>
      </c>
      <c r="I978">
        <v>0.251619042939505</v>
      </c>
      <c r="J978">
        <v>0.174806869968809</v>
      </c>
      <c r="K978">
        <v>0.160951247896281</v>
      </c>
      <c r="L978">
        <v>10529.0940968765</v>
      </c>
      <c r="M978">
        <v>196.163976315333</v>
      </c>
      <c r="N978">
        <v>53.8342430289457</v>
      </c>
      <c r="O978">
        <v>53.6693842239318</v>
      </c>
      <c r="P978">
        <v>-0.712584999957448</v>
      </c>
      <c r="Q978">
        <v>0.220162668821164</v>
      </c>
      <c r="R978">
        <v>0.7410191468517801</v>
      </c>
      <c r="S978" t="s">
        <v>2662</v>
      </c>
      <c r="T978" t="s">
        <v>3344</v>
      </c>
      <c r="U978" t="s">
        <v>3344</v>
      </c>
      <c r="V978" t="s">
        <v>3344</v>
      </c>
      <c r="W978" t="s">
        <v>4320</v>
      </c>
      <c r="X978">
        <v>6</v>
      </c>
      <c r="Y978" t="s">
        <v>5977</v>
      </c>
      <c r="Z978" t="s">
        <v>7635</v>
      </c>
      <c r="AA978">
        <v>0.6537406107385955</v>
      </c>
      <c r="AB978">
        <f>HYPERLINK("Melting_Curves/meltCurve_P21169_speC.pdf", "Melting_Curves/meltCurve_P21169_speC.pdf")</f>
        <v>0</v>
      </c>
    </row>
    <row r="979" spans="1:28">
      <c r="A979" t="s">
        <v>1005</v>
      </c>
      <c r="B979">
        <v>0.999998419929286</v>
      </c>
      <c r="C979">
        <v>1.17678280640197</v>
      </c>
      <c r="D979">
        <v>0.663614591836616</v>
      </c>
      <c r="E979">
        <v>0.223724161854239</v>
      </c>
      <c r="F979">
        <v>0.08399799064849719</v>
      </c>
      <c r="G979">
        <v>0.0675830454526334</v>
      </c>
      <c r="H979">
        <v>0.0312996674264631</v>
      </c>
      <c r="I979">
        <v>0.0224622931506348</v>
      </c>
      <c r="J979">
        <v>0.0196097982360725</v>
      </c>
      <c r="K979">
        <v>0.0187872445173729</v>
      </c>
      <c r="L979">
        <v>1449.15397013268</v>
      </c>
      <c r="M979">
        <v>32.8251152456275</v>
      </c>
      <c r="N979">
        <v>44.2623170014619</v>
      </c>
      <c r="O979">
        <v>43.9848407520608</v>
      </c>
      <c r="P979">
        <v>-0.178971033281678</v>
      </c>
      <c r="Q979">
        <v>0.0407375045532935</v>
      </c>
      <c r="R979">
        <v>0.9726685322973651</v>
      </c>
      <c r="S979" t="s">
        <v>2663</v>
      </c>
      <c r="T979" t="s">
        <v>3344</v>
      </c>
      <c r="U979" t="s">
        <v>3344</v>
      </c>
      <c r="V979" t="s">
        <v>3344</v>
      </c>
      <c r="W979" t="s">
        <v>4321</v>
      </c>
      <c r="X979">
        <v>10</v>
      </c>
      <c r="Y979" t="s">
        <v>5978</v>
      </c>
      <c r="Z979" t="s">
        <v>7636</v>
      </c>
      <c r="AA979">
        <v>0.2737050470362125</v>
      </c>
      <c r="AB979">
        <f>HYPERLINK("Melting_Curves/meltCurve_P21170_speA.pdf", "Melting_Curves/meltCurve_P21170_speA.pdf")</f>
        <v>0</v>
      </c>
    </row>
    <row r="980" spans="1:28">
      <c r="A980" t="s">
        <v>1006</v>
      </c>
      <c r="B980">
        <v>0.999998419929286</v>
      </c>
      <c r="C980">
        <v>0.894915926037594</v>
      </c>
      <c r="D980">
        <v>0.685059403241617</v>
      </c>
      <c r="E980">
        <v>0.568222832396733</v>
      </c>
      <c r="F980">
        <v>0.574353596323445</v>
      </c>
      <c r="G980">
        <v>0.588355622905226</v>
      </c>
      <c r="H980">
        <v>0.40050152490041</v>
      </c>
      <c r="I980">
        <v>0.305515304891654</v>
      </c>
      <c r="J980">
        <v>0.316534228163246</v>
      </c>
      <c r="K980">
        <v>0.334607492056471</v>
      </c>
      <c r="L980">
        <v>357.791689715197</v>
      </c>
      <c r="M980">
        <v>7.54039354616158</v>
      </c>
      <c r="N980">
        <v>52.1017386352796</v>
      </c>
      <c r="O980">
        <v>44.4570132744412</v>
      </c>
      <c r="P980">
        <v>-0.0320605521597022</v>
      </c>
      <c r="Q980">
        <v>0.244967641943586</v>
      </c>
      <c r="R980">
        <v>0.921837846077651</v>
      </c>
      <c r="S980" t="s">
        <v>2664</v>
      </c>
      <c r="T980" t="s">
        <v>3344</v>
      </c>
      <c r="U980" t="s">
        <v>3344</v>
      </c>
      <c r="V980" t="s">
        <v>3344</v>
      </c>
      <c r="W980" t="s">
        <v>4322</v>
      </c>
      <c r="X980">
        <v>3</v>
      </c>
      <c r="Y980" t="s">
        <v>5979</v>
      </c>
      <c r="Z980" t="s">
        <v>7637</v>
      </c>
      <c r="AA980">
        <v>0.552140069239057</v>
      </c>
      <c r="AB980">
        <f>HYPERLINK("Melting_Curves/meltCurve_P21177_fadB.pdf", "Melting_Curves/meltCurve_P21177_fadB.pdf")</f>
        <v>0</v>
      </c>
    </row>
    <row r="981" spans="1:28">
      <c r="A981" t="s">
        <v>1007</v>
      </c>
      <c r="B981">
        <v>0.999998419929286</v>
      </c>
      <c r="C981">
        <v>1.57501088962402</v>
      </c>
      <c r="D981">
        <v>1.41906111352664</v>
      </c>
      <c r="E981">
        <v>1.26023448413543</v>
      </c>
      <c r="F981">
        <v>1.09503290514968</v>
      </c>
      <c r="G981">
        <v>1.10002080004644</v>
      </c>
      <c r="H981">
        <v>0.8045484783472689</v>
      </c>
      <c r="I981">
        <v>0.865503726169764</v>
      </c>
      <c r="J981">
        <v>0.807054669456663</v>
      </c>
      <c r="K981">
        <v>0.936136851780738</v>
      </c>
      <c r="L981">
        <v>3484.38275566037</v>
      </c>
      <c r="M981">
        <v>62.3979421488472</v>
      </c>
      <c r="O981">
        <v>55.7840381981381</v>
      </c>
      <c r="P981">
        <v>-0.041224520431449</v>
      </c>
      <c r="Q981">
        <v>0.852580432418319</v>
      </c>
      <c r="R981">
        <v>0.0101304985247321</v>
      </c>
      <c r="S981" t="s">
        <v>2665</v>
      </c>
      <c r="T981" t="s">
        <v>3344</v>
      </c>
      <c r="U981" t="s">
        <v>3344</v>
      </c>
      <c r="V981" t="s">
        <v>3344</v>
      </c>
      <c r="W981" t="s">
        <v>4323</v>
      </c>
      <c r="X981">
        <v>25</v>
      </c>
      <c r="Y981" t="s">
        <v>5980</v>
      </c>
      <c r="Z981" t="s">
        <v>7638</v>
      </c>
      <c r="AA981">
        <v>0.9453988405444204</v>
      </c>
      <c r="AB981">
        <f>HYPERLINK("Melting_Curves/meltCurve_P21179_katE.pdf", "Melting_Curves/meltCurve_P21179_katE.pdf")</f>
        <v>0</v>
      </c>
    </row>
    <row r="982" spans="1:28">
      <c r="A982" t="s">
        <v>1008</v>
      </c>
      <c r="B982">
        <v>0.999998419929286</v>
      </c>
      <c r="C982">
        <v>1.13483182664839</v>
      </c>
      <c r="D982">
        <v>1.28956840311486</v>
      </c>
      <c r="E982">
        <v>1.22003774327352</v>
      </c>
      <c r="F982">
        <v>1.34913645379042</v>
      </c>
      <c r="G982">
        <v>1.1433444331597</v>
      </c>
      <c r="H982">
        <v>0.997061468101202</v>
      </c>
      <c r="I982">
        <v>0.555699041828379</v>
      </c>
      <c r="J982">
        <v>0.144438078973902</v>
      </c>
      <c r="K982">
        <v>0.0572533841297203</v>
      </c>
      <c r="L982">
        <v>3424.78025168806</v>
      </c>
      <c r="M982">
        <v>56.0140952463755</v>
      </c>
      <c r="N982">
        <v>61.2885081550691</v>
      </c>
      <c r="O982">
        <v>61.0636238298519</v>
      </c>
      <c r="P982">
        <v>-0.21490366314617</v>
      </c>
      <c r="Q982">
        <v>0.0628938498595662</v>
      </c>
      <c r="R982">
        <v>0.852173694292121</v>
      </c>
      <c r="S982" t="s">
        <v>2666</v>
      </c>
      <c r="T982" t="s">
        <v>3344</v>
      </c>
      <c r="U982" t="s">
        <v>3344</v>
      </c>
      <c r="V982" t="s">
        <v>3344</v>
      </c>
      <c r="W982" t="s">
        <v>4324</v>
      </c>
      <c r="X982">
        <v>6</v>
      </c>
      <c r="Y982" t="s">
        <v>5981</v>
      </c>
      <c r="Z982" t="s">
        <v>7639</v>
      </c>
      <c r="AA982">
        <v>0.8186900980776509</v>
      </c>
      <c r="AB982">
        <f>HYPERLINK("Melting_Curves/meltCurve_P21338_rna.pdf", "Melting_Curves/meltCurve_P21338_rna.pdf")</f>
        <v>0</v>
      </c>
    </row>
    <row r="983" spans="1:28">
      <c r="A983" t="s">
        <v>1009</v>
      </c>
      <c r="B983">
        <v>0.999998419929286</v>
      </c>
      <c r="C983">
        <v>0.948206118119305</v>
      </c>
      <c r="D983">
        <v>1.27669489407608</v>
      </c>
      <c r="E983">
        <v>1.8315751793151</v>
      </c>
      <c r="F983">
        <v>2.09688402231382</v>
      </c>
      <c r="G983">
        <v>3.4107199875066</v>
      </c>
      <c r="H983">
        <v>3.08861055268545</v>
      </c>
      <c r="I983">
        <v>2.16349411652802</v>
      </c>
      <c r="J983">
        <v>2.62730866172857</v>
      </c>
      <c r="K983">
        <v>2.85673820680258</v>
      </c>
      <c r="L983">
        <v>10740.7818133147</v>
      </c>
      <c r="M983">
        <v>250</v>
      </c>
      <c r="O983">
        <v>42.9603781860158</v>
      </c>
      <c r="P983">
        <v>0.727414458754171</v>
      </c>
      <c r="Q983">
        <v>1.5</v>
      </c>
      <c r="R983">
        <v>-0.493238512605248</v>
      </c>
      <c r="S983" t="s">
        <v>2667</v>
      </c>
      <c r="T983" t="s">
        <v>3344</v>
      </c>
      <c r="U983" t="s">
        <v>3344</v>
      </c>
      <c r="V983" t="s">
        <v>3344</v>
      </c>
      <c r="W983" t="s">
        <v>4325</v>
      </c>
      <c r="X983">
        <v>2</v>
      </c>
      <c r="Y983" t="s">
        <v>5982</v>
      </c>
      <c r="Z983" t="s">
        <v>7640</v>
      </c>
      <c r="AA983">
        <v>1.400576845969182</v>
      </c>
      <c r="AB983">
        <f>HYPERLINK("Melting_Curves/meltCurve_P21362_yciF.pdf", "Melting_Curves/meltCurve_P21362_yciF.pdf")</f>
        <v>0</v>
      </c>
    </row>
    <row r="984" spans="1:28">
      <c r="A984" t="s">
        <v>1010</v>
      </c>
      <c r="B984">
        <v>0.999998419929286</v>
      </c>
      <c r="C984">
        <v>1.03637744610458</v>
      </c>
      <c r="D984">
        <v>0.895314588874873</v>
      </c>
      <c r="E984">
        <v>1.16878368568357</v>
      </c>
      <c r="F984">
        <v>1.14427666993884</v>
      </c>
      <c r="G984">
        <v>1.29944077777137</v>
      </c>
      <c r="H984">
        <v>1.1035317493943</v>
      </c>
      <c r="I984">
        <v>0.866857836368677</v>
      </c>
      <c r="J984">
        <v>0.7082651924346171</v>
      </c>
      <c r="K984">
        <v>0.724500389576036</v>
      </c>
      <c r="L984">
        <v>15000</v>
      </c>
      <c r="M984">
        <v>245.779255325224</v>
      </c>
      <c r="O984">
        <v>61.0263337125316</v>
      </c>
      <c r="P984">
        <v>-0.285563098770922</v>
      </c>
      <c r="Q984">
        <v>0.716381776608943</v>
      </c>
      <c r="R984">
        <v>0.52383101512943</v>
      </c>
      <c r="S984" t="s">
        <v>2668</v>
      </c>
      <c r="T984" t="s">
        <v>3344</v>
      </c>
      <c r="U984" t="s">
        <v>3344</v>
      </c>
      <c r="V984" t="s">
        <v>3344</v>
      </c>
      <c r="W984" t="s">
        <v>4326</v>
      </c>
      <c r="X984">
        <v>8</v>
      </c>
      <c r="Y984" t="s">
        <v>5983</v>
      </c>
      <c r="Z984" t="s">
        <v>7641</v>
      </c>
      <c r="AA984">
        <v>0.9435949443084511</v>
      </c>
      <c r="AB984">
        <f>HYPERLINK("Melting_Curves/meltCurve_P21363_yciE.pdf", "Melting_Curves/meltCurve_P21363_yciE.pdf")</f>
        <v>0</v>
      </c>
    </row>
    <row r="985" spans="1:28">
      <c r="A985" t="s">
        <v>1011</v>
      </c>
      <c r="B985">
        <v>0.999998419929286</v>
      </c>
      <c r="C985">
        <v>0.877761415348954</v>
      </c>
      <c r="D985">
        <v>0.767119133550387</v>
      </c>
      <c r="E985">
        <v>0.849742322161168</v>
      </c>
      <c r="F985">
        <v>0.601975571298225</v>
      </c>
      <c r="G985">
        <v>0.447394704179304</v>
      </c>
      <c r="H985">
        <v>0.350274097094314</v>
      </c>
      <c r="I985">
        <v>0.230828428091784</v>
      </c>
      <c r="J985">
        <v>0.206868386347211</v>
      </c>
      <c r="K985">
        <v>0.229252081635464</v>
      </c>
      <c r="L985">
        <v>426.133590934017</v>
      </c>
      <c r="M985">
        <v>8.177336573118509</v>
      </c>
      <c r="N985">
        <v>52.804038755991</v>
      </c>
      <c r="O985">
        <v>49.2732575740586</v>
      </c>
      <c r="P985">
        <v>-0.0394211670020005</v>
      </c>
      <c r="Q985">
        <v>0.0508458438022056</v>
      </c>
      <c r="R985">
        <v>0.965456741562581</v>
      </c>
      <c r="S985" t="s">
        <v>2669</v>
      </c>
      <c r="T985" t="s">
        <v>3344</v>
      </c>
      <c r="U985" t="s">
        <v>3344</v>
      </c>
      <c r="V985" t="s">
        <v>3344</v>
      </c>
      <c r="W985" t="s">
        <v>4327</v>
      </c>
      <c r="X985">
        <v>1</v>
      </c>
      <c r="Y985" t="s">
        <v>5984</v>
      </c>
      <c r="Z985" t="s">
        <v>7642</v>
      </c>
      <c r="AA985">
        <v>0.5553015629399503</v>
      </c>
      <c r="AB985">
        <f>HYPERLINK("Melting_Curves/meltCurve_P21365_yciC.pdf", "Melting_Curves/meltCurve_P21365_yciC.pdf")</f>
        <v>0</v>
      </c>
    </row>
    <row r="986" spans="1:28">
      <c r="A986" t="s">
        <v>1012</v>
      </c>
      <c r="B986">
        <v>0.999998419929286</v>
      </c>
      <c r="C986">
        <v>1.13626804332936</v>
      </c>
      <c r="D986">
        <v>1.01255654333928</v>
      </c>
      <c r="E986">
        <v>1.29072534683442</v>
      </c>
      <c r="F986">
        <v>1.22562707397749</v>
      </c>
      <c r="G986">
        <v>1.49283793968295</v>
      </c>
      <c r="H986">
        <v>0.761860879804268</v>
      </c>
      <c r="I986">
        <v>0.166992134684491</v>
      </c>
      <c r="J986">
        <v>0.0416870259002842</v>
      </c>
      <c r="K986">
        <v>0.0332974422416785</v>
      </c>
      <c r="L986">
        <v>3507.91390582666</v>
      </c>
      <c r="M986">
        <v>59.8433581175936</v>
      </c>
      <c r="N986">
        <v>58.7178705962855</v>
      </c>
      <c r="O986">
        <v>58.5528987751478</v>
      </c>
      <c r="P986">
        <v>-0.243179332195253</v>
      </c>
      <c r="Q986">
        <v>0.0482584300378885</v>
      </c>
      <c r="R986">
        <v>0.84829112144937</v>
      </c>
      <c r="S986" t="s">
        <v>2670</v>
      </c>
      <c r="T986" t="s">
        <v>3344</v>
      </c>
      <c r="U986" t="s">
        <v>3344</v>
      </c>
      <c r="V986" t="s">
        <v>3344</v>
      </c>
      <c r="W986" t="s">
        <v>4328</v>
      </c>
      <c r="X986">
        <v>4</v>
      </c>
      <c r="Y986" t="s">
        <v>5985</v>
      </c>
      <c r="Z986" t="s">
        <v>7643</v>
      </c>
      <c r="AA986">
        <v>0.7357831796177555</v>
      </c>
      <c r="AB986">
        <f>HYPERLINK("Melting_Curves/meltCurve_P21367_ycaC.pdf", "Melting_Curves/meltCurve_P21367_ycaC.pdf")</f>
        <v>0</v>
      </c>
    </row>
    <row r="987" spans="1:28">
      <c r="A987" t="s">
        <v>1013</v>
      </c>
      <c r="B987">
        <v>0.999998419929286</v>
      </c>
      <c r="C987">
        <v>0.837771400659639</v>
      </c>
      <c r="D987">
        <v>0.977728597904331</v>
      </c>
      <c r="E987">
        <v>1.09847366819333</v>
      </c>
      <c r="F987">
        <v>1.11508870506993</v>
      </c>
      <c r="G987">
        <v>0.942426950456612</v>
      </c>
      <c r="H987">
        <v>0.613116016834397</v>
      </c>
      <c r="I987">
        <v>0.454680554440841</v>
      </c>
      <c r="J987">
        <v>0.400832996116756</v>
      </c>
      <c r="K987">
        <v>0.370393380326183</v>
      </c>
      <c r="L987">
        <v>2369.19912981753</v>
      </c>
      <c r="M987">
        <v>41.7879220388851</v>
      </c>
      <c r="N987">
        <v>58.8902181261508</v>
      </c>
      <c r="O987">
        <v>56.5664105116545</v>
      </c>
      <c r="P987">
        <v>-0.111802800279322</v>
      </c>
      <c r="Q987">
        <v>0.394631578086468</v>
      </c>
      <c r="R987">
        <v>0.9330021062089749</v>
      </c>
      <c r="S987" t="s">
        <v>2671</v>
      </c>
      <c r="T987" t="s">
        <v>3344</v>
      </c>
      <c r="U987" t="s">
        <v>3344</v>
      </c>
      <c r="V987" t="s">
        <v>3344</v>
      </c>
      <c r="W987" t="s">
        <v>4329</v>
      </c>
      <c r="X987">
        <v>1</v>
      </c>
      <c r="Y987" t="s">
        <v>5986</v>
      </c>
      <c r="Z987" t="s">
        <v>7644</v>
      </c>
      <c r="AA987">
        <v>0.7941789572970427</v>
      </c>
      <c r="AB987">
        <f>HYPERLINK("Melting_Curves/meltCurve_P21369_pncA.pdf", "Melting_Curves/meltCurve_P21369_pncA.pdf")</f>
        <v>0</v>
      </c>
    </row>
    <row r="988" spans="1:28">
      <c r="A988" t="s">
        <v>1014</v>
      </c>
      <c r="B988">
        <v>0.999998419929286</v>
      </c>
      <c r="C988">
        <v>1.65069771453448</v>
      </c>
      <c r="D988">
        <v>1.55892716996223</v>
      </c>
      <c r="E988">
        <v>1.6568835984828</v>
      </c>
      <c r="F988">
        <v>1.33150898337212</v>
      </c>
      <c r="G988">
        <v>0.470907810098338</v>
      </c>
      <c r="H988">
        <v>0.123304712558588</v>
      </c>
      <c r="I988">
        <v>0.0990218077369938</v>
      </c>
      <c r="J988">
        <v>0.0820153173836497</v>
      </c>
      <c r="K988">
        <v>0.0898650566419316</v>
      </c>
      <c r="L988">
        <v>13431.0994265338</v>
      </c>
      <c r="M988">
        <v>250</v>
      </c>
      <c r="N988">
        <v>53.7716155386619</v>
      </c>
      <c r="O988">
        <v>53.7209597583017</v>
      </c>
      <c r="P988">
        <v>-1.04876233942483</v>
      </c>
      <c r="Q988">
        <v>0.0985516911014558</v>
      </c>
      <c r="R988">
        <v>0.711696285090146</v>
      </c>
      <c r="S988" t="s">
        <v>2672</v>
      </c>
      <c r="T988" t="s">
        <v>3344</v>
      </c>
      <c r="U988" t="s">
        <v>3344</v>
      </c>
      <c r="V988" t="s">
        <v>3344</v>
      </c>
      <c r="W988" t="s">
        <v>4330</v>
      </c>
      <c r="X988">
        <v>18</v>
      </c>
      <c r="Y988" t="s">
        <v>5987</v>
      </c>
      <c r="Z988" t="s">
        <v>7645</v>
      </c>
      <c r="AA988">
        <v>0.6011760189076885</v>
      </c>
      <c r="AB988">
        <f>HYPERLINK("Melting_Curves/meltCurve_P21499_rnr.pdf", "Melting_Curves/meltCurve_P21499_rnr.pdf")</f>
        <v>0</v>
      </c>
    </row>
    <row r="989" spans="1:28">
      <c r="A989" t="s">
        <v>1015</v>
      </c>
      <c r="B989">
        <v>0.999998419929286</v>
      </c>
      <c r="C989">
        <v>0.7120781356695161</v>
      </c>
      <c r="D989">
        <v>0.383672066527455</v>
      </c>
      <c r="E989">
        <v>0.285781974301999</v>
      </c>
      <c r="F989">
        <v>0.297578719803924</v>
      </c>
      <c r="G989">
        <v>0.353346306973097</v>
      </c>
      <c r="H989">
        <v>0.241104014569293</v>
      </c>
      <c r="I989">
        <v>0.317635611966796</v>
      </c>
      <c r="J989">
        <v>0.287230560168105</v>
      </c>
      <c r="K989">
        <v>0.355854950520239</v>
      </c>
      <c r="L989">
        <v>1495.57510591134</v>
      </c>
      <c r="M989">
        <v>37.0943846372791</v>
      </c>
      <c r="N989">
        <v>41.3764263471661</v>
      </c>
      <c r="O989">
        <v>40.201461300641</v>
      </c>
      <c r="P989">
        <v>-0.160000073056053</v>
      </c>
      <c r="Q989">
        <v>0.306394361319437</v>
      </c>
      <c r="R989">
        <v>0.979060638224154</v>
      </c>
      <c r="S989" t="s">
        <v>2673</v>
      </c>
      <c r="T989" t="s">
        <v>3344</v>
      </c>
      <c r="U989" t="s">
        <v>3344</v>
      </c>
      <c r="V989" t="s">
        <v>3344</v>
      </c>
      <c r="W989" t="s">
        <v>4331</v>
      </c>
      <c r="X989">
        <v>1</v>
      </c>
      <c r="Y989" t="s">
        <v>5988</v>
      </c>
      <c r="Z989" t="s">
        <v>7646</v>
      </c>
      <c r="AA989">
        <v>0.3860730826408155</v>
      </c>
      <c r="AB989">
        <f>HYPERLINK("Melting_Curves/meltCurve_P21507_srmB.pdf", "Melting_Curves/meltCurve_P21507_srmB.pdf")</f>
        <v>0</v>
      </c>
    </row>
    <row r="990" spans="1:28">
      <c r="A990" t="s">
        <v>1016</v>
      </c>
      <c r="B990">
        <v>0.999998419929286</v>
      </c>
      <c r="C990">
        <v>1.43595322263699</v>
      </c>
      <c r="D990">
        <v>0.8112355139195651</v>
      </c>
      <c r="E990">
        <v>0.378447248647446</v>
      </c>
      <c r="F990">
        <v>0.342993610463684</v>
      </c>
      <c r="G990">
        <v>0.384534062837237</v>
      </c>
      <c r="H990">
        <v>0.316021671128146</v>
      </c>
      <c r="I990">
        <v>0.347615481705438</v>
      </c>
      <c r="J990">
        <v>0.384089929794697</v>
      </c>
      <c r="K990">
        <v>0.385062099120524</v>
      </c>
      <c r="L990">
        <v>10787.2178348531</v>
      </c>
      <c r="M990">
        <v>250</v>
      </c>
      <c r="N990">
        <v>43.3730768229179</v>
      </c>
      <c r="O990">
        <v>43.1460943703835</v>
      </c>
      <c r="P990">
        <v>-0.92319941003013</v>
      </c>
      <c r="Q990">
        <v>0.362680585223464</v>
      </c>
      <c r="R990">
        <v>0.850080243683902</v>
      </c>
      <c r="S990" t="s">
        <v>2674</v>
      </c>
      <c r="T990" t="s">
        <v>3344</v>
      </c>
      <c r="U990" t="s">
        <v>3344</v>
      </c>
      <c r="V990" t="s">
        <v>3344</v>
      </c>
      <c r="W990" t="s">
        <v>4332</v>
      </c>
      <c r="X990">
        <v>10</v>
      </c>
      <c r="Y990" t="s">
        <v>5989</v>
      </c>
      <c r="Z990" t="s">
        <v>7647</v>
      </c>
      <c r="AA990">
        <v>0.4933553494027298</v>
      </c>
      <c r="AB990">
        <f>HYPERLINK("Melting_Curves/meltCurve_P21513_rne.pdf", "Melting_Curves/meltCurve_P21513_rne.pdf")</f>
        <v>0</v>
      </c>
    </row>
    <row r="991" spans="1:28">
      <c r="A991" t="s">
        <v>1017</v>
      </c>
      <c r="B991">
        <v>0.999998419929286</v>
      </c>
      <c r="C991">
        <v>1.36073601454582</v>
      </c>
      <c r="D991">
        <v>1.47444544258119</v>
      </c>
      <c r="E991">
        <v>1.7213514390602</v>
      </c>
      <c r="F991">
        <v>1.31528047502436</v>
      </c>
      <c r="G991">
        <v>0.32423990797328</v>
      </c>
      <c r="H991">
        <v>0.08080461132173571</v>
      </c>
      <c r="I991">
        <v>0.0480499849491386</v>
      </c>
      <c r="J991">
        <v>0.0355178191024248</v>
      </c>
      <c r="K991">
        <v>0.0399846991787601</v>
      </c>
      <c r="L991">
        <v>13401.2671939677</v>
      </c>
      <c r="M991">
        <v>250</v>
      </c>
      <c r="N991">
        <v>53.6281673936329</v>
      </c>
      <c r="O991">
        <v>53.6016383973066</v>
      </c>
      <c r="P991">
        <v>-1.10643859234472</v>
      </c>
      <c r="Q991">
        <v>0.0510892595692395</v>
      </c>
      <c r="R991">
        <v>0.776032258918128</v>
      </c>
      <c r="S991" t="s">
        <v>2675</v>
      </c>
      <c r="T991" t="s">
        <v>3344</v>
      </c>
      <c r="U991" t="s">
        <v>3344</v>
      </c>
      <c r="V991" t="s">
        <v>3344</v>
      </c>
      <c r="W991" t="s">
        <v>4333</v>
      </c>
      <c r="X991">
        <v>15</v>
      </c>
      <c r="Y991" t="s">
        <v>5990</v>
      </c>
      <c r="Z991" t="s">
        <v>7648</v>
      </c>
      <c r="AA991">
        <v>0.5764027995881827</v>
      </c>
      <c r="AB991">
        <f>HYPERLINK("Melting_Curves/meltCurve_P21599_pykA.pdf", "Melting_Curves/meltCurve_P21599_pykA.pdf")</f>
        <v>0</v>
      </c>
    </row>
    <row r="992" spans="1:28">
      <c r="A992" t="s">
        <v>1018</v>
      </c>
      <c r="B992">
        <v>0.999998419929286</v>
      </c>
      <c r="C992">
        <v>1.19742993415084</v>
      </c>
      <c r="D992">
        <v>0.777664515728134</v>
      </c>
      <c r="E992">
        <v>0.516750349429598</v>
      </c>
      <c r="F992">
        <v>0.280446523894399</v>
      </c>
      <c r="G992">
        <v>0.124350088176821</v>
      </c>
      <c r="H992">
        <v>0.0772849446554746</v>
      </c>
      <c r="I992">
        <v>0.0253577124850008</v>
      </c>
      <c r="J992">
        <v>0.0153803605687233</v>
      </c>
      <c r="K992">
        <v>0.014910740910609</v>
      </c>
      <c r="L992">
        <v>874.387200846739</v>
      </c>
      <c r="M992">
        <v>18.6441135736822</v>
      </c>
      <c r="N992">
        <v>47.0348330325232</v>
      </c>
      <c r="O992">
        <v>46.3692973540292</v>
      </c>
      <c r="P992">
        <v>-0.097886266306041</v>
      </c>
      <c r="Q992">
        <v>0.0262405052205447</v>
      </c>
      <c r="R992">
        <v>0.964945656362921</v>
      </c>
      <c r="S992" t="s">
        <v>2676</v>
      </c>
      <c r="T992" t="s">
        <v>3344</v>
      </c>
      <c r="U992" t="s">
        <v>3344</v>
      </c>
      <c r="V992" t="s">
        <v>3344</v>
      </c>
      <c r="W992" t="s">
        <v>4334</v>
      </c>
      <c r="X992">
        <v>1</v>
      </c>
      <c r="Y992" t="s">
        <v>5991</v>
      </c>
      <c r="Z992" t="s">
        <v>7649</v>
      </c>
      <c r="AA992">
        <v>0.3621583891254275</v>
      </c>
      <c r="AB992">
        <f>HYPERLINK("Melting_Curves/meltCurve_P21645_lpxD.pdf", "Melting_Curves/meltCurve_P21645_lpxD.pdf")</f>
        <v>0</v>
      </c>
    </row>
    <row r="993" spans="1:28">
      <c r="A993" t="s">
        <v>1019</v>
      </c>
      <c r="B993">
        <v>0.999998419929286</v>
      </c>
      <c r="C993">
        <v>0.893402248303873</v>
      </c>
      <c r="D993">
        <v>0.821752598848315</v>
      </c>
      <c r="E993">
        <v>1.01883628620392</v>
      </c>
      <c r="F993">
        <v>0.994919566139492</v>
      </c>
      <c r="G993">
        <v>0.758983491467684</v>
      </c>
      <c r="H993">
        <v>0.283079285089631</v>
      </c>
      <c r="I993">
        <v>0.145198298850105</v>
      </c>
      <c r="J993">
        <v>0.116319615948477</v>
      </c>
      <c r="K993">
        <v>0.127454793779604</v>
      </c>
      <c r="L993">
        <v>2140.67761088086</v>
      </c>
      <c r="M993">
        <v>38.7986891541047</v>
      </c>
      <c r="N993">
        <v>55.57220811365</v>
      </c>
      <c r="O993">
        <v>55.0280084549554</v>
      </c>
      <c r="P993">
        <v>-0.154875365328449</v>
      </c>
      <c r="Q993">
        <v>0.121365946443428</v>
      </c>
      <c r="R993">
        <v>0.969008943129397</v>
      </c>
      <c r="S993" t="s">
        <v>2677</v>
      </c>
      <c r="T993" t="s">
        <v>3344</v>
      </c>
      <c r="U993" t="s">
        <v>3344</v>
      </c>
      <c r="V993" t="s">
        <v>3344</v>
      </c>
      <c r="W993" t="s">
        <v>4335</v>
      </c>
      <c r="X993">
        <v>3</v>
      </c>
      <c r="Y993" t="s">
        <v>5992</v>
      </c>
      <c r="Z993" t="s">
        <v>7650</v>
      </c>
      <c r="AA993">
        <v>0.6571365019368478</v>
      </c>
      <c r="AB993">
        <f>HYPERLINK("Melting_Curves/meltCurve_P21866_kdpE.pdf", "Melting_Curves/meltCurve_P21866_kdpE.pdf")</f>
        <v>0</v>
      </c>
    </row>
    <row r="994" spans="1:28">
      <c r="A994" t="s">
        <v>1020</v>
      </c>
      <c r="B994">
        <v>0.999998419929286</v>
      </c>
      <c r="C994">
        <v>1.24861478025934</v>
      </c>
      <c r="D994">
        <v>1.37367419301339</v>
      </c>
      <c r="E994">
        <v>1.63963879369793</v>
      </c>
      <c r="F994">
        <v>1.06376286936891</v>
      </c>
      <c r="G994">
        <v>0.238280762410747</v>
      </c>
      <c r="H994">
        <v>0.080808190990329</v>
      </c>
      <c r="I994">
        <v>0.056040915546356</v>
      </c>
      <c r="J994">
        <v>0.0443815655394631</v>
      </c>
      <c r="K994">
        <v>0.0468314262582082</v>
      </c>
      <c r="S994" t="s">
        <v>2678</v>
      </c>
      <c r="T994" t="s">
        <v>3344</v>
      </c>
      <c r="U994" t="s">
        <v>3345</v>
      </c>
      <c r="V994" t="s">
        <v>3344</v>
      </c>
      <c r="W994" t="s">
        <v>4336</v>
      </c>
      <c r="X994">
        <v>12</v>
      </c>
      <c r="Y994" t="s">
        <v>5993</v>
      </c>
      <c r="Z994" t="s">
        <v>7651</v>
      </c>
      <c r="AB994">
        <f>HYPERLINK("Melting_Curves/meltCurve_P21888_cysS.pdf", "Melting_Curves/meltCurve_P21888_cysS.pdf")</f>
        <v>0</v>
      </c>
    </row>
    <row r="995" spans="1:28">
      <c r="A995" t="s">
        <v>1021</v>
      </c>
      <c r="B995">
        <v>0.999998419929286</v>
      </c>
      <c r="C995">
        <v>1.01874329166251</v>
      </c>
      <c r="D995">
        <v>0.363169047748378</v>
      </c>
      <c r="E995">
        <v>0.192169222470809</v>
      </c>
      <c r="F995">
        <v>0.144611420796534</v>
      </c>
      <c r="G995">
        <v>0.147243777068229</v>
      </c>
      <c r="H995">
        <v>0.09457101622072869</v>
      </c>
      <c r="I995">
        <v>0.0312178989806381</v>
      </c>
      <c r="J995">
        <v>0.0237436886773839</v>
      </c>
      <c r="K995">
        <v>0.0199962992608053</v>
      </c>
      <c r="L995">
        <v>6110.33734266629</v>
      </c>
      <c r="M995">
        <v>142.959633742314</v>
      </c>
      <c r="N995">
        <v>42.8035823405063</v>
      </c>
      <c r="O995">
        <v>42.733335758276</v>
      </c>
      <c r="P995">
        <v>-0.758263295574633</v>
      </c>
      <c r="Q995">
        <v>0.0933631361124015</v>
      </c>
      <c r="R995">
        <v>0.977787465194507</v>
      </c>
      <c r="S995" t="s">
        <v>2679</v>
      </c>
      <c r="T995" t="s">
        <v>3344</v>
      </c>
      <c r="U995" t="s">
        <v>3344</v>
      </c>
      <c r="V995" t="s">
        <v>3344</v>
      </c>
      <c r="W995" t="s">
        <v>4337</v>
      </c>
      <c r="X995">
        <v>17</v>
      </c>
      <c r="Y995" t="s">
        <v>5994</v>
      </c>
      <c r="Z995" t="s">
        <v>7652</v>
      </c>
      <c r="AA995">
        <v>0.2670923435751316</v>
      </c>
      <c r="AB995">
        <f>HYPERLINK("Melting_Curves/meltCurve_P21889_aspS.pdf", "Melting_Curves/meltCurve_P21889_aspS.pdf")</f>
        <v>0</v>
      </c>
    </row>
    <row r="996" spans="1:28">
      <c r="A996" t="s">
        <v>1022</v>
      </c>
      <c r="B996">
        <v>0.999998419929286</v>
      </c>
      <c r="C996">
        <v>1.01735865253436</v>
      </c>
      <c r="D996">
        <v>0.688456630835406</v>
      </c>
      <c r="E996">
        <v>0.267509863594909</v>
      </c>
      <c r="F996">
        <v>0.128165334563328</v>
      </c>
      <c r="G996">
        <v>0.123167488190012</v>
      </c>
      <c r="H996">
        <v>0.0871551122912614</v>
      </c>
      <c r="I996">
        <v>0.0790839666347835</v>
      </c>
      <c r="J996">
        <v>0.0625402345411441</v>
      </c>
      <c r="K996">
        <v>0.06808831097285779</v>
      </c>
      <c r="L996">
        <v>1241.92033622913</v>
      </c>
      <c r="M996">
        <v>28.111770293958</v>
      </c>
      <c r="N996">
        <v>44.4746896627106</v>
      </c>
      <c r="O996">
        <v>43.9562298891186</v>
      </c>
      <c r="P996">
        <v>-0.146214185217522</v>
      </c>
      <c r="Q996">
        <v>0.0855123258068959</v>
      </c>
      <c r="R996">
        <v>0.995508136776142</v>
      </c>
      <c r="S996" t="s">
        <v>2680</v>
      </c>
      <c r="T996" t="s">
        <v>3344</v>
      </c>
      <c r="U996" t="s">
        <v>3344</v>
      </c>
      <c r="V996" t="s">
        <v>3344</v>
      </c>
      <c r="W996" t="s">
        <v>4338</v>
      </c>
      <c r="X996">
        <v>2</v>
      </c>
      <c r="Y996" t="s">
        <v>5995</v>
      </c>
      <c r="Z996" t="s">
        <v>7653</v>
      </c>
      <c r="AA996">
        <v>0.3101525331182272</v>
      </c>
      <c r="AB996">
        <f>HYPERLINK("Melting_Curves/meltCurve_P22106_asnB.pdf", "Melting_Curves/meltCurve_P22106_asnB.pdf")</f>
        <v>0</v>
      </c>
    </row>
    <row r="997" spans="1:28">
      <c r="A997" t="s">
        <v>1023</v>
      </c>
      <c r="B997">
        <v>0.999998419929286</v>
      </c>
      <c r="C997">
        <v>1.45732432759305</v>
      </c>
      <c r="D997">
        <v>1.13229622257719</v>
      </c>
      <c r="E997">
        <v>1.10576792280102</v>
      </c>
      <c r="F997">
        <v>1.02797048375727</v>
      </c>
      <c r="G997">
        <v>0.579702837253492</v>
      </c>
      <c r="H997">
        <v>0.864390805109021</v>
      </c>
      <c r="I997">
        <v>0.985612536852246</v>
      </c>
      <c r="J997">
        <v>0.597125511944386</v>
      </c>
      <c r="K997">
        <v>0.873742053143908</v>
      </c>
      <c r="L997">
        <v>5095.33147773334</v>
      </c>
      <c r="M997">
        <v>98.925350024444</v>
      </c>
      <c r="O997">
        <v>51.485777762891</v>
      </c>
      <c r="P997">
        <v>-0.105350472231458</v>
      </c>
      <c r="Q997">
        <v>0.780680989832503</v>
      </c>
      <c r="R997">
        <v>0.376612840411587</v>
      </c>
      <c r="S997" t="s">
        <v>2681</v>
      </c>
      <c r="T997" t="s">
        <v>3344</v>
      </c>
      <c r="U997" t="s">
        <v>3344</v>
      </c>
      <c r="V997" t="s">
        <v>3344</v>
      </c>
      <c r="W997" t="s">
        <v>4339</v>
      </c>
      <c r="X997">
        <v>2</v>
      </c>
      <c r="Y997" t="s">
        <v>5996</v>
      </c>
      <c r="Z997" t="s">
        <v>7654</v>
      </c>
      <c r="AA997">
        <v>0.8868618958088288</v>
      </c>
      <c r="AB997">
        <f>HYPERLINK("Melting_Curves/meltCurve_P22186_mraZ.pdf", "Melting_Curves/meltCurve_P22186_mraZ.pdf")</f>
        <v>0</v>
      </c>
    </row>
    <row r="998" spans="1:28">
      <c r="A998" t="s">
        <v>1024</v>
      </c>
      <c r="B998">
        <v>0.999998419929286</v>
      </c>
      <c r="C998">
        <v>1.31864322406456</v>
      </c>
      <c r="D998">
        <v>1.3256589999003</v>
      </c>
      <c r="E998">
        <v>1.42205715712716</v>
      </c>
      <c r="F998">
        <v>0.890166110086112</v>
      </c>
      <c r="G998">
        <v>0.439798606715158</v>
      </c>
      <c r="H998">
        <v>0.34894563450316</v>
      </c>
      <c r="I998">
        <v>0.24869714065003</v>
      </c>
      <c r="J998">
        <v>0.260404740212405</v>
      </c>
      <c r="K998">
        <v>0.261959919596757</v>
      </c>
      <c r="L998">
        <v>2402.09623229972</v>
      </c>
      <c r="M998">
        <v>45.8716659896934</v>
      </c>
      <c r="N998">
        <v>53.2975397314509</v>
      </c>
      <c r="O998">
        <v>52.2663665047842</v>
      </c>
      <c r="P998">
        <v>-0.158896752463698</v>
      </c>
      <c r="Q998">
        <v>0.275810673058266</v>
      </c>
      <c r="R998">
        <v>0.8192020257838309</v>
      </c>
      <c r="S998" t="s">
        <v>2682</v>
      </c>
      <c r="T998" t="s">
        <v>3344</v>
      </c>
      <c r="U998" t="s">
        <v>3344</v>
      </c>
      <c r="V998" t="s">
        <v>3344</v>
      </c>
      <c r="W998" t="s">
        <v>4340</v>
      </c>
      <c r="X998">
        <v>5</v>
      </c>
      <c r="Y998" t="s">
        <v>5997</v>
      </c>
      <c r="Z998" t="s">
        <v>7655</v>
      </c>
      <c r="AA998">
        <v>0.6487176275298727</v>
      </c>
      <c r="AB998">
        <f>HYPERLINK("Melting_Curves/meltCurve_P22188_murE.pdf", "Melting_Curves/meltCurve_P22188_murE.pdf")</f>
        <v>0</v>
      </c>
    </row>
    <row r="999" spans="1:28">
      <c r="A999" t="s">
        <v>1025</v>
      </c>
      <c r="B999">
        <v>0.999998419929286</v>
      </c>
      <c r="C999">
        <v>0.806628715764938</v>
      </c>
      <c r="D999">
        <v>0.940074252856967</v>
      </c>
      <c r="E999">
        <v>0.807944372495953</v>
      </c>
      <c r="F999">
        <v>0.829651784876646</v>
      </c>
      <c r="G999">
        <v>0.524816255093454</v>
      </c>
      <c r="H999">
        <v>0.101852142092079</v>
      </c>
      <c r="I999">
        <v>0.0539117039741891</v>
      </c>
      <c r="J999">
        <v>0.043533143050049</v>
      </c>
      <c r="K999">
        <v>0.0365748641757712</v>
      </c>
      <c r="L999">
        <v>1163.29969195491</v>
      </c>
      <c r="M999">
        <v>21.755687041222</v>
      </c>
      <c r="N999">
        <v>53.4710619437835</v>
      </c>
      <c r="O999">
        <v>53.0254349888874</v>
      </c>
      <c r="P999">
        <v>-0.102574333727593</v>
      </c>
      <c r="Q999">
        <v>0</v>
      </c>
      <c r="R999">
        <v>0.950432654821305</v>
      </c>
      <c r="S999" t="s">
        <v>2683</v>
      </c>
      <c r="T999" t="s">
        <v>3344</v>
      </c>
      <c r="U999" t="s">
        <v>3344</v>
      </c>
      <c r="V999" t="s">
        <v>3344</v>
      </c>
      <c r="W999" t="s">
        <v>4341</v>
      </c>
      <c r="X999">
        <v>7</v>
      </c>
      <c r="Y999" t="s">
        <v>5998</v>
      </c>
      <c r="Z999" t="s">
        <v>7656</v>
      </c>
      <c r="AA999">
        <v>0.5600102245498214</v>
      </c>
      <c r="AB999">
        <f>HYPERLINK("Melting_Curves/meltCurve_P22255_cysQ.pdf", "Melting_Curves/meltCurve_P22255_cysQ.pdf")</f>
        <v>0</v>
      </c>
    </row>
    <row r="1000" spans="1:28">
      <c r="A1000" t="s">
        <v>1026</v>
      </c>
      <c r="B1000">
        <v>0.999998419929286</v>
      </c>
      <c r="C1000">
        <v>1.23093627906397</v>
      </c>
      <c r="D1000">
        <v>1.24555712565563</v>
      </c>
      <c r="E1000">
        <v>1.39159400765265</v>
      </c>
      <c r="F1000">
        <v>1.43389393189422</v>
      </c>
      <c r="G1000">
        <v>1.68180319489239</v>
      </c>
      <c r="H1000">
        <v>1.31226690460484</v>
      </c>
      <c r="I1000">
        <v>0.967776982434706</v>
      </c>
      <c r="J1000">
        <v>0.636537853191766</v>
      </c>
      <c r="K1000">
        <v>0.319617790039848</v>
      </c>
      <c r="L1000">
        <v>4342.37134556141</v>
      </c>
      <c r="M1000">
        <v>67.78066116630031</v>
      </c>
      <c r="N1000">
        <v>64.87227740922511</v>
      </c>
      <c r="O1000">
        <v>64.0093456075884</v>
      </c>
      <c r="P1000">
        <v>-0.189312631803129</v>
      </c>
      <c r="Q1000">
        <v>0.284883013381461</v>
      </c>
      <c r="R1000">
        <v>0.305132457454798</v>
      </c>
      <c r="S1000" t="s">
        <v>2684</v>
      </c>
      <c r="T1000" t="s">
        <v>3344</v>
      </c>
      <c r="U1000" t="s">
        <v>3344</v>
      </c>
      <c r="V1000" t="s">
        <v>3344</v>
      </c>
      <c r="W1000" t="s">
        <v>4342</v>
      </c>
      <c r="X1000">
        <v>17</v>
      </c>
      <c r="Y1000" t="s">
        <v>5999</v>
      </c>
      <c r="Z1000" t="s">
        <v>7657</v>
      </c>
      <c r="AA1000">
        <v>0.929861393962522</v>
      </c>
      <c r="AB1000">
        <f>HYPERLINK("Melting_Curves/meltCurve_P22256_gabT.pdf", "Melting_Curves/meltCurve_P22256_gabT.pdf")</f>
        <v>0</v>
      </c>
    </row>
    <row r="1001" spans="1:28">
      <c r="A1001" t="s">
        <v>1027</v>
      </c>
      <c r="B1001">
        <v>0.999998419929286</v>
      </c>
      <c r="C1001">
        <v>1.15871734696949</v>
      </c>
      <c r="D1001">
        <v>1.34554154940181</v>
      </c>
      <c r="E1001">
        <v>1.55997824859115</v>
      </c>
      <c r="F1001">
        <v>1.72951260886013</v>
      </c>
      <c r="G1001">
        <v>1.53169566151924</v>
      </c>
      <c r="H1001">
        <v>0.515429861593675</v>
      </c>
      <c r="I1001">
        <v>0.08791381646934759</v>
      </c>
      <c r="J1001">
        <v>0.0354701084416466</v>
      </c>
      <c r="K1001">
        <v>0.0259864904519248</v>
      </c>
      <c r="L1001">
        <v>14347.7126713793</v>
      </c>
      <c r="M1001">
        <v>250</v>
      </c>
      <c r="N1001">
        <v>57.4149326145759</v>
      </c>
      <c r="O1001">
        <v>57.3871781855135</v>
      </c>
      <c r="P1001">
        <v>-1.03486748223759</v>
      </c>
      <c r="Q1001">
        <v>0.0497900097037393</v>
      </c>
      <c r="R1001">
        <v>0.690227237882784</v>
      </c>
      <c r="S1001" t="s">
        <v>2685</v>
      </c>
      <c r="T1001" t="s">
        <v>3344</v>
      </c>
      <c r="U1001" t="s">
        <v>3344</v>
      </c>
      <c r="V1001" t="s">
        <v>3344</v>
      </c>
      <c r="W1001" t="s">
        <v>4343</v>
      </c>
      <c r="X1001">
        <v>23</v>
      </c>
      <c r="Y1001" t="s">
        <v>6000</v>
      </c>
      <c r="Z1001" t="s">
        <v>7658</v>
      </c>
      <c r="AA1001">
        <v>0.6957387159684986</v>
      </c>
      <c r="AB1001">
        <f>HYPERLINK("Melting_Curves/meltCurve_P22259_pckA.pdf", "Melting_Curves/meltCurve_P22259_pckA.pdf")</f>
        <v>0</v>
      </c>
    </row>
    <row r="1002" spans="1:28">
      <c r="A1002" t="s">
        <v>1028</v>
      </c>
      <c r="B1002">
        <v>0.999998419929286</v>
      </c>
      <c r="C1002">
        <v>0.795968254346565</v>
      </c>
      <c r="D1002">
        <v>0.634166188587433</v>
      </c>
      <c r="E1002">
        <v>0.5599547460051419</v>
      </c>
      <c r="F1002">
        <v>0.473074607080957</v>
      </c>
      <c r="G1002">
        <v>0.431676109627045</v>
      </c>
      <c r="H1002">
        <v>0.352630702937611</v>
      </c>
      <c r="I1002">
        <v>0.297524958962684</v>
      </c>
      <c r="J1002">
        <v>0.259674417503666</v>
      </c>
      <c r="K1002">
        <v>0.228015552960329</v>
      </c>
      <c r="L1002">
        <v>376.428425521028</v>
      </c>
      <c r="M1002">
        <v>8.24361910979899</v>
      </c>
      <c r="N1002">
        <v>48.814776848042</v>
      </c>
      <c r="O1002">
        <v>43.2123328594926</v>
      </c>
      <c r="P1002">
        <v>-0.0378889094979649</v>
      </c>
      <c r="Q1002">
        <v>0.206360906480965</v>
      </c>
      <c r="R1002">
        <v>0.965284594386808</v>
      </c>
      <c r="S1002" t="s">
        <v>2686</v>
      </c>
      <c r="T1002" t="s">
        <v>3344</v>
      </c>
      <c r="U1002" t="s">
        <v>3344</v>
      </c>
      <c r="V1002" t="s">
        <v>3344</v>
      </c>
      <c r="W1002" t="s">
        <v>4344</v>
      </c>
      <c r="X1002">
        <v>6</v>
      </c>
      <c r="Y1002" t="s">
        <v>6001</v>
      </c>
      <c r="Z1002" t="s">
        <v>7659</v>
      </c>
      <c r="AA1002">
        <v>0.485025959773048</v>
      </c>
      <c r="AB1002">
        <f>HYPERLINK("Melting_Curves/meltCurve_P22333_add.pdf", "Melting_Curves/meltCurve_P22333_add.pdf")</f>
        <v>0</v>
      </c>
    </row>
    <row r="1003" spans="1:28">
      <c r="A1003" t="s">
        <v>1029</v>
      </c>
      <c r="B1003">
        <v>0.999998419929286</v>
      </c>
      <c r="C1003">
        <v>0.981855388532762</v>
      </c>
      <c r="D1003">
        <v>0.317742046490538</v>
      </c>
      <c r="E1003">
        <v>0.234506253403457</v>
      </c>
      <c r="F1003">
        <v>0.11808776188037</v>
      </c>
      <c r="G1003">
        <v>0</v>
      </c>
      <c r="H1003">
        <v>0</v>
      </c>
      <c r="I1003">
        <v>0</v>
      </c>
      <c r="J1003">
        <v>0.0533012279029393</v>
      </c>
      <c r="K1003">
        <v>0</v>
      </c>
      <c r="L1003">
        <v>2044.21939789505</v>
      </c>
      <c r="M1003">
        <v>48.4035087361117</v>
      </c>
      <c r="N1003">
        <v>42.3343178211798</v>
      </c>
      <c r="O1003">
        <v>42.1609767533411</v>
      </c>
      <c r="P1003">
        <v>-0.271300811906338</v>
      </c>
      <c r="Q1003">
        <v>0.0547547828618817</v>
      </c>
      <c r="R1003">
        <v>0.967072001110364</v>
      </c>
      <c r="S1003" t="s">
        <v>2687</v>
      </c>
      <c r="T1003" t="s">
        <v>3344</v>
      </c>
      <c r="U1003" t="s">
        <v>3344</v>
      </c>
      <c r="V1003" t="s">
        <v>3344</v>
      </c>
      <c r="W1003" t="s">
        <v>4345</v>
      </c>
      <c r="X1003">
        <v>1</v>
      </c>
      <c r="Y1003" t="s">
        <v>6002</v>
      </c>
      <c r="Z1003" t="s">
        <v>7660</v>
      </c>
      <c r="AA1003">
        <v>0.2215345223028655</v>
      </c>
      <c r="AB1003">
        <f>HYPERLINK("Melting_Curves/meltCurve_P22523_mukB.pdf", "Melting_Curves/meltCurve_P22523_mukB.pdf")</f>
        <v>0</v>
      </c>
    </row>
    <row r="1004" spans="1:28">
      <c r="A1004" t="s">
        <v>1030</v>
      </c>
      <c r="B1004">
        <v>0.999998419929286</v>
      </c>
      <c r="C1004">
        <v>0.944865047735265</v>
      </c>
      <c r="D1004">
        <v>0.783492809412154</v>
      </c>
      <c r="E1004">
        <v>0.814196934738902</v>
      </c>
      <c r="F1004">
        <v>0.705330070592105</v>
      </c>
      <c r="G1004">
        <v>0.621521114170144</v>
      </c>
      <c r="H1004">
        <v>0.387999536577958</v>
      </c>
      <c r="I1004">
        <v>0.234778192388531</v>
      </c>
      <c r="J1004">
        <v>0.206786235054786</v>
      </c>
      <c r="K1004">
        <v>0.170301936871386</v>
      </c>
      <c r="L1004">
        <v>461.151664618406</v>
      </c>
      <c r="M1004">
        <v>8.441817473001089</v>
      </c>
      <c r="N1004">
        <v>54.62706070675</v>
      </c>
      <c r="O1004">
        <v>51.8199994482308</v>
      </c>
      <c r="P1004">
        <v>-0.0407642973944087</v>
      </c>
      <c r="Q1004">
        <v>0</v>
      </c>
      <c r="R1004">
        <v>0.968046593838594</v>
      </c>
      <c r="S1004" t="s">
        <v>2688</v>
      </c>
      <c r="T1004" t="s">
        <v>3344</v>
      </c>
      <c r="U1004" t="s">
        <v>3344</v>
      </c>
      <c r="V1004" t="s">
        <v>3344</v>
      </c>
      <c r="W1004" t="s">
        <v>4346</v>
      </c>
      <c r="X1004">
        <v>5</v>
      </c>
      <c r="Y1004" t="s">
        <v>6003</v>
      </c>
      <c r="Z1004" t="s">
        <v>7661</v>
      </c>
      <c r="AA1004">
        <v>0.5987034532317529</v>
      </c>
      <c r="AB1004">
        <f>HYPERLINK("Melting_Curves/meltCurve_P22524_mukE.pdf", "Melting_Curves/meltCurve_P22524_mukE.pdf")</f>
        <v>0</v>
      </c>
    </row>
    <row r="1005" spans="1:28">
      <c r="A1005" t="s">
        <v>1031</v>
      </c>
      <c r="B1005">
        <v>0.999998419929286</v>
      </c>
      <c r="C1005">
        <v>1.04898292887708</v>
      </c>
      <c r="D1005">
        <v>0.566941109260421</v>
      </c>
      <c r="E1005">
        <v>0.294014074454899</v>
      </c>
      <c r="F1005">
        <v>0.138041202388606</v>
      </c>
      <c r="G1005">
        <v>0.150160712562744</v>
      </c>
      <c r="H1005">
        <v>0.0761385489980881</v>
      </c>
      <c r="I1005">
        <v>0.079655103802055</v>
      </c>
      <c r="J1005">
        <v>0.0720498839039766</v>
      </c>
      <c r="K1005">
        <v>0.077095142305001</v>
      </c>
      <c r="L1005">
        <v>1157.03800399883</v>
      </c>
      <c r="M1005">
        <v>26.5187133604979</v>
      </c>
      <c r="N1005">
        <v>43.9912825998259</v>
      </c>
      <c r="O1005">
        <v>43.385157411446</v>
      </c>
      <c r="P1005">
        <v>-0.137896211924063</v>
      </c>
      <c r="Q1005">
        <v>0.0976055073894922</v>
      </c>
      <c r="R1005">
        <v>0.980481641760238</v>
      </c>
      <c r="S1005" t="s">
        <v>2689</v>
      </c>
      <c r="T1005" t="s">
        <v>3344</v>
      </c>
      <c r="U1005" t="s">
        <v>3344</v>
      </c>
      <c r="V1005" t="s">
        <v>3344</v>
      </c>
      <c r="W1005" t="s">
        <v>4347</v>
      </c>
      <c r="X1005">
        <v>1</v>
      </c>
      <c r="Y1005" t="s">
        <v>6004</v>
      </c>
      <c r="Z1005" t="s">
        <v>7662</v>
      </c>
      <c r="AA1005">
        <v>0.3036059922772585</v>
      </c>
      <c r="AB1005">
        <f>HYPERLINK("Melting_Curves/meltCurve_P22525_ycbB.pdf", "Melting_Curves/meltCurve_P22525_ycbB.pdf")</f>
        <v>0</v>
      </c>
    </row>
    <row r="1006" spans="1:28">
      <c r="A1006" t="s">
        <v>1032</v>
      </c>
      <c r="B1006">
        <v>0.999998419929286</v>
      </c>
      <c r="C1006">
        <v>1.03786228892325</v>
      </c>
      <c r="D1006">
        <v>0.7499909520356181</v>
      </c>
      <c r="E1006">
        <v>0.991541561469264</v>
      </c>
      <c r="F1006">
        <v>1.20363244548454</v>
      </c>
      <c r="G1006">
        <v>1.44648063704263</v>
      </c>
      <c r="H1006">
        <v>1.16139673934828</v>
      </c>
      <c r="I1006">
        <v>1.049805164551</v>
      </c>
      <c r="J1006">
        <v>0.872098373895503</v>
      </c>
      <c r="K1006">
        <v>1.06904630968086</v>
      </c>
      <c r="L1006">
        <v>6520.93826842964</v>
      </c>
      <c r="M1006">
        <v>135.837821831026</v>
      </c>
      <c r="O1006">
        <v>47.9949396523846</v>
      </c>
      <c r="P1006">
        <v>0.0946163525727672</v>
      </c>
      <c r="Q1006">
        <v>1.13372134479734</v>
      </c>
      <c r="R1006">
        <v>0.228859492398645</v>
      </c>
      <c r="S1006" t="s">
        <v>2690</v>
      </c>
      <c r="T1006" t="s">
        <v>3344</v>
      </c>
      <c r="U1006" t="s">
        <v>3344</v>
      </c>
      <c r="V1006" t="s">
        <v>3344</v>
      </c>
      <c r="W1006" t="s">
        <v>4348</v>
      </c>
      <c r="X1006">
        <v>2</v>
      </c>
      <c r="Y1006" t="s">
        <v>6005</v>
      </c>
      <c r="Z1006" t="s">
        <v>7663</v>
      </c>
      <c r="AA1006">
        <v>1.08462828680911</v>
      </c>
      <c r="AB1006">
        <f>HYPERLINK("Melting_Curves/meltCurve_P22564_rihC.pdf", "Melting_Curves/meltCurve_P22564_rihC.pdf")</f>
        <v>0</v>
      </c>
    </row>
    <row r="1007" spans="1:28">
      <c r="A1007" t="s">
        <v>1033</v>
      </c>
      <c r="B1007">
        <v>0.999998419929286</v>
      </c>
      <c r="C1007">
        <v>1.0999678779148</v>
      </c>
      <c r="D1007">
        <v>0.637566808967404</v>
      </c>
      <c r="E1007">
        <v>0.763686760566641</v>
      </c>
      <c r="F1007">
        <v>0.761190928297327</v>
      </c>
      <c r="G1007">
        <v>0.765899413359204</v>
      </c>
      <c r="H1007">
        <v>0.441110449290561</v>
      </c>
      <c r="I1007">
        <v>0.174669741938316</v>
      </c>
      <c r="J1007">
        <v>0.179133750548886</v>
      </c>
      <c r="K1007">
        <v>0.14518451514911</v>
      </c>
      <c r="L1007">
        <v>512.39657058212</v>
      </c>
      <c r="M1007">
        <v>9.25340918615467</v>
      </c>
      <c r="N1007">
        <v>55.3738146336414</v>
      </c>
      <c r="O1007">
        <v>52.9719409635561</v>
      </c>
      <c r="P1007">
        <v>-0.0436998233802571</v>
      </c>
      <c r="Q1007">
        <v>0</v>
      </c>
      <c r="R1007">
        <v>0.8416672426435849</v>
      </c>
      <c r="S1007" t="s">
        <v>2691</v>
      </c>
      <c r="T1007" t="s">
        <v>3344</v>
      </c>
      <c r="U1007" t="s">
        <v>3344</v>
      </c>
      <c r="V1007" t="s">
        <v>3344</v>
      </c>
      <c r="W1007" t="s">
        <v>4349</v>
      </c>
      <c r="X1007">
        <v>1</v>
      </c>
      <c r="Y1007" t="s">
        <v>6006</v>
      </c>
      <c r="Z1007" t="s">
        <v>7664</v>
      </c>
      <c r="AA1007">
        <v>0.6206235469842103</v>
      </c>
      <c r="AB1007">
        <f>HYPERLINK("Melting_Curves/meltCurve_P23003_trmA.pdf", "Melting_Curves/meltCurve_P23003_trmA.pdf")</f>
        <v>0</v>
      </c>
    </row>
    <row r="1008" spans="1:28">
      <c r="A1008" t="s">
        <v>1034</v>
      </c>
      <c r="B1008">
        <v>0.999998419929286</v>
      </c>
      <c r="C1008">
        <v>0.9402956933453031</v>
      </c>
      <c r="D1008">
        <v>0.57878894529895</v>
      </c>
      <c r="E1008">
        <v>0.343929109841505</v>
      </c>
      <c r="F1008">
        <v>0.145996007285279</v>
      </c>
      <c r="G1008">
        <v>0.134163329896078</v>
      </c>
      <c r="H1008">
        <v>0.0700744790021593</v>
      </c>
      <c r="I1008">
        <v>0.0501557319969216</v>
      </c>
      <c r="J1008">
        <v>0.0385699354792059</v>
      </c>
      <c r="K1008">
        <v>0.036233068712587</v>
      </c>
      <c r="L1008">
        <v>799.132869746751</v>
      </c>
      <c r="M1008">
        <v>18.1026865802157</v>
      </c>
      <c r="N1008">
        <v>44.4232329187278</v>
      </c>
      <c r="O1008">
        <v>43.6163181909418</v>
      </c>
      <c r="P1008">
        <v>-0.0981943044687478</v>
      </c>
      <c r="Q1008">
        <v>0.053694624412023</v>
      </c>
      <c r="R1008">
        <v>0.9908484718395441</v>
      </c>
      <c r="S1008" t="s">
        <v>2692</v>
      </c>
      <c r="T1008" t="s">
        <v>3344</v>
      </c>
      <c r="U1008" t="s">
        <v>3344</v>
      </c>
      <c r="V1008" t="s">
        <v>3344</v>
      </c>
      <c r="W1008" t="s">
        <v>4350</v>
      </c>
      <c r="X1008">
        <v>1</v>
      </c>
      <c r="Y1008" t="s">
        <v>6007</v>
      </c>
      <c r="Z1008" t="s">
        <v>7665</v>
      </c>
      <c r="AA1008">
        <v>0.2947204918951847</v>
      </c>
      <c r="AB1008">
        <f>HYPERLINK("Melting_Curves/meltCurve_P23173_tnaB.pdf", "Melting_Curves/meltCurve_P23173_tnaB.pdf")</f>
        <v>0</v>
      </c>
    </row>
    <row r="1009" spans="1:28">
      <c r="A1009" t="s">
        <v>1035</v>
      </c>
      <c r="B1009">
        <v>0.999998419929286</v>
      </c>
      <c r="C1009">
        <v>1.01313785312021</v>
      </c>
      <c r="D1009">
        <v>0.877961288801109</v>
      </c>
      <c r="E1009">
        <v>0.670989277643481</v>
      </c>
      <c r="F1009">
        <v>0.323221583601282</v>
      </c>
      <c r="G1009">
        <v>0.195452804302792</v>
      </c>
      <c r="H1009">
        <v>0.085042609128857</v>
      </c>
      <c r="I1009">
        <v>0.0484629306774319</v>
      </c>
      <c r="J1009">
        <v>0.024810086041318</v>
      </c>
      <c r="K1009">
        <v>0.0343551521882035</v>
      </c>
      <c r="L1009">
        <v>840.939766925138</v>
      </c>
      <c r="M1009">
        <v>17.438852615821</v>
      </c>
      <c r="N1009">
        <v>48.3708149568998</v>
      </c>
      <c r="O1009">
        <v>47.6014924884299</v>
      </c>
      <c r="P1009">
        <v>-0.0892036443108427</v>
      </c>
      <c r="Q1009">
        <v>0.0260851781550966</v>
      </c>
      <c r="R1009">
        <v>0.997417900246128</v>
      </c>
      <c r="S1009" t="s">
        <v>2693</v>
      </c>
      <c r="T1009" t="s">
        <v>3344</v>
      </c>
      <c r="U1009" t="s">
        <v>3344</v>
      </c>
      <c r="V1009" t="s">
        <v>3344</v>
      </c>
      <c r="W1009" t="s">
        <v>4351</v>
      </c>
      <c r="X1009">
        <v>2</v>
      </c>
      <c r="Y1009" t="s">
        <v>6008</v>
      </c>
      <c r="Z1009" t="s">
        <v>7666</v>
      </c>
      <c r="AA1009">
        <v>0.4068629443516298</v>
      </c>
      <c r="AB1009">
        <f>HYPERLINK("Melting_Curves/meltCurve_P23200_mglC.pdf", "Melting_Curves/meltCurve_P23200_mglC.pdf")</f>
        <v>0</v>
      </c>
    </row>
    <row r="1010" spans="1:28">
      <c r="A1010" t="s">
        <v>1036</v>
      </c>
      <c r="B1010">
        <v>0.999998419929286</v>
      </c>
      <c r="C1010">
        <v>0.770741980055378</v>
      </c>
      <c r="D1010">
        <v>1.11501817816048</v>
      </c>
      <c r="E1010">
        <v>0.966850384678095</v>
      </c>
      <c r="F1010">
        <v>1.23816876926134</v>
      </c>
      <c r="G1010">
        <v>1.32181170502139</v>
      </c>
      <c r="H1010">
        <v>1.10116797096365</v>
      </c>
      <c r="I1010">
        <v>1.20287728807203</v>
      </c>
      <c r="J1010">
        <v>1.18245176150646</v>
      </c>
      <c r="K1010">
        <v>1.13025253449132</v>
      </c>
      <c r="L1010">
        <v>5508.39094633657</v>
      </c>
      <c r="M1010">
        <v>114.049774971969</v>
      </c>
      <c r="O1010">
        <v>48.2832857567903</v>
      </c>
      <c r="P1010">
        <v>0.115922299267757</v>
      </c>
      <c r="Q1010">
        <v>1.19630409032246</v>
      </c>
      <c r="R1010">
        <v>0.558155713305605</v>
      </c>
      <c r="S1010" t="s">
        <v>2694</v>
      </c>
      <c r="T1010" t="s">
        <v>3344</v>
      </c>
      <c r="U1010" t="s">
        <v>3344</v>
      </c>
      <c r="V1010" t="s">
        <v>3344</v>
      </c>
      <c r="W1010" t="s">
        <v>4352</v>
      </c>
      <c r="X1010">
        <v>3</v>
      </c>
      <c r="Y1010" t="s">
        <v>6009</v>
      </c>
      <c r="Z1010" t="s">
        <v>7667</v>
      </c>
      <c r="AA1010">
        <v>1.12229509572017</v>
      </c>
      <c r="AB1010">
        <f>HYPERLINK("Melting_Curves/meltCurve_P23331_tdk.pdf", "Melting_Curves/meltCurve_P23331_tdk.pdf")</f>
        <v>0</v>
      </c>
    </row>
    <row r="1011" spans="1:28">
      <c r="A1011" t="s">
        <v>1037</v>
      </c>
      <c r="B1011">
        <v>0.999998419929286</v>
      </c>
      <c r="C1011">
        <v>1.07769625056</v>
      </c>
      <c r="D1011">
        <v>0.747479215399781</v>
      </c>
      <c r="E1011">
        <v>0.739282147131751</v>
      </c>
      <c r="F1011">
        <v>0.918372032611079</v>
      </c>
      <c r="G1011">
        <v>1.14965115154003</v>
      </c>
      <c r="H1011">
        <v>0.656321679792557</v>
      </c>
      <c r="I1011">
        <v>0.326936021088983</v>
      </c>
      <c r="J1011">
        <v>0</v>
      </c>
      <c r="K1011">
        <v>0.359118526515065</v>
      </c>
      <c r="L1011">
        <v>3499.53555375935</v>
      </c>
      <c r="M1011">
        <v>60.6264668503064</v>
      </c>
      <c r="N1011">
        <v>58.2652387434271</v>
      </c>
      <c r="O1011">
        <v>57.6601972186147</v>
      </c>
      <c r="P1011">
        <v>-0.206182074889084</v>
      </c>
      <c r="Q1011">
        <v>0.215623474143048</v>
      </c>
      <c r="R1011">
        <v>0.80169215021131</v>
      </c>
      <c r="S1011" t="s">
        <v>2695</v>
      </c>
      <c r="T1011" t="s">
        <v>3344</v>
      </c>
      <c r="U1011" t="s">
        <v>3344</v>
      </c>
      <c r="V1011" t="s">
        <v>3344</v>
      </c>
      <c r="W1011" t="s">
        <v>4353</v>
      </c>
      <c r="X1011">
        <v>1</v>
      </c>
      <c r="Y1011" t="s">
        <v>6010</v>
      </c>
      <c r="Z1011" t="s">
        <v>7668</v>
      </c>
      <c r="AA1011">
        <v>0.7587901247559828</v>
      </c>
      <c r="AB1011">
        <f>HYPERLINK("Melting_Curves/meltCurve_P23367_mutL.pdf", "Melting_Curves/meltCurve_P23367_mutL.pdf")</f>
        <v>0</v>
      </c>
    </row>
    <row r="1012" spans="1:28">
      <c r="A1012" t="s">
        <v>1038</v>
      </c>
      <c r="B1012">
        <v>0.999998419929286</v>
      </c>
      <c r="C1012">
        <v>0.975290336624547</v>
      </c>
      <c r="D1012">
        <v>0.9399214345504709</v>
      </c>
      <c r="E1012">
        <v>1.05458712540627</v>
      </c>
      <c r="F1012">
        <v>1.15780069707885</v>
      </c>
      <c r="G1012">
        <v>1.23477673167377</v>
      </c>
      <c r="H1012">
        <v>0.868667524412693</v>
      </c>
      <c r="I1012">
        <v>0.320563288854278</v>
      </c>
      <c r="J1012">
        <v>0.0625274336449014</v>
      </c>
      <c r="K1012">
        <v>0.0549686614540361</v>
      </c>
      <c r="L1012">
        <v>2932.70686915803</v>
      </c>
      <c r="M1012">
        <v>49.0145618344137</v>
      </c>
      <c r="N1012">
        <v>59.9388024709354</v>
      </c>
      <c r="O1012">
        <v>59.7340333881935</v>
      </c>
      <c r="P1012">
        <v>-0.196663365792326</v>
      </c>
      <c r="Q1012">
        <v>0.0413065185323218</v>
      </c>
      <c r="R1012">
        <v>0.94981354297095</v>
      </c>
      <c r="S1012" t="s">
        <v>2696</v>
      </c>
      <c r="T1012" t="s">
        <v>3344</v>
      </c>
      <c r="U1012" t="s">
        <v>3344</v>
      </c>
      <c r="V1012" t="s">
        <v>3344</v>
      </c>
      <c r="W1012" t="s">
        <v>4354</v>
      </c>
      <c r="X1012">
        <v>5</v>
      </c>
      <c r="Y1012" t="s">
        <v>6011</v>
      </c>
      <c r="Z1012" t="s">
        <v>7669</v>
      </c>
      <c r="AA1012">
        <v>0.7733433334469741</v>
      </c>
      <c r="AB1012">
        <f>HYPERLINK("Melting_Curves/meltCurve_P23522_garL.pdf", "Melting_Curves/meltCurve_P23522_garL.pdf")</f>
        <v>0</v>
      </c>
    </row>
    <row r="1013" spans="1:28">
      <c r="A1013" t="s">
        <v>1039</v>
      </c>
      <c r="B1013">
        <v>0.999998419929286</v>
      </c>
      <c r="C1013">
        <v>1.21667636078001</v>
      </c>
      <c r="D1013">
        <v>0.7996380961471899</v>
      </c>
      <c r="E1013">
        <v>0.361851175778614</v>
      </c>
      <c r="F1013">
        <v>0.170233127553875</v>
      </c>
      <c r="G1013">
        <v>0.106606907752305</v>
      </c>
      <c r="H1013">
        <v>0.0871248320999178</v>
      </c>
      <c r="I1013">
        <v>0.0673972285756082</v>
      </c>
      <c r="J1013">
        <v>0.0675676980416143</v>
      </c>
      <c r="K1013">
        <v>0.0618679965258713</v>
      </c>
      <c r="L1013">
        <v>1344.5324620499</v>
      </c>
      <c r="M1013">
        <v>29.6828563880262</v>
      </c>
      <c r="N1013">
        <v>45.5746770518287</v>
      </c>
      <c r="O1013">
        <v>45.0925189154378</v>
      </c>
      <c r="P1013">
        <v>-0.150936607370398</v>
      </c>
      <c r="Q1013">
        <v>0.0828291610855684</v>
      </c>
      <c r="R1013">
        <v>0.966492478646743</v>
      </c>
      <c r="S1013" t="s">
        <v>2697</v>
      </c>
      <c r="T1013" t="s">
        <v>3344</v>
      </c>
      <c r="U1013" t="s">
        <v>3344</v>
      </c>
      <c r="V1013" t="s">
        <v>3344</v>
      </c>
      <c r="W1013" t="s">
        <v>4355</v>
      </c>
      <c r="X1013">
        <v>16</v>
      </c>
      <c r="Y1013" t="s">
        <v>6012</v>
      </c>
      <c r="Z1013" t="s">
        <v>7670</v>
      </c>
      <c r="AA1013">
        <v>0.3417611873723902</v>
      </c>
      <c r="AB1013">
        <f>HYPERLINK("Melting_Curves/meltCurve_P23538_ppsA.pdf", "Melting_Curves/meltCurve_P23538_ppsA.pdf")</f>
        <v>0</v>
      </c>
    </row>
    <row r="1014" spans="1:28">
      <c r="A1014" t="s">
        <v>1040</v>
      </c>
      <c r="B1014">
        <v>0.999998419929286</v>
      </c>
      <c r="C1014">
        <v>1.11521105957171</v>
      </c>
      <c r="D1014">
        <v>1.2436260041449</v>
      </c>
      <c r="E1014">
        <v>1.40720660633505</v>
      </c>
      <c r="F1014">
        <v>1.75349771233705</v>
      </c>
      <c r="G1014">
        <v>2.20007216521694</v>
      </c>
      <c r="H1014">
        <v>1.85137599995327</v>
      </c>
      <c r="I1014">
        <v>0.434548913338214</v>
      </c>
      <c r="J1014">
        <v>0.16835571520987</v>
      </c>
      <c r="K1014">
        <v>0.06827904288777389</v>
      </c>
      <c r="L1014">
        <v>15000</v>
      </c>
      <c r="M1014">
        <v>246.482770610951</v>
      </c>
      <c r="N1014">
        <v>60.9229191005913</v>
      </c>
      <c r="O1014">
        <v>60.8521742907274</v>
      </c>
      <c r="P1014">
        <v>-0.8928199441964511</v>
      </c>
      <c r="Q1014">
        <v>0.118315091397623</v>
      </c>
      <c r="R1014">
        <v>0.366273740465939</v>
      </c>
      <c r="S1014" t="s">
        <v>2698</v>
      </c>
      <c r="T1014" t="s">
        <v>3344</v>
      </c>
      <c r="U1014" t="s">
        <v>3344</v>
      </c>
      <c r="V1014" t="s">
        <v>3344</v>
      </c>
      <c r="W1014" t="s">
        <v>4356</v>
      </c>
      <c r="X1014">
        <v>11</v>
      </c>
      <c r="Y1014" t="s">
        <v>6013</v>
      </c>
      <c r="Z1014" t="s">
        <v>7671</v>
      </c>
      <c r="AA1014">
        <v>0.8195331107046484</v>
      </c>
      <c r="AB1014">
        <f>HYPERLINK("Melting_Curves/meltCurve_P23721_serC.pdf", "Melting_Curves/meltCurve_P23721_serC.pdf")</f>
        <v>0</v>
      </c>
    </row>
    <row r="1015" spans="1:28">
      <c r="A1015" t="s">
        <v>1041</v>
      </c>
      <c r="B1015">
        <v>0.999998419929286</v>
      </c>
      <c r="C1015">
        <v>0.889893678285185</v>
      </c>
      <c r="D1015">
        <v>0.910702649481236</v>
      </c>
      <c r="E1015">
        <v>1.01536189696133</v>
      </c>
      <c r="F1015">
        <v>1.14972902431917</v>
      </c>
      <c r="G1015">
        <v>1.45156982296472</v>
      </c>
      <c r="H1015">
        <v>1.36465843491513</v>
      </c>
      <c r="I1015">
        <v>1.11189739894206</v>
      </c>
      <c r="J1015">
        <v>1.18681161273704</v>
      </c>
      <c r="K1015">
        <v>1.15229439403619</v>
      </c>
      <c r="L1015">
        <v>12531.5686352613</v>
      </c>
      <c r="M1015">
        <v>250</v>
      </c>
      <c r="O1015">
        <v>50.1230668138728</v>
      </c>
      <c r="P1015">
        <v>0.316030056492969</v>
      </c>
      <c r="Q1015">
        <v>1.25344632978072</v>
      </c>
      <c r="R1015">
        <v>0.642369832815996</v>
      </c>
      <c r="S1015" t="s">
        <v>2699</v>
      </c>
      <c r="T1015" t="s">
        <v>3344</v>
      </c>
      <c r="U1015" t="s">
        <v>3344</v>
      </c>
      <c r="V1015" t="s">
        <v>3344</v>
      </c>
      <c r="W1015" t="s">
        <v>4357</v>
      </c>
      <c r="X1015">
        <v>7</v>
      </c>
      <c r="Y1015" t="s">
        <v>6014</v>
      </c>
      <c r="Z1015" t="s">
        <v>7672</v>
      </c>
      <c r="AA1015">
        <v>1.142530497025569</v>
      </c>
      <c r="AB1015">
        <f>HYPERLINK("Melting_Curves/meltCurve_P23827_eco.pdf", "Melting_Curves/meltCurve_P23827_eco.pdf")</f>
        <v>0</v>
      </c>
    </row>
    <row r="1016" spans="1:28">
      <c r="A1016" t="s">
        <v>1042</v>
      </c>
      <c r="B1016">
        <v>0.999998419929286</v>
      </c>
      <c r="C1016">
        <v>1.43084257821774</v>
      </c>
      <c r="D1016">
        <v>0.983386980471523</v>
      </c>
      <c r="E1016">
        <v>0.396869690006397</v>
      </c>
      <c r="F1016">
        <v>0.208005485926026</v>
      </c>
      <c r="G1016">
        <v>0.1327296941144</v>
      </c>
      <c r="H1016">
        <v>0.0809297687420568</v>
      </c>
      <c r="I1016">
        <v>0.0576300607892217</v>
      </c>
      <c r="J1016">
        <v>0.0458342267090292</v>
      </c>
      <c r="K1016">
        <v>0.0449088268330946</v>
      </c>
      <c r="L1016">
        <v>2040.47466475532</v>
      </c>
      <c r="M1016">
        <v>44.3803056962657</v>
      </c>
      <c r="N1016">
        <v>46.1817650742384</v>
      </c>
      <c r="O1016">
        <v>45.8839726873108</v>
      </c>
      <c r="P1016">
        <v>-0.220216163949554</v>
      </c>
      <c r="Q1016">
        <v>0.0892916652630026</v>
      </c>
      <c r="R1016">
        <v>0.912531951466362</v>
      </c>
      <c r="S1016" t="s">
        <v>2700</v>
      </c>
      <c r="T1016" t="s">
        <v>3344</v>
      </c>
      <c r="U1016" t="s">
        <v>3344</v>
      </c>
      <c r="V1016" t="s">
        <v>3344</v>
      </c>
      <c r="W1016" t="s">
        <v>4358</v>
      </c>
      <c r="X1016">
        <v>8</v>
      </c>
      <c r="Y1016" t="s">
        <v>6015</v>
      </c>
      <c r="Z1016" t="s">
        <v>7673</v>
      </c>
      <c r="AA1016">
        <v>0.3641551443238398</v>
      </c>
      <c r="AB1016">
        <f>HYPERLINK("Melting_Curves/meltCurve_P23830_pssA.pdf", "Melting_Curves/meltCurve_P23830_pssA.pdf")</f>
        <v>0</v>
      </c>
    </row>
    <row r="1017" spans="1:28">
      <c r="A1017" t="s">
        <v>1043</v>
      </c>
      <c r="B1017">
        <v>0.999998419929286</v>
      </c>
      <c r="C1017">
        <v>0.872619483257983</v>
      </c>
      <c r="D1017">
        <v>0.995203498496721</v>
      </c>
      <c r="E1017">
        <v>1.0166506888407</v>
      </c>
      <c r="F1017">
        <v>0.95548398441283</v>
      </c>
      <c r="G1017">
        <v>0.487772906200469</v>
      </c>
      <c r="H1017">
        <v>0.130717354040272</v>
      </c>
      <c r="I1017">
        <v>0.0807537948818908</v>
      </c>
      <c r="J1017">
        <v>0.0604418716714973</v>
      </c>
      <c r="K1017">
        <v>0.0545259356963288</v>
      </c>
      <c r="L1017">
        <v>2228.93595785035</v>
      </c>
      <c r="M1017">
        <v>41.6029638629862</v>
      </c>
      <c r="N1017">
        <v>53.7575515990421</v>
      </c>
      <c r="O1017">
        <v>53.4530307160788</v>
      </c>
      <c r="P1017">
        <v>-0.181848257923487</v>
      </c>
      <c r="Q1017">
        <v>0.0654201144611616</v>
      </c>
      <c r="R1017">
        <v>0.990365372405455</v>
      </c>
      <c r="S1017" t="s">
        <v>2701</v>
      </c>
      <c r="T1017" t="s">
        <v>3344</v>
      </c>
      <c r="U1017" t="s">
        <v>3344</v>
      </c>
      <c r="V1017" t="s">
        <v>3344</v>
      </c>
      <c r="W1017" t="s">
        <v>4359</v>
      </c>
      <c r="X1017">
        <v>7</v>
      </c>
      <c r="Y1017" t="s">
        <v>6016</v>
      </c>
      <c r="Z1017" t="s">
        <v>7674</v>
      </c>
      <c r="AA1017">
        <v>0.5850005378544884</v>
      </c>
      <c r="AB1017">
        <f>HYPERLINK("Melting_Curves/meltCurve_P23836_phoP.pdf", "Melting_Curves/meltCurve_P23836_phoP.pdf")</f>
        <v>0</v>
      </c>
    </row>
    <row r="1018" spans="1:28">
      <c r="A1018" t="s">
        <v>1044</v>
      </c>
      <c r="B1018">
        <v>0.999998419929286</v>
      </c>
      <c r="C1018">
        <v>0.997517019021586</v>
      </c>
      <c r="D1018">
        <v>0.979640153808913</v>
      </c>
      <c r="E1018">
        <v>0.628763326238612</v>
      </c>
      <c r="F1018">
        <v>0.148193356645259</v>
      </c>
      <c r="G1018">
        <v>0.167703259855036</v>
      </c>
      <c r="H1018">
        <v>0.122268355929375</v>
      </c>
      <c r="I1018">
        <v>0</v>
      </c>
      <c r="J1018">
        <v>0</v>
      </c>
      <c r="K1018">
        <v>0</v>
      </c>
      <c r="L1018">
        <v>1489.16898578723</v>
      </c>
      <c r="M1018">
        <v>31.5144974003975</v>
      </c>
      <c r="N1018">
        <v>47.4046661011049</v>
      </c>
      <c r="O1018">
        <v>47.064411014664</v>
      </c>
      <c r="P1018">
        <v>-0.159397261898405</v>
      </c>
      <c r="Q1018">
        <v>0.0478162509162982</v>
      </c>
      <c r="R1018">
        <v>0.986975389874619</v>
      </c>
      <c r="S1018" t="s">
        <v>2702</v>
      </c>
      <c r="T1018" t="s">
        <v>3344</v>
      </c>
      <c r="U1018" t="s">
        <v>3344</v>
      </c>
      <c r="V1018" t="s">
        <v>3344</v>
      </c>
      <c r="W1018" t="s">
        <v>4360</v>
      </c>
      <c r="X1018">
        <v>1</v>
      </c>
      <c r="Y1018" t="s">
        <v>6017</v>
      </c>
      <c r="Z1018" t="s">
        <v>7675</v>
      </c>
      <c r="AA1018">
        <v>0.378289696904106</v>
      </c>
      <c r="AB1018">
        <f>HYPERLINK("Melting_Curves/meltCurve_P23837_phoQ.pdf", "Melting_Curves/meltCurve_P23837_phoQ.pdf")</f>
        <v>0</v>
      </c>
    </row>
    <row r="1019" spans="1:28">
      <c r="A1019" t="s">
        <v>1045</v>
      </c>
      <c r="B1019">
        <v>0.999998419929286</v>
      </c>
      <c r="C1019">
        <v>1.00823174994188</v>
      </c>
      <c r="D1019">
        <v>1.11655309090423</v>
      </c>
      <c r="E1019">
        <v>1.14325594141746</v>
      </c>
      <c r="F1019">
        <v>1.09395549980696</v>
      </c>
      <c r="G1019">
        <v>0.573515364508045</v>
      </c>
      <c r="H1019">
        <v>0.0810239900821941</v>
      </c>
      <c r="I1019">
        <v>0.0411689542587865</v>
      </c>
      <c r="J1019">
        <v>0.0554633190012521</v>
      </c>
      <c r="K1019">
        <v>0.0359641605473476</v>
      </c>
      <c r="L1019">
        <v>5950.294364447</v>
      </c>
      <c r="M1019">
        <v>110.400184864921</v>
      </c>
      <c r="N1019">
        <v>53.9523851485726</v>
      </c>
      <c r="O1019">
        <v>53.8798190672639</v>
      </c>
      <c r="P1019">
        <v>-0.485053517845384</v>
      </c>
      <c r="Q1019">
        <v>0.0530958732147314</v>
      </c>
      <c r="R1019">
        <v>0.981002211223154</v>
      </c>
      <c r="S1019" t="s">
        <v>2703</v>
      </c>
      <c r="T1019" t="s">
        <v>3344</v>
      </c>
      <c r="U1019" t="s">
        <v>3344</v>
      </c>
      <c r="V1019" t="s">
        <v>3344</v>
      </c>
      <c r="W1019" t="s">
        <v>4361</v>
      </c>
      <c r="X1019">
        <v>12</v>
      </c>
      <c r="Y1019" t="s">
        <v>6018</v>
      </c>
      <c r="Z1019" t="s">
        <v>7676</v>
      </c>
      <c r="AA1019">
        <v>0.5868994489505288</v>
      </c>
      <c r="AB1019">
        <f>HYPERLINK("Melting_Curves/meltCurve_P23839_yicC.pdf", "Melting_Curves/meltCurve_P23839_yicC.pdf")</f>
        <v>0</v>
      </c>
    </row>
    <row r="1020" spans="1:28">
      <c r="A1020" t="s">
        <v>1046</v>
      </c>
      <c r="B1020">
        <v>0.999998419929286</v>
      </c>
      <c r="C1020">
        <v>1.17752601504527</v>
      </c>
      <c r="D1020">
        <v>1.43918502386868</v>
      </c>
      <c r="E1020">
        <v>1.72524706854532</v>
      </c>
      <c r="F1020">
        <v>1.69104078059106</v>
      </c>
      <c r="G1020">
        <v>0.457337010493781</v>
      </c>
      <c r="H1020">
        <v>0.168097356048821</v>
      </c>
      <c r="I1020">
        <v>0.101124587437972</v>
      </c>
      <c r="J1020">
        <v>0.0807790386337832</v>
      </c>
      <c r="K1020">
        <v>0.0709583049019796</v>
      </c>
      <c r="L1020">
        <v>13426.7271622991</v>
      </c>
      <c r="M1020">
        <v>250</v>
      </c>
      <c r="N1020">
        <v>53.7577270485222</v>
      </c>
      <c r="O1020">
        <v>53.7034718108701</v>
      </c>
      <c r="P1020">
        <v>-1.04132027069679</v>
      </c>
      <c r="Q1020">
        <v>0.105239780986549</v>
      </c>
      <c r="R1020">
        <v>0.7127184198290381</v>
      </c>
      <c r="S1020" t="s">
        <v>2704</v>
      </c>
      <c r="T1020" t="s">
        <v>3344</v>
      </c>
      <c r="U1020" t="s">
        <v>3344</v>
      </c>
      <c r="V1020" t="s">
        <v>3344</v>
      </c>
      <c r="W1020" t="s">
        <v>4362</v>
      </c>
      <c r="X1020">
        <v>20</v>
      </c>
      <c r="Y1020" t="s">
        <v>6019</v>
      </c>
      <c r="Z1020" t="s">
        <v>7677</v>
      </c>
      <c r="AA1020">
        <v>0.6036133578217896</v>
      </c>
      <c r="AB1020">
        <f>HYPERLINK("Melting_Curves/meltCurve_P23843_oppA.pdf", "Melting_Curves/meltCurve_P23843_oppA.pdf")</f>
        <v>0</v>
      </c>
    </row>
    <row r="1021" spans="1:28">
      <c r="A1021" t="s">
        <v>1047</v>
      </c>
      <c r="B1021">
        <v>0.999998419929286</v>
      </c>
      <c r="C1021">
        <v>1.11529256884213</v>
      </c>
      <c r="D1021">
        <v>1.32078089572648</v>
      </c>
      <c r="E1021">
        <v>1.52974724534149</v>
      </c>
      <c r="F1021">
        <v>1.77399601992377</v>
      </c>
      <c r="G1021">
        <v>2.25615978470146</v>
      </c>
      <c r="H1021">
        <v>2.03321979705153</v>
      </c>
      <c r="I1021">
        <v>1.51607919886429</v>
      </c>
      <c r="J1021">
        <v>0.875449910828351</v>
      </c>
      <c r="K1021">
        <v>0.234597119774612</v>
      </c>
      <c r="L1021">
        <v>15000</v>
      </c>
      <c r="M1021">
        <v>232.370974717189</v>
      </c>
      <c r="N1021">
        <v>64.72822055012981</v>
      </c>
      <c r="O1021">
        <v>64.54717062144751</v>
      </c>
      <c r="P1021">
        <v>-0.689007669169911</v>
      </c>
      <c r="Q1021">
        <v>0.234439748000565</v>
      </c>
      <c r="R1021">
        <v>-0.231578964590107</v>
      </c>
      <c r="S1021" t="s">
        <v>2705</v>
      </c>
      <c r="T1021" t="s">
        <v>3344</v>
      </c>
      <c r="U1021" t="s">
        <v>3344</v>
      </c>
      <c r="V1021" t="s">
        <v>3344</v>
      </c>
      <c r="W1021" t="s">
        <v>4363</v>
      </c>
      <c r="X1021">
        <v>20</v>
      </c>
      <c r="Y1021" t="s">
        <v>6020</v>
      </c>
      <c r="Z1021" t="s">
        <v>7678</v>
      </c>
      <c r="AA1021">
        <v>0.93762786561731</v>
      </c>
      <c r="AB1021">
        <f>HYPERLINK("Melting_Curves/meltCurve_P23847_dppA.pdf", "Melting_Curves/meltCurve_P23847_dppA.pdf")</f>
        <v>0</v>
      </c>
    </row>
    <row r="1022" spans="1:28">
      <c r="A1022" t="s">
        <v>1048</v>
      </c>
      <c r="B1022">
        <v>0.999998419929286</v>
      </c>
      <c r="C1022">
        <v>1.21978647182433</v>
      </c>
      <c r="D1022">
        <v>0.711589543172895</v>
      </c>
      <c r="E1022">
        <v>0.896643507045654</v>
      </c>
      <c r="F1022">
        <v>0.936904571015276</v>
      </c>
      <c r="G1022">
        <v>0.825789105375916</v>
      </c>
      <c r="H1022">
        <v>0.771526461405594</v>
      </c>
      <c r="I1022">
        <v>1.00736201181817</v>
      </c>
      <c r="J1022">
        <v>1.00936314859985</v>
      </c>
      <c r="K1022">
        <v>0.915047502541342</v>
      </c>
      <c r="L1022">
        <v>10354.5577181238</v>
      </c>
      <c r="M1022">
        <v>250</v>
      </c>
      <c r="O1022">
        <v>41.4155803676399</v>
      </c>
      <c r="P1022">
        <v>-0.174682019651873</v>
      </c>
      <c r="Q1022">
        <v>0.88424708452112</v>
      </c>
      <c r="R1022">
        <v>0.307611251011051</v>
      </c>
      <c r="S1022" t="s">
        <v>2706</v>
      </c>
      <c r="T1022" t="s">
        <v>3344</v>
      </c>
      <c r="U1022" t="s">
        <v>3344</v>
      </c>
      <c r="V1022" t="s">
        <v>3344</v>
      </c>
      <c r="W1022" t="s">
        <v>4364</v>
      </c>
      <c r="X1022">
        <v>2</v>
      </c>
      <c r="Y1022" t="s">
        <v>6021</v>
      </c>
      <c r="Z1022" t="s">
        <v>7679</v>
      </c>
      <c r="AA1022">
        <v>0.9013029352346238</v>
      </c>
      <c r="AB1022">
        <f>HYPERLINK("Melting_Curves/meltCurve_P23857_pspE.pdf", "Melting_Curves/meltCurve_P23857_pspE.pdf")</f>
        <v>0</v>
      </c>
    </row>
    <row r="1023" spans="1:28">
      <c r="A1023" t="s">
        <v>1049</v>
      </c>
      <c r="B1023">
        <v>0.999998419929286</v>
      </c>
      <c r="C1023">
        <v>1.40761318090746</v>
      </c>
      <c r="D1023">
        <v>0.92933707080993</v>
      </c>
      <c r="E1023">
        <v>0.527677635933599</v>
      </c>
      <c r="F1023">
        <v>0.144526189557467</v>
      </c>
      <c r="G1023">
        <v>0.10601076502152</v>
      </c>
      <c r="H1023">
        <v>0.0656141018296162</v>
      </c>
      <c r="I1023">
        <v>0.0624663321966146</v>
      </c>
      <c r="J1023">
        <v>0.0475068898412118</v>
      </c>
      <c r="K1023">
        <v>0.0506998261639012</v>
      </c>
      <c r="L1023">
        <v>1647.61212703743</v>
      </c>
      <c r="M1023">
        <v>35.3637406751137</v>
      </c>
      <c r="N1023">
        <v>46.7777635097213</v>
      </c>
      <c r="O1023">
        <v>46.4422134530079</v>
      </c>
      <c r="P1023">
        <v>-0.177795882990332</v>
      </c>
      <c r="Q1023">
        <v>0.06602579373891911</v>
      </c>
      <c r="R1023">
        <v>0.925343775410493</v>
      </c>
      <c r="S1023" t="s">
        <v>2707</v>
      </c>
      <c r="T1023" t="s">
        <v>3344</v>
      </c>
      <c r="U1023" t="s">
        <v>3344</v>
      </c>
      <c r="V1023" t="s">
        <v>3344</v>
      </c>
      <c r="W1023" t="s">
        <v>4365</v>
      </c>
      <c r="X1023">
        <v>7</v>
      </c>
      <c r="Y1023" t="s">
        <v>6022</v>
      </c>
      <c r="Z1023" t="s">
        <v>7680</v>
      </c>
      <c r="AA1023">
        <v>0.3684594074980085</v>
      </c>
      <c r="AB1023">
        <f>HYPERLINK("Melting_Curves/meltCurve_P23865_prc.pdf", "Melting_Curves/meltCurve_P23865_prc.pdf")</f>
        <v>0</v>
      </c>
    </row>
    <row r="1024" spans="1:28">
      <c r="A1024" t="s">
        <v>1050</v>
      </c>
      <c r="B1024">
        <v>0.999998419929286</v>
      </c>
      <c r="C1024">
        <v>0.89473082174721</v>
      </c>
      <c r="D1024">
        <v>1.00304964699217</v>
      </c>
      <c r="E1024">
        <v>1.16205814871742</v>
      </c>
      <c r="F1024">
        <v>1.1426798411394</v>
      </c>
      <c r="G1024">
        <v>1.05124895525021</v>
      </c>
      <c r="H1024">
        <v>0.662729366064558</v>
      </c>
      <c r="I1024">
        <v>0.419850477663698</v>
      </c>
      <c r="J1024">
        <v>0.35423420469642</v>
      </c>
      <c r="K1024">
        <v>0.359821704332613</v>
      </c>
      <c r="L1024">
        <v>5295.48205278125</v>
      </c>
      <c r="M1024">
        <v>92.4144090482869</v>
      </c>
      <c r="N1024">
        <v>58.1843865887879</v>
      </c>
      <c r="O1024">
        <v>57.2746596767186</v>
      </c>
      <c r="P1024">
        <v>-0.251312128077242</v>
      </c>
      <c r="Q1024">
        <v>0.376988259532824</v>
      </c>
      <c r="R1024">
        <v>0.934241858368056</v>
      </c>
      <c r="S1024" t="s">
        <v>2708</v>
      </c>
      <c r="T1024" t="s">
        <v>3344</v>
      </c>
      <c r="U1024" t="s">
        <v>3344</v>
      </c>
      <c r="V1024" t="s">
        <v>3344</v>
      </c>
      <c r="W1024" t="s">
        <v>4366</v>
      </c>
      <c r="X1024">
        <v>6</v>
      </c>
      <c r="Y1024" t="s">
        <v>6023</v>
      </c>
      <c r="Z1024" t="s">
        <v>7681</v>
      </c>
      <c r="AA1024">
        <v>0.7990493032028501</v>
      </c>
      <c r="AB1024">
        <f>HYPERLINK("Melting_Curves/meltCurve_P23869_ppiB.pdf", "Melting_Curves/meltCurve_P23869_ppiB.pdf")</f>
        <v>0</v>
      </c>
    </row>
    <row r="1025" spans="1:28">
      <c r="A1025" t="s">
        <v>1051</v>
      </c>
      <c r="B1025">
        <v>0.999998419929286</v>
      </c>
      <c r="C1025">
        <v>0.587369368989753</v>
      </c>
      <c r="D1025">
        <v>0.178640285385678</v>
      </c>
      <c r="E1025">
        <v>0.09897814005369671</v>
      </c>
      <c r="F1025">
        <v>0.082239799778874</v>
      </c>
      <c r="G1025">
        <v>0.07492524449925959</v>
      </c>
      <c r="H1025">
        <v>0.0584689663118183</v>
      </c>
      <c r="I1025">
        <v>0.0396624568934129</v>
      </c>
      <c r="J1025">
        <v>0.0435640508565336</v>
      </c>
      <c r="K1025">
        <v>0.0218434986326875</v>
      </c>
      <c r="L1025">
        <v>1343.76797752958</v>
      </c>
      <c r="M1025">
        <v>33.3583778414394</v>
      </c>
      <c r="N1025">
        <v>40.4369393507492</v>
      </c>
      <c r="O1025">
        <v>40.1388104394267</v>
      </c>
      <c r="P1025">
        <v>-0.195363287530282</v>
      </c>
      <c r="Q1025">
        <v>0.0597119251967977</v>
      </c>
      <c r="R1025">
        <v>0.993156712075193</v>
      </c>
      <c r="S1025" t="s">
        <v>2709</v>
      </c>
      <c r="T1025" t="s">
        <v>3344</v>
      </c>
      <c r="U1025" t="s">
        <v>3344</v>
      </c>
      <c r="V1025" t="s">
        <v>3344</v>
      </c>
      <c r="W1025" t="s">
        <v>4367</v>
      </c>
      <c r="X1025">
        <v>1</v>
      </c>
      <c r="Y1025" t="s">
        <v>6024</v>
      </c>
      <c r="Z1025" t="s">
        <v>7682</v>
      </c>
      <c r="AA1025">
        <v>0.16791442567651</v>
      </c>
      <c r="AB1025">
        <f>HYPERLINK("Melting_Curves/meltCurve_P23871_hemH.pdf", "Melting_Curves/meltCurve_P23871_hemH.pdf")</f>
        <v>0</v>
      </c>
    </row>
    <row r="1026" spans="1:28">
      <c r="A1026" t="s">
        <v>1052</v>
      </c>
      <c r="B1026">
        <v>0.999998419929286</v>
      </c>
      <c r="C1026">
        <v>0.932135673950498</v>
      </c>
      <c r="D1026">
        <v>1.02753623307911</v>
      </c>
      <c r="E1026">
        <v>0.6192828614170029</v>
      </c>
      <c r="F1026">
        <v>0.10655668505917</v>
      </c>
      <c r="G1026">
        <v>0.0767398428007514</v>
      </c>
      <c r="H1026">
        <v>0.0436464011266733</v>
      </c>
      <c r="I1026">
        <v>0.0388083486207924</v>
      </c>
      <c r="J1026">
        <v>0.0286508031509756</v>
      </c>
      <c r="K1026">
        <v>0.0238031394525006</v>
      </c>
      <c r="L1026">
        <v>2093.08441658558</v>
      </c>
      <c r="M1026">
        <v>44.4800655318322</v>
      </c>
      <c r="N1026">
        <v>47.1514900779773</v>
      </c>
      <c r="O1026">
        <v>46.9618691501687</v>
      </c>
      <c r="P1026">
        <v>-0.22665767024906</v>
      </c>
      <c r="Q1026">
        <v>0.0427844250274354</v>
      </c>
      <c r="R1026">
        <v>0.995645044000703</v>
      </c>
      <c r="S1026" t="s">
        <v>2710</v>
      </c>
      <c r="T1026" t="s">
        <v>3344</v>
      </c>
      <c r="U1026" t="s">
        <v>3344</v>
      </c>
      <c r="V1026" t="s">
        <v>3344</v>
      </c>
      <c r="W1026" t="s">
        <v>4368</v>
      </c>
      <c r="X1026">
        <v>6</v>
      </c>
      <c r="Y1026" t="s">
        <v>6025</v>
      </c>
      <c r="Z1026" t="s">
        <v>7683</v>
      </c>
      <c r="AA1026">
        <v>0.3661792823634857</v>
      </c>
      <c r="AB1026">
        <f>HYPERLINK("Melting_Curves/meltCurve_P23882_fmt.pdf", "Melting_Curves/meltCurve_P23882_fmt.pdf")</f>
        <v>0</v>
      </c>
    </row>
    <row r="1027" spans="1:28">
      <c r="A1027" t="s">
        <v>1053</v>
      </c>
      <c r="B1027">
        <v>0.999998419929286</v>
      </c>
      <c r="C1027">
        <v>0.701198578961947</v>
      </c>
      <c r="D1027">
        <v>0.290143020806507</v>
      </c>
      <c r="E1027">
        <v>0.17623188625825</v>
      </c>
      <c r="F1027">
        <v>0.143111097778432</v>
      </c>
      <c r="G1027">
        <v>0.132512538352179</v>
      </c>
      <c r="H1027">
        <v>0.09514738491519351</v>
      </c>
      <c r="I1027">
        <v>0.109516908593313</v>
      </c>
      <c r="J1027">
        <v>0.0927761007020325</v>
      </c>
      <c r="K1027">
        <v>0.0899384538116426</v>
      </c>
      <c r="L1027">
        <v>1167.39747981418</v>
      </c>
      <c r="M1027">
        <v>28.5250982283349</v>
      </c>
      <c r="N1027">
        <v>41.3018030588209</v>
      </c>
      <c r="O1027">
        <v>40.7257217838561</v>
      </c>
      <c r="P1027">
        <v>-0.155057662812838</v>
      </c>
      <c r="Q1027">
        <v>0.114494201803185</v>
      </c>
      <c r="R1027">
        <v>0.993867060545366</v>
      </c>
      <c r="S1027" t="s">
        <v>2711</v>
      </c>
      <c r="T1027" t="s">
        <v>3344</v>
      </c>
      <c r="U1027" t="s">
        <v>3344</v>
      </c>
      <c r="V1027" t="s">
        <v>3344</v>
      </c>
      <c r="W1027" t="s">
        <v>4369</v>
      </c>
      <c r="X1027">
        <v>5</v>
      </c>
      <c r="Y1027" t="s">
        <v>6026</v>
      </c>
      <c r="Z1027" t="s">
        <v>7684</v>
      </c>
      <c r="AA1027">
        <v>0.2368676747081556</v>
      </c>
      <c r="AB1027">
        <f>HYPERLINK("Melting_Curves/meltCurve_P23893_hemL.pdf", "Melting_Curves/meltCurve_P23893_hemL.pdf")</f>
        <v>0</v>
      </c>
    </row>
    <row r="1028" spans="1:28">
      <c r="A1028" t="s">
        <v>1054</v>
      </c>
      <c r="B1028">
        <v>0.999998419929286</v>
      </c>
      <c r="C1028">
        <v>0.860220629348165</v>
      </c>
      <c r="D1028">
        <v>0.974781074851886</v>
      </c>
      <c r="E1028">
        <v>1.05560964082752</v>
      </c>
      <c r="F1028">
        <v>1.21864855242389</v>
      </c>
      <c r="G1028">
        <v>1.50612632609732</v>
      </c>
      <c r="H1028">
        <v>1.44397999109065</v>
      </c>
      <c r="I1028">
        <v>1.09620778619183</v>
      </c>
      <c r="J1028">
        <v>1.20870759483863</v>
      </c>
      <c r="K1028">
        <v>1.283278365452</v>
      </c>
      <c r="L1028">
        <v>2296.19201450028</v>
      </c>
      <c r="M1028">
        <v>47.2153415102341</v>
      </c>
      <c r="O1028">
        <v>48.5453281960236</v>
      </c>
      <c r="P1028">
        <v>0.07385232149666809</v>
      </c>
      <c r="Q1028">
        <v>1.30373020614767</v>
      </c>
      <c r="R1028">
        <v>0.647672298750763</v>
      </c>
      <c r="S1028" t="s">
        <v>2712</v>
      </c>
      <c r="T1028" t="s">
        <v>3344</v>
      </c>
      <c r="U1028" t="s">
        <v>3344</v>
      </c>
      <c r="V1028" t="s">
        <v>3344</v>
      </c>
      <c r="W1028" t="s">
        <v>4370</v>
      </c>
      <c r="X1028">
        <v>3</v>
      </c>
      <c r="Y1028" t="s">
        <v>6027</v>
      </c>
      <c r="Z1028" t="s">
        <v>7685</v>
      </c>
      <c r="AA1028">
        <v>1.18522941706004</v>
      </c>
      <c r="AB1028">
        <f>HYPERLINK("Melting_Curves/meltCurve_P23894_htpX.pdf", "Melting_Curves/meltCurve_P23894_htpX.pdf")</f>
        <v>0</v>
      </c>
    </row>
    <row r="1029" spans="1:28">
      <c r="A1029" t="s">
        <v>1055</v>
      </c>
      <c r="B1029">
        <v>0.999998419929286</v>
      </c>
      <c r="C1029">
        <v>0.971268570599667</v>
      </c>
      <c r="D1029">
        <v>0.882848782944477</v>
      </c>
      <c r="E1029">
        <v>0.820141438292336</v>
      </c>
      <c r="F1029">
        <v>0.98129726010754</v>
      </c>
      <c r="G1029">
        <v>1.2048627592235</v>
      </c>
      <c r="H1029">
        <v>0.882483277921306</v>
      </c>
      <c r="I1029">
        <v>0.783511908866105</v>
      </c>
      <c r="J1029">
        <v>0.572616841055328</v>
      </c>
      <c r="K1029">
        <v>0.412857464983721</v>
      </c>
      <c r="L1029">
        <v>1650.50086252222</v>
      </c>
      <c r="M1029">
        <v>26.2814769580311</v>
      </c>
      <c r="N1029">
        <v>65.1497978774262</v>
      </c>
      <c r="O1029">
        <v>62.4407047186148</v>
      </c>
      <c r="P1029">
        <v>-0.0730113895700968</v>
      </c>
      <c r="Q1029">
        <v>0.306152809401993</v>
      </c>
      <c r="R1029">
        <v>0.787528244915091</v>
      </c>
      <c r="S1029" t="s">
        <v>2713</v>
      </c>
      <c r="T1029" t="s">
        <v>3344</v>
      </c>
      <c r="U1029" t="s">
        <v>3344</v>
      </c>
      <c r="V1029" t="s">
        <v>3344</v>
      </c>
      <c r="W1029" t="s">
        <v>4371</v>
      </c>
      <c r="X1029">
        <v>5</v>
      </c>
      <c r="Y1029" t="s">
        <v>6028</v>
      </c>
      <c r="Z1029" t="s">
        <v>7686</v>
      </c>
      <c r="AA1029">
        <v>0.8977848333197334</v>
      </c>
      <c r="AB1029">
        <f>HYPERLINK("Melting_Curves/meltCurve_P23908_argE.pdf", "Melting_Curves/meltCurve_P23908_argE.pdf")</f>
        <v>0</v>
      </c>
    </row>
    <row r="1030" spans="1:28">
      <c r="A1030" t="s">
        <v>1056</v>
      </c>
      <c r="B1030">
        <v>0.999998419929286</v>
      </c>
      <c r="C1030">
        <v>0.635877372276383</v>
      </c>
      <c r="D1030">
        <v>0.571921639003239</v>
      </c>
      <c r="E1030">
        <v>0.255843225136461</v>
      </c>
      <c r="F1030">
        <v>0.343320357024242</v>
      </c>
      <c r="G1030">
        <v>0.327327145985993</v>
      </c>
      <c r="H1030">
        <v>0.196179077502489</v>
      </c>
      <c r="I1030">
        <v>0.265417935347282</v>
      </c>
      <c r="J1030">
        <v>0.154945949661706</v>
      </c>
      <c r="K1030">
        <v>0.249168297348125</v>
      </c>
      <c r="L1030">
        <v>699.083577133984</v>
      </c>
      <c r="M1030">
        <v>16.9147847003013</v>
      </c>
      <c r="N1030">
        <v>42.9662457373209</v>
      </c>
      <c r="O1030">
        <v>40.765019058212</v>
      </c>
      <c r="P1030">
        <v>-0.0791045119356701</v>
      </c>
      <c r="Q1030">
        <v>0.237473075994075</v>
      </c>
      <c r="R1030">
        <v>0.918934087732361</v>
      </c>
      <c r="S1030" t="s">
        <v>2714</v>
      </c>
      <c r="T1030" t="s">
        <v>3344</v>
      </c>
      <c r="U1030" t="s">
        <v>3344</v>
      </c>
      <c r="V1030" t="s">
        <v>3344</v>
      </c>
      <c r="W1030" t="s">
        <v>4372</v>
      </c>
      <c r="X1030">
        <v>1</v>
      </c>
      <c r="Y1030" t="s">
        <v>6029</v>
      </c>
      <c r="Z1030" t="s">
        <v>7687</v>
      </c>
      <c r="AA1030">
        <v>0.3657789029553308</v>
      </c>
      <c r="AB1030">
        <f>HYPERLINK("Melting_Curves/meltCurve_P23917_mak.pdf", "Melting_Curves/meltCurve_P23917_mak.pdf")</f>
        <v>0</v>
      </c>
    </row>
    <row r="1031" spans="1:28">
      <c r="A1031" t="s">
        <v>1057</v>
      </c>
      <c r="B1031">
        <v>0.999998419929286</v>
      </c>
      <c r="C1031">
        <v>1.07307854101309</v>
      </c>
      <c r="D1031">
        <v>0.769621602950975</v>
      </c>
      <c r="E1031">
        <v>0.628854954022966</v>
      </c>
      <c r="F1031">
        <v>0.142938054284789</v>
      </c>
      <c r="G1031">
        <v>0.13826993668621</v>
      </c>
      <c r="H1031">
        <v>0.118412989052727</v>
      </c>
      <c r="I1031">
        <v>0.107426361113433</v>
      </c>
      <c r="J1031">
        <v>0.0628457071143898</v>
      </c>
      <c r="K1031">
        <v>0.0645492090383621</v>
      </c>
      <c r="L1031">
        <v>1044.9074931926</v>
      </c>
      <c r="M1031">
        <v>22.4055574770858</v>
      </c>
      <c r="N1031">
        <v>46.9824017083461</v>
      </c>
      <c r="O1031">
        <v>46.2693508077046</v>
      </c>
      <c r="P1031">
        <v>-0.11184785141672</v>
      </c>
      <c r="Q1031">
        <v>0.0761185091193067</v>
      </c>
      <c r="R1031">
        <v>0.974726353974009</v>
      </c>
      <c r="S1031" t="s">
        <v>2715</v>
      </c>
      <c r="T1031" t="s">
        <v>3344</v>
      </c>
      <c r="U1031" t="s">
        <v>3344</v>
      </c>
      <c r="V1031" t="s">
        <v>3344</v>
      </c>
      <c r="W1031" t="s">
        <v>4373</v>
      </c>
      <c r="X1031">
        <v>2</v>
      </c>
      <c r="Y1031" t="s">
        <v>6030</v>
      </c>
      <c r="Z1031" t="s">
        <v>7688</v>
      </c>
      <c r="AA1031">
        <v>0.3825020009655148</v>
      </c>
      <c r="AB1031">
        <f>HYPERLINK("Melting_Curves/meltCurve_P23930_lnt.pdf", "Melting_Curves/meltCurve_P23930_lnt.pdf")</f>
        <v>0</v>
      </c>
    </row>
    <row r="1032" spans="1:28">
      <c r="A1032" t="s">
        <v>1058</v>
      </c>
      <c r="B1032">
        <v>0.999998419929286</v>
      </c>
      <c r="C1032">
        <v>1.39701711573908</v>
      </c>
      <c r="D1032">
        <v>1.51374983642247</v>
      </c>
      <c r="E1032">
        <v>1.71441802532816</v>
      </c>
      <c r="F1032">
        <v>1.30479380080054</v>
      </c>
      <c r="G1032">
        <v>0.434264133663495</v>
      </c>
      <c r="H1032">
        <v>0.09912623414826841</v>
      </c>
      <c r="I1032">
        <v>0.076864327203449</v>
      </c>
      <c r="J1032">
        <v>0.0533150805822802</v>
      </c>
      <c r="K1032">
        <v>0.058092443703587</v>
      </c>
      <c r="L1032">
        <v>13426.0408098485</v>
      </c>
      <c r="M1032">
        <v>250</v>
      </c>
      <c r="N1032">
        <v>53.7375093870146</v>
      </c>
      <c r="O1032">
        <v>53.7007265736809</v>
      </c>
      <c r="P1032">
        <v>-1.08023504903099</v>
      </c>
      <c r="Q1032">
        <v>0.07184948980430859</v>
      </c>
      <c r="R1032">
        <v>0.7580155837334071</v>
      </c>
      <c r="S1032" t="s">
        <v>2716</v>
      </c>
      <c r="T1032" t="s">
        <v>3344</v>
      </c>
      <c r="U1032" t="s">
        <v>3344</v>
      </c>
      <c r="V1032" t="s">
        <v>3344</v>
      </c>
      <c r="W1032" t="s">
        <v>4374</v>
      </c>
      <c r="X1032">
        <v>13</v>
      </c>
      <c r="Y1032" t="s">
        <v>6031</v>
      </c>
      <c r="Z1032" t="s">
        <v>7689</v>
      </c>
      <c r="AA1032">
        <v>0.588736222397189</v>
      </c>
      <c r="AB1032">
        <f>HYPERLINK("Melting_Curves/meltCurve_P24171_dcp.pdf", "Melting_Curves/meltCurve_P24171_dcp.pdf")</f>
        <v>0</v>
      </c>
    </row>
    <row r="1033" spans="1:28">
      <c r="A1033" t="s">
        <v>1059</v>
      </c>
      <c r="B1033">
        <v>0.999998419929286</v>
      </c>
      <c r="C1033">
        <v>0.803916344421281</v>
      </c>
      <c r="D1033">
        <v>0.750849847247833</v>
      </c>
      <c r="E1033">
        <v>0.880374083506833</v>
      </c>
      <c r="F1033">
        <v>0.450082279753066</v>
      </c>
      <c r="G1033">
        <v>0.161511012152312</v>
      </c>
      <c r="H1033">
        <v>0.110294101199023</v>
      </c>
      <c r="I1033">
        <v>0</v>
      </c>
      <c r="J1033">
        <v>0.112746384475469</v>
      </c>
      <c r="K1033">
        <v>0</v>
      </c>
      <c r="L1033">
        <v>764.278017170237</v>
      </c>
      <c r="M1033">
        <v>15.413754321423</v>
      </c>
      <c r="N1033">
        <v>49.5841656176598</v>
      </c>
      <c r="O1033">
        <v>48.7720441317986</v>
      </c>
      <c r="P1033">
        <v>-0.0790163431930304</v>
      </c>
      <c r="Q1033">
        <v>0</v>
      </c>
      <c r="R1033">
        <v>0.9334062193603641</v>
      </c>
      <c r="S1033" t="s">
        <v>2717</v>
      </c>
      <c r="T1033" t="s">
        <v>3344</v>
      </c>
      <c r="U1033" t="s">
        <v>3344</v>
      </c>
      <c r="V1033" t="s">
        <v>3344</v>
      </c>
      <c r="W1033" t="s">
        <v>4375</v>
      </c>
      <c r="X1033">
        <v>1</v>
      </c>
      <c r="Y1033" t="s">
        <v>6032</v>
      </c>
      <c r="Z1033" t="s">
        <v>7690</v>
      </c>
      <c r="AA1033">
        <v>0.4397898342426352</v>
      </c>
      <c r="AB1033">
        <f>HYPERLINK("Melting_Curves/meltCurve_P24173_rfaC.pdf", "Melting_Curves/meltCurve_P24173_rfaC.pdf")</f>
        <v>0</v>
      </c>
    </row>
    <row r="1034" spans="1:28">
      <c r="A1034" t="s">
        <v>1060</v>
      </c>
      <c r="B1034">
        <v>0.999998419929286</v>
      </c>
      <c r="C1034">
        <v>1.01025573632849</v>
      </c>
      <c r="D1034">
        <v>0.937203772287704</v>
      </c>
      <c r="E1034">
        <v>1.08493034345333</v>
      </c>
      <c r="F1034">
        <v>1.11718710047515</v>
      </c>
      <c r="G1034">
        <v>1.26532368489165</v>
      </c>
      <c r="H1034">
        <v>1.10759220662722</v>
      </c>
      <c r="I1034">
        <v>0.780558967374185</v>
      </c>
      <c r="J1034">
        <v>0.688788099075337</v>
      </c>
      <c r="K1034">
        <v>0.569990528097702</v>
      </c>
      <c r="L1034">
        <v>6742.86249078522</v>
      </c>
      <c r="M1034">
        <v>110.888558373268</v>
      </c>
      <c r="O1034">
        <v>60.78776983069</v>
      </c>
      <c r="P1034">
        <v>-0.169503953777261</v>
      </c>
      <c r="Q1034">
        <v>0.628319810344481</v>
      </c>
      <c r="R1034">
        <v>0.727086378583747</v>
      </c>
      <c r="S1034" t="s">
        <v>2718</v>
      </c>
      <c r="T1034" t="s">
        <v>3344</v>
      </c>
      <c r="U1034" t="s">
        <v>3344</v>
      </c>
      <c r="V1034" t="s">
        <v>3344</v>
      </c>
      <c r="W1034" t="s">
        <v>4376</v>
      </c>
      <c r="X1034">
        <v>5</v>
      </c>
      <c r="Y1034" t="s">
        <v>6033</v>
      </c>
      <c r="Z1034" t="s">
        <v>7691</v>
      </c>
      <c r="AA1034">
        <v>0.9234812299913412</v>
      </c>
      <c r="AB1034">
        <f>HYPERLINK("Melting_Curves/meltCurve_P24178_yffB.pdf", "Melting_Curves/meltCurve_P24178_yffB.pdf")</f>
        <v>0</v>
      </c>
    </row>
    <row r="1035" spans="1:28">
      <c r="A1035" t="s">
        <v>1061</v>
      </c>
      <c r="B1035">
        <v>0.999998419929286</v>
      </c>
      <c r="C1035">
        <v>1.13156935627917</v>
      </c>
      <c r="D1035">
        <v>1.09243877097637</v>
      </c>
      <c r="E1035">
        <v>0.919980591735687</v>
      </c>
      <c r="F1035">
        <v>0.16910953324841</v>
      </c>
      <c r="G1035">
        <v>0.102932991103025</v>
      </c>
      <c r="H1035">
        <v>0.0608267078152886</v>
      </c>
      <c r="I1035">
        <v>0.0467201701275007</v>
      </c>
      <c r="J1035">
        <v>0.0428441287934931</v>
      </c>
      <c r="K1035">
        <v>0.0377307350659824</v>
      </c>
      <c r="L1035">
        <v>2836.89450464288</v>
      </c>
      <c r="M1035">
        <v>58.4996908059921</v>
      </c>
      <c r="N1035">
        <v>48.595245041386</v>
      </c>
      <c r="O1035">
        <v>48.4376081619008</v>
      </c>
      <c r="P1035">
        <v>-0.284639476389478</v>
      </c>
      <c r="Q1035">
        <v>0.0572771291678478</v>
      </c>
      <c r="R1035">
        <v>0.987327428364452</v>
      </c>
      <c r="S1035" t="s">
        <v>2719</v>
      </c>
      <c r="T1035" t="s">
        <v>3344</v>
      </c>
      <c r="U1035" t="s">
        <v>3344</v>
      </c>
      <c r="V1035" t="s">
        <v>3344</v>
      </c>
      <c r="W1035" t="s">
        <v>4377</v>
      </c>
      <c r="X1035">
        <v>14</v>
      </c>
      <c r="Y1035" t="s">
        <v>6034</v>
      </c>
      <c r="Z1035" t="s">
        <v>7692</v>
      </c>
      <c r="AA1035">
        <v>0.4199422427442895</v>
      </c>
      <c r="AB1035">
        <f>HYPERLINK("Melting_Curves/meltCurve_P24182_accC.pdf", "Melting_Curves/meltCurve_P24182_accC.pdf")</f>
        <v>0</v>
      </c>
    </row>
    <row r="1036" spans="1:28">
      <c r="A1036" t="s">
        <v>1062</v>
      </c>
      <c r="B1036">
        <v>0.999998419929286</v>
      </c>
      <c r="C1036">
        <v>1.11374613038577</v>
      </c>
      <c r="D1036">
        <v>1.14945690222381</v>
      </c>
      <c r="E1036">
        <v>1.0259652536718</v>
      </c>
      <c r="F1036">
        <v>1.10098897619306</v>
      </c>
      <c r="G1036">
        <v>1.0755804365529</v>
      </c>
      <c r="H1036">
        <v>0.762101866802511</v>
      </c>
      <c r="I1036">
        <v>0.5788503165196009</v>
      </c>
      <c r="J1036">
        <v>0.493409856279369</v>
      </c>
      <c r="K1036">
        <v>0.507091585171028</v>
      </c>
      <c r="L1036">
        <v>4221.4180037241</v>
      </c>
      <c r="M1036">
        <v>73.5010154392147</v>
      </c>
      <c r="O1036">
        <v>57.3909944516298</v>
      </c>
      <c r="P1036">
        <v>-0.152584321808678</v>
      </c>
      <c r="Q1036">
        <v>0.52343710595986</v>
      </c>
      <c r="R1036">
        <v>0.91295476226144</v>
      </c>
      <c r="S1036" t="s">
        <v>2720</v>
      </c>
      <c r="T1036" t="s">
        <v>3344</v>
      </c>
      <c r="U1036" t="s">
        <v>3344</v>
      </c>
      <c r="V1036" t="s">
        <v>3344</v>
      </c>
      <c r="W1036" t="s">
        <v>4378</v>
      </c>
      <c r="X1036">
        <v>5</v>
      </c>
      <c r="Y1036" t="s">
        <v>6035</v>
      </c>
      <c r="Z1036" t="s">
        <v>7693</v>
      </c>
      <c r="AA1036">
        <v>0.8485880190111814</v>
      </c>
      <c r="AB1036">
        <f>HYPERLINK("Melting_Curves/meltCurve_P24183_fdnG.pdf", "Melting_Curves/meltCurve_P24183_fdnG.pdf")</f>
        <v>0</v>
      </c>
    </row>
    <row r="1037" spans="1:28">
      <c r="A1037" t="s">
        <v>1063</v>
      </c>
      <c r="B1037">
        <v>0.999998419929286</v>
      </c>
      <c r="C1037">
        <v>0.879971980168599</v>
      </c>
      <c r="D1037">
        <v>0.769681655381704</v>
      </c>
      <c r="E1037">
        <v>0.673296201045432</v>
      </c>
      <c r="F1037">
        <v>0.715589962170418</v>
      </c>
      <c r="G1037">
        <v>0.7230695459545911</v>
      </c>
      <c r="H1037">
        <v>0.573272579269506</v>
      </c>
      <c r="I1037">
        <v>0.298548243269249</v>
      </c>
      <c r="J1037">
        <v>0.158092196991703</v>
      </c>
      <c r="K1037">
        <v>0.07475350453368711</v>
      </c>
      <c r="L1037">
        <v>413.257083203503</v>
      </c>
      <c r="M1037">
        <v>7.47846651578793</v>
      </c>
      <c r="N1037">
        <v>55.2596053335885</v>
      </c>
      <c r="O1037">
        <v>51.7220559758987</v>
      </c>
      <c r="P1037">
        <v>-0.03619992175263</v>
      </c>
      <c r="Q1037">
        <v>0</v>
      </c>
      <c r="R1037">
        <v>0.861930498873167</v>
      </c>
      <c r="S1037" t="s">
        <v>2721</v>
      </c>
      <c r="T1037" t="s">
        <v>3344</v>
      </c>
      <c r="U1037" t="s">
        <v>3344</v>
      </c>
      <c r="V1037" t="s">
        <v>3344</v>
      </c>
      <c r="W1037" t="s">
        <v>4379</v>
      </c>
      <c r="X1037">
        <v>3</v>
      </c>
      <c r="Y1037" t="s">
        <v>6036</v>
      </c>
      <c r="Z1037" t="s">
        <v>7694</v>
      </c>
      <c r="AA1037">
        <v>0.6108363261163844</v>
      </c>
      <c r="AB1037">
        <f>HYPERLINK("Melting_Curves/meltCurve_P24186_folD.pdf", "Melting_Curves/meltCurve_P24186_folD.pdf")</f>
        <v>0</v>
      </c>
    </row>
    <row r="1038" spans="1:28">
      <c r="A1038" t="s">
        <v>1064</v>
      </c>
      <c r="B1038">
        <v>0.999998419929286</v>
      </c>
      <c r="C1038">
        <v>0.896124939367018</v>
      </c>
      <c r="D1038">
        <v>0.726175359928883</v>
      </c>
      <c r="E1038">
        <v>0.362051802928317</v>
      </c>
      <c r="F1038">
        <v>0.368399964073717</v>
      </c>
      <c r="G1038">
        <v>0.598499406286543</v>
      </c>
      <c r="H1038">
        <v>0.440492324530848</v>
      </c>
      <c r="I1038">
        <v>0.286297006117433</v>
      </c>
      <c r="J1038">
        <v>0.117114145016693</v>
      </c>
      <c r="K1038">
        <v>0.247370643054896</v>
      </c>
      <c r="L1038">
        <v>975.060807857723</v>
      </c>
      <c r="M1038">
        <v>22.5152379305164</v>
      </c>
      <c r="N1038">
        <v>45.4478978270308</v>
      </c>
      <c r="O1038">
        <v>42.9694200540988</v>
      </c>
      <c r="P1038">
        <v>-0.0881744642071144</v>
      </c>
      <c r="Q1038">
        <v>0.326904126125866</v>
      </c>
      <c r="R1038">
        <v>0.813882775922757</v>
      </c>
      <c r="S1038" t="s">
        <v>2722</v>
      </c>
      <c r="T1038" t="s">
        <v>3344</v>
      </c>
      <c r="U1038" t="s">
        <v>3344</v>
      </c>
      <c r="V1038" t="s">
        <v>3344</v>
      </c>
      <c r="W1038" t="s">
        <v>4380</v>
      </c>
      <c r="X1038">
        <v>1</v>
      </c>
      <c r="Y1038" t="s">
        <v>6037</v>
      </c>
      <c r="Z1038" t="s">
        <v>7695</v>
      </c>
      <c r="AA1038">
        <v>0.4754772722497223</v>
      </c>
      <c r="AB1038">
        <f>HYPERLINK("Melting_Curves/meltCurve_P24202_mrr.pdf", "Melting_Curves/meltCurve_P24202_mrr.pdf")</f>
        <v>0</v>
      </c>
    </row>
    <row r="1039" spans="1:28">
      <c r="A1039" t="s">
        <v>1065</v>
      </c>
      <c r="B1039">
        <v>0.999998419929286</v>
      </c>
      <c r="C1039">
        <v>0.9016871536802</v>
      </c>
      <c r="D1039">
        <v>0.865069327045758</v>
      </c>
      <c r="E1039">
        <v>0.773807250102019</v>
      </c>
      <c r="F1039">
        <v>0.453212765794594</v>
      </c>
      <c r="G1039">
        <v>0.194118778464114</v>
      </c>
      <c r="H1039">
        <v>0.0885900262094327</v>
      </c>
      <c r="I1039">
        <v>0.059461399278774</v>
      </c>
      <c r="J1039">
        <v>0.0582703306719972</v>
      </c>
      <c r="K1039">
        <v>0.0477875200837984</v>
      </c>
      <c r="L1039">
        <v>806.966155594036</v>
      </c>
      <c r="M1039">
        <v>16.3511810172042</v>
      </c>
      <c r="N1039">
        <v>49.4748124688179</v>
      </c>
      <c r="O1039">
        <v>48.6317014785148</v>
      </c>
      <c r="P1039">
        <v>-0.0823927572498903</v>
      </c>
      <c r="Q1039">
        <v>0.0198600514015206</v>
      </c>
      <c r="R1039">
        <v>0.991111480414674</v>
      </c>
      <c r="S1039" t="s">
        <v>2723</v>
      </c>
      <c r="T1039" t="s">
        <v>3344</v>
      </c>
      <c r="U1039" t="s">
        <v>3344</v>
      </c>
      <c r="V1039" t="s">
        <v>3344</v>
      </c>
      <c r="W1039" t="s">
        <v>4381</v>
      </c>
      <c r="X1039">
        <v>2</v>
      </c>
      <c r="Y1039" t="s">
        <v>6038</v>
      </c>
      <c r="Z1039" t="s">
        <v>7696</v>
      </c>
      <c r="AA1039">
        <v>0.4416603364505261</v>
      </c>
      <c r="AB1039">
        <f>HYPERLINK("Melting_Curves/meltCurve_P24203_yjiA.pdf", "Melting_Curves/meltCurve_P24203_yjiA.pdf")</f>
        <v>0</v>
      </c>
    </row>
    <row r="1040" spans="1:28">
      <c r="A1040" t="s">
        <v>1066</v>
      </c>
      <c r="B1040">
        <v>0.999998419929286</v>
      </c>
      <c r="C1040">
        <v>0.87629221775164</v>
      </c>
      <c r="D1040">
        <v>1.08917868928093</v>
      </c>
      <c r="E1040">
        <v>1.07247642844565</v>
      </c>
      <c r="F1040">
        <v>1.34122237673673</v>
      </c>
      <c r="G1040">
        <v>1.20939787402796</v>
      </c>
      <c r="H1040">
        <v>0.373351352651338</v>
      </c>
      <c r="I1040">
        <v>0.108533417182955</v>
      </c>
      <c r="J1040">
        <v>0.0733520996366448</v>
      </c>
      <c r="K1040">
        <v>0.0642979949320114</v>
      </c>
      <c r="L1040">
        <v>14306.0278686985</v>
      </c>
      <c r="M1040">
        <v>250</v>
      </c>
      <c r="N1040">
        <v>57.2651764563297</v>
      </c>
      <c r="O1040">
        <v>57.2204411686099</v>
      </c>
      <c r="P1040">
        <v>-1.00263424771621</v>
      </c>
      <c r="Q1040">
        <v>0.08206108317559151</v>
      </c>
      <c r="R1040">
        <v>0.918538419211155</v>
      </c>
      <c r="S1040" t="s">
        <v>2724</v>
      </c>
      <c r="T1040" t="s">
        <v>3344</v>
      </c>
      <c r="U1040" t="s">
        <v>3344</v>
      </c>
      <c r="V1040" t="s">
        <v>3344</v>
      </c>
      <c r="W1040" t="s">
        <v>4382</v>
      </c>
      <c r="X1040">
        <v>4</v>
      </c>
      <c r="Y1040" t="s">
        <v>6039</v>
      </c>
      <c r="Z1040" t="s">
        <v>7697</v>
      </c>
      <c r="AA1040">
        <v>0.7009699021142998</v>
      </c>
      <c r="AB1040">
        <f>HYPERLINK("Melting_Curves/meltCurve_P24205_lpxM.pdf", "Melting_Curves/meltCurve_P24205_lpxM.pdf")</f>
        <v>0</v>
      </c>
    </row>
    <row r="1041" spans="1:28">
      <c r="A1041" t="s">
        <v>1067</v>
      </c>
      <c r="B1041">
        <v>0.999998419929286</v>
      </c>
      <c r="C1041">
        <v>1.08184350820628</v>
      </c>
      <c r="D1041">
        <v>0.9749951511023069</v>
      </c>
      <c r="E1041">
        <v>0.885375384695171</v>
      </c>
      <c r="F1041">
        <v>0.961632362507879</v>
      </c>
      <c r="G1041">
        <v>0.99374573608519</v>
      </c>
      <c r="H1041">
        <v>0.701630785069138</v>
      </c>
      <c r="I1041">
        <v>0.313188033727174</v>
      </c>
      <c r="J1041">
        <v>0.06824699439051179</v>
      </c>
      <c r="K1041">
        <v>0.0642606760479698</v>
      </c>
      <c r="L1041">
        <v>1843.18076485166</v>
      </c>
      <c r="M1041">
        <v>31.1913826630297</v>
      </c>
      <c r="N1041">
        <v>59.1794122051513</v>
      </c>
      <c r="O1041">
        <v>58.8513265293647</v>
      </c>
      <c r="P1041">
        <v>-0.129539392737138</v>
      </c>
      <c r="Q1041">
        <v>0.0223553064343707</v>
      </c>
      <c r="R1041">
        <v>0.982592408440201</v>
      </c>
      <c r="S1041" t="s">
        <v>2725</v>
      </c>
      <c r="T1041" t="s">
        <v>3344</v>
      </c>
      <c r="U1041" t="s">
        <v>3344</v>
      </c>
      <c r="V1041" t="s">
        <v>3344</v>
      </c>
      <c r="W1041" t="s">
        <v>4383</v>
      </c>
      <c r="X1041">
        <v>7</v>
      </c>
      <c r="Y1041" t="s">
        <v>6040</v>
      </c>
      <c r="Z1041" t="s">
        <v>7698</v>
      </c>
      <c r="AA1041">
        <v>0.7467830123057472</v>
      </c>
      <c r="AB1041">
        <f>HYPERLINK("Melting_Curves/meltCurve_P24215_uxuA.pdf", "Melting_Curves/meltCurve_P24215_uxuA.pdf")</f>
        <v>0</v>
      </c>
    </row>
    <row r="1042" spans="1:28">
      <c r="A1042" t="s">
        <v>1068</v>
      </c>
      <c r="B1042">
        <v>0.999998419929286</v>
      </c>
      <c r="C1042">
        <v>1.22261875915388</v>
      </c>
      <c r="D1042">
        <v>0.821675035722665</v>
      </c>
      <c r="E1042">
        <v>1.10463638801354</v>
      </c>
      <c r="F1042">
        <v>1.19853999921873</v>
      </c>
      <c r="G1042">
        <v>1.48399661731518</v>
      </c>
      <c r="H1042">
        <v>1.03991512995928</v>
      </c>
      <c r="I1042">
        <v>0.661733513152777</v>
      </c>
      <c r="J1042">
        <v>0.599682661254977</v>
      </c>
      <c r="K1042">
        <v>0.569260646616624</v>
      </c>
      <c r="L1042">
        <v>15000</v>
      </c>
      <c r="M1042">
        <v>247.378260572941</v>
      </c>
      <c r="O1042">
        <v>60.6319186155685</v>
      </c>
      <c r="P1042">
        <v>-0.423839425676392</v>
      </c>
      <c r="Q1042">
        <v>0.584471176501103</v>
      </c>
      <c r="R1042">
        <v>0.550579661780968</v>
      </c>
      <c r="S1042" t="s">
        <v>2726</v>
      </c>
      <c r="T1042" t="s">
        <v>3344</v>
      </c>
      <c r="U1042" t="s">
        <v>3344</v>
      </c>
      <c r="V1042" t="s">
        <v>3344</v>
      </c>
      <c r="W1042" t="s">
        <v>4384</v>
      </c>
      <c r="X1042">
        <v>3</v>
      </c>
      <c r="Y1042" t="s">
        <v>6041</v>
      </c>
      <c r="Z1042" t="s">
        <v>7699</v>
      </c>
      <c r="AA1042">
        <v>0.9118960671332911</v>
      </c>
      <c r="AB1042">
        <f>HYPERLINK("Melting_Curves/meltCurve_P24232_hmp.pdf", "Melting_Curves/meltCurve_P24232_hmp.pdf")</f>
        <v>0</v>
      </c>
    </row>
    <row r="1043" spans="1:28">
      <c r="A1043" t="s">
        <v>1069</v>
      </c>
      <c r="B1043">
        <v>0.999998419929286</v>
      </c>
      <c r="C1043">
        <v>1.31040786244371</v>
      </c>
      <c r="D1043">
        <v>1.02916631638443</v>
      </c>
      <c r="E1043">
        <v>1.03587148409626</v>
      </c>
      <c r="F1043">
        <v>1.09102072805134</v>
      </c>
      <c r="G1043">
        <v>1.07555292887415</v>
      </c>
      <c r="H1043">
        <v>0.71712459547995</v>
      </c>
      <c r="I1043">
        <v>0.395911981112423</v>
      </c>
      <c r="J1043">
        <v>0.348686972569729</v>
      </c>
      <c r="K1043">
        <v>0.31316335048727</v>
      </c>
      <c r="L1043">
        <v>3675.60580828127</v>
      </c>
      <c r="M1043">
        <v>63.7147012377874</v>
      </c>
      <c r="N1043">
        <v>58.7655576480106</v>
      </c>
      <c r="O1043">
        <v>57.6317559001017</v>
      </c>
      <c r="P1043">
        <v>-0.181180402148343</v>
      </c>
      <c r="Q1043">
        <v>0.344468951681233</v>
      </c>
      <c r="R1043">
        <v>0.901246798723532</v>
      </c>
      <c r="S1043" t="s">
        <v>2727</v>
      </c>
      <c r="T1043" t="s">
        <v>3344</v>
      </c>
      <c r="U1043" t="s">
        <v>3344</v>
      </c>
      <c r="V1043" t="s">
        <v>3344</v>
      </c>
      <c r="W1043" t="s">
        <v>4385</v>
      </c>
      <c r="X1043">
        <v>1</v>
      </c>
      <c r="Y1043" t="s">
        <v>6042</v>
      </c>
      <c r="Z1043" t="s">
        <v>7700</v>
      </c>
      <c r="AA1043">
        <v>0.7975552811241873</v>
      </c>
      <c r="AB1043">
        <f>HYPERLINK("Melting_Curves/meltCurve_P24242_ascG.pdf", "Melting_Curves/meltCurve_P24242_ascG.pdf")</f>
        <v>0</v>
      </c>
    </row>
    <row r="1044" spans="1:28">
      <c r="A1044" t="s">
        <v>1070</v>
      </c>
      <c r="B1044">
        <v>0.999998419929286</v>
      </c>
      <c r="C1044">
        <v>0.8183675642518951</v>
      </c>
      <c r="D1044">
        <v>0.767149245041769</v>
      </c>
      <c r="E1044">
        <v>0.488686673268746</v>
      </c>
      <c r="F1044">
        <v>0.210363786903426</v>
      </c>
      <c r="G1044">
        <v>0.0758747807886634</v>
      </c>
      <c r="H1044">
        <v>0.0396438786383599</v>
      </c>
      <c r="I1044">
        <v>0.0191798033792624</v>
      </c>
      <c r="J1044">
        <v>0.008931037240371991</v>
      </c>
      <c r="K1044">
        <v>0.0119730039366141</v>
      </c>
      <c r="L1044">
        <v>686.442263486327</v>
      </c>
      <c r="M1044">
        <v>14.907038218509</v>
      </c>
      <c r="N1044">
        <v>46.0481983603859</v>
      </c>
      <c r="O1044">
        <v>45.2433593423465</v>
      </c>
      <c r="P1044">
        <v>-0.0823799411009859</v>
      </c>
      <c r="Q1044">
        <v>0</v>
      </c>
      <c r="R1044">
        <v>0.9914109423591549</v>
      </c>
      <c r="S1044" t="s">
        <v>2728</v>
      </c>
      <c r="T1044" t="s">
        <v>3344</v>
      </c>
      <c r="U1044" t="s">
        <v>3344</v>
      </c>
      <c r="V1044" t="s">
        <v>3344</v>
      </c>
      <c r="W1044" t="s">
        <v>4386</v>
      </c>
      <c r="X1044">
        <v>1</v>
      </c>
      <c r="Y1044" t="s">
        <v>6043</v>
      </c>
      <c r="Z1044" t="s">
        <v>7701</v>
      </c>
      <c r="AA1044">
        <v>0.324911019165337</v>
      </c>
      <c r="AB1044">
        <f>HYPERLINK("Melting_Curves/meltCurve_P24251_crl.pdf", "Melting_Curves/meltCurve_P24251_crl.pdf")</f>
        <v>0</v>
      </c>
    </row>
    <row r="1045" spans="1:28">
      <c r="A1045" t="s">
        <v>1071</v>
      </c>
      <c r="B1045">
        <v>0.999998419929286</v>
      </c>
      <c r="C1045">
        <v>1.31712458754522</v>
      </c>
      <c r="D1045">
        <v>1.03062038016242</v>
      </c>
      <c r="E1045">
        <v>0.344461637632446</v>
      </c>
      <c r="F1045">
        <v>0.186040485191134</v>
      </c>
      <c r="G1045">
        <v>0.154204448255115</v>
      </c>
      <c r="H1045">
        <v>0.09336010139695609</v>
      </c>
      <c r="I1045">
        <v>0.0690998149426706</v>
      </c>
      <c r="J1045">
        <v>0.0987052049715119</v>
      </c>
      <c r="K1045">
        <v>0.0714706073292837</v>
      </c>
      <c r="L1045">
        <v>5259.94212467194</v>
      </c>
      <c r="M1045">
        <v>113.911099322638</v>
      </c>
      <c r="N1045">
        <v>46.2790112795102</v>
      </c>
      <c r="O1045">
        <v>46.1616427097887</v>
      </c>
      <c r="P1045">
        <v>-0.5477453602493501</v>
      </c>
      <c r="Q1045">
        <v>0.112121103011775</v>
      </c>
      <c r="R1045">
        <v>0.946220834884369</v>
      </c>
      <c r="S1045" t="s">
        <v>2729</v>
      </c>
      <c r="T1045" t="s">
        <v>3344</v>
      </c>
      <c r="U1045" t="s">
        <v>3344</v>
      </c>
      <c r="V1045" t="s">
        <v>3344</v>
      </c>
      <c r="W1045" t="s">
        <v>4387</v>
      </c>
      <c r="X1045">
        <v>4</v>
      </c>
      <c r="Y1045" t="s">
        <v>6044</v>
      </c>
      <c r="Z1045" t="s">
        <v>7702</v>
      </c>
      <c r="AA1045">
        <v>0.3840361596679011</v>
      </c>
      <c r="AB1045">
        <f>HYPERLINK("Melting_Curves/meltCurve_P24555_ptrB.pdf", "Melting_Curves/meltCurve_P24555_ptrB.pdf")</f>
        <v>0</v>
      </c>
    </row>
    <row r="1046" spans="1:28">
      <c r="A1046" t="s">
        <v>1072</v>
      </c>
      <c r="B1046">
        <v>0.999998419929286</v>
      </c>
      <c r="C1046">
        <v>0.726835304184789</v>
      </c>
      <c r="D1046">
        <v>0.685736861488948</v>
      </c>
      <c r="E1046">
        <v>0.233780958587326</v>
      </c>
      <c r="F1046">
        <v>0.11265841122756</v>
      </c>
      <c r="G1046">
        <v>0.102747157545629</v>
      </c>
      <c r="H1046">
        <v>0.06322037375864489</v>
      </c>
      <c r="I1046">
        <v>0.0550353236076402</v>
      </c>
      <c r="J1046">
        <v>0.0415279908999512</v>
      </c>
      <c r="K1046">
        <v>0.0433251905887861</v>
      </c>
      <c r="L1046">
        <v>733.774608802684</v>
      </c>
      <c r="M1046">
        <v>16.799088691006</v>
      </c>
      <c r="N1046">
        <v>43.8959278538869</v>
      </c>
      <c r="O1046">
        <v>43.0745667182356</v>
      </c>
      <c r="P1046">
        <v>-0.0936297617122656</v>
      </c>
      <c r="Q1046">
        <v>0.0397574978096819</v>
      </c>
      <c r="R1046">
        <v>0.97478914906572</v>
      </c>
      <c r="S1046" t="s">
        <v>2730</v>
      </c>
      <c r="T1046" t="s">
        <v>3344</v>
      </c>
      <c r="U1046" t="s">
        <v>3344</v>
      </c>
      <c r="V1046" t="s">
        <v>3344</v>
      </c>
      <c r="W1046" t="s">
        <v>4388</v>
      </c>
      <c r="X1046">
        <v>6</v>
      </c>
      <c r="Y1046" t="s">
        <v>6045</v>
      </c>
      <c r="Z1046" t="s">
        <v>7703</v>
      </c>
      <c r="AA1046">
        <v>0.2726082997188197</v>
      </c>
      <c r="AB1046">
        <f>HYPERLINK("Melting_Curves/meltCurve_P25397_tehB.pdf", "Melting_Curves/meltCurve_P25397_tehB.pdf")</f>
        <v>0</v>
      </c>
    </row>
    <row r="1047" spans="1:28">
      <c r="A1047" t="s">
        <v>1073</v>
      </c>
      <c r="B1047">
        <v>0.999998419929286</v>
      </c>
      <c r="C1047">
        <v>1.23653165315529</v>
      </c>
      <c r="D1047">
        <v>1.16980674488904</v>
      </c>
      <c r="E1047">
        <v>1.42705073813836</v>
      </c>
      <c r="F1047">
        <v>1.34545920397648</v>
      </c>
      <c r="G1047">
        <v>0.697771833044202</v>
      </c>
      <c r="H1047">
        <v>0.115395340162878</v>
      </c>
      <c r="I1047">
        <v>0.0666490909386126</v>
      </c>
      <c r="J1047">
        <v>0.0518627253367954</v>
      </c>
      <c r="K1047">
        <v>0.0450081436114405</v>
      </c>
      <c r="L1047">
        <v>4795.28853046576</v>
      </c>
      <c r="M1047">
        <v>88.38380634698861</v>
      </c>
      <c r="N1047">
        <v>54.3446926322713</v>
      </c>
      <c r="O1047">
        <v>54.22752656225</v>
      </c>
      <c r="P1047">
        <v>-0.379896862703733</v>
      </c>
      <c r="Q1047">
        <v>0.0676633573585262</v>
      </c>
      <c r="R1047">
        <v>0.87572103862576</v>
      </c>
      <c r="S1047" t="s">
        <v>2731</v>
      </c>
      <c r="T1047" t="s">
        <v>3344</v>
      </c>
      <c r="U1047" t="s">
        <v>3344</v>
      </c>
      <c r="V1047" t="s">
        <v>3344</v>
      </c>
      <c r="W1047" t="s">
        <v>4389</v>
      </c>
      <c r="X1047">
        <v>5</v>
      </c>
      <c r="Y1047" t="s">
        <v>6046</v>
      </c>
      <c r="Z1047" t="s">
        <v>7704</v>
      </c>
      <c r="AA1047">
        <v>0.6046325193565802</v>
      </c>
      <c r="AB1047">
        <f>HYPERLINK("Melting_Curves/meltCurve_P25437_frmA.pdf", "Melting_Curves/meltCurve_P25437_frmA.pdf")</f>
        <v>0</v>
      </c>
    </row>
    <row r="1048" spans="1:28">
      <c r="A1048" t="s">
        <v>1074</v>
      </c>
      <c r="B1048">
        <v>0.999998419929286</v>
      </c>
      <c r="C1048">
        <v>0.912754612691521</v>
      </c>
      <c r="D1048">
        <v>0.45581802499171</v>
      </c>
      <c r="E1048">
        <v>0.228964756367123</v>
      </c>
      <c r="F1048">
        <v>0.151322450020304</v>
      </c>
      <c r="G1048">
        <v>0.168025172490381</v>
      </c>
      <c r="H1048">
        <v>0.130147807604616</v>
      </c>
      <c r="I1048">
        <v>0.0896675827082614</v>
      </c>
      <c r="J1048">
        <v>0.08149414359151851</v>
      </c>
      <c r="K1048">
        <v>0.0726521468853697</v>
      </c>
      <c r="L1048">
        <v>1221.05487558204</v>
      </c>
      <c r="M1048">
        <v>28.7334837966252</v>
      </c>
      <c r="N1048">
        <v>42.8983330629782</v>
      </c>
      <c r="O1048">
        <v>42.2916473413771</v>
      </c>
      <c r="P1048">
        <v>-0.149787499127735</v>
      </c>
      <c r="Q1048">
        <v>0.118142305025738</v>
      </c>
      <c r="R1048">
        <v>0.989780501969758</v>
      </c>
      <c r="S1048" t="s">
        <v>2732</v>
      </c>
      <c r="T1048" t="s">
        <v>3344</v>
      </c>
      <c r="U1048" t="s">
        <v>3344</v>
      </c>
      <c r="V1048" t="s">
        <v>3344</v>
      </c>
      <c r="W1048" t="s">
        <v>4390</v>
      </c>
      <c r="X1048">
        <v>26</v>
      </c>
      <c r="Y1048" t="s">
        <v>6047</v>
      </c>
      <c r="Z1048" t="s">
        <v>7705</v>
      </c>
      <c r="AA1048">
        <v>0.2851892355713674</v>
      </c>
      <c r="AB1048">
        <f>HYPERLINK("Melting_Curves/meltCurve_P25516_acnA.pdf", "Melting_Curves/meltCurve_P25516_acnA.pdf")</f>
        <v>0</v>
      </c>
    </row>
    <row r="1049" spans="1:28">
      <c r="A1049" t="s">
        <v>1075</v>
      </c>
      <c r="B1049">
        <v>0.999998419929286</v>
      </c>
      <c r="C1049">
        <v>1.20992963961219</v>
      </c>
      <c r="D1049">
        <v>0.845767214542997</v>
      </c>
      <c r="E1049">
        <v>0.242698652378567</v>
      </c>
      <c r="F1049">
        <v>0.0911671988862848</v>
      </c>
      <c r="G1049">
        <v>0.0741049060422031</v>
      </c>
      <c r="H1049">
        <v>0.0504628638164217</v>
      </c>
      <c r="I1049">
        <v>0.038563662026234</v>
      </c>
      <c r="J1049">
        <v>0.0360576684163342</v>
      </c>
      <c r="K1049">
        <v>0.0343626634560455</v>
      </c>
      <c r="L1049">
        <v>1784.49690009836</v>
      </c>
      <c r="M1049">
        <v>39.6970835077482</v>
      </c>
      <c r="N1049">
        <v>45.0765573501871</v>
      </c>
      <c r="O1049">
        <v>44.8392234199777</v>
      </c>
      <c r="P1049">
        <v>-0.209905374555931</v>
      </c>
      <c r="Q1049">
        <v>0.0516206238584387</v>
      </c>
      <c r="R1049">
        <v>0.974871661489938</v>
      </c>
      <c r="S1049" t="s">
        <v>2733</v>
      </c>
      <c r="T1049" t="s">
        <v>3344</v>
      </c>
      <c r="U1049" t="s">
        <v>3344</v>
      </c>
      <c r="V1049" t="s">
        <v>3344</v>
      </c>
      <c r="W1049" t="s">
        <v>4391</v>
      </c>
      <c r="X1049">
        <v>4</v>
      </c>
      <c r="Y1049" t="s">
        <v>6048</v>
      </c>
      <c r="Z1049" t="s">
        <v>7706</v>
      </c>
      <c r="AA1049">
        <v>0.3060288359355432</v>
      </c>
      <c r="AB1049">
        <f>HYPERLINK("Melting_Curves/meltCurve_P25519_hflX.pdf", "Melting_Curves/meltCurve_P25519_hflX.pdf")</f>
        <v>0</v>
      </c>
    </row>
    <row r="1050" spans="1:28">
      <c r="A1050" t="s">
        <v>1076</v>
      </c>
      <c r="B1050">
        <v>0.999998419929286</v>
      </c>
      <c r="C1050">
        <v>0.717201365092256</v>
      </c>
      <c r="D1050">
        <v>0.423475484906609</v>
      </c>
      <c r="E1050">
        <v>0.34064495472116</v>
      </c>
      <c r="F1050">
        <v>0.15642330582816</v>
      </c>
      <c r="G1050">
        <v>0.109684246536123</v>
      </c>
      <c r="H1050">
        <v>0.0693468306019055</v>
      </c>
      <c r="I1050">
        <v>0.0490242898105102</v>
      </c>
      <c r="J1050">
        <v>0.0528035141752548</v>
      </c>
      <c r="K1050">
        <v>0.0430351220070061</v>
      </c>
      <c r="L1050">
        <v>611.010266956143</v>
      </c>
      <c r="M1050">
        <v>14.3374995524829</v>
      </c>
      <c r="N1050">
        <v>42.9428891343224</v>
      </c>
      <c r="O1050">
        <v>41.8129083428081</v>
      </c>
      <c r="P1050">
        <v>-0.0813052358765064</v>
      </c>
      <c r="Q1050">
        <v>0.0516621036589768</v>
      </c>
      <c r="R1050">
        <v>0.9783860505893009</v>
      </c>
      <c r="S1050" t="s">
        <v>2734</v>
      </c>
      <c r="T1050" t="s">
        <v>3344</v>
      </c>
      <c r="U1050" t="s">
        <v>3344</v>
      </c>
      <c r="V1050" t="s">
        <v>3344</v>
      </c>
      <c r="W1050" t="s">
        <v>4392</v>
      </c>
      <c r="X1050">
        <v>5</v>
      </c>
      <c r="Y1050" t="s">
        <v>6049</v>
      </c>
      <c r="Z1050" t="s">
        <v>7707</v>
      </c>
      <c r="AA1050">
        <v>0.2576263032292895</v>
      </c>
      <c r="AB1050">
        <f>HYPERLINK("Melting_Curves/meltCurve_P25522_mnmE.pdf", "Melting_Curves/meltCurve_P25522_mnmE.pdf")</f>
        <v>0</v>
      </c>
    </row>
    <row r="1051" spans="1:28">
      <c r="A1051" t="s">
        <v>1077</v>
      </c>
      <c r="B1051">
        <v>0.999998419929286</v>
      </c>
      <c r="C1051">
        <v>0.958882163749409</v>
      </c>
      <c r="D1051">
        <v>0.774198834348512</v>
      </c>
      <c r="E1051">
        <v>0.825004167421889</v>
      </c>
      <c r="F1051">
        <v>0.846812215126073</v>
      </c>
      <c r="G1051">
        <v>0.90002631445147</v>
      </c>
      <c r="H1051">
        <v>0.69960995981028</v>
      </c>
      <c r="I1051">
        <v>0.696647309256586</v>
      </c>
      <c r="J1051">
        <v>0.610106750290779</v>
      </c>
      <c r="K1051">
        <v>0.577517532458471</v>
      </c>
      <c r="L1051">
        <v>222.534413455419</v>
      </c>
      <c r="M1051">
        <v>2.90717596706123</v>
      </c>
      <c r="O1051">
        <v>55.5732699720863</v>
      </c>
      <c r="P1051">
        <v>-0.0135201121934832</v>
      </c>
      <c r="Q1051">
        <v>0</v>
      </c>
      <c r="R1051">
        <v>0.779616819648967</v>
      </c>
      <c r="S1051" t="s">
        <v>2735</v>
      </c>
      <c r="T1051" t="s">
        <v>3344</v>
      </c>
      <c r="U1051" t="s">
        <v>3344</v>
      </c>
      <c r="V1051" t="s">
        <v>3344</v>
      </c>
      <c r="W1051" t="s">
        <v>4393</v>
      </c>
      <c r="X1051">
        <v>3</v>
      </c>
      <c r="Y1051" t="s">
        <v>6050</v>
      </c>
      <c r="Z1051" t="s">
        <v>7708</v>
      </c>
      <c r="AA1051">
        <v>0.7919788407634598</v>
      </c>
      <c r="AB1051">
        <f>HYPERLINK("Melting_Curves/meltCurve_P25524_codA.pdf", "Melting_Curves/meltCurve_P25524_codA.pdf")</f>
        <v>0</v>
      </c>
    </row>
    <row r="1052" spans="1:28">
      <c r="A1052" t="s">
        <v>1078</v>
      </c>
      <c r="B1052">
        <v>0.999998419929286</v>
      </c>
      <c r="C1052">
        <v>0.8545098115102751</v>
      </c>
      <c r="D1052">
        <v>0.527981159827106</v>
      </c>
      <c r="E1052">
        <v>0.353697033083782</v>
      </c>
      <c r="F1052">
        <v>0.231547167752516</v>
      </c>
      <c r="G1052">
        <v>0.205623007861873</v>
      </c>
      <c r="H1052">
        <v>0.152311875218944</v>
      </c>
      <c r="I1052">
        <v>0.129172347402895</v>
      </c>
      <c r="J1052">
        <v>0.118018164742749</v>
      </c>
      <c r="K1052">
        <v>0.108295133044146</v>
      </c>
      <c r="L1052">
        <v>726.71366727741</v>
      </c>
      <c r="M1052">
        <v>16.825958457134</v>
      </c>
      <c r="N1052">
        <v>44.0138074296439</v>
      </c>
      <c r="O1052">
        <v>42.5938052874619</v>
      </c>
      <c r="P1052">
        <v>-0.08542394833084389</v>
      </c>
      <c r="Q1052">
        <v>0.135075278051226</v>
      </c>
      <c r="R1052">
        <v>0.989078283203113</v>
      </c>
      <c r="S1052" t="s">
        <v>2736</v>
      </c>
      <c r="T1052" t="s">
        <v>3344</v>
      </c>
      <c r="U1052" t="s">
        <v>3344</v>
      </c>
      <c r="V1052" t="s">
        <v>3344</v>
      </c>
      <c r="W1052" t="s">
        <v>4394</v>
      </c>
      <c r="X1052">
        <v>10</v>
      </c>
      <c r="Y1052" t="s">
        <v>6051</v>
      </c>
      <c r="Z1052" t="s">
        <v>7709</v>
      </c>
      <c r="AA1052">
        <v>0.3311189414734335</v>
      </c>
      <c r="AB1052">
        <f>HYPERLINK("Melting_Curves/meltCurve_P25526_gabD.pdf", "Melting_Curves/meltCurve_P25526_gabD.pdf")</f>
        <v>0</v>
      </c>
    </row>
    <row r="1053" spans="1:28">
      <c r="A1053" t="s">
        <v>1079</v>
      </c>
      <c r="B1053">
        <v>0.999998419929286</v>
      </c>
      <c r="C1053">
        <v>0.888880089757747</v>
      </c>
      <c r="D1053">
        <v>0.448861222417187</v>
      </c>
      <c r="E1053">
        <v>0.229750211304857</v>
      </c>
      <c r="F1053">
        <v>0.213134723251945</v>
      </c>
      <c r="G1053">
        <v>0.369157671348969</v>
      </c>
      <c r="H1053">
        <v>0.259539517065175</v>
      </c>
      <c r="I1053">
        <v>0.164909063996441</v>
      </c>
      <c r="J1053">
        <v>0.140422461161361</v>
      </c>
      <c r="K1053">
        <v>0.23908230518208</v>
      </c>
      <c r="L1053">
        <v>1530.9676066658</v>
      </c>
      <c r="M1053">
        <v>36.5457959864767</v>
      </c>
      <c r="N1053">
        <v>42.6026885398621</v>
      </c>
      <c r="O1053">
        <v>41.7669292714091</v>
      </c>
      <c r="P1053">
        <v>-0.168811805065441</v>
      </c>
      <c r="Q1053">
        <v>0.228285762715849</v>
      </c>
      <c r="R1053">
        <v>0.960130125341486</v>
      </c>
      <c r="S1053" t="s">
        <v>2737</v>
      </c>
      <c r="T1053" t="s">
        <v>3344</v>
      </c>
      <c r="U1053" t="s">
        <v>3344</v>
      </c>
      <c r="V1053" t="s">
        <v>3344</v>
      </c>
      <c r="W1053" t="s">
        <v>4395</v>
      </c>
      <c r="X1053">
        <v>1</v>
      </c>
      <c r="Y1053" t="s">
        <v>6052</v>
      </c>
      <c r="Z1053" t="s">
        <v>7710</v>
      </c>
      <c r="AA1053">
        <v>0.3569772349777025</v>
      </c>
      <c r="AB1053">
        <f>HYPERLINK("Melting_Curves/meltCurve_P25535_ubiI.pdf", "Melting_Curves/meltCurve_P25535_ubiI.pdf")</f>
        <v>0</v>
      </c>
    </row>
    <row r="1054" spans="1:28">
      <c r="A1054" t="s">
        <v>1080</v>
      </c>
      <c r="B1054">
        <v>0.999998419929286</v>
      </c>
      <c r="C1054">
        <v>0.803351348948337</v>
      </c>
      <c r="D1054">
        <v>0.530001508805986</v>
      </c>
      <c r="E1054">
        <v>0.495952954842461</v>
      </c>
      <c r="F1054">
        <v>0.398965760551403</v>
      </c>
      <c r="G1054">
        <v>0.28741172562564</v>
      </c>
      <c r="H1054">
        <v>0.196272594307228</v>
      </c>
      <c r="I1054">
        <v>0.144928113986147</v>
      </c>
      <c r="J1054">
        <v>0.126628185542179</v>
      </c>
      <c r="K1054">
        <v>0.15311043780254</v>
      </c>
      <c r="L1054">
        <v>430.625342734396</v>
      </c>
      <c r="M1054">
        <v>9.581310507604689</v>
      </c>
      <c r="N1054">
        <v>46.0673413611578</v>
      </c>
      <c r="O1054">
        <v>43.1172731019842</v>
      </c>
      <c r="P1054">
        <v>-0.0497964165299048</v>
      </c>
      <c r="Q1054">
        <v>0.104148924625943</v>
      </c>
      <c r="R1054">
        <v>0.962593607687925</v>
      </c>
      <c r="S1054" t="s">
        <v>2738</v>
      </c>
      <c r="T1054" t="s">
        <v>3344</v>
      </c>
      <c r="U1054" t="s">
        <v>3344</v>
      </c>
      <c r="V1054" t="s">
        <v>3344</v>
      </c>
      <c r="W1054" t="s">
        <v>4396</v>
      </c>
      <c r="X1054">
        <v>1</v>
      </c>
      <c r="Y1054" t="s">
        <v>6053</v>
      </c>
      <c r="Z1054" t="s">
        <v>7711</v>
      </c>
      <c r="AA1054">
        <v>0.3890780160884523</v>
      </c>
      <c r="AB1054">
        <f>HYPERLINK("Melting_Curves/meltCurve_P25536_yhdE.pdf", "Melting_Curves/meltCurve_P25536_yhdE.pdf")</f>
        <v>0</v>
      </c>
    </row>
    <row r="1055" spans="1:28">
      <c r="A1055" t="s">
        <v>1081</v>
      </c>
      <c r="B1055">
        <v>0.999998419929286</v>
      </c>
      <c r="C1055">
        <v>1.08234962858327</v>
      </c>
      <c r="D1055">
        <v>1.11541004764971</v>
      </c>
      <c r="E1055">
        <v>1.22380034876787</v>
      </c>
      <c r="F1055">
        <v>1.09426551868657</v>
      </c>
      <c r="G1055">
        <v>0.477911133765651</v>
      </c>
      <c r="H1055">
        <v>0.107444710111601</v>
      </c>
      <c r="I1055">
        <v>0.0969053202926185</v>
      </c>
      <c r="J1055">
        <v>0.0715457866580896</v>
      </c>
      <c r="K1055">
        <v>0.0522885217832329</v>
      </c>
      <c r="L1055">
        <v>11943.4273730109</v>
      </c>
      <c r="M1055">
        <v>222.27355516482</v>
      </c>
      <c r="N1055">
        <v>53.7763765502528</v>
      </c>
      <c r="O1055">
        <v>53.7286796641845</v>
      </c>
      <c r="P1055">
        <v>-0.949385836583284</v>
      </c>
      <c r="Q1055">
        <v>0.0820459076315848</v>
      </c>
      <c r="R1055">
        <v>0.96586802142381</v>
      </c>
      <c r="S1055" t="s">
        <v>2739</v>
      </c>
      <c r="T1055" t="s">
        <v>3344</v>
      </c>
      <c r="U1055" t="s">
        <v>3344</v>
      </c>
      <c r="V1055" t="s">
        <v>3344</v>
      </c>
      <c r="W1055" t="s">
        <v>4397</v>
      </c>
      <c r="X1055">
        <v>8</v>
      </c>
      <c r="Y1055" t="s">
        <v>6054</v>
      </c>
      <c r="Z1055" t="s">
        <v>7712</v>
      </c>
      <c r="AA1055">
        <v>0.5941599497678951</v>
      </c>
      <c r="AB1055">
        <f>HYPERLINK("Melting_Curves/meltCurve_P25539_ribD.pdf", "Melting_Curves/meltCurve_P25539_ribD.pdf")</f>
        <v>0</v>
      </c>
    </row>
    <row r="1056" spans="1:28">
      <c r="A1056" t="s">
        <v>1082</v>
      </c>
      <c r="B1056">
        <v>0.999998419929286</v>
      </c>
      <c r="C1056">
        <v>1.18632949017853</v>
      </c>
      <c r="D1056">
        <v>0.978009722495728</v>
      </c>
      <c r="E1056">
        <v>0.622590164093794</v>
      </c>
      <c r="F1056">
        <v>0.249098691347022</v>
      </c>
      <c r="G1056">
        <v>0.12778806099377</v>
      </c>
      <c r="H1056">
        <v>0.0552420241226726</v>
      </c>
      <c r="I1056">
        <v>0.0654101691651878</v>
      </c>
      <c r="J1056">
        <v>0.0358978420515692</v>
      </c>
      <c r="K1056">
        <v>0</v>
      </c>
      <c r="L1056">
        <v>1248.66433673626</v>
      </c>
      <c r="M1056">
        <v>26.2456454301059</v>
      </c>
      <c r="N1056">
        <v>47.7478268159249</v>
      </c>
      <c r="O1056">
        <v>47.3024172126768</v>
      </c>
      <c r="P1056">
        <v>-0.132464744333317</v>
      </c>
      <c r="Q1056">
        <v>0.045047669665142</v>
      </c>
      <c r="R1056">
        <v>0.978183454602338</v>
      </c>
      <c r="S1056" t="s">
        <v>2740</v>
      </c>
      <c r="T1056" t="s">
        <v>3344</v>
      </c>
      <c r="U1056" t="s">
        <v>3344</v>
      </c>
      <c r="V1056" t="s">
        <v>3344</v>
      </c>
      <c r="W1056" t="s">
        <v>4398</v>
      </c>
      <c r="X1056">
        <v>1</v>
      </c>
      <c r="Y1056" t="s">
        <v>6055</v>
      </c>
      <c r="Z1056" t="s">
        <v>7713</v>
      </c>
      <c r="AA1056">
        <v>0.3890413154424325</v>
      </c>
      <c r="AB1056">
        <f>HYPERLINK("Melting_Curves/meltCurve_P25552_gppA.pdf", "Melting_Curves/meltCurve_P25552_gppA.pdf")</f>
        <v>0</v>
      </c>
    </row>
    <row r="1057" spans="1:28">
      <c r="A1057" t="s">
        <v>1083</v>
      </c>
      <c r="B1057">
        <v>0.999998419929286</v>
      </c>
      <c r="C1057">
        <v>1.27609979597683</v>
      </c>
      <c r="D1057">
        <v>1.37903980720848</v>
      </c>
      <c r="E1057">
        <v>1.54345044213796</v>
      </c>
      <c r="F1057">
        <v>1.63012271977765</v>
      </c>
      <c r="G1057">
        <v>1.84385770221621</v>
      </c>
      <c r="H1057">
        <v>1.13431290104671</v>
      </c>
      <c r="I1057">
        <v>0.125606856302819</v>
      </c>
      <c r="J1057">
        <v>0.0677081952453111</v>
      </c>
      <c r="K1057">
        <v>0.0634707554731333</v>
      </c>
      <c r="L1057">
        <v>15000</v>
      </c>
      <c r="M1057">
        <v>248.580367522048</v>
      </c>
      <c r="N1057">
        <v>60.3768101314054</v>
      </c>
      <c r="O1057">
        <v>60.3387517113668</v>
      </c>
      <c r="P1057">
        <v>-0.9623868130980781</v>
      </c>
      <c r="Q1057">
        <v>0.0655864002762449</v>
      </c>
      <c r="R1057">
        <v>0.604502183250217</v>
      </c>
      <c r="S1057" t="s">
        <v>2741</v>
      </c>
      <c r="T1057" t="s">
        <v>3344</v>
      </c>
      <c r="U1057" t="s">
        <v>3344</v>
      </c>
      <c r="V1057" t="s">
        <v>3344</v>
      </c>
      <c r="W1057" t="s">
        <v>4399</v>
      </c>
      <c r="X1057">
        <v>21</v>
      </c>
      <c r="Y1057" t="s">
        <v>6056</v>
      </c>
      <c r="Z1057" t="s">
        <v>7714</v>
      </c>
      <c r="AA1057">
        <v>0.7927430455451332</v>
      </c>
      <c r="AB1057">
        <f>HYPERLINK("Melting_Curves/meltCurve_P25553_aldA.pdf", "Melting_Curves/meltCurve_P25553_aldA.pdf")</f>
        <v>0</v>
      </c>
    </row>
    <row r="1058" spans="1:28">
      <c r="A1058" t="s">
        <v>1084</v>
      </c>
      <c r="B1058">
        <v>0.999998419929286</v>
      </c>
      <c r="C1058">
        <v>1.16658623938217</v>
      </c>
      <c r="D1058">
        <v>0.929726578288562</v>
      </c>
      <c r="E1058">
        <v>0.8296968211090709</v>
      </c>
      <c r="F1058">
        <v>0.649014436610742</v>
      </c>
      <c r="G1058">
        <v>0.709608246763353</v>
      </c>
      <c r="H1058">
        <v>0.666585410110528</v>
      </c>
      <c r="I1058">
        <v>0.520320436739204</v>
      </c>
      <c r="J1058">
        <v>0.539682254823996</v>
      </c>
      <c r="K1058">
        <v>0.496170835902266</v>
      </c>
      <c r="L1058">
        <v>678.428201007736</v>
      </c>
      <c r="M1058">
        <v>13.8029965136947</v>
      </c>
      <c r="O1058">
        <v>48.1535810836328</v>
      </c>
      <c r="P1058">
        <v>-0.0338963190770294</v>
      </c>
      <c r="Q1058">
        <v>0.527058873709498</v>
      </c>
      <c r="R1058">
        <v>0.875656345367693</v>
      </c>
      <c r="S1058" t="s">
        <v>2742</v>
      </c>
      <c r="T1058" t="s">
        <v>3344</v>
      </c>
      <c r="U1058" t="s">
        <v>3344</v>
      </c>
      <c r="V1058" t="s">
        <v>3344</v>
      </c>
      <c r="W1058" t="s">
        <v>4400</v>
      </c>
      <c r="X1058">
        <v>6</v>
      </c>
      <c r="Y1058" t="s">
        <v>6057</v>
      </c>
      <c r="Z1058" t="s">
        <v>7715</v>
      </c>
      <c r="AA1058">
        <v>0.730099307715199</v>
      </c>
      <c r="AB1058">
        <f>HYPERLINK("Melting_Curves/meltCurve_P25714_yidC.pdf", "Melting_Curves/meltCurve_P25714_yidC.pdf")</f>
        <v>0</v>
      </c>
    </row>
    <row r="1059" spans="1:28">
      <c r="A1059" t="s">
        <v>1085</v>
      </c>
      <c r="B1059">
        <v>0.999998419929286</v>
      </c>
      <c r="C1059">
        <v>1.30923203173945</v>
      </c>
      <c r="D1059">
        <v>1.37401527840227</v>
      </c>
      <c r="E1059">
        <v>1.66229213583291</v>
      </c>
      <c r="F1059">
        <v>1.58679030423404</v>
      </c>
      <c r="G1059">
        <v>0.980166903829243</v>
      </c>
      <c r="H1059">
        <v>0.341123370181832</v>
      </c>
      <c r="I1059">
        <v>0.124993009697497</v>
      </c>
      <c r="J1059">
        <v>0.10619172277618</v>
      </c>
      <c r="K1059">
        <v>0.119115989337253</v>
      </c>
      <c r="L1059">
        <v>4309.54814378499</v>
      </c>
      <c r="M1059">
        <v>76.1509532076884</v>
      </c>
      <c r="N1059">
        <v>56.7880616262273</v>
      </c>
      <c r="O1059">
        <v>56.5531847824591</v>
      </c>
      <c r="P1059">
        <v>-0.297748741671269</v>
      </c>
      <c r="Q1059">
        <v>0.115512743016544</v>
      </c>
      <c r="R1059">
        <v>0.7169211695907129</v>
      </c>
      <c r="S1059" t="s">
        <v>2743</v>
      </c>
      <c r="T1059" t="s">
        <v>3344</v>
      </c>
      <c r="U1059" t="s">
        <v>3344</v>
      </c>
      <c r="V1059" t="s">
        <v>3344</v>
      </c>
      <c r="W1059" t="s">
        <v>4401</v>
      </c>
      <c r="X1059">
        <v>5</v>
      </c>
      <c r="Y1059" t="s">
        <v>6058</v>
      </c>
      <c r="Z1059" t="s">
        <v>7716</v>
      </c>
      <c r="AA1059">
        <v>0.6940956860709648</v>
      </c>
      <c r="AB1059">
        <f>HYPERLINK("Melting_Curves/meltCurve_P25745_mnmA.pdf", "Melting_Curves/meltCurve_P25745_mnmA.pdf")</f>
        <v>0</v>
      </c>
    </row>
    <row r="1060" spans="1:28">
      <c r="A1060" t="s">
        <v>1086</v>
      </c>
      <c r="B1060">
        <v>0.999998419929286</v>
      </c>
      <c r="C1060">
        <v>1.24597652227759</v>
      </c>
      <c r="D1060">
        <v>0.755984016414622</v>
      </c>
      <c r="E1060">
        <v>0.745611198217123</v>
      </c>
      <c r="F1060">
        <v>0.55680719173355</v>
      </c>
      <c r="G1060">
        <v>0.46314576033475</v>
      </c>
      <c r="H1060">
        <v>0.249630195565081</v>
      </c>
      <c r="I1060">
        <v>0.219281772531108</v>
      </c>
      <c r="J1060">
        <v>0.262814218617321</v>
      </c>
      <c r="K1060">
        <v>0.263237170786819</v>
      </c>
      <c r="L1060">
        <v>688.918433118247</v>
      </c>
      <c r="M1060">
        <v>14.0281089390974</v>
      </c>
      <c r="N1060">
        <v>51.1806089615091</v>
      </c>
      <c r="O1060">
        <v>48.144178572297</v>
      </c>
      <c r="P1060">
        <v>-0.0570773209048688</v>
      </c>
      <c r="Q1060">
        <v>0.216550145315308</v>
      </c>
      <c r="R1060">
        <v>0.903030614425732</v>
      </c>
      <c r="S1060" t="s">
        <v>2744</v>
      </c>
      <c r="T1060" t="s">
        <v>3344</v>
      </c>
      <c r="U1060" t="s">
        <v>3344</v>
      </c>
      <c r="V1060" t="s">
        <v>3344</v>
      </c>
      <c r="W1060" t="s">
        <v>4402</v>
      </c>
      <c r="X1060">
        <v>1</v>
      </c>
      <c r="Y1060" t="s">
        <v>6059</v>
      </c>
      <c r="Z1060" t="s">
        <v>7717</v>
      </c>
      <c r="AA1060">
        <v>0.5514066877435914</v>
      </c>
      <c r="AB1060">
        <f>HYPERLINK("Melting_Curves/meltCurve_P25889_preA.pdf", "Melting_Curves/meltCurve_P25889_preA.pdf")</f>
        <v>0</v>
      </c>
    </row>
    <row r="1061" spans="1:28">
      <c r="A1061" t="s">
        <v>1087</v>
      </c>
      <c r="B1061">
        <v>0.999998419929286</v>
      </c>
      <c r="C1061">
        <v>0.959966778309904</v>
      </c>
      <c r="D1061">
        <v>1.05929206254227</v>
      </c>
      <c r="E1061">
        <v>1.16437373202096</v>
      </c>
      <c r="F1061">
        <v>1.34489469998545</v>
      </c>
      <c r="G1061">
        <v>1.44456009673155</v>
      </c>
      <c r="H1061">
        <v>1.14047153740376</v>
      </c>
      <c r="I1061">
        <v>0.936582444944029</v>
      </c>
      <c r="J1061">
        <v>0.943905320527465</v>
      </c>
      <c r="K1061">
        <v>0.937839321570234</v>
      </c>
      <c r="L1061">
        <v>12170.847607888</v>
      </c>
      <c r="M1061">
        <v>203.877398689905</v>
      </c>
      <c r="O1061">
        <v>59.6911551072311</v>
      </c>
      <c r="P1061">
        <v>-0.051907823824491</v>
      </c>
      <c r="Q1061">
        <v>0.9392097848251481</v>
      </c>
      <c r="R1061">
        <v>-0.259182368762286</v>
      </c>
      <c r="S1061" t="s">
        <v>2745</v>
      </c>
      <c r="T1061" t="s">
        <v>3344</v>
      </c>
      <c r="U1061" t="s">
        <v>3344</v>
      </c>
      <c r="V1061" t="s">
        <v>3344</v>
      </c>
      <c r="W1061" t="s">
        <v>4403</v>
      </c>
      <c r="X1061">
        <v>8</v>
      </c>
      <c r="Y1061" t="s">
        <v>6060</v>
      </c>
      <c r="Z1061" t="s">
        <v>7718</v>
      </c>
      <c r="AA1061">
        <v>0.9852109994066329</v>
      </c>
      <c r="AB1061">
        <f>HYPERLINK("Melting_Curves/meltCurve_P25894_loiP.pdf", "Melting_Curves/meltCurve_P25894_loiP.pdf")</f>
        <v>0</v>
      </c>
    </row>
    <row r="1062" spans="1:28">
      <c r="A1062" t="s">
        <v>1088</v>
      </c>
      <c r="B1062">
        <v>0.999998419929286</v>
      </c>
      <c r="C1062">
        <v>0.808367127191075</v>
      </c>
      <c r="D1062">
        <v>0.779120655487803</v>
      </c>
      <c r="E1062">
        <v>0.500046816451313</v>
      </c>
      <c r="F1062">
        <v>0.267731163091239</v>
      </c>
      <c r="G1062">
        <v>0.245359948914528</v>
      </c>
      <c r="H1062">
        <v>0.164038673470395</v>
      </c>
      <c r="I1062">
        <v>0.140694911098121</v>
      </c>
      <c r="J1062">
        <v>0.119575713064945</v>
      </c>
      <c r="K1062">
        <v>0.103914273395968</v>
      </c>
      <c r="L1062">
        <v>597.643434179711</v>
      </c>
      <c r="M1062">
        <v>13.064634020057</v>
      </c>
      <c r="N1062">
        <v>46.5467087610768</v>
      </c>
      <c r="O1062">
        <v>44.7131651957451</v>
      </c>
      <c r="P1062">
        <v>-0.0656998592627247</v>
      </c>
      <c r="Q1062">
        <v>0.100735623274998</v>
      </c>
      <c r="R1062">
        <v>0.986585981249735</v>
      </c>
      <c r="S1062" t="s">
        <v>2746</v>
      </c>
      <c r="T1062" t="s">
        <v>3344</v>
      </c>
      <c r="U1062" t="s">
        <v>3344</v>
      </c>
      <c r="V1062" t="s">
        <v>3344</v>
      </c>
      <c r="W1062" t="s">
        <v>4404</v>
      </c>
      <c r="X1062">
        <v>5</v>
      </c>
      <c r="Y1062" t="s">
        <v>6061</v>
      </c>
      <c r="Z1062" t="s">
        <v>7719</v>
      </c>
      <c r="AA1062">
        <v>0.3899091815963407</v>
      </c>
      <c r="AB1062">
        <f>HYPERLINK("Melting_Curves/meltCurve_P25906_ydbC.pdf", "Melting_Curves/meltCurve_P25906_ydbC.pdf")</f>
        <v>0</v>
      </c>
    </row>
    <row r="1063" spans="1:28">
      <c r="A1063" t="s">
        <v>1089</v>
      </c>
      <c r="B1063">
        <v>0.999998419929286</v>
      </c>
      <c r="C1063">
        <v>1.35894426681328</v>
      </c>
      <c r="D1063">
        <v>1.57307808072839</v>
      </c>
      <c r="E1063">
        <v>1.79754288537895</v>
      </c>
      <c r="F1063">
        <v>2.18208974797508</v>
      </c>
      <c r="G1063">
        <v>2.25101663771141</v>
      </c>
      <c r="H1063">
        <v>0.457333861311191</v>
      </c>
      <c r="I1063">
        <v>0.117153821568697</v>
      </c>
      <c r="J1063">
        <v>0.08929005646871439</v>
      </c>
      <c r="K1063">
        <v>0.0850000852823953</v>
      </c>
      <c r="L1063">
        <v>14326.4733815157</v>
      </c>
      <c r="M1063">
        <v>250</v>
      </c>
      <c r="N1063">
        <v>57.3554443205203</v>
      </c>
      <c r="O1063">
        <v>57.3022231738207</v>
      </c>
      <c r="P1063">
        <v>-0.984748127232995</v>
      </c>
      <c r="Q1063">
        <v>0.09714783999530099</v>
      </c>
      <c r="R1063">
        <v>0.395765583040872</v>
      </c>
      <c r="S1063" t="s">
        <v>2747</v>
      </c>
      <c r="T1063" t="s">
        <v>3344</v>
      </c>
      <c r="U1063" t="s">
        <v>3344</v>
      </c>
      <c r="V1063" t="s">
        <v>3344</v>
      </c>
      <c r="W1063" t="s">
        <v>4405</v>
      </c>
      <c r="X1063">
        <v>9</v>
      </c>
      <c r="Y1063" t="s">
        <v>6062</v>
      </c>
      <c r="Z1063" t="s">
        <v>7720</v>
      </c>
      <c r="AA1063">
        <v>0.708345968390255</v>
      </c>
      <c r="AB1063">
        <f>HYPERLINK("Melting_Curves/meltCurve_P26612_amyA.pdf", "Melting_Curves/meltCurve_P26612_amyA.pdf")</f>
        <v>0</v>
      </c>
    </row>
    <row r="1064" spans="1:28">
      <c r="A1064" t="s">
        <v>1090</v>
      </c>
      <c r="B1064">
        <v>0.999998419929286</v>
      </c>
      <c r="C1064">
        <v>0.64946307583439</v>
      </c>
      <c r="D1064">
        <v>0.144593765585126</v>
      </c>
      <c r="E1064">
        <v>0.0775737125515594</v>
      </c>
      <c r="F1064">
        <v>0.0536154478199901</v>
      </c>
      <c r="G1064">
        <v>0.0580506928705493</v>
      </c>
      <c r="H1064">
        <v>0.0358425313851436</v>
      </c>
      <c r="I1064">
        <v>0.0224890262476493</v>
      </c>
      <c r="J1064">
        <v>0.0160258967747731</v>
      </c>
      <c r="K1064">
        <v>0.0160080683366454</v>
      </c>
      <c r="L1064">
        <v>1497.7641773613</v>
      </c>
      <c r="M1064">
        <v>36.9569774876269</v>
      </c>
      <c r="N1064">
        <v>40.6162468017355</v>
      </c>
      <c r="O1064">
        <v>40.4091238616743</v>
      </c>
      <c r="P1064">
        <v>-0.219749809128337</v>
      </c>
      <c r="Q1064">
        <v>0.0388963129403522</v>
      </c>
      <c r="R1064">
        <v>0.996453108501466</v>
      </c>
      <c r="S1064" t="s">
        <v>2748</v>
      </c>
      <c r="T1064" t="s">
        <v>3344</v>
      </c>
      <c r="U1064" t="s">
        <v>3344</v>
      </c>
      <c r="V1064" t="s">
        <v>3344</v>
      </c>
      <c r="W1064" t="s">
        <v>4406</v>
      </c>
      <c r="X1064">
        <v>6</v>
      </c>
      <c r="Y1064" t="s">
        <v>6063</v>
      </c>
      <c r="Z1064" t="s">
        <v>7721</v>
      </c>
      <c r="AA1064">
        <v>0.1558694148295695</v>
      </c>
      <c r="AB1064">
        <f>HYPERLINK("Melting_Curves/meltCurve_P26616_maeA.pdf", "Melting_Curves/meltCurve_P26616_maeA.pdf")</f>
        <v>0</v>
      </c>
    </row>
    <row r="1065" spans="1:28">
      <c r="A1065" t="s">
        <v>1091</v>
      </c>
      <c r="B1065">
        <v>0.999998419929286</v>
      </c>
      <c r="C1065">
        <v>0.978847047823168</v>
      </c>
      <c r="D1065">
        <v>0.97314151571768</v>
      </c>
      <c r="E1065">
        <v>0.25035752293617</v>
      </c>
      <c r="F1065">
        <v>0.08094068708303249</v>
      </c>
      <c r="G1065">
        <v>0.0755276303323708</v>
      </c>
      <c r="H1065">
        <v>0.0472980554130065</v>
      </c>
      <c r="I1065">
        <v>0.0330554313522046</v>
      </c>
      <c r="J1065">
        <v>0.0322802159214581</v>
      </c>
      <c r="K1065">
        <v>0.0339392841670104</v>
      </c>
      <c r="L1065">
        <v>2615.70848060737</v>
      </c>
      <c r="M1065">
        <v>57.438620908382</v>
      </c>
      <c r="N1065">
        <v>45.6220184203318</v>
      </c>
      <c r="O1065">
        <v>45.484092925683</v>
      </c>
      <c r="P1065">
        <v>-0.300073377375016</v>
      </c>
      <c r="Q1065">
        <v>0.0495204543046731</v>
      </c>
      <c r="R1065">
        <v>0.998485523658958</v>
      </c>
      <c r="S1065" t="s">
        <v>2749</v>
      </c>
      <c r="T1065" t="s">
        <v>3344</v>
      </c>
      <c r="U1065" t="s">
        <v>3344</v>
      </c>
      <c r="V1065" t="s">
        <v>3344</v>
      </c>
      <c r="W1065" t="s">
        <v>4407</v>
      </c>
      <c r="X1065">
        <v>10</v>
      </c>
      <c r="Y1065" t="s">
        <v>6064</v>
      </c>
      <c r="Z1065" t="s">
        <v>7722</v>
      </c>
      <c r="AA1065">
        <v>0.3215095857698194</v>
      </c>
      <c r="AB1065">
        <f>HYPERLINK("Melting_Curves/meltCurve_P26646_acuI.pdf", "Melting_Curves/meltCurve_P26646_acuI.pdf")</f>
        <v>0</v>
      </c>
    </row>
    <row r="1066" spans="1:28">
      <c r="A1066" t="s">
        <v>1092</v>
      </c>
      <c r="B1066">
        <v>0.999998419929286</v>
      </c>
      <c r="C1066">
        <v>0.714281585845548</v>
      </c>
      <c r="D1066">
        <v>0.306738760299196</v>
      </c>
      <c r="E1066">
        <v>0.199186242215703</v>
      </c>
      <c r="F1066">
        <v>0.143466098282182</v>
      </c>
      <c r="G1066">
        <v>0.143936072698086</v>
      </c>
      <c r="H1066">
        <v>0.11222517861218</v>
      </c>
      <c r="I1066">
        <v>0.0863480876560174</v>
      </c>
      <c r="J1066">
        <v>0.15016530388006</v>
      </c>
      <c r="K1066">
        <v>0.162306992269771</v>
      </c>
      <c r="L1066">
        <v>1190.30900079037</v>
      </c>
      <c r="M1066">
        <v>29.0761654871613</v>
      </c>
      <c r="N1066">
        <v>41.3960310008525</v>
      </c>
      <c r="O1066">
        <v>40.7454475922336</v>
      </c>
      <c r="P1066">
        <v>-0.153846279813558</v>
      </c>
      <c r="Q1066">
        <v>0.137645776698316</v>
      </c>
      <c r="R1066">
        <v>0.991730574839174</v>
      </c>
      <c r="S1066" t="s">
        <v>2750</v>
      </c>
      <c r="T1066" t="s">
        <v>3344</v>
      </c>
      <c r="U1066" t="s">
        <v>3344</v>
      </c>
      <c r="V1066" t="s">
        <v>3344</v>
      </c>
      <c r="W1066" t="s">
        <v>4408</v>
      </c>
      <c r="X1066">
        <v>1</v>
      </c>
      <c r="Y1066" t="s">
        <v>6065</v>
      </c>
      <c r="Z1066" t="s">
        <v>7723</v>
      </c>
      <c r="AA1066">
        <v>0.2568691942148685</v>
      </c>
      <c r="AB1066">
        <f>HYPERLINK("Melting_Curves/meltCurve_P26647_plsC.pdf", "Melting_Curves/meltCurve_P26647_plsC.pdf")</f>
        <v>0</v>
      </c>
    </row>
    <row r="1067" spans="1:28">
      <c r="A1067" t="s">
        <v>1093</v>
      </c>
      <c r="B1067">
        <v>0.999998419929286</v>
      </c>
      <c r="C1067">
        <v>1.0732959271089</v>
      </c>
      <c r="D1067">
        <v>1.22109419550731</v>
      </c>
      <c r="E1067">
        <v>1.15151435103773</v>
      </c>
      <c r="F1067">
        <v>0.82759348338685</v>
      </c>
      <c r="G1067">
        <v>0.3610517275974</v>
      </c>
      <c r="H1067">
        <v>0.205214122487892</v>
      </c>
      <c r="I1067">
        <v>0.176251889005873</v>
      </c>
      <c r="J1067">
        <v>0.176820498917028</v>
      </c>
      <c r="K1067">
        <v>0.183873368178452</v>
      </c>
      <c r="L1067">
        <v>2111.69602623865</v>
      </c>
      <c r="M1067">
        <v>40.589125891677</v>
      </c>
      <c r="N1067">
        <v>52.6114085772312</v>
      </c>
      <c r="O1067">
        <v>51.9003435742744</v>
      </c>
      <c r="P1067">
        <v>-0.15999689399479</v>
      </c>
      <c r="Q1067">
        <v>0.18166480827633</v>
      </c>
      <c r="R1067">
        <v>0.956833313774856</v>
      </c>
      <c r="S1067" t="s">
        <v>2751</v>
      </c>
      <c r="T1067" t="s">
        <v>3344</v>
      </c>
      <c r="U1067" t="s">
        <v>3344</v>
      </c>
      <c r="V1067" t="s">
        <v>3344</v>
      </c>
      <c r="W1067" t="s">
        <v>4409</v>
      </c>
      <c r="X1067">
        <v>4</v>
      </c>
      <c r="Y1067" t="s">
        <v>6066</v>
      </c>
      <c r="Z1067" t="s">
        <v>7724</v>
      </c>
      <c r="AA1067">
        <v>0.5943968140140735</v>
      </c>
      <c r="AB1067">
        <f>HYPERLINK("Melting_Curves/meltCurve_P26648_ftsP.pdf", "Melting_Curves/meltCurve_P26648_ftsP.pdf")</f>
        <v>0</v>
      </c>
    </row>
    <row r="1068" spans="1:28">
      <c r="A1068" t="s">
        <v>1094</v>
      </c>
      <c r="B1068">
        <v>0.999998419929286</v>
      </c>
      <c r="C1068">
        <v>1.28760934349314</v>
      </c>
      <c r="D1068">
        <v>0.950934001815673</v>
      </c>
      <c r="E1068">
        <v>0.777523487017344</v>
      </c>
      <c r="F1068">
        <v>0.547752672289743</v>
      </c>
      <c r="G1068">
        <v>0.459185149632054</v>
      </c>
      <c r="H1068">
        <v>0.280079086463954</v>
      </c>
      <c r="I1068">
        <v>0.299046729704349</v>
      </c>
      <c r="J1068">
        <v>0.141841492110403</v>
      </c>
      <c r="K1068">
        <v>0.22325398088534</v>
      </c>
      <c r="L1068">
        <v>815.9533725689899</v>
      </c>
      <c r="M1068">
        <v>16.3187335238895</v>
      </c>
      <c r="N1068">
        <v>51.6414399174157</v>
      </c>
      <c r="O1068">
        <v>49.2682527158262</v>
      </c>
      <c r="P1068">
        <v>-0.0660624288358518</v>
      </c>
      <c r="Q1068">
        <v>0.202255667959547</v>
      </c>
      <c r="R1068">
        <v>0.920657955674513</v>
      </c>
      <c r="S1068" t="s">
        <v>2752</v>
      </c>
      <c r="T1068" t="s">
        <v>3344</v>
      </c>
      <c r="U1068" t="s">
        <v>3344</v>
      </c>
      <c r="V1068" t="s">
        <v>3344</v>
      </c>
      <c r="W1068" t="s">
        <v>4410</v>
      </c>
      <c r="X1068">
        <v>1</v>
      </c>
      <c r="Y1068" t="s">
        <v>6067</v>
      </c>
      <c r="Z1068" t="s">
        <v>7725</v>
      </c>
      <c r="AA1068">
        <v>0.5626722076833897</v>
      </c>
      <c r="AB1068">
        <f>HYPERLINK("Melting_Curves/meltCurve_P26649_glgS.pdf", "Melting_Curves/meltCurve_P26649_glgS.pdf")</f>
        <v>0</v>
      </c>
    </row>
    <row r="1069" spans="1:28">
      <c r="A1069" t="s">
        <v>1095</v>
      </c>
      <c r="B1069">
        <v>0.999998419929286</v>
      </c>
      <c r="C1069">
        <v>1.21186241493321</v>
      </c>
      <c r="D1069">
        <v>0.936342064515457</v>
      </c>
      <c r="E1069">
        <v>0.734903373994066</v>
      </c>
      <c r="F1069">
        <v>0.459753677402016</v>
      </c>
      <c r="G1069">
        <v>0.4013887168329</v>
      </c>
      <c r="H1069">
        <v>0.281161543635696</v>
      </c>
      <c r="I1069">
        <v>0.200574050605002</v>
      </c>
      <c r="J1069">
        <v>0.192382050135057</v>
      </c>
      <c r="K1069">
        <v>0.25192780997337</v>
      </c>
      <c r="L1069">
        <v>936.8690936849709</v>
      </c>
      <c r="M1069">
        <v>19.3255532313543</v>
      </c>
      <c r="N1069">
        <v>50.0422449072752</v>
      </c>
      <c r="O1069">
        <v>47.9681255354067</v>
      </c>
      <c r="P1069">
        <v>-0.07789155791416209</v>
      </c>
      <c r="Q1069">
        <v>0.22668753191084</v>
      </c>
      <c r="R1069">
        <v>0.9514922700735901</v>
      </c>
      <c r="S1069" t="s">
        <v>2753</v>
      </c>
      <c r="T1069" t="s">
        <v>3344</v>
      </c>
      <c r="U1069" t="s">
        <v>3344</v>
      </c>
      <c r="V1069" t="s">
        <v>3344</v>
      </c>
      <c r="W1069" t="s">
        <v>4411</v>
      </c>
      <c r="X1069">
        <v>1</v>
      </c>
      <c r="Y1069" t="s">
        <v>6068</v>
      </c>
      <c r="Z1069" t="s">
        <v>7726</v>
      </c>
      <c r="AA1069">
        <v>0.5334058081029035</v>
      </c>
      <c r="AB1069">
        <f>HYPERLINK("Melting_Curves/meltCurve_P27238_yfeD.pdf", "Melting_Curves/meltCurve_P27238_yfeD.pdf")</f>
        <v>0</v>
      </c>
    </row>
    <row r="1070" spans="1:28">
      <c r="A1070" t="s">
        <v>1096</v>
      </c>
      <c r="B1070">
        <v>0.999998419929286</v>
      </c>
      <c r="C1070">
        <v>0.983058122040729</v>
      </c>
      <c r="D1070">
        <v>0.98035346306641</v>
      </c>
      <c r="E1070">
        <v>0.73139961833514</v>
      </c>
      <c r="F1070">
        <v>0.5905447513675099</v>
      </c>
      <c r="G1070">
        <v>0.271171605780141</v>
      </c>
      <c r="H1070">
        <v>0.135856721813953</v>
      </c>
      <c r="I1070">
        <v>0.0521497988680318</v>
      </c>
      <c r="J1070">
        <v>0.0547095726348366</v>
      </c>
      <c r="K1070">
        <v>0.0647165066196481</v>
      </c>
      <c r="L1070">
        <v>802.56164122746</v>
      </c>
      <c r="M1070">
        <v>15.8844413440787</v>
      </c>
      <c r="N1070">
        <v>50.6427831574651</v>
      </c>
      <c r="O1070">
        <v>49.7445729575408</v>
      </c>
      <c r="P1070">
        <v>-0.0783889050131156</v>
      </c>
      <c r="Q1070">
        <v>0.0181315430379643</v>
      </c>
      <c r="R1070">
        <v>0.993143345073479</v>
      </c>
      <c r="S1070" t="s">
        <v>2754</v>
      </c>
      <c r="T1070" t="s">
        <v>3344</v>
      </c>
      <c r="U1070" t="s">
        <v>3344</v>
      </c>
      <c r="V1070" t="s">
        <v>3344</v>
      </c>
      <c r="W1070" t="s">
        <v>4412</v>
      </c>
      <c r="X1070">
        <v>1</v>
      </c>
      <c r="Y1070" t="s">
        <v>6069</v>
      </c>
      <c r="Z1070" t="s">
        <v>7727</v>
      </c>
      <c r="AA1070">
        <v>0.4793741077001892</v>
      </c>
      <c r="AB1070">
        <f>HYPERLINK("Melting_Curves/meltCurve_P27247_plsX.pdf", "Melting_Curves/meltCurve_P27247_plsX.pdf")</f>
        <v>0</v>
      </c>
    </row>
    <row r="1071" spans="1:28">
      <c r="A1071" t="s">
        <v>1097</v>
      </c>
      <c r="B1071">
        <v>0.999998419929286</v>
      </c>
      <c r="C1071">
        <v>1.05854323545032</v>
      </c>
      <c r="D1071">
        <v>1.27506587508677</v>
      </c>
      <c r="E1071">
        <v>1.44783041384154</v>
      </c>
      <c r="F1071">
        <v>1.03218307473099</v>
      </c>
      <c r="G1071">
        <v>0.152329384794991</v>
      </c>
      <c r="H1071">
        <v>0.0623387579638902</v>
      </c>
      <c r="I1071">
        <v>0.0325902947900108</v>
      </c>
      <c r="J1071">
        <v>0.0338174874617478</v>
      </c>
      <c r="K1071">
        <v>0.0266067350009293</v>
      </c>
      <c r="L1071">
        <v>13341.8207160459</v>
      </c>
      <c r="M1071">
        <v>250</v>
      </c>
      <c r="N1071">
        <v>53.384528334509</v>
      </c>
      <c r="O1071">
        <v>53.3638677360425</v>
      </c>
      <c r="P1071">
        <v>-1.12571686985671</v>
      </c>
      <c r="Q1071">
        <v>0.0388383031383714</v>
      </c>
      <c r="R1071">
        <v>0.911798020349507</v>
      </c>
      <c r="S1071" t="s">
        <v>2755</v>
      </c>
      <c r="T1071" t="s">
        <v>3344</v>
      </c>
      <c r="U1071" t="s">
        <v>3344</v>
      </c>
      <c r="V1071" t="s">
        <v>3344</v>
      </c>
      <c r="W1071" t="s">
        <v>4413</v>
      </c>
      <c r="X1071">
        <v>8</v>
      </c>
      <c r="Y1071" t="s">
        <v>6070</v>
      </c>
      <c r="Z1071" t="s">
        <v>7728</v>
      </c>
      <c r="AA1071">
        <v>0.5633151700340282</v>
      </c>
      <c r="AB1071">
        <f>HYPERLINK("Melting_Curves/meltCurve_P27248_gcvT.pdf", "Melting_Curves/meltCurve_P27248_gcvT.pdf")</f>
        <v>0</v>
      </c>
    </row>
    <row r="1072" spans="1:28">
      <c r="A1072" t="s">
        <v>1098</v>
      </c>
      <c r="B1072">
        <v>0.999998419929286</v>
      </c>
      <c r="C1072">
        <v>1.05333606193576</v>
      </c>
      <c r="D1072">
        <v>1.18562188913463</v>
      </c>
      <c r="E1072">
        <v>1.18478313185035</v>
      </c>
      <c r="F1072">
        <v>1.41117465100417</v>
      </c>
      <c r="G1072">
        <v>1.28421609687796</v>
      </c>
      <c r="H1072">
        <v>1.0772666026971</v>
      </c>
      <c r="I1072">
        <v>0.676934251034692</v>
      </c>
      <c r="J1072">
        <v>0.189238726039563</v>
      </c>
      <c r="K1072">
        <v>0.116366984361638</v>
      </c>
      <c r="L1072">
        <v>4356.4545557634</v>
      </c>
      <c r="M1072">
        <v>70.8586776639706</v>
      </c>
      <c r="N1072">
        <v>61.7374500371086</v>
      </c>
      <c r="O1072">
        <v>61.431975651847</v>
      </c>
      <c r="P1072">
        <v>-0.251586124562173</v>
      </c>
      <c r="Q1072">
        <v>0.127534984377734</v>
      </c>
      <c r="R1072">
        <v>0.817652846282853</v>
      </c>
      <c r="S1072" t="s">
        <v>2756</v>
      </c>
      <c r="T1072" t="s">
        <v>3344</v>
      </c>
      <c r="U1072" t="s">
        <v>3344</v>
      </c>
      <c r="V1072" t="s">
        <v>3344</v>
      </c>
      <c r="W1072" t="s">
        <v>4414</v>
      </c>
      <c r="X1072">
        <v>10</v>
      </c>
      <c r="Y1072" t="s">
        <v>6071</v>
      </c>
      <c r="Z1072" t="s">
        <v>7729</v>
      </c>
      <c r="AA1072">
        <v>0.8405769794685612</v>
      </c>
      <c r="AB1072">
        <f>HYPERLINK("Melting_Curves/meltCurve_P27250_ahr.pdf", "Melting_Curves/meltCurve_P27250_ahr.pdf")</f>
        <v>0</v>
      </c>
    </row>
    <row r="1073" spans="1:28">
      <c r="A1073" t="s">
        <v>1099</v>
      </c>
      <c r="B1073">
        <v>0.999998419929286</v>
      </c>
      <c r="C1073">
        <v>1.06854223513765</v>
      </c>
      <c r="D1073">
        <v>0.817111853875879</v>
      </c>
      <c r="E1073">
        <v>0.199288198831863</v>
      </c>
      <c r="F1073">
        <v>0.0790064879682545</v>
      </c>
      <c r="G1073">
        <v>0.0743708942227197</v>
      </c>
      <c r="H1073">
        <v>0.0354431197290232</v>
      </c>
      <c r="I1073">
        <v>0.0290864245650399</v>
      </c>
      <c r="J1073">
        <v>0.0169955188619551</v>
      </c>
      <c r="K1073">
        <v>0</v>
      </c>
      <c r="L1073">
        <v>1718.27972271364</v>
      </c>
      <c r="M1073">
        <v>38.4579308231953</v>
      </c>
      <c r="N1073">
        <v>44.767139422213</v>
      </c>
      <c r="O1073">
        <v>44.5591920689526</v>
      </c>
      <c r="P1073">
        <v>-0.207943310864155</v>
      </c>
      <c r="Q1073">
        <v>0.0362706875461887</v>
      </c>
      <c r="R1073">
        <v>0.994281285783119</v>
      </c>
      <c r="S1073" t="s">
        <v>2757</v>
      </c>
      <c r="T1073" t="s">
        <v>3344</v>
      </c>
      <c r="U1073" t="s">
        <v>3344</v>
      </c>
      <c r="V1073" t="s">
        <v>3344</v>
      </c>
      <c r="W1073" t="s">
        <v>4415</v>
      </c>
      <c r="X1073">
        <v>2</v>
      </c>
      <c r="Y1073" t="s">
        <v>6072</v>
      </c>
      <c r="Z1073" t="s">
        <v>7730</v>
      </c>
      <c r="AA1073">
        <v>0.2861994093572419</v>
      </c>
      <c r="AB1073">
        <f>HYPERLINK("Melting_Curves/meltCurve_P27278_nadR.pdf", "Melting_Curves/meltCurve_P27278_nadR.pdf")</f>
        <v>0</v>
      </c>
    </row>
    <row r="1074" spans="1:28">
      <c r="A1074" t="s">
        <v>1100</v>
      </c>
      <c r="B1074">
        <v>0.999998419929286</v>
      </c>
      <c r="C1074">
        <v>1.36962032976514</v>
      </c>
      <c r="D1074">
        <v>1.28617643261882</v>
      </c>
      <c r="E1074">
        <v>0.952327506996114</v>
      </c>
      <c r="F1074">
        <v>0.158655692035197</v>
      </c>
      <c r="G1074">
        <v>0.113251862941736</v>
      </c>
      <c r="H1074">
        <v>0.06469211317528339</v>
      </c>
      <c r="I1074">
        <v>0.05166755279141</v>
      </c>
      <c r="J1074">
        <v>0.042556202514575</v>
      </c>
      <c r="K1074">
        <v>0.0432651170770668</v>
      </c>
      <c r="L1074">
        <v>3313.53646311214</v>
      </c>
      <c r="M1074">
        <v>68.1671388507729</v>
      </c>
      <c r="N1074">
        <v>48.7046564088555</v>
      </c>
      <c r="O1074">
        <v>48.5672171378572</v>
      </c>
      <c r="P1074">
        <v>-0.328907059722846</v>
      </c>
      <c r="Q1074">
        <v>0.0626511961234151</v>
      </c>
      <c r="R1074">
        <v>0.9235445503159569</v>
      </c>
      <c r="S1074" t="s">
        <v>2758</v>
      </c>
      <c r="T1074" t="s">
        <v>3344</v>
      </c>
      <c r="U1074" t="s">
        <v>3344</v>
      </c>
      <c r="V1074" t="s">
        <v>3344</v>
      </c>
      <c r="W1074" t="s">
        <v>4416</v>
      </c>
      <c r="X1074">
        <v>18</v>
      </c>
      <c r="Y1074" t="s">
        <v>6073</v>
      </c>
      <c r="Z1074" t="s">
        <v>7731</v>
      </c>
      <c r="AA1074">
        <v>0.4264524505937226</v>
      </c>
      <c r="AB1074">
        <f>HYPERLINK("Melting_Curves/meltCurve_P27298_prlC.pdf", "Melting_Curves/meltCurve_P27298_prlC.pdf")</f>
        <v>0</v>
      </c>
    </row>
    <row r="1075" spans="1:28">
      <c r="A1075" t="s">
        <v>1101</v>
      </c>
      <c r="B1075">
        <v>0.999998419929286</v>
      </c>
      <c r="C1075">
        <v>1.24114913014419</v>
      </c>
      <c r="D1075">
        <v>1.14964446204992</v>
      </c>
      <c r="E1075">
        <v>1.43507064318434</v>
      </c>
      <c r="F1075">
        <v>1.29819102787196</v>
      </c>
      <c r="G1075">
        <v>1.2446790948796</v>
      </c>
      <c r="H1075">
        <v>0.296641549186606</v>
      </c>
      <c r="I1075">
        <v>0.10126558457024</v>
      </c>
      <c r="J1075">
        <v>0.0590837307996184</v>
      </c>
      <c r="K1075">
        <v>0.0403896852765771</v>
      </c>
      <c r="L1075">
        <v>14285.7713370969</v>
      </c>
      <c r="M1075">
        <v>250</v>
      </c>
      <c r="N1075">
        <v>57.1759470618464</v>
      </c>
      <c r="O1075">
        <v>57.1394288881304</v>
      </c>
      <c r="P1075">
        <v>-1.02062524869109</v>
      </c>
      <c r="Q1075">
        <v>0.0669129051849853</v>
      </c>
      <c r="R1075">
        <v>0.863092609781122</v>
      </c>
      <c r="S1075" t="s">
        <v>2759</v>
      </c>
      <c r="T1075" t="s">
        <v>3344</v>
      </c>
      <c r="U1075" t="s">
        <v>3344</v>
      </c>
      <c r="V1075" t="s">
        <v>3344</v>
      </c>
      <c r="W1075" t="s">
        <v>4417</v>
      </c>
      <c r="X1075">
        <v>25</v>
      </c>
      <c r="Y1075" t="s">
        <v>6074</v>
      </c>
      <c r="Z1075" t="s">
        <v>7732</v>
      </c>
      <c r="AA1075">
        <v>0.6935149129792429</v>
      </c>
      <c r="AB1075">
        <f>HYPERLINK("Melting_Curves/meltCurve_P27302_tktA.pdf", "Melting_Curves/meltCurve_P27302_tktA.pdf")</f>
        <v>0</v>
      </c>
    </row>
    <row r="1076" spans="1:28">
      <c r="A1076" t="s">
        <v>1102</v>
      </c>
      <c r="B1076">
        <v>0.999998419929286</v>
      </c>
      <c r="C1076">
        <v>0.948111664029014</v>
      </c>
      <c r="D1076">
        <v>1.22294118957631</v>
      </c>
      <c r="E1076">
        <v>0.773663990434753</v>
      </c>
      <c r="F1076">
        <v>2.99796864520395</v>
      </c>
      <c r="G1076">
        <v>3.81462273905939</v>
      </c>
      <c r="H1076">
        <v>3.44222132257213</v>
      </c>
      <c r="I1076">
        <v>3.2636065349638</v>
      </c>
      <c r="J1076">
        <v>3.07800740322388</v>
      </c>
      <c r="K1076">
        <v>1.60285210289761</v>
      </c>
      <c r="L1076">
        <v>2887.4882604683</v>
      </c>
      <c r="M1076">
        <v>60.732559413435</v>
      </c>
      <c r="O1076">
        <v>47.4928480330298</v>
      </c>
      <c r="P1076">
        <v>0.159846638137959</v>
      </c>
      <c r="Q1076">
        <v>1.5</v>
      </c>
      <c r="R1076">
        <v>-0.319967177965999</v>
      </c>
      <c r="S1076" t="s">
        <v>2760</v>
      </c>
      <c r="T1076" t="s">
        <v>3344</v>
      </c>
      <c r="U1076" t="s">
        <v>3344</v>
      </c>
      <c r="V1076" t="s">
        <v>3344</v>
      </c>
      <c r="W1076" t="s">
        <v>4418</v>
      </c>
      <c r="X1076">
        <v>1</v>
      </c>
      <c r="Y1076" t="s">
        <v>6075</v>
      </c>
      <c r="Z1076" t="s">
        <v>7733</v>
      </c>
      <c r="AA1076">
        <v>1.323551879894449</v>
      </c>
      <c r="AB1076">
        <f>HYPERLINK("Melting_Curves/meltCurve_P27303_emrA.pdf", "Melting_Curves/meltCurve_P27303_emrA.pdf")</f>
        <v>0</v>
      </c>
    </row>
    <row r="1077" spans="1:28">
      <c r="A1077" t="s">
        <v>1103</v>
      </c>
      <c r="B1077">
        <v>0.999998419929286</v>
      </c>
      <c r="C1077">
        <v>1.06419641653908</v>
      </c>
      <c r="D1077">
        <v>0.505842195418132</v>
      </c>
      <c r="E1077">
        <v>0.15179972459689</v>
      </c>
      <c r="F1077">
        <v>0.108493884732602</v>
      </c>
      <c r="G1077">
        <v>0.109915734470994</v>
      </c>
      <c r="H1077">
        <v>0.0702993119965654</v>
      </c>
      <c r="I1077">
        <v>0.0525764959243934</v>
      </c>
      <c r="J1077">
        <v>0.047167811982575</v>
      </c>
      <c r="K1077">
        <v>0.0548662648026643</v>
      </c>
      <c r="L1077">
        <v>10743.0925900424</v>
      </c>
      <c r="M1077">
        <v>250</v>
      </c>
      <c r="N1077">
        <v>43.0044274351191</v>
      </c>
      <c r="O1077">
        <v>42.9696204775891</v>
      </c>
      <c r="P1077">
        <v>-1.3308573595813</v>
      </c>
      <c r="Q1077">
        <v>0.08501703202100661</v>
      </c>
      <c r="R1077">
        <v>0.990761322650457</v>
      </c>
      <c r="S1077" t="s">
        <v>2761</v>
      </c>
      <c r="T1077" t="s">
        <v>3344</v>
      </c>
      <c r="U1077" t="s">
        <v>3344</v>
      </c>
      <c r="V1077" t="s">
        <v>3344</v>
      </c>
      <c r="W1077" t="s">
        <v>4419</v>
      </c>
      <c r="X1077">
        <v>9</v>
      </c>
      <c r="Y1077" t="s">
        <v>6076</v>
      </c>
      <c r="Z1077" t="s">
        <v>7734</v>
      </c>
      <c r="AA1077">
        <v>0.2672399414984644</v>
      </c>
      <c r="AB1077">
        <f>HYPERLINK("Melting_Curves/meltCurve_P27306_sthA.pdf", "Melting_Curves/meltCurve_P27306_sthA.pdf")</f>
        <v>0</v>
      </c>
    </row>
    <row r="1078" spans="1:28">
      <c r="A1078" t="s">
        <v>1104</v>
      </c>
      <c r="B1078">
        <v>0.999998419929286</v>
      </c>
      <c r="C1078">
        <v>1.55167727295888</v>
      </c>
      <c r="D1078">
        <v>1.51446951911141</v>
      </c>
      <c r="E1078">
        <v>1.49773020209199</v>
      </c>
      <c r="F1078">
        <v>0.879094257728928</v>
      </c>
      <c r="G1078">
        <v>0.736603896486426</v>
      </c>
      <c r="H1078">
        <v>0.503411891459484</v>
      </c>
      <c r="I1078">
        <v>0.419221438578876</v>
      </c>
      <c r="J1078">
        <v>0.435980353466217</v>
      </c>
      <c r="K1078">
        <v>0.44974864148588</v>
      </c>
      <c r="L1078">
        <v>1841.90465441101</v>
      </c>
      <c r="M1078">
        <v>34.1716617526026</v>
      </c>
      <c r="N1078">
        <v>57.2795277132373</v>
      </c>
      <c r="O1078">
        <v>53.7179319877652</v>
      </c>
      <c r="P1078">
        <v>-0.090115392042209</v>
      </c>
      <c r="Q1078">
        <v>0.433355790932479</v>
      </c>
      <c r="R1078">
        <v>0.587275501627153</v>
      </c>
      <c r="S1078" t="s">
        <v>2762</v>
      </c>
      <c r="T1078" t="s">
        <v>3344</v>
      </c>
      <c r="U1078" t="s">
        <v>3344</v>
      </c>
      <c r="V1078" t="s">
        <v>3344</v>
      </c>
      <c r="W1078" t="s">
        <v>4420</v>
      </c>
      <c r="X1078">
        <v>2</v>
      </c>
      <c r="Y1078" t="s">
        <v>6077</v>
      </c>
      <c r="Z1078" t="s">
        <v>7735</v>
      </c>
      <c r="AA1078">
        <v>0.7554349476592654</v>
      </c>
      <c r="AB1078">
        <f>HYPERLINK("Melting_Curves/meltCurve_P27431_roxA.pdf", "Melting_Curves/meltCurve_P27431_roxA.pdf")</f>
        <v>0</v>
      </c>
    </row>
    <row r="1079" spans="1:28">
      <c r="A1079" t="s">
        <v>1105</v>
      </c>
      <c r="B1079">
        <v>0.999998419929286</v>
      </c>
      <c r="C1079">
        <v>1.15812522893754</v>
      </c>
      <c r="D1079">
        <v>1.22260133328185</v>
      </c>
      <c r="E1079">
        <v>1.41625134243839</v>
      </c>
      <c r="F1079">
        <v>1.60638869350611</v>
      </c>
      <c r="G1079">
        <v>1.51080942180308</v>
      </c>
      <c r="H1079">
        <v>1.17628576026512</v>
      </c>
      <c r="I1079">
        <v>0.746660827754379</v>
      </c>
      <c r="J1079">
        <v>0.6093172434597141</v>
      </c>
      <c r="K1079">
        <v>0.475601134396017</v>
      </c>
      <c r="L1079">
        <v>7021.35849152448</v>
      </c>
      <c r="M1079">
        <v>115.301311457924</v>
      </c>
      <c r="O1079">
        <v>60.877425351032</v>
      </c>
      <c r="P1079">
        <v>-0.217189515525784</v>
      </c>
      <c r="Q1079">
        <v>0.54130831863517</v>
      </c>
      <c r="R1079">
        <v>0.302737388388723</v>
      </c>
      <c r="S1079" t="s">
        <v>2763</v>
      </c>
      <c r="T1079" t="s">
        <v>3344</v>
      </c>
      <c r="U1079" t="s">
        <v>3344</v>
      </c>
      <c r="V1079" t="s">
        <v>3344</v>
      </c>
      <c r="W1079" t="s">
        <v>4421</v>
      </c>
      <c r="X1079">
        <v>5</v>
      </c>
      <c r="Y1079" t="s">
        <v>6078</v>
      </c>
      <c r="Z1079" t="s">
        <v>7736</v>
      </c>
      <c r="AA1079">
        <v>0.9068979060521396</v>
      </c>
      <c r="AB1079">
        <f>HYPERLINK("Melting_Curves/meltCurve_P27434_rodZ.pdf", "Melting_Curves/meltCurve_P27434_rodZ.pdf")</f>
        <v>0</v>
      </c>
    </row>
    <row r="1080" spans="1:28">
      <c r="A1080" t="s">
        <v>1106</v>
      </c>
      <c r="B1080">
        <v>0.999998419929286</v>
      </c>
      <c r="C1080">
        <v>1.35348122865411</v>
      </c>
      <c r="D1080">
        <v>1.45490699274311</v>
      </c>
      <c r="E1080">
        <v>1.47337507201591</v>
      </c>
      <c r="F1080">
        <v>0.5270238443502679</v>
      </c>
      <c r="G1080">
        <v>0.158780324353968</v>
      </c>
      <c r="H1080">
        <v>0.0792108055793783</v>
      </c>
      <c r="I1080">
        <v>0.0580053029476753</v>
      </c>
      <c r="J1080">
        <v>0.0477954972029393</v>
      </c>
      <c r="K1080">
        <v>0.0490321988830806</v>
      </c>
      <c r="L1080">
        <v>9831.553215413031</v>
      </c>
      <c r="M1080">
        <v>195.900895193542</v>
      </c>
      <c r="N1080">
        <v>50.2301925725805</v>
      </c>
      <c r="O1080">
        <v>50.1811329212358</v>
      </c>
      <c r="P1080">
        <v>-0.899292537504996</v>
      </c>
      <c r="Q1080">
        <v>0.07856434763016</v>
      </c>
      <c r="R1080">
        <v>0.842750672022117</v>
      </c>
      <c r="S1080" t="s">
        <v>2764</v>
      </c>
      <c r="T1080" t="s">
        <v>3344</v>
      </c>
      <c r="U1080" t="s">
        <v>3344</v>
      </c>
      <c r="V1080" t="s">
        <v>3344</v>
      </c>
      <c r="W1080" t="s">
        <v>4422</v>
      </c>
      <c r="X1080">
        <v>17</v>
      </c>
      <c r="Y1080" t="s">
        <v>6079</v>
      </c>
      <c r="Z1080" t="s">
        <v>7737</v>
      </c>
      <c r="AA1080">
        <v>0.4837093336726155</v>
      </c>
      <c r="AB1080">
        <f>HYPERLINK("Melting_Curves/meltCurve_P27550_acs.pdf", "Melting_Curves/meltCurve_P27550_acs.pdf")</f>
        <v>0</v>
      </c>
    </row>
    <row r="1081" spans="1:28">
      <c r="A1081" t="s">
        <v>1107</v>
      </c>
      <c r="B1081">
        <v>0.999998419929286</v>
      </c>
      <c r="C1081">
        <v>1.05347960307729</v>
      </c>
      <c r="D1081">
        <v>0.952366341105877</v>
      </c>
      <c r="E1081">
        <v>0.999136392358947</v>
      </c>
      <c r="F1081">
        <v>1.02050174262845</v>
      </c>
      <c r="G1081">
        <v>1.08286861400706</v>
      </c>
      <c r="H1081">
        <v>0.455897411301557</v>
      </c>
      <c r="I1081">
        <v>0.117117921497085</v>
      </c>
      <c r="J1081">
        <v>0.0942114378027776</v>
      </c>
      <c r="K1081">
        <v>0.0927819890488653</v>
      </c>
      <c r="L1081">
        <v>14325.4125407861</v>
      </c>
      <c r="M1081">
        <v>250</v>
      </c>
      <c r="N1081">
        <v>57.3536515926547</v>
      </c>
      <c r="O1081">
        <v>57.2979821274109</v>
      </c>
      <c r="P1081">
        <v>-0.9802151687412241</v>
      </c>
      <c r="Q1081">
        <v>0.10137036412341</v>
      </c>
      <c r="R1081">
        <v>0.992694283330206</v>
      </c>
      <c r="S1081" t="s">
        <v>2765</v>
      </c>
      <c r="T1081" t="s">
        <v>3344</v>
      </c>
      <c r="U1081" t="s">
        <v>3344</v>
      </c>
      <c r="V1081" t="s">
        <v>3344</v>
      </c>
      <c r="W1081" t="s">
        <v>4423</v>
      </c>
      <c r="X1081">
        <v>6</v>
      </c>
      <c r="Y1081" t="s">
        <v>6080</v>
      </c>
      <c r="Z1081" t="s">
        <v>7738</v>
      </c>
      <c r="AA1081">
        <v>0.7095828832619399</v>
      </c>
      <c r="AB1081">
        <f>HYPERLINK("Melting_Curves/meltCurve_P27828_wecB.pdf", "Melting_Curves/meltCurve_P27828_wecB.pdf")</f>
        <v>0</v>
      </c>
    </row>
    <row r="1082" spans="1:28">
      <c r="A1082" t="s">
        <v>1108</v>
      </c>
      <c r="B1082">
        <v>0.999998419929286</v>
      </c>
      <c r="C1082">
        <v>1.12097108990177</v>
      </c>
      <c r="D1082">
        <v>0.765137795772</v>
      </c>
      <c r="E1082">
        <v>0.407336731780543</v>
      </c>
      <c r="F1082">
        <v>0.238142267034644</v>
      </c>
      <c r="G1082">
        <v>0.170716537049155</v>
      </c>
      <c r="H1082">
        <v>0.0682112501850155</v>
      </c>
      <c r="I1082">
        <v>0.0564598621568322</v>
      </c>
      <c r="J1082">
        <v>0.0501064103304076</v>
      </c>
      <c r="K1082">
        <v>0.07228847896115349</v>
      </c>
      <c r="L1082">
        <v>987.254577782324</v>
      </c>
      <c r="M1082">
        <v>21.6406328727179</v>
      </c>
      <c r="N1082">
        <v>45.9794578746332</v>
      </c>
      <c r="O1082">
        <v>45.2362169291503</v>
      </c>
      <c r="P1082">
        <v>-0.110302962895356</v>
      </c>
      <c r="Q1082">
        <v>0.0777405320857861</v>
      </c>
      <c r="R1082">
        <v>0.976704943016264</v>
      </c>
      <c r="S1082" t="s">
        <v>2766</v>
      </c>
      <c r="T1082" t="s">
        <v>3344</v>
      </c>
      <c r="U1082" t="s">
        <v>3344</v>
      </c>
      <c r="V1082" t="s">
        <v>3344</v>
      </c>
      <c r="W1082" t="s">
        <v>4424</v>
      </c>
      <c r="X1082">
        <v>2</v>
      </c>
      <c r="Y1082" t="s">
        <v>6081</v>
      </c>
      <c r="Z1082" t="s">
        <v>7739</v>
      </c>
      <c r="AA1082">
        <v>0.3530055994029078</v>
      </c>
      <c r="AB1082">
        <f>HYPERLINK("Melting_Curves/meltCurve_P27829_wecC.pdf", "Melting_Curves/meltCurve_P27829_wecC.pdf")</f>
        <v>0</v>
      </c>
    </row>
    <row r="1083" spans="1:28">
      <c r="A1083" t="s">
        <v>1109</v>
      </c>
      <c r="B1083">
        <v>0.999998419929286</v>
      </c>
      <c r="C1083">
        <v>0.895965963275376</v>
      </c>
      <c r="D1083">
        <v>0.5206071584844429</v>
      </c>
      <c r="E1083">
        <v>0.421226015129744</v>
      </c>
      <c r="F1083">
        <v>0.397687188097188</v>
      </c>
      <c r="G1083">
        <v>0.31058625949316</v>
      </c>
      <c r="H1083">
        <v>0.129045896013547</v>
      </c>
      <c r="I1083">
        <v>0.0477921982240042</v>
      </c>
      <c r="J1083">
        <v>0.17351338766539</v>
      </c>
      <c r="K1083">
        <v>0.197024080637447</v>
      </c>
      <c r="L1083">
        <v>548.95096711921</v>
      </c>
      <c r="M1083">
        <v>12.4173819148819</v>
      </c>
      <c r="N1083">
        <v>45.420241400562</v>
      </c>
      <c r="O1083">
        <v>43.1086695970753</v>
      </c>
      <c r="P1083">
        <v>-0.0618700602199387</v>
      </c>
      <c r="Q1083">
        <v>0.14101928862136</v>
      </c>
      <c r="R1083">
        <v>0.931441815807432</v>
      </c>
      <c r="S1083" t="s">
        <v>2767</v>
      </c>
      <c r="T1083" t="s">
        <v>3344</v>
      </c>
      <c r="U1083" t="s">
        <v>3344</v>
      </c>
      <c r="V1083" t="s">
        <v>3344</v>
      </c>
      <c r="W1083" t="s">
        <v>4425</v>
      </c>
      <c r="X1083">
        <v>2</v>
      </c>
      <c r="Y1083" t="s">
        <v>6082</v>
      </c>
      <c r="Z1083" t="s">
        <v>7740</v>
      </c>
      <c r="AA1083">
        <v>0.3781275972088323</v>
      </c>
      <c r="AB1083">
        <f>HYPERLINK("Melting_Curves/meltCurve_P27833_wecE.pdf", "Melting_Curves/meltCurve_P27833_wecE.pdf")</f>
        <v>0</v>
      </c>
    </row>
    <row r="1084" spans="1:28">
      <c r="A1084" t="s">
        <v>1110</v>
      </c>
      <c r="B1084">
        <v>0.999998419929286</v>
      </c>
      <c r="C1084">
        <v>0.811158362157168</v>
      </c>
      <c r="D1084">
        <v>0.697181107141705</v>
      </c>
      <c r="E1084">
        <v>0.8959444306116709</v>
      </c>
      <c r="F1084">
        <v>0.992048187293621</v>
      </c>
      <c r="G1084">
        <v>0.923180375905703</v>
      </c>
      <c r="H1084">
        <v>0.771238054139918</v>
      </c>
      <c r="I1084">
        <v>0.928206527766829</v>
      </c>
      <c r="J1084">
        <v>1.00399752352323</v>
      </c>
      <c r="K1084">
        <v>0.831730324416335</v>
      </c>
      <c r="L1084">
        <v>9489.62350123308</v>
      </c>
      <c r="M1084">
        <v>250</v>
      </c>
      <c r="O1084">
        <v>37.9560770586882</v>
      </c>
      <c r="P1084">
        <v>-0.209546944622084</v>
      </c>
      <c r="Q1084">
        <v>0.872742761027138</v>
      </c>
      <c r="R1084">
        <v>0.147523277308285</v>
      </c>
      <c r="S1084" t="s">
        <v>2768</v>
      </c>
      <c r="T1084" t="s">
        <v>3344</v>
      </c>
      <c r="U1084" t="s">
        <v>3344</v>
      </c>
      <c r="V1084" t="s">
        <v>3344</v>
      </c>
      <c r="W1084" t="s">
        <v>4426</v>
      </c>
      <c r="X1084">
        <v>1</v>
      </c>
      <c r="Y1084" t="s">
        <v>6083</v>
      </c>
      <c r="Z1084" t="s">
        <v>7741</v>
      </c>
      <c r="AA1084">
        <v>0.876818015922764</v>
      </c>
      <c r="AB1084">
        <f>HYPERLINK("Melting_Curves/meltCurve_P27838_cyaY.pdf", "Melting_Curves/meltCurve_P27838_cyaY.pdf")</f>
        <v>0</v>
      </c>
    </row>
    <row r="1085" spans="1:28">
      <c r="A1085" t="s">
        <v>1111</v>
      </c>
      <c r="B1085">
        <v>0.999998419929286</v>
      </c>
      <c r="C1085">
        <v>0.967407643092459</v>
      </c>
      <c r="D1085">
        <v>0.892200855009207</v>
      </c>
      <c r="E1085">
        <v>0.279737341464081</v>
      </c>
      <c r="F1085">
        <v>0.0847425424932295</v>
      </c>
      <c r="G1085">
        <v>0.0531699673551645</v>
      </c>
      <c r="H1085">
        <v>0.0400572819186658</v>
      </c>
      <c r="I1085">
        <v>0.0286117684055568</v>
      </c>
      <c r="J1085">
        <v>0.0300677192350208</v>
      </c>
      <c r="K1085">
        <v>0.027240832597257</v>
      </c>
      <c r="L1085">
        <v>1696.32876342965</v>
      </c>
      <c r="M1085">
        <v>37.4610326455656</v>
      </c>
      <c r="N1085">
        <v>45.3801650375144</v>
      </c>
      <c r="O1085">
        <v>45.1540247880725</v>
      </c>
      <c r="P1085">
        <v>-0.199373901180198</v>
      </c>
      <c r="Q1085">
        <v>0.0387333696096076</v>
      </c>
      <c r="R1085">
        <v>0.998949470008645</v>
      </c>
      <c r="S1085" t="s">
        <v>2769</v>
      </c>
      <c r="T1085" t="s">
        <v>3344</v>
      </c>
      <c r="U1085" t="s">
        <v>3344</v>
      </c>
      <c r="V1085" t="s">
        <v>3344</v>
      </c>
      <c r="W1085" t="s">
        <v>4427</v>
      </c>
      <c r="X1085">
        <v>1</v>
      </c>
      <c r="Y1085" t="s">
        <v>6084</v>
      </c>
      <c r="Z1085" t="s">
        <v>7742</v>
      </c>
      <c r="AA1085">
        <v>0.3075636266341958</v>
      </c>
      <c r="AB1085">
        <f>HYPERLINK("Melting_Curves/meltCurve_P27848_yigL.pdf", "Melting_Curves/meltCurve_P27848_yigL.pdf")</f>
        <v>0</v>
      </c>
    </row>
    <row r="1086" spans="1:28">
      <c r="A1086" t="s">
        <v>1112</v>
      </c>
      <c r="B1086">
        <v>0.999998419929286</v>
      </c>
      <c r="C1086">
        <v>0.914590966735202</v>
      </c>
      <c r="D1086">
        <v>0.842932840603616</v>
      </c>
      <c r="E1086">
        <v>0.485542501122031</v>
      </c>
      <c r="F1086">
        <v>0.202831199618794</v>
      </c>
      <c r="G1086">
        <v>0.184002940409718</v>
      </c>
      <c r="H1086">
        <v>0.106538616844937</v>
      </c>
      <c r="I1086">
        <v>0.100242442417271</v>
      </c>
      <c r="J1086">
        <v>0.108566682057628</v>
      </c>
      <c r="K1086">
        <v>0.117770811019377</v>
      </c>
      <c r="L1086">
        <v>970.949213757294</v>
      </c>
      <c r="M1086">
        <v>21.1664034749914</v>
      </c>
      <c r="N1086">
        <v>46.4025385829731</v>
      </c>
      <c r="O1086">
        <v>45.4686386871882</v>
      </c>
      <c r="P1086">
        <v>-0.103878137408393</v>
      </c>
      <c r="Q1086">
        <v>0.107439717516132</v>
      </c>
      <c r="R1086">
        <v>0.995593164443787</v>
      </c>
      <c r="S1086" t="s">
        <v>2770</v>
      </c>
      <c r="T1086" t="s">
        <v>3344</v>
      </c>
      <c r="U1086" t="s">
        <v>3344</v>
      </c>
      <c r="V1086" t="s">
        <v>3344</v>
      </c>
      <c r="W1086" t="s">
        <v>4428</v>
      </c>
      <c r="X1086">
        <v>1</v>
      </c>
      <c r="Y1086" t="s">
        <v>6085</v>
      </c>
      <c r="Z1086" t="s">
        <v>7743</v>
      </c>
      <c r="AA1086">
        <v>0.381799771389894</v>
      </c>
      <c r="AB1086">
        <f>HYPERLINK("Melting_Curves/meltCurve_P27862_yigZ.pdf", "Melting_Curves/meltCurve_P27862_yigZ.pdf")</f>
        <v>0</v>
      </c>
    </row>
    <row r="1087" spans="1:28">
      <c r="A1087" t="s">
        <v>1113</v>
      </c>
      <c r="B1087">
        <v>0.999998419929286</v>
      </c>
      <c r="C1087">
        <v>0.90823757791314</v>
      </c>
      <c r="D1087">
        <v>0.920251320748679</v>
      </c>
      <c r="E1087">
        <v>0.824198660802778</v>
      </c>
      <c r="F1087">
        <v>0.821766935771142</v>
      </c>
      <c r="G1087">
        <v>0.9425795965057751</v>
      </c>
      <c r="H1087">
        <v>0.706792863769356</v>
      </c>
      <c r="I1087">
        <v>0.533809551801121</v>
      </c>
      <c r="J1087">
        <v>0.466331006989221</v>
      </c>
      <c r="K1087">
        <v>0.404654189720686</v>
      </c>
      <c r="L1087">
        <v>443.724047157534</v>
      </c>
      <c r="M1087">
        <v>6.96912653415641</v>
      </c>
      <c r="N1087">
        <v>63.6699655713267</v>
      </c>
      <c r="O1087">
        <v>59.048590495687</v>
      </c>
      <c r="P1087">
        <v>-0.0295614939840802</v>
      </c>
      <c r="Q1087">
        <v>0</v>
      </c>
      <c r="R1087">
        <v>0.880324361579682</v>
      </c>
      <c r="S1087" t="s">
        <v>2771</v>
      </c>
      <c r="T1087" t="s">
        <v>3344</v>
      </c>
      <c r="U1087" t="s">
        <v>3344</v>
      </c>
      <c r="V1087" t="s">
        <v>3344</v>
      </c>
      <c r="W1087" t="s">
        <v>4429</v>
      </c>
      <c r="X1087">
        <v>2</v>
      </c>
      <c r="Y1087" t="s">
        <v>6086</v>
      </c>
      <c r="Z1087" t="s">
        <v>7744</v>
      </c>
      <c r="AA1087">
        <v>0.7792400820114509</v>
      </c>
      <c r="AB1087">
        <f>HYPERLINK("Melting_Curves/meltCurve_P28224_mliC.pdf", "Melting_Curves/meltCurve_P28224_mliC.pdf")</f>
        <v>0</v>
      </c>
    </row>
    <row r="1088" spans="1:28">
      <c r="A1088" t="s">
        <v>1114</v>
      </c>
      <c r="B1088">
        <v>0.999998419929286</v>
      </c>
      <c r="C1088">
        <v>0.9038157469585359</v>
      </c>
      <c r="D1088">
        <v>0.857112442492008</v>
      </c>
      <c r="E1088">
        <v>0.656366458813904</v>
      </c>
      <c r="F1088">
        <v>0.579804862263484</v>
      </c>
      <c r="G1088">
        <v>0.501760122642224</v>
      </c>
      <c r="H1088">
        <v>0.416306297223526</v>
      </c>
      <c r="I1088">
        <v>0.413227263145168</v>
      </c>
      <c r="J1088">
        <v>0.439738614522987</v>
      </c>
      <c r="K1088">
        <v>0.508194998804526</v>
      </c>
      <c r="L1088">
        <v>665.9627852568919</v>
      </c>
      <c r="M1088">
        <v>14.6067302800327</v>
      </c>
      <c r="N1088">
        <v>53.1376424454811</v>
      </c>
      <c r="O1088">
        <v>44.7638817744319</v>
      </c>
      <c r="P1088">
        <v>-0.0459200639769715</v>
      </c>
      <c r="Q1088">
        <v>0.437155376333959</v>
      </c>
      <c r="R1088">
        <v>0.973999308992115</v>
      </c>
      <c r="S1088" t="s">
        <v>2772</v>
      </c>
      <c r="T1088" t="s">
        <v>3344</v>
      </c>
      <c r="U1088" t="s">
        <v>3344</v>
      </c>
      <c r="V1088" t="s">
        <v>3344</v>
      </c>
      <c r="W1088" t="s">
        <v>4430</v>
      </c>
      <c r="X1088">
        <v>1</v>
      </c>
      <c r="Y1088" t="s">
        <v>6087</v>
      </c>
      <c r="Z1088" t="s">
        <v>7745</v>
      </c>
      <c r="AA1088">
        <v>0.6121902137467733</v>
      </c>
      <c r="AB1088">
        <f>HYPERLINK("Melting_Curves/meltCurve_P28248_dcd.pdf", "Melting_Curves/meltCurve_P28248_dcd.pdf")</f>
        <v>0</v>
      </c>
    </row>
    <row r="1089" spans="1:28">
      <c r="A1089" t="s">
        <v>1115</v>
      </c>
      <c r="B1089">
        <v>0.999998419929286</v>
      </c>
      <c r="C1089">
        <v>1.44794141092391</v>
      </c>
      <c r="D1089">
        <v>1.36083866181328</v>
      </c>
      <c r="E1089">
        <v>1.74223688836057</v>
      </c>
      <c r="F1089">
        <v>1.87566774406257</v>
      </c>
      <c r="G1089">
        <v>2.25478348356026</v>
      </c>
      <c r="H1089">
        <v>1.13936782337712</v>
      </c>
      <c r="I1089">
        <v>0.207475079758553</v>
      </c>
      <c r="J1089">
        <v>0.0974347655983416</v>
      </c>
      <c r="K1089">
        <v>0.0866315407157352</v>
      </c>
      <c r="L1089">
        <v>15000</v>
      </c>
      <c r="M1089">
        <v>247.828068224185</v>
      </c>
      <c r="N1089">
        <v>60.575552235867</v>
      </c>
      <c r="O1089">
        <v>60.5218905000305</v>
      </c>
      <c r="P1089">
        <v>-0.929498192381576</v>
      </c>
      <c r="Q1089">
        <v>0.0920320182534789</v>
      </c>
      <c r="R1089">
        <v>0.396452038506237</v>
      </c>
      <c r="S1089" t="s">
        <v>2773</v>
      </c>
      <c r="T1089" t="s">
        <v>3344</v>
      </c>
      <c r="U1089" t="s">
        <v>3344</v>
      </c>
      <c r="V1089" t="s">
        <v>3344</v>
      </c>
      <c r="W1089" t="s">
        <v>4431</v>
      </c>
      <c r="X1089">
        <v>11</v>
      </c>
      <c r="Y1089" t="s">
        <v>6088</v>
      </c>
      <c r="Z1089" t="s">
        <v>7746</v>
      </c>
      <c r="AA1089">
        <v>0.8041535665527781</v>
      </c>
      <c r="AB1089">
        <f>HYPERLINK("Melting_Curves/meltCurve_P28249_asmA.pdf", "Melting_Curves/meltCurve_P28249_asmA.pdf")</f>
        <v>0</v>
      </c>
    </row>
    <row r="1090" spans="1:28">
      <c r="A1090" t="s">
        <v>1116</v>
      </c>
      <c r="B1090">
        <v>0.999998419929286</v>
      </c>
      <c r="C1090">
        <v>0.854603963688448</v>
      </c>
      <c r="D1090">
        <v>0.777277420561987</v>
      </c>
      <c r="E1090">
        <v>0.7942066704723389</v>
      </c>
      <c r="F1090">
        <v>0.787752906940286</v>
      </c>
      <c r="G1090">
        <v>0.834532770769197</v>
      </c>
      <c r="H1090">
        <v>0.487839750750267</v>
      </c>
      <c r="I1090">
        <v>0.33272220206627</v>
      </c>
      <c r="J1090">
        <v>0.35664480154044</v>
      </c>
      <c r="K1090">
        <v>0.328748818843618</v>
      </c>
      <c r="L1090">
        <v>353.809746868879</v>
      </c>
      <c r="M1090">
        <v>6.04034284156728</v>
      </c>
      <c r="N1090">
        <v>58.5744261190868</v>
      </c>
      <c r="O1090">
        <v>53.124286627228</v>
      </c>
      <c r="P1090">
        <v>-0.028515403231733</v>
      </c>
      <c r="Q1090">
        <v>0</v>
      </c>
      <c r="R1090">
        <v>0.854579267541412</v>
      </c>
      <c r="S1090" t="s">
        <v>2774</v>
      </c>
      <c r="T1090" t="s">
        <v>3344</v>
      </c>
      <c r="U1090" t="s">
        <v>3344</v>
      </c>
      <c r="V1090" t="s">
        <v>3344</v>
      </c>
      <c r="W1090" t="s">
        <v>4432</v>
      </c>
      <c r="X1090">
        <v>7</v>
      </c>
      <c r="Y1090" t="s">
        <v>6089</v>
      </c>
      <c r="Z1090" t="s">
        <v>7747</v>
      </c>
      <c r="AA1090">
        <v>0.6702592653616729</v>
      </c>
      <c r="AB1090">
        <f>HYPERLINK("Melting_Curves/meltCurve_P28304_qorA.pdf", "Melting_Curves/meltCurve_P28304_qorA.pdf")</f>
        <v>0</v>
      </c>
    </row>
    <row r="1091" spans="1:28">
      <c r="A1091" t="s">
        <v>1117</v>
      </c>
      <c r="B1091">
        <v>0.999998419929286</v>
      </c>
      <c r="C1091">
        <v>0.995787279111841</v>
      </c>
      <c r="D1091">
        <v>0.959576808195118</v>
      </c>
      <c r="E1091">
        <v>0.931898542996995</v>
      </c>
      <c r="F1091">
        <v>0.5477727216946749</v>
      </c>
      <c r="G1091">
        <v>0.176802378886448</v>
      </c>
      <c r="H1091">
        <v>0.116073703977064</v>
      </c>
      <c r="I1091">
        <v>0.139592909005079</v>
      </c>
      <c r="J1091">
        <v>0.0816530126439423</v>
      </c>
      <c r="K1091">
        <v>0.08094833064600621</v>
      </c>
      <c r="L1091">
        <v>1655.63301068297</v>
      </c>
      <c r="M1091">
        <v>33.0033368566018</v>
      </c>
      <c r="N1091">
        <v>50.5013516601452</v>
      </c>
      <c r="O1091">
        <v>49.9825203286657</v>
      </c>
      <c r="P1091">
        <v>-0.148815118036578</v>
      </c>
      <c r="Q1091">
        <v>0.0985007017892045</v>
      </c>
      <c r="R1091">
        <v>0.997795082979015</v>
      </c>
      <c r="S1091" t="s">
        <v>2775</v>
      </c>
      <c r="T1091" t="s">
        <v>3344</v>
      </c>
      <c r="U1091" t="s">
        <v>3344</v>
      </c>
      <c r="V1091" t="s">
        <v>3344</v>
      </c>
      <c r="W1091" t="s">
        <v>4433</v>
      </c>
      <c r="X1091">
        <v>2</v>
      </c>
      <c r="Y1091" t="s">
        <v>6090</v>
      </c>
      <c r="Z1091" t="s">
        <v>7748</v>
      </c>
      <c r="AA1091">
        <v>0.4987179840411705</v>
      </c>
      <c r="AB1091">
        <f>HYPERLINK("Melting_Curves/meltCurve_P28306_mltG.pdf", "Melting_Curves/meltCurve_P28306_mltG.pdf")</f>
        <v>0</v>
      </c>
    </row>
    <row r="1092" spans="1:28">
      <c r="A1092" t="s">
        <v>1118</v>
      </c>
      <c r="B1092">
        <v>0.999998419929286</v>
      </c>
      <c r="C1092">
        <v>1.07927588453519</v>
      </c>
      <c r="D1092">
        <v>0.753712702385641</v>
      </c>
      <c r="E1092">
        <v>0.921837241739339</v>
      </c>
      <c r="F1092">
        <v>0.538744779206223</v>
      </c>
      <c r="G1092">
        <v>0.230017693289155</v>
      </c>
      <c r="H1092">
        <v>0.164861389215844</v>
      </c>
      <c r="I1092">
        <v>0.134378237797924</v>
      </c>
      <c r="J1092">
        <v>0.141698909453029</v>
      </c>
      <c r="K1092">
        <v>0.120466475221405</v>
      </c>
      <c r="L1092">
        <v>1206.7318026642</v>
      </c>
      <c r="M1092">
        <v>24.1518242265815</v>
      </c>
      <c r="N1092">
        <v>50.5529618383888</v>
      </c>
      <c r="O1092">
        <v>49.6256581301002</v>
      </c>
      <c r="P1092">
        <v>-0.10676082797883</v>
      </c>
      <c r="Q1092">
        <v>0.122551693879239</v>
      </c>
      <c r="R1092">
        <v>0.955803775372865</v>
      </c>
      <c r="S1092" t="s">
        <v>2776</v>
      </c>
      <c r="T1092" t="s">
        <v>3344</v>
      </c>
      <c r="U1092" t="s">
        <v>3344</v>
      </c>
      <c r="V1092" t="s">
        <v>3344</v>
      </c>
      <c r="W1092" t="s">
        <v>4434</v>
      </c>
      <c r="X1092">
        <v>2</v>
      </c>
      <c r="Y1092" t="s">
        <v>6091</v>
      </c>
      <c r="Z1092" t="s">
        <v>7749</v>
      </c>
      <c r="AA1092">
        <v>0.5099284835276112</v>
      </c>
      <c r="AB1092">
        <f>HYPERLINK("Melting_Curves/meltCurve_P28634_trmO.pdf", "Melting_Curves/meltCurve_P28634_trmO.pdf")</f>
        <v>0</v>
      </c>
    </row>
    <row r="1093" spans="1:28">
      <c r="A1093" t="s">
        <v>1119</v>
      </c>
      <c r="B1093">
        <v>0.999998419929286</v>
      </c>
      <c r="C1093">
        <v>0.941801529561092</v>
      </c>
      <c r="D1093">
        <v>1.05250851882906</v>
      </c>
      <c r="E1093">
        <v>1.14665599799931</v>
      </c>
      <c r="F1093">
        <v>1.43731347454858</v>
      </c>
      <c r="G1093">
        <v>1.79031735132687</v>
      </c>
      <c r="H1093">
        <v>1.64903811059223</v>
      </c>
      <c r="I1093">
        <v>1.35071868500667</v>
      </c>
      <c r="J1093">
        <v>1.51517812637266</v>
      </c>
      <c r="K1093">
        <v>1.43409551608963</v>
      </c>
      <c r="L1093">
        <v>2247.05850397954</v>
      </c>
      <c r="M1093">
        <v>47.3269791608251</v>
      </c>
      <c r="O1093">
        <v>47.3949016543492</v>
      </c>
      <c r="P1093">
        <v>0.124820992448854</v>
      </c>
      <c r="Q1093">
        <v>1.5</v>
      </c>
      <c r="R1093">
        <v>0.809663880763331</v>
      </c>
      <c r="S1093" t="s">
        <v>2777</v>
      </c>
      <c r="T1093" t="s">
        <v>3344</v>
      </c>
      <c r="U1093" t="s">
        <v>3344</v>
      </c>
      <c r="V1093" t="s">
        <v>3344</v>
      </c>
      <c r="W1093" t="s">
        <v>4435</v>
      </c>
      <c r="X1093">
        <v>7</v>
      </c>
      <c r="Y1093" t="s">
        <v>6092</v>
      </c>
      <c r="Z1093" t="s">
        <v>7750</v>
      </c>
      <c r="AA1093">
        <v>1.324173110683039</v>
      </c>
      <c r="AB1093">
        <f>HYPERLINK("Melting_Curves/meltCurve_P28635_metQ.pdf", "Melting_Curves/meltCurve_P28635_metQ.pdf")</f>
        <v>0</v>
      </c>
    </row>
    <row r="1094" spans="1:28">
      <c r="A1094" t="s">
        <v>1120</v>
      </c>
      <c r="B1094">
        <v>0.999998419929286</v>
      </c>
      <c r="C1094">
        <v>0.835643512092469</v>
      </c>
      <c r="D1094">
        <v>0.911552153640376</v>
      </c>
      <c r="E1094">
        <v>0.980724302613296</v>
      </c>
      <c r="F1094">
        <v>0.9338412124605801</v>
      </c>
      <c r="G1094">
        <v>0.623090167602368</v>
      </c>
      <c r="H1094">
        <v>0.114216047196134</v>
      </c>
      <c r="I1094">
        <v>0.0350614162771535</v>
      </c>
      <c r="J1094">
        <v>0.0201623471673045</v>
      </c>
      <c r="K1094">
        <v>0.0255980828973786</v>
      </c>
      <c r="L1094">
        <v>2144.41095321418</v>
      </c>
      <c r="M1094">
        <v>39.4297027381098</v>
      </c>
      <c r="N1094">
        <v>54.4369817077696</v>
      </c>
      <c r="O1094">
        <v>54.2463475421084</v>
      </c>
      <c r="P1094">
        <v>-0.178401812107263</v>
      </c>
      <c r="Q1094">
        <v>0.0182401193755981</v>
      </c>
      <c r="R1094">
        <v>0.979329132429286</v>
      </c>
      <c r="S1094" t="s">
        <v>2778</v>
      </c>
      <c r="T1094" t="s">
        <v>3344</v>
      </c>
      <c r="U1094" t="s">
        <v>3344</v>
      </c>
      <c r="V1094" t="s">
        <v>3344</v>
      </c>
      <c r="W1094" t="s">
        <v>4436</v>
      </c>
      <c r="X1094">
        <v>1</v>
      </c>
      <c r="Y1094" t="s">
        <v>6093</v>
      </c>
      <c r="Z1094" t="s">
        <v>7751</v>
      </c>
      <c r="AA1094">
        <v>0.5909486462778086</v>
      </c>
      <c r="AB1094">
        <f>HYPERLINK("Melting_Curves/meltCurve_P28861_fpr.pdf", "Melting_Curves/meltCurve_P28861_fpr.pdf")</f>
        <v>0</v>
      </c>
    </row>
    <row r="1095" spans="1:28">
      <c r="A1095" t="s">
        <v>1121</v>
      </c>
      <c r="B1095">
        <v>0.999998419929286</v>
      </c>
      <c r="C1095">
        <v>1.31666215769314</v>
      </c>
      <c r="D1095">
        <v>1.34164874382786</v>
      </c>
      <c r="E1095">
        <v>1.01907482838028</v>
      </c>
      <c r="F1095">
        <v>0.154987101085512</v>
      </c>
      <c r="G1095">
        <v>0.115480324199584</v>
      </c>
      <c r="H1095">
        <v>0.0725416646413217</v>
      </c>
      <c r="I1095">
        <v>0.0439906352788622</v>
      </c>
      <c r="J1095">
        <v>0.0398442645648777</v>
      </c>
      <c r="K1095">
        <v>0.042615629882038</v>
      </c>
      <c r="L1095">
        <v>12438.7288328499</v>
      </c>
      <c r="M1095">
        <v>250</v>
      </c>
      <c r="N1095">
        <v>49.7816848272539</v>
      </c>
      <c r="O1095">
        <v>49.7517313471913</v>
      </c>
      <c r="P1095">
        <v>-1.17722724919452</v>
      </c>
      <c r="Q1095">
        <v>0.06289449972081269</v>
      </c>
      <c r="R1095">
        <v>0.925441177243469</v>
      </c>
      <c r="S1095" t="s">
        <v>2779</v>
      </c>
      <c r="T1095" t="s">
        <v>3344</v>
      </c>
      <c r="U1095" t="s">
        <v>3344</v>
      </c>
      <c r="V1095" t="s">
        <v>3344</v>
      </c>
      <c r="W1095" t="s">
        <v>4437</v>
      </c>
      <c r="X1095">
        <v>6</v>
      </c>
      <c r="Y1095" t="s">
        <v>6094</v>
      </c>
      <c r="Z1095" t="s">
        <v>7752</v>
      </c>
      <c r="AA1095">
        <v>0.4613997040199522</v>
      </c>
      <c r="AB1095">
        <f>HYPERLINK("Melting_Curves/meltCurve_P28904_treC.pdf", "Melting_Curves/meltCurve_P28904_treC.pdf")</f>
        <v>0</v>
      </c>
    </row>
    <row r="1096" spans="1:28">
      <c r="A1096" t="s">
        <v>1122</v>
      </c>
      <c r="B1096">
        <v>0.999998419929286</v>
      </c>
      <c r="C1096">
        <v>0.8304223991817959</v>
      </c>
      <c r="D1096">
        <v>0.955778400593558</v>
      </c>
      <c r="E1096">
        <v>0.7126839919889389</v>
      </c>
      <c r="F1096">
        <v>0.360130663352568</v>
      </c>
      <c r="G1096">
        <v>0.10847889083793</v>
      </c>
      <c r="H1096">
        <v>0.03548546521948</v>
      </c>
      <c r="I1096">
        <v>0.0364050779351495</v>
      </c>
      <c r="J1096">
        <v>0.0216547983240601</v>
      </c>
      <c r="K1096">
        <v>0</v>
      </c>
      <c r="L1096">
        <v>971.120504200999</v>
      </c>
      <c r="M1096">
        <v>19.9603762765862</v>
      </c>
      <c r="N1096">
        <v>48.6600267655858</v>
      </c>
      <c r="O1096">
        <v>48.1719767493265</v>
      </c>
      <c r="P1096">
        <v>-0.103430717587926</v>
      </c>
      <c r="Q1096">
        <v>0.00156219159300462</v>
      </c>
      <c r="R1096">
        <v>0.983527801078338</v>
      </c>
      <c r="S1096" t="s">
        <v>2780</v>
      </c>
      <c r="T1096" t="s">
        <v>3344</v>
      </c>
      <c r="U1096" t="s">
        <v>3344</v>
      </c>
      <c r="V1096" t="s">
        <v>3344</v>
      </c>
      <c r="W1096" t="s">
        <v>4438</v>
      </c>
      <c r="X1096">
        <v>1</v>
      </c>
      <c r="Y1096" t="s">
        <v>6095</v>
      </c>
      <c r="Z1096" t="s">
        <v>7753</v>
      </c>
      <c r="AA1096">
        <v>0.4025622360422314</v>
      </c>
      <c r="AB1096">
        <f>HYPERLINK("Melting_Curves/meltCurve_P28905_holC.pdf", "Melting_Curves/meltCurve_P28905_holC.pdf")</f>
        <v>0</v>
      </c>
    </row>
    <row r="1097" spans="1:28">
      <c r="A1097" t="s">
        <v>1123</v>
      </c>
      <c r="B1097">
        <v>0.999998419929286</v>
      </c>
      <c r="C1097">
        <v>1.52259627953804</v>
      </c>
      <c r="D1097">
        <v>1.18557409096022</v>
      </c>
      <c r="E1097">
        <v>1.00633894935357</v>
      </c>
      <c r="F1097">
        <v>1.25534469625593</v>
      </c>
      <c r="G1097">
        <v>0.875167539766275</v>
      </c>
      <c r="H1097">
        <v>0.739016308134666</v>
      </c>
      <c r="I1097">
        <v>0.769888555583028</v>
      </c>
      <c r="J1097">
        <v>0.422387199284863</v>
      </c>
      <c r="K1097">
        <v>0.501181359212845</v>
      </c>
      <c r="L1097">
        <v>1190.59264479074</v>
      </c>
      <c r="M1097">
        <v>19.9225435660834</v>
      </c>
      <c r="N1097">
        <v>65.1664291666286</v>
      </c>
      <c r="O1097">
        <v>59.1687308932539</v>
      </c>
      <c r="P1097">
        <v>-0.0501528551441787</v>
      </c>
      <c r="Q1097">
        <v>0.404216065202045</v>
      </c>
      <c r="R1097">
        <v>0.597286753627465</v>
      </c>
      <c r="S1097" t="s">
        <v>2781</v>
      </c>
      <c r="T1097" t="s">
        <v>3344</v>
      </c>
      <c r="U1097" t="s">
        <v>3344</v>
      </c>
      <c r="V1097" t="s">
        <v>3344</v>
      </c>
      <c r="W1097" t="s">
        <v>4439</v>
      </c>
      <c r="X1097">
        <v>5</v>
      </c>
      <c r="Y1097" t="s">
        <v>6096</v>
      </c>
      <c r="Z1097" t="s">
        <v>7754</v>
      </c>
      <c r="AA1097">
        <v>0.8570511338334974</v>
      </c>
      <c r="AB1097">
        <f>HYPERLINK("Melting_Curves/meltCurve_P29012_dadX.pdf", "Melting_Curves/meltCurve_P29012_dadX.pdf")</f>
        <v>0</v>
      </c>
    </row>
    <row r="1098" spans="1:28">
      <c r="A1098" t="s">
        <v>1124</v>
      </c>
      <c r="B1098">
        <v>0.999998419929286</v>
      </c>
      <c r="C1098">
        <v>1.10039885410419</v>
      </c>
      <c r="D1098">
        <v>0.926817214073741</v>
      </c>
      <c r="E1098">
        <v>0.9182745165870611</v>
      </c>
      <c r="F1098">
        <v>0.98924522837828</v>
      </c>
      <c r="G1098">
        <v>0.660732196467836</v>
      </c>
      <c r="H1098">
        <v>0.103164114407886</v>
      </c>
      <c r="I1098">
        <v>0.0478382045301723</v>
      </c>
      <c r="J1098">
        <v>0.038188799615834</v>
      </c>
      <c r="K1098">
        <v>0.0425966742097151</v>
      </c>
      <c r="L1098">
        <v>2803.41040087126</v>
      </c>
      <c r="M1098">
        <v>51.5063166202531</v>
      </c>
      <c r="N1098">
        <v>54.5198307354248</v>
      </c>
      <c r="O1098">
        <v>54.3466173471366</v>
      </c>
      <c r="P1098">
        <v>-0.227139855013435</v>
      </c>
      <c r="Q1098">
        <v>0.0413390692391402</v>
      </c>
      <c r="R1098">
        <v>0.988653518435589</v>
      </c>
      <c r="S1098" t="s">
        <v>2782</v>
      </c>
      <c r="T1098" t="s">
        <v>3344</v>
      </c>
      <c r="U1098" t="s">
        <v>3344</v>
      </c>
      <c r="V1098" t="s">
        <v>3344</v>
      </c>
      <c r="W1098" t="s">
        <v>4440</v>
      </c>
      <c r="X1098">
        <v>2</v>
      </c>
      <c r="Y1098" t="s">
        <v>6097</v>
      </c>
      <c r="Z1098" t="s">
        <v>7755</v>
      </c>
      <c r="AA1098">
        <v>0.600437260798502</v>
      </c>
      <c r="AB1098">
        <f>HYPERLINK("Melting_Curves/meltCurve_P29013_ycgB.pdf", "Melting_Curves/meltCurve_P29013_ycgB.pdf")</f>
        <v>0</v>
      </c>
    </row>
    <row r="1099" spans="1:28">
      <c r="A1099" t="s">
        <v>1125</v>
      </c>
      <c r="B1099">
        <v>0.999998419929286</v>
      </c>
      <c r="C1099">
        <v>1.20366363949918</v>
      </c>
      <c r="D1099">
        <v>1.1782272238279</v>
      </c>
      <c r="E1099">
        <v>1.20950633072175</v>
      </c>
      <c r="F1099">
        <v>1.42989765960323</v>
      </c>
      <c r="G1099">
        <v>1.4039497448718</v>
      </c>
      <c r="H1099">
        <v>1.08594590629085</v>
      </c>
      <c r="I1099">
        <v>0.858016166906829</v>
      </c>
      <c r="J1099">
        <v>0.876847254221946</v>
      </c>
      <c r="K1099">
        <v>0.971737071082453</v>
      </c>
      <c r="L1099">
        <v>5483.05629530444</v>
      </c>
      <c r="M1099">
        <v>92.3786627580199</v>
      </c>
      <c r="O1099">
        <v>59.3263435782661</v>
      </c>
      <c r="P1099">
        <v>-0.0380250826022835</v>
      </c>
      <c r="Q1099">
        <v>0.9023199135497471</v>
      </c>
      <c r="R1099">
        <v>-0.335920500872289</v>
      </c>
      <c r="S1099" t="s">
        <v>2783</v>
      </c>
      <c r="T1099" t="s">
        <v>3344</v>
      </c>
      <c r="U1099" t="s">
        <v>3344</v>
      </c>
      <c r="V1099" t="s">
        <v>3344</v>
      </c>
      <c r="W1099" t="s">
        <v>4441</v>
      </c>
      <c r="X1099">
        <v>3</v>
      </c>
      <c r="Y1099" t="s">
        <v>6098</v>
      </c>
      <c r="Z1099" t="s">
        <v>7756</v>
      </c>
      <c r="AA1099">
        <v>0.9751796167368366</v>
      </c>
      <c r="AB1099">
        <f>HYPERLINK("Melting_Curves/meltCurve_P29131_ftsN.pdf", "Melting_Curves/meltCurve_P29131_ftsN.pdf")</f>
        <v>0</v>
      </c>
    </row>
    <row r="1100" spans="1:28">
      <c r="A1100" t="s">
        <v>1126</v>
      </c>
      <c r="B1100">
        <v>0.999998419929286</v>
      </c>
      <c r="C1100">
        <v>0.936778899989259</v>
      </c>
      <c r="D1100">
        <v>1.02006878953666</v>
      </c>
      <c r="E1100">
        <v>1.11349168317198</v>
      </c>
      <c r="F1100">
        <v>0.349587649899489</v>
      </c>
      <c r="G1100">
        <v>0.131533410031861</v>
      </c>
      <c r="H1100">
        <v>0.09330436906573621</v>
      </c>
      <c r="I1100">
        <v>0.07678680172420101</v>
      </c>
      <c r="J1100">
        <v>0.0747384330312079</v>
      </c>
      <c r="K1100">
        <v>0.0716059751578344</v>
      </c>
      <c r="L1100">
        <v>12503.9691863329</v>
      </c>
      <c r="M1100">
        <v>250</v>
      </c>
      <c r="N1100">
        <v>50.0553959139106</v>
      </c>
      <c r="O1100">
        <v>50.0126761515523</v>
      </c>
      <c r="P1100">
        <v>-1.13771932552777</v>
      </c>
      <c r="Q1100">
        <v>0.0895937918523142</v>
      </c>
      <c r="R1100">
        <v>0.989882470793254</v>
      </c>
      <c r="S1100" t="s">
        <v>2784</v>
      </c>
      <c r="T1100" t="s">
        <v>3344</v>
      </c>
      <c r="U1100" t="s">
        <v>3344</v>
      </c>
      <c r="V1100" t="s">
        <v>3344</v>
      </c>
      <c r="W1100" t="s">
        <v>4442</v>
      </c>
      <c r="X1100">
        <v>5</v>
      </c>
      <c r="Y1100" t="s">
        <v>6099</v>
      </c>
      <c r="Z1100" t="s">
        <v>7757</v>
      </c>
      <c r="AA1100">
        <v>0.4846648711035079</v>
      </c>
      <c r="AB1100">
        <f>HYPERLINK("Melting_Curves/meltCurve_P29217_yceH.pdf", "Melting_Curves/meltCurve_P29217_yceH.pdf")</f>
        <v>0</v>
      </c>
    </row>
    <row r="1101" spans="1:28">
      <c r="A1101" t="s">
        <v>1127</v>
      </c>
      <c r="B1101">
        <v>0.999998419929286</v>
      </c>
      <c r="C1101">
        <v>0.813992708881239</v>
      </c>
      <c r="D1101">
        <v>0.6589616697083091</v>
      </c>
      <c r="E1101">
        <v>0.481542622228855</v>
      </c>
      <c r="F1101">
        <v>0.28376220234082</v>
      </c>
      <c r="G1101">
        <v>0.183131104964304</v>
      </c>
      <c r="H1101">
        <v>0.122204625302025</v>
      </c>
      <c r="I1101">
        <v>0.07173713249746159</v>
      </c>
      <c r="J1101">
        <v>0.0442795272769772</v>
      </c>
      <c r="K1101">
        <v>0.0578973250060801</v>
      </c>
      <c r="L1101">
        <v>510.702168774021</v>
      </c>
      <c r="M1101">
        <v>11.1530575755424</v>
      </c>
      <c r="N1101">
        <v>45.9668614870381</v>
      </c>
      <c r="O1101">
        <v>44.3922052855734</v>
      </c>
      <c r="P1101">
        <v>-0.0615126925016614</v>
      </c>
      <c r="Q1101">
        <v>0.0209641356193945</v>
      </c>
      <c r="R1101">
        <v>0.994265290228378</v>
      </c>
      <c r="S1101" t="s">
        <v>2785</v>
      </c>
      <c r="T1101" t="s">
        <v>3344</v>
      </c>
      <c r="U1101" t="s">
        <v>3344</v>
      </c>
      <c r="V1101" t="s">
        <v>3344</v>
      </c>
      <c r="W1101" t="s">
        <v>4443</v>
      </c>
      <c r="X1101">
        <v>3</v>
      </c>
      <c r="Y1101" t="s">
        <v>6100</v>
      </c>
      <c r="Z1101" t="s">
        <v>7758</v>
      </c>
      <c r="AA1101">
        <v>0.3464525111707388</v>
      </c>
      <c r="AB1101">
        <f>HYPERLINK("Melting_Curves/meltCurve_P29680_hemE.pdf", "Melting_Curves/meltCurve_P29680_hemE.pdf")</f>
        <v>0</v>
      </c>
    </row>
    <row r="1102" spans="1:28">
      <c r="A1102" t="s">
        <v>1128</v>
      </c>
      <c r="B1102">
        <v>0.999998419929286</v>
      </c>
      <c r="C1102">
        <v>1.26626827837508</v>
      </c>
      <c r="D1102">
        <v>1.19044974943545</v>
      </c>
      <c r="E1102">
        <v>1.04973177782462</v>
      </c>
      <c r="F1102">
        <v>0.780482103320149</v>
      </c>
      <c r="G1102">
        <v>0.451231183152679</v>
      </c>
      <c r="H1102">
        <v>0.109094377133944</v>
      </c>
      <c r="I1102">
        <v>0.0622062213073736</v>
      </c>
      <c r="J1102">
        <v>0.0585890609175031</v>
      </c>
      <c r="K1102">
        <v>0.0524699558317935</v>
      </c>
      <c r="L1102">
        <v>1471.52854767358</v>
      </c>
      <c r="M1102">
        <v>27.7908181014853</v>
      </c>
      <c r="N1102">
        <v>53.1156081903354</v>
      </c>
      <c r="O1102">
        <v>52.6782779283544</v>
      </c>
      <c r="P1102">
        <v>-0.12642241317596</v>
      </c>
      <c r="Q1102">
        <v>0.0414594952320399</v>
      </c>
      <c r="R1102">
        <v>0.949629604679103</v>
      </c>
      <c r="S1102" t="s">
        <v>2786</v>
      </c>
      <c r="T1102" t="s">
        <v>3344</v>
      </c>
      <c r="U1102" t="s">
        <v>3344</v>
      </c>
      <c r="V1102" t="s">
        <v>3344</v>
      </c>
      <c r="W1102" t="s">
        <v>4444</v>
      </c>
      <c r="X1102">
        <v>10</v>
      </c>
      <c r="Y1102" t="s">
        <v>6101</v>
      </c>
      <c r="Z1102" t="s">
        <v>7759</v>
      </c>
      <c r="AA1102">
        <v>0.5581132007347607</v>
      </c>
      <c r="AB1102">
        <f>HYPERLINK("Melting_Curves/meltCurve_P29745_pepT.pdf", "Melting_Curves/meltCurve_P29745_pepT.pdf")</f>
        <v>0</v>
      </c>
    </row>
    <row r="1103" spans="1:28">
      <c r="A1103" t="s">
        <v>1129</v>
      </c>
      <c r="B1103">
        <v>0.999998419929286</v>
      </c>
      <c r="C1103">
        <v>1.05687317571207</v>
      </c>
      <c r="D1103">
        <v>1.02347720758973</v>
      </c>
      <c r="E1103">
        <v>0.903007871770511</v>
      </c>
      <c r="F1103">
        <v>0.401099001222091</v>
      </c>
      <c r="G1103">
        <v>0.195770896337356</v>
      </c>
      <c r="H1103">
        <v>0.0910596334710716</v>
      </c>
      <c r="I1103">
        <v>0.0499307002005136</v>
      </c>
      <c r="J1103">
        <v>0.024575997057522</v>
      </c>
      <c r="K1103">
        <v>0.0218700834425112</v>
      </c>
      <c r="L1103">
        <v>1438.08675131237</v>
      </c>
      <c r="M1103">
        <v>29.0069735312011</v>
      </c>
      <c r="N1103">
        <v>49.7556329325072</v>
      </c>
      <c r="O1103">
        <v>49.3434456694731</v>
      </c>
      <c r="P1103">
        <v>-0.139708877596266</v>
      </c>
      <c r="Q1103">
        <v>0.0493782297549513</v>
      </c>
      <c r="R1103">
        <v>0.993503728746613</v>
      </c>
      <c r="S1103" t="s">
        <v>2787</v>
      </c>
      <c r="T1103" t="s">
        <v>3344</v>
      </c>
      <c r="U1103" t="s">
        <v>3344</v>
      </c>
      <c r="V1103" t="s">
        <v>3344</v>
      </c>
      <c r="W1103" t="s">
        <v>4445</v>
      </c>
      <c r="X1103">
        <v>3</v>
      </c>
      <c r="Y1103" t="s">
        <v>6102</v>
      </c>
      <c r="Z1103" t="s">
        <v>7760</v>
      </c>
      <c r="AA1103">
        <v>0.4541100682928352</v>
      </c>
      <c r="AB1103">
        <f>HYPERLINK("Melting_Curves/meltCurve_P30011_nadC.pdf", "Melting_Curves/meltCurve_P30011_nadC.pdf")</f>
        <v>0</v>
      </c>
    </row>
    <row r="1104" spans="1:28">
      <c r="A1104" t="s">
        <v>1130</v>
      </c>
      <c r="B1104">
        <v>0.999998419929286</v>
      </c>
      <c r="C1104">
        <v>0.711967508459407</v>
      </c>
      <c r="D1104">
        <v>0.557646867758556</v>
      </c>
      <c r="E1104">
        <v>0.368990598486702</v>
      </c>
      <c r="F1104">
        <v>0.285350889725137</v>
      </c>
      <c r="G1104">
        <v>0.167340175898885</v>
      </c>
      <c r="H1104">
        <v>0.147607896028706</v>
      </c>
      <c r="I1104">
        <v>0.133680569730496</v>
      </c>
      <c r="J1104">
        <v>0.117608665445274</v>
      </c>
      <c r="K1104">
        <v>0.07209216531492429</v>
      </c>
      <c r="L1104">
        <v>528.56429991196</v>
      </c>
      <c r="M1104">
        <v>12.1817787497108</v>
      </c>
      <c r="N1104">
        <v>44.1731721530414</v>
      </c>
      <c r="O1104">
        <v>42.270129799329</v>
      </c>
      <c r="P1104">
        <v>-0.06506261568219809</v>
      </c>
      <c r="Q1104">
        <v>0.09714963743717001</v>
      </c>
      <c r="R1104">
        <v>0.980584977239907</v>
      </c>
      <c r="S1104" t="s">
        <v>2788</v>
      </c>
      <c r="T1104" t="s">
        <v>3344</v>
      </c>
      <c r="U1104" t="s">
        <v>3344</v>
      </c>
      <c r="V1104" t="s">
        <v>3344</v>
      </c>
      <c r="W1104" t="s">
        <v>4446</v>
      </c>
      <c r="X1104">
        <v>1</v>
      </c>
      <c r="Y1104" t="s">
        <v>6103</v>
      </c>
      <c r="Z1104" t="s">
        <v>7761</v>
      </c>
      <c r="AA1104">
        <v>0.3248358396380108</v>
      </c>
      <c r="AB1104">
        <f>HYPERLINK("Melting_Curves/meltCurve_P30014_rnt.pdf", "Melting_Curves/meltCurve_P30014_rnt.pdf")</f>
        <v>0</v>
      </c>
    </row>
    <row r="1105" spans="1:28">
      <c r="A1105" t="s">
        <v>1131</v>
      </c>
      <c r="B1105">
        <v>0.999998419929286</v>
      </c>
      <c r="C1105">
        <v>1.07471799862224</v>
      </c>
      <c r="D1105">
        <v>1.09060643414713</v>
      </c>
      <c r="E1105">
        <v>1.24017888582464</v>
      </c>
      <c r="F1105">
        <v>1.52938323033449</v>
      </c>
      <c r="G1105">
        <v>1.77091209855492</v>
      </c>
      <c r="H1105">
        <v>1.48255564171308</v>
      </c>
      <c r="I1105">
        <v>1.25501370449781</v>
      </c>
      <c r="J1105">
        <v>1.23396667325393</v>
      </c>
      <c r="K1105">
        <v>1.21064424112146</v>
      </c>
      <c r="L1105">
        <v>1622.58782437247</v>
      </c>
      <c r="M1105">
        <v>35.7655701245326</v>
      </c>
      <c r="O1105">
        <v>45.2261856666555</v>
      </c>
      <c r="P1105">
        <v>0.08100391848690459</v>
      </c>
      <c r="Q1105">
        <v>1.4097221166495</v>
      </c>
      <c r="R1105">
        <v>0.491877168196316</v>
      </c>
      <c r="S1105" t="s">
        <v>2789</v>
      </c>
      <c r="T1105" t="s">
        <v>3344</v>
      </c>
      <c r="U1105" t="s">
        <v>3344</v>
      </c>
      <c r="V1105" t="s">
        <v>3344</v>
      </c>
      <c r="W1105" t="s">
        <v>4447</v>
      </c>
      <c r="X1105">
        <v>5</v>
      </c>
      <c r="Y1105" t="s">
        <v>6104</v>
      </c>
      <c r="Z1105" t="s">
        <v>7762</v>
      </c>
      <c r="AA1105">
        <v>1.293832171680346</v>
      </c>
      <c r="AB1105">
        <f>HYPERLINK("Melting_Curves/meltCurve_P30125_leuB.pdf", "Melting_Curves/meltCurve_P30125_leuB.pdf")</f>
        <v>0</v>
      </c>
    </row>
    <row r="1106" spans="1:28">
      <c r="A1106" t="s">
        <v>1132</v>
      </c>
      <c r="B1106">
        <v>0.999998419929286</v>
      </c>
      <c r="C1106">
        <v>2.16084013139718</v>
      </c>
      <c r="D1106">
        <v>1.41278727053113</v>
      </c>
      <c r="E1106">
        <v>1.85383503911781</v>
      </c>
      <c r="F1106">
        <v>1.63892576658336</v>
      </c>
      <c r="G1106">
        <v>2.43287559727089</v>
      </c>
      <c r="H1106">
        <v>1.95401630988764</v>
      </c>
      <c r="I1106">
        <v>1.20996834287899</v>
      </c>
      <c r="J1106">
        <v>0.980329424545244</v>
      </c>
      <c r="K1106">
        <v>0.836641352282078</v>
      </c>
      <c r="L1106">
        <v>9476.804589760301</v>
      </c>
      <c r="M1106">
        <v>250</v>
      </c>
      <c r="O1106">
        <v>37.9047925557321</v>
      </c>
      <c r="P1106">
        <v>0.824434007827502</v>
      </c>
      <c r="Q1106">
        <v>1.5</v>
      </c>
      <c r="R1106">
        <v>0.08447737419301291</v>
      </c>
      <c r="S1106" t="s">
        <v>2790</v>
      </c>
      <c r="T1106" t="s">
        <v>3344</v>
      </c>
      <c r="U1106" t="s">
        <v>3344</v>
      </c>
      <c r="V1106" t="s">
        <v>3344</v>
      </c>
      <c r="W1106" t="s">
        <v>4448</v>
      </c>
      <c r="X1106">
        <v>1</v>
      </c>
      <c r="Y1106" t="s">
        <v>6105</v>
      </c>
      <c r="Z1106" t="s">
        <v>7763</v>
      </c>
      <c r="AA1106">
        <v>1.484841235680833</v>
      </c>
      <c r="AB1106">
        <f>HYPERLINK("Melting_Curves/meltCurve_P30126_leuD.pdf", "Melting_Curves/meltCurve_P30126_leuD.pdf")</f>
        <v>0</v>
      </c>
    </row>
    <row r="1107" spans="1:28">
      <c r="A1107" t="s">
        <v>1133</v>
      </c>
      <c r="B1107">
        <v>0.999998419929286</v>
      </c>
      <c r="C1107">
        <v>0.924045510264133</v>
      </c>
      <c r="D1107">
        <v>0.96729247796354</v>
      </c>
      <c r="E1107">
        <v>0.999737432885671</v>
      </c>
      <c r="F1107">
        <v>1.00727318192259</v>
      </c>
      <c r="G1107">
        <v>1.17238293263368</v>
      </c>
      <c r="H1107">
        <v>0.903950239380832</v>
      </c>
      <c r="I1107">
        <v>0.568470945773293</v>
      </c>
      <c r="J1107">
        <v>0.556940393605369</v>
      </c>
      <c r="K1107">
        <v>0.521606527157519</v>
      </c>
      <c r="L1107">
        <v>4347.97893823721</v>
      </c>
      <c r="M1107">
        <v>74.3744399325319</v>
      </c>
      <c r="O1107">
        <v>58.4184467428664</v>
      </c>
      <c r="P1107">
        <v>-0.145800163720235</v>
      </c>
      <c r="Q1107">
        <v>0.541917017360422</v>
      </c>
      <c r="R1107">
        <v>0.919661430260887</v>
      </c>
      <c r="S1107" t="s">
        <v>2791</v>
      </c>
      <c r="T1107" t="s">
        <v>3344</v>
      </c>
      <c r="U1107" t="s">
        <v>3344</v>
      </c>
      <c r="V1107" t="s">
        <v>3344</v>
      </c>
      <c r="W1107" t="s">
        <v>4449</v>
      </c>
      <c r="X1107">
        <v>11</v>
      </c>
      <c r="Y1107" t="s">
        <v>6106</v>
      </c>
      <c r="Z1107" t="s">
        <v>7764</v>
      </c>
      <c r="AA1107">
        <v>0.8701401372421425</v>
      </c>
      <c r="AB1107">
        <f>HYPERLINK("Melting_Curves/meltCurve_P30177_ybiB.pdf", "Melting_Curves/meltCurve_P30177_ybiB.pdf")</f>
        <v>0</v>
      </c>
    </row>
    <row r="1108" spans="1:28">
      <c r="A1108" t="s">
        <v>1134</v>
      </c>
      <c r="B1108">
        <v>0.999998419929286</v>
      </c>
      <c r="C1108">
        <v>0.597334507681346</v>
      </c>
      <c r="D1108">
        <v>0.211661220140468</v>
      </c>
      <c r="E1108">
        <v>0.101450056922341</v>
      </c>
      <c r="F1108">
        <v>0.0526392514685529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1066.86576273304</v>
      </c>
      <c r="M1108">
        <v>26.2390593416079</v>
      </c>
      <c r="N1108">
        <v>40.7078296263741</v>
      </c>
      <c r="O1108">
        <v>40.4254942956801</v>
      </c>
      <c r="P1108">
        <v>-0.159778845087133</v>
      </c>
      <c r="Q1108">
        <v>0.0153509360186036</v>
      </c>
      <c r="R1108">
        <v>0.989690263784648</v>
      </c>
      <c r="S1108" t="s">
        <v>2792</v>
      </c>
      <c r="T1108" t="s">
        <v>3344</v>
      </c>
      <c r="U1108" t="s">
        <v>3344</v>
      </c>
      <c r="V1108" t="s">
        <v>3344</v>
      </c>
      <c r="W1108" t="s">
        <v>4450</v>
      </c>
      <c r="X1108">
        <v>1</v>
      </c>
      <c r="Y1108" t="s">
        <v>6107</v>
      </c>
      <c r="Z1108" t="s">
        <v>7765</v>
      </c>
      <c r="AA1108">
        <v>0.1448032704162774</v>
      </c>
      <c r="AB1108">
        <f>HYPERLINK("Melting_Curves/meltCurve_P30178_ybiC.pdf", "Melting_Curves/meltCurve_P30178_ybiC.pdf")</f>
        <v>0</v>
      </c>
    </row>
    <row r="1109" spans="1:28">
      <c r="A1109" t="s">
        <v>1135</v>
      </c>
      <c r="B1109">
        <v>0.999998419929286</v>
      </c>
      <c r="C1109">
        <v>0.797436220061537</v>
      </c>
      <c r="D1109">
        <v>0.548965745465093</v>
      </c>
      <c r="E1109">
        <v>0.439065378601073</v>
      </c>
      <c r="F1109">
        <v>0.368566181727672</v>
      </c>
      <c r="G1109">
        <v>0.346534743757812</v>
      </c>
      <c r="H1109">
        <v>0.1949010754604</v>
      </c>
      <c r="I1109">
        <v>0.191625901333229</v>
      </c>
      <c r="J1109">
        <v>0.161897881318423</v>
      </c>
      <c r="K1109">
        <v>0.13512772503021</v>
      </c>
      <c r="L1109">
        <v>473.392938674483</v>
      </c>
      <c r="M1109">
        <v>10.7445174660211</v>
      </c>
      <c r="N1109">
        <v>45.59007454729</v>
      </c>
      <c r="O1109">
        <v>42.6151150767024</v>
      </c>
      <c r="P1109">
        <v>-0.0535056670029452</v>
      </c>
      <c r="Q1109">
        <v>0.151452435054479</v>
      </c>
      <c r="R1109">
        <v>0.962958188863114</v>
      </c>
      <c r="S1109" t="s">
        <v>2793</v>
      </c>
      <c r="T1109" t="s">
        <v>3344</v>
      </c>
      <c r="U1109" t="s">
        <v>3344</v>
      </c>
      <c r="V1109" t="s">
        <v>3344</v>
      </c>
      <c r="W1109" t="s">
        <v>4451</v>
      </c>
      <c r="X1109">
        <v>2</v>
      </c>
      <c r="Y1109" t="s">
        <v>6108</v>
      </c>
      <c r="Z1109" t="s">
        <v>7766</v>
      </c>
      <c r="AA1109">
        <v>0.3910043939086429</v>
      </c>
      <c r="AB1109">
        <f>HYPERLINK("Melting_Curves/meltCurve_P30750_metN.pdf", "Melting_Curves/meltCurve_P30750_metN.pdf")</f>
        <v>0</v>
      </c>
    </row>
    <row r="1110" spans="1:28">
      <c r="A1110" t="s">
        <v>1136</v>
      </c>
      <c r="B1110">
        <v>0.999998419929286</v>
      </c>
      <c r="C1110">
        <v>1.15898072052885</v>
      </c>
      <c r="D1110">
        <v>1.37691724294513</v>
      </c>
      <c r="E1110">
        <v>1.22371907694605</v>
      </c>
      <c r="F1110">
        <v>0.215491609418874</v>
      </c>
      <c r="G1110">
        <v>0.179349622596076</v>
      </c>
      <c r="H1110">
        <v>0.112497084498577</v>
      </c>
      <c r="I1110">
        <v>0.09952921827113</v>
      </c>
      <c r="J1110">
        <v>0.114310252803815</v>
      </c>
      <c r="K1110">
        <v>0.09551447109947479</v>
      </c>
      <c r="L1110">
        <v>12444.1515267477</v>
      </c>
      <c r="M1110">
        <v>250</v>
      </c>
      <c r="N1110">
        <v>49.8314571049921</v>
      </c>
      <c r="O1110">
        <v>49.7734207027249</v>
      </c>
      <c r="P1110">
        <v>-1.10470592950033</v>
      </c>
      <c r="Q1110">
        <v>0.120240112762979</v>
      </c>
      <c r="R1110">
        <v>0.919278459275044</v>
      </c>
      <c r="S1110" t="s">
        <v>2794</v>
      </c>
      <c r="T1110" t="s">
        <v>3344</v>
      </c>
      <c r="U1110" t="s">
        <v>3344</v>
      </c>
      <c r="V1110" t="s">
        <v>3344</v>
      </c>
      <c r="W1110" t="s">
        <v>4452</v>
      </c>
      <c r="X1110">
        <v>6</v>
      </c>
      <c r="Y1110" t="s">
        <v>6109</v>
      </c>
      <c r="Z1110" t="s">
        <v>7767</v>
      </c>
      <c r="AA1110">
        <v>0.4949951510280831</v>
      </c>
      <c r="AB1110">
        <f>HYPERLINK("Melting_Curves/meltCurve_P30850_rnb.pdf", "Melting_Curves/meltCurve_P30850_rnb.pdf")</f>
        <v>0</v>
      </c>
    </row>
    <row r="1111" spans="1:28">
      <c r="A1111" t="s">
        <v>1137</v>
      </c>
      <c r="B1111">
        <v>0.999998419929286</v>
      </c>
      <c r="C1111">
        <v>1.06815870328415</v>
      </c>
      <c r="D1111">
        <v>0.922363284432471</v>
      </c>
      <c r="E1111">
        <v>1.20197991346426</v>
      </c>
      <c r="F1111">
        <v>1.24718485243417</v>
      </c>
      <c r="G1111">
        <v>1.66550478401208</v>
      </c>
      <c r="H1111">
        <v>1.5141630434367</v>
      </c>
      <c r="I1111">
        <v>1.46333372644342</v>
      </c>
      <c r="J1111">
        <v>1.49945507786802</v>
      </c>
      <c r="K1111">
        <v>1.56004542554215</v>
      </c>
      <c r="L1111">
        <v>1351.21778208817</v>
      </c>
      <c r="M1111">
        <v>27.8919288716048</v>
      </c>
      <c r="O1111">
        <v>48.1977867930892</v>
      </c>
      <c r="P1111">
        <v>0.07233779159976619</v>
      </c>
      <c r="Q1111">
        <v>1.5</v>
      </c>
      <c r="R1111">
        <v>0.876150170305</v>
      </c>
      <c r="S1111" t="s">
        <v>2795</v>
      </c>
      <c r="T1111" t="s">
        <v>3344</v>
      </c>
      <c r="U1111" t="s">
        <v>3344</v>
      </c>
      <c r="V1111" t="s">
        <v>3344</v>
      </c>
      <c r="W1111" t="s">
        <v>4453</v>
      </c>
      <c r="X1111">
        <v>16</v>
      </c>
      <c r="Y1111" t="s">
        <v>6110</v>
      </c>
      <c r="Z1111" t="s">
        <v>7768</v>
      </c>
      <c r="AA1111">
        <v>1.305800785324038</v>
      </c>
      <c r="AB1111">
        <f>HYPERLINK("Melting_Curves/meltCurve_P30859_artI.pdf", "Melting_Curves/meltCurve_P30859_artI.pdf")</f>
        <v>0</v>
      </c>
    </row>
    <row r="1112" spans="1:28">
      <c r="A1112" t="s">
        <v>1138</v>
      </c>
      <c r="B1112">
        <v>0.999998419929286</v>
      </c>
      <c r="C1112">
        <v>0.9663720759697521</v>
      </c>
      <c r="D1112">
        <v>0.967465819142052</v>
      </c>
      <c r="E1112">
        <v>1.09137157798231</v>
      </c>
      <c r="F1112">
        <v>1.21561555304073</v>
      </c>
      <c r="G1112">
        <v>1.36590427168297</v>
      </c>
      <c r="H1112">
        <v>1.31961056270864</v>
      </c>
      <c r="I1112">
        <v>1.09154886446051</v>
      </c>
      <c r="J1112">
        <v>0.997744429447215</v>
      </c>
      <c r="K1112">
        <v>0.987026697443827</v>
      </c>
      <c r="L1112">
        <v>11638.5959423669</v>
      </c>
      <c r="M1112">
        <v>250</v>
      </c>
      <c r="O1112">
        <v>46.5514015573555</v>
      </c>
      <c r="P1112">
        <v>0.21872110796804</v>
      </c>
      <c r="Q1112">
        <v>1.16290839647719</v>
      </c>
      <c r="R1112">
        <v>0.333443759383351</v>
      </c>
      <c r="S1112" t="s">
        <v>2796</v>
      </c>
      <c r="T1112" t="s">
        <v>3344</v>
      </c>
      <c r="U1112" t="s">
        <v>3344</v>
      </c>
      <c r="V1112" t="s">
        <v>3344</v>
      </c>
      <c r="W1112" t="s">
        <v>4454</v>
      </c>
      <c r="X1112">
        <v>6</v>
      </c>
      <c r="Y1112" t="s">
        <v>6111</v>
      </c>
      <c r="Z1112" t="s">
        <v>7769</v>
      </c>
      <c r="AA1112">
        <v>1.111012108525987</v>
      </c>
      <c r="AB1112">
        <f>HYPERLINK("Melting_Curves/meltCurve_P30860_artJ.pdf", "Melting_Curves/meltCurve_P30860_artJ.pdf")</f>
        <v>0</v>
      </c>
    </row>
    <row r="1113" spans="1:28">
      <c r="A1113" t="s">
        <v>1139</v>
      </c>
      <c r="B1113">
        <v>0.999998419929286</v>
      </c>
      <c r="C1113">
        <v>1.03406030533811</v>
      </c>
      <c r="D1113">
        <v>1.107207282232</v>
      </c>
      <c r="E1113">
        <v>1.21281739490736</v>
      </c>
      <c r="F1113">
        <v>0.573917998574759</v>
      </c>
      <c r="G1113">
        <v>0.349893790747888</v>
      </c>
      <c r="H1113">
        <v>0.20652348347508</v>
      </c>
      <c r="I1113">
        <v>0.141897749279191</v>
      </c>
      <c r="J1113">
        <v>0.08637258595027331</v>
      </c>
      <c r="K1113">
        <v>0.08567180437092541</v>
      </c>
      <c r="L1113">
        <v>1679.71518920989</v>
      </c>
      <c r="M1113">
        <v>32.973004829534</v>
      </c>
      <c r="N1113">
        <v>51.4349951042561</v>
      </c>
      <c r="O1113">
        <v>50.7558567631243</v>
      </c>
      <c r="P1113">
        <v>-0.140411420248448</v>
      </c>
      <c r="Q1113">
        <v>0.135454053989645</v>
      </c>
      <c r="R1113">
        <v>0.94795364562981</v>
      </c>
      <c r="S1113" t="s">
        <v>2797</v>
      </c>
      <c r="T1113" t="s">
        <v>3344</v>
      </c>
      <c r="U1113" t="s">
        <v>3344</v>
      </c>
      <c r="V1113" t="s">
        <v>3344</v>
      </c>
      <c r="W1113" t="s">
        <v>4455</v>
      </c>
      <c r="X1113">
        <v>5</v>
      </c>
      <c r="Y1113" t="s">
        <v>6112</v>
      </c>
      <c r="Z1113" t="s">
        <v>7770</v>
      </c>
      <c r="AA1113">
        <v>0.5417106628525149</v>
      </c>
      <c r="AB1113">
        <f>HYPERLINK("Melting_Curves/meltCurve_P30863_dkgB.pdf", "Melting_Curves/meltCurve_P30863_dkgB.pdf")</f>
        <v>0</v>
      </c>
    </row>
    <row r="1114" spans="1:28">
      <c r="A1114" t="s">
        <v>1140</v>
      </c>
      <c r="B1114">
        <v>0.999998419929286</v>
      </c>
      <c r="C1114">
        <v>0.850428479603439</v>
      </c>
      <c r="D1114">
        <v>0.522629657367396</v>
      </c>
      <c r="E1114">
        <v>0.310140633252823</v>
      </c>
      <c r="F1114">
        <v>0.188089598940129</v>
      </c>
      <c r="G1114">
        <v>0.09388494743010529</v>
      </c>
      <c r="H1114">
        <v>0.0870769818936819</v>
      </c>
      <c r="I1114">
        <v>0.0426245617676251</v>
      </c>
      <c r="J1114">
        <v>0.0501635889328164</v>
      </c>
      <c r="K1114">
        <v>0.0334291470825418</v>
      </c>
      <c r="L1114">
        <v>706.4151105682751</v>
      </c>
      <c r="M1114">
        <v>16.2214176310594</v>
      </c>
      <c r="N1114">
        <v>43.8432861176004</v>
      </c>
      <c r="O1114">
        <v>42.9026120620538</v>
      </c>
      <c r="P1114">
        <v>-0.08964455639139809</v>
      </c>
      <c r="Q1114">
        <v>0.0516984550500547</v>
      </c>
      <c r="R1114">
        <v>0.992362205330843</v>
      </c>
      <c r="S1114" t="s">
        <v>2798</v>
      </c>
      <c r="T1114" t="s">
        <v>3344</v>
      </c>
      <c r="U1114" t="s">
        <v>3344</v>
      </c>
      <c r="V1114" t="s">
        <v>3344</v>
      </c>
      <c r="W1114" t="s">
        <v>4456</v>
      </c>
      <c r="X1114">
        <v>2</v>
      </c>
      <c r="Y1114" t="s">
        <v>6113</v>
      </c>
      <c r="Z1114" t="s">
        <v>7771</v>
      </c>
      <c r="AA1114">
        <v>0.2791303042154146</v>
      </c>
      <c r="AB1114">
        <f>HYPERLINK("Melting_Curves/meltCurve_P30864_yafC.pdf", "Melting_Curves/meltCurve_P30864_yafC.pdf")</f>
        <v>0</v>
      </c>
    </row>
    <row r="1115" spans="1:28">
      <c r="A1115" t="s">
        <v>1141</v>
      </c>
      <c r="B1115">
        <v>0.999998419929286</v>
      </c>
      <c r="C1115">
        <v>1.08035881442377</v>
      </c>
      <c r="D1115">
        <v>1.12345409746975</v>
      </c>
      <c r="E1115">
        <v>1.18278130307566</v>
      </c>
      <c r="F1115">
        <v>1.08500406598264</v>
      </c>
      <c r="G1115">
        <v>1.08010303075229</v>
      </c>
      <c r="H1115">
        <v>0.889752578996662</v>
      </c>
      <c r="I1115">
        <v>0.380787431971604</v>
      </c>
      <c r="J1115">
        <v>0.0458948715121316</v>
      </c>
      <c r="K1115">
        <v>0.0183304852042156</v>
      </c>
      <c r="L1115">
        <v>2730.47493586259</v>
      </c>
      <c r="M1115">
        <v>45.2863540747648</v>
      </c>
      <c r="N1115">
        <v>60.2935474172136</v>
      </c>
      <c r="O1115">
        <v>60.1763331884399</v>
      </c>
      <c r="P1115">
        <v>-0.188140462664658</v>
      </c>
      <c r="Q1115">
        <v>0</v>
      </c>
      <c r="R1115">
        <v>0.9628738972094369</v>
      </c>
      <c r="S1115" t="s">
        <v>2799</v>
      </c>
      <c r="T1115" t="s">
        <v>3344</v>
      </c>
      <c r="U1115" t="s">
        <v>3344</v>
      </c>
      <c r="V1115" t="s">
        <v>3344</v>
      </c>
      <c r="W1115" t="s">
        <v>4457</v>
      </c>
      <c r="X1115">
        <v>1</v>
      </c>
      <c r="Y1115" t="s">
        <v>6114</v>
      </c>
      <c r="Z1115" t="s">
        <v>7772</v>
      </c>
      <c r="AA1115">
        <v>0.7790805522338571</v>
      </c>
      <c r="AB1115">
        <f>HYPERLINK("Melting_Curves/meltCurve_P30870_glnE.pdf", "Melting_Curves/meltCurve_P30870_glnE.pdf")</f>
        <v>0</v>
      </c>
    </row>
    <row r="1116" spans="1:28">
      <c r="A1116" t="s">
        <v>1142</v>
      </c>
      <c r="B1116">
        <v>0.999998419929286</v>
      </c>
      <c r="C1116">
        <v>0.830092470087984</v>
      </c>
      <c r="D1116">
        <v>0.41829837100295</v>
      </c>
      <c r="E1116">
        <v>0.14527474010265</v>
      </c>
      <c r="F1116">
        <v>0.107265503004209</v>
      </c>
      <c r="G1116">
        <v>0.0615100773177436</v>
      </c>
      <c r="H1116">
        <v>0.0306886475285343</v>
      </c>
      <c r="I1116">
        <v>0.0553222951696203</v>
      </c>
      <c r="J1116">
        <v>0.0408877758881336</v>
      </c>
      <c r="K1116">
        <v>0.0235688422839924</v>
      </c>
      <c r="L1116">
        <v>1050.42046516876</v>
      </c>
      <c r="M1116">
        <v>24.8312854230897</v>
      </c>
      <c r="N1116">
        <v>42.4794865023364</v>
      </c>
      <c r="O1116">
        <v>42.0308021916336</v>
      </c>
      <c r="P1116">
        <v>-0.140433152761213</v>
      </c>
      <c r="Q1116">
        <v>0.049193525214883</v>
      </c>
      <c r="R1116">
        <v>0.996846023198757</v>
      </c>
      <c r="S1116" t="s">
        <v>2800</v>
      </c>
      <c r="T1116" t="s">
        <v>3344</v>
      </c>
      <c r="U1116" t="s">
        <v>3344</v>
      </c>
      <c r="V1116" t="s">
        <v>3344</v>
      </c>
      <c r="W1116" t="s">
        <v>4458</v>
      </c>
      <c r="X1116">
        <v>2</v>
      </c>
      <c r="Y1116" t="s">
        <v>6115</v>
      </c>
      <c r="Z1116" t="s">
        <v>7773</v>
      </c>
      <c r="AA1116">
        <v>0.2256337345475346</v>
      </c>
      <c r="AB1116">
        <f>HYPERLINK("Melting_Curves/meltCurve_P30871_ygiF.pdf", "Melting_Curves/meltCurve_P30871_ygiF.pdf")</f>
        <v>0</v>
      </c>
    </row>
    <row r="1117" spans="1:28">
      <c r="A1117" t="s">
        <v>1143</v>
      </c>
      <c r="B1117">
        <v>0.999998419929286</v>
      </c>
      <c r="C1117">
        <v>1.05058885171987</v>
      </c>
      <c r="D1117">
        <v>0.725901162811225</v>
      </c>
      <c r="E1117">
        <v>0.146325052511842</v>
      </c>
      <c r="F1117">
        <v>0.132151546805508</v>
      </c>
      <c r="G1117">
        <v>0.126605254343593</v>
      </c>
      <c r="H1117">
        <v>0.0896635793885944</v>
      </c>
      <c r="I1117">
        <v>0.0783218096891104</v>
      </c>
      <c r="J1117">
        <v>0.056067070140353</v>
      </c>
      <c r="K1117">
        <v>0.0580622024641854</v>
      </c>
      <c r="L1117">
        <v>2092.98443955317</v>
      </c>
      <c r="M1117">
        <v>47.8077697760088</v>
      </c>
      <c r="N1117">
        <v>43.9635741379928</v>
      </c>
      <c r="O1117">
        <v>43.7027507616316</v>
      </c>
      <c r="P1117">
        <v>-0.248636448905773</v>
      </c>
      <c r="Q1117">
        <v>0.0908514224966387</v>
      </c>
      <c r="R1117">
        <v>0.994126216611912</v>
      </c>
      <c r="S1117" t="s">
        <v>2801</v>
      </c>
      <c r="T1117" t="s">
        <v>3344</v>
      </c>
      <c r="U1117" t="s">
        <v>3344</v>
      </c>
      <c r="V1117" t="s">
        <v>3344</v>
      </c>
      <c r="W1117" t="s">
        <v>4459</v>
      </c>
      <c r="X1117">
        <v>15</v>
      </c>
      <c r="Y1117" t="s">
        <v>6116</v>
      </c>
      <c r="Z1117" t="s">
        <v>7774</v>
      </c>
      <c r="AA1117">
        <v>0.2982182202898605</v>
      </c>
      <c r="AB1117">
        <f>HYPERLINK("Melting_Curves/meltCurve_P30958_mfd.pdf", "Melting_Curves/meltCurve_P30958_mfd.pdf")</f>
        <v>0</v>
      </c>
    </row>
    <row r="1118" spans="1:28">
      <c r="A1118" t="s">
        <v>1144</v>
      </c>
      <c r="B1118">
        <v>0.999998419929286</v>
      </c>
      <c r="C1118">
        <v>0.927727735039089</v>
      </c>
      <c r="D1118">
        <v>0.855655254963637</v>
      </c>
      <c r="E1118">
        <v>0.732302148783523</v>
      </c>
      <c r="F1118">
        <v>0.747320113747152</v>
      </c>
      <c r="G1118">
        <v>0.734632178336648</v>
      </c>
      <c r="H1118">
        <v>0.61620222130819</v>
      </c>
      <c r="I1118">
        <v>0.586658071536628</v>
      </c>
      <c r="J1118">
        <v>0.624767867094684</v>
      </c>
      <c r="K1118">
        <v>0.629106829672766</v>
      </c>
      <c r="L1118">
        <v>455.387709846256</v>
      </c>
      <c r="M1118">
        <v>9.94405051494817</v>
      </c>
      <c r="O1118">
        <v>44.0584633538666</v>
      </c>
      <c r="P1118">
        <v>-0.0226926340544988</v>
      </c>
      <c r="Q1118">
        <v>0.598028671503826</v>
      </c>
      <c r="R1118">
        <v>0.936927790622219</v>
      </c>
      <c r="S1118" t="s">
        <v>2802</v>
      </c>
      <c r="T1118" t="s">
        <v>3344</v>
      </c>
      <c r="U1118" t="s">
        <v>3344</v>
      </c>
      <c r="V1118" t="s">
        <v>3344</v>
      </c>
      <c r="W1118" t="s">
        <v>4460</v>
      </c>
      <c r="X1118">
        <v>2</v>
      </c>
      <c r="Y1118" t="s">
        <v>6117</v>
      </c>
      <c r="Z1118" t="s">
        <v>7775</v>
      </c>
      <c r="AA1118">
        <v>0.7348877986353795</v>
      </c>
      <c r="AB1118">
        <f>HYPERLINK("Melting_Curves/meltCurve_P31057_panB.pdf", "Melting_Curves/meltCurve_P31057_panB.pdf")</f>
        <v>0</v>
      </c>
    </row>
    <row r="1119" spans="1:28">
      <c r="A1119" t="s">
        <v>1145</v>
      </c>
      <c r="B1119">
        <v>0.999998419929286</v>
      </c>
      <c r="C1119">
        <v>1.08691357631651</v>
      </c>
      <c r="D1119">
        <v>0.895414944282611</v>
      </c>
      <c r="E1119">
        <v>1.17062594841849</v>
      </c>
      <c r="F1119">
        <v>1.32902068109514</v>
      </c>
      <c r="G1119">
        <v>1.51975123966483</v>
      </c>
      <c r="H1119">
        <v>1.47488499925762</v>
      </c>
      <c r="I1119">
        <v>1.36180955405059</v>
      </c>
      <c r="J1119">
        <v>1.29237818473746</v>
      </c>
      <c r="K1119">
        <v>1.33802528895714</v>
      </c>
      <c r="L1119">
        <v>2384.10207884399</v>
      </c>
      <c r="M1119">
        <v>50.8105012594521</v>
      </c>
      <c r="O1119">
        <v>46.8489334891701</v>
      </c>
      <c r="P1119">
        <v>0.105498085143912</v>
      </c>
      <c r="Q1119">
        <v>1.38909033538743</v>
      </c>
      <c r="R1119">
        <v>0.84212306448485</v>
      </c>
      <c r="S1119" t="s">
        <v>2803</v>
      </c>
      <c r="T1119" t="s">
        <v>3344</v>
      </c>
      <c r="U1119" t="s">
        <v>3344</v>
      </c>
      <c r="V1119" t="s">
        <v>3344</v>
      </c>
      <c r="W1119" t="s">
        <v>4461</v>
      </c>
      <c r="X1119">
        <v>4</v>
      </c>
      <c r="Y1119" t="s">
        <v>6118</v>
      </c>
      <c r="Z1119" t="s">
        <v>7776</v>
      </c>
      <c r="AA1119">
        <v>1.259632718808192</v>
      </c>
      <c r="AB1119">
        <f>HYPERLINK("Melting_Curves/meltCurve_P31063_yedD.pdf", "Melting_Curves/meltCurve_P31063_yedD.pdf")</f>
        <v>0</v>
      </c>
    </row>
    <row r="1120" spans="1:28">
      <c r="A1120" t="s">
        <v>1146</v>
      </c>
      <c r="B1120">
        <v>0.999998419929286</v>
      </c>
      <c r="C1120">
        <v>0.803732882671696</v>
      </c>
      <c r="D1120">
        <v>0.72120515332281</v>
      </c>
      <c r="E1120">
        <v>0.823392328099359</v>
      </c>
      <c r="F1120">
        <v>0.963326294312058</v>
      </c>
      <c r="G1120">
        <v>1.03630888843809</v>
      </c>
      <c r="H1120">
        <v>0.94886938341577</v>
      </c>
      <c r="I1120">
        <v>0.8938407497831</v>
      </c>
      <c r="J1120">
        <v>1.03166235573771</v>
      </c>
      <c r="K1120">
        <v>0.839339211094569</v>
      </c>
      <c r="L1120">
        <v>9481.90785674869</v>
      </c>
      <c r="M1120">
        <v>250</v>
      </c>
      <c r="O1120">
        <v>37.9252049224974</v>
      </c>
      <c r="P1120">
        <v>-0.171815238605981</v>
      </c>
      <c r="Q1120">
        <v>0.895741951678121</v>
      </c>
      <c r="R1120">
        <v>0.0952015394256004</v>
      </c>
      <c r="S1120" t="s">
        <v>2804</v>
      </c>
      <c r="T1120" t="s">
        <v>3344</v>
      </c>
      <c r="U1120" t="s">
        <v>3344</v>
      </c>
      <c r="V1120" t="s">
        <v>3344</v>
      </c>
      <c r="W1120" t="s">
        <v>4462</v>
      </c>
      <c r="X1120">
        <v>1</v>
      </c>
      <c r="Y1120" t="s">
        <v>6119</v>
      </c>
      <c r="Z1120" t="s">
        <v>7777</v>
      </c>
      <c r="AA1120">
        <v>0.8989736027322356</v>
      </c>
      <c r="AB1120">
        <f>HYPERLINK("Melting_Curves/meltCurve_P31068_fliH.pdf", "Melting_Curves/meltCurve_P31068_fliH.pdf")</f>
        <v>0</v>
      </c>
    </row>
    <row r="1121" spans="1:28">
      <c r="A1121" t="s">
        <v>1147</v>
      </c>
      <c r="B1121">
        <v>0.999998419929286</v>
      </c>
      <c r="C1121">
        <v>1.15292287954439</v>
      </c>
      <c r="D1121">
        <v>1.09194275052018</v>
      </c>
      <c r="E1121">
        <v>1.14309395861183</v>
      </c>
      <c r="F1121">
        <v>1.18052491311312</v>
      </c>
      <c r="G1121">
        <v>1.21543757142899</v>
      </c>
      <c r="H1121">
        <v>0.980218715610196</v>
      </c>
      <c r="I1121">
        <v>0.850072128192342</v>
      </c>
      <c r="J1121">
        <v>0.837397802085121</v>
      </c>
      <c r="K1121">
        <v>0.882362376651561</v>
      </c>
      <c r="L1121">
        <v>14455.1782427317</v>
      </c>
      <c r="M1121">
        <v>250</v>
      </c>
      <c r="O1121">
        <v>57.8170304120299</v>
      </c>
      <c r="P1121">
        <v>-0.155003387944349</v>
      </c>
      <c r="Q1121">
        <v>0.856610674052487</v>
      </c>
      <c r="R1121">
        <v>0.277773293209458</v>
      </c>
      <c r="S1121" t="s">
        <v>2805</v>
      </c>
      <c r="T1121" t="s">
        <v>3344</v>
      </c>
      <c r="U1121" t="s">
        <v>3344</v>
      </c>
      <c r="V1121" t="s">
        <v>3344</v>
      </c>
      <c r="W1121" t="s">
        <v>4463</v>
      </c>
      <c r="X1121">
        <v>1</v>
      </c>
      <c r="Y1121" t="s">
        <v>6120</v>
      </c>
      <c r="Z1121" t="s">
        <v>7778</v>
      </c>
      <c r="AA1121">
        <v>0.9561408243605983</v>
      </c>
      <c r="AB1121">
        <f>HYPERLINK("Melting_Curves/meltCurve_P31069_kch.pdf", "Melting_Curves/meltCurve_P31069_kch.pdf")</f>
        <v>0</v>
      </c>
    </row>
    <row r="1122" spans="1:28">
      <c r="A1122" t="s">
        <v>1148</v>
      </c>
      <c r="B1122">
        <v>0.999998419929286</v>
      </c>
      <c r="C1122">
        <v>1.16399020094509</v>
      </c>
      <c r="D1122">
        <v>0.9278573740399469</v>
      </c>
      <c r="E1122">
        <v>0.625513123269658</v>
      </c>
      <c r="F1122">
        <v>0.47531517537984</v>
      </c>
      <c r="G1122">
        <v>0.297926868186227</v>
      </c>
      <c r="H1122">
        <v>0.208236890617621</v>
      </c>
      <c r="I1122">
        <v>0.166847408080712</v>
      </c>
      <c r="J1122">
        <v>0.0836521926069087</v>
      </c>
      <c r="K1122">
        <v>0.221120631203953</v>
      </c>
      <c r="L1122">
        <v>851.675841922424</v>
      </c>
      <c r="M1122">
        <v>17.6718014398564</v>
      </c>
      <c r="N1122">
        <v>49.2398847528738</v>
      </c>
      <c r="O1122">
        <v>47.5896271948986</v>
      </c>
      <c r="P1122">
        <v>-0.0783128010122911</v>
      </c>
      <c r="Q1122">
        <v>0.156468725138323</v>
      </c>
      <c r="R1122">
        <v>0.96138549340034</v>
      </c>
      <c r="S1122" t="s">
        <v>2806</v>
      </c>
      <c r="T1122" t="s">
        <v>3344</v>
      </c>
      <c r="U1122" t="s">
        <v>3344</v>
      </c>
      <c r="V1122" t="s">
        <v>3344</v>
      </c>
      <c r="W1122" t="s">
        <v>4464</v>
      </c>
      <c r="X1122">
        <v>2</v>
      </c>
      <c r="Y1122" t="s">
        <v>6121</v>
      </c>
      <c r="Z1122" t="s">
        <v>7779</v>
      </c>
      <c r="AA1122">
        <v>0.4851461277673665</v>
      </c>
      <c r="AB1122">
        <f>HYPERLINK("Melting_Curves/meltCurve_P31119_aas.pdf", "Melting_Curves/meltCurve_P31119_aas.pdf")</f>
        <v>0</v>
      </c>
    </row>
    <row r="1123" spans="1:28">
      <c r="A1123" t="s">
        <v>1149</v>
      </c>
      <c r="B1123">
        <v>0.999998419929286</v>
      </c>
      <c r="C1123">
        <v>2.22046148129841</v>
      </c>
      <c r="D1123">
        <v>1.8166255952429</v>
      </c>
      <c r="E1123">
        <v>1.42151871760227</v>
      </c>
      <c r="F1123">
        <v>0.933499875141929</v>
      </c>
      <c r="G1123">
        <v>0.37712293745866</v>
      </c>
      <c r="H1123">
        <v>0.15965272812337</v>
      </c>
      <c r="I1123">
        <v>0.111456869406773</v>
      </c>
      <c r="J1123">
        <v>0.09024219992428539</v>
      </c>
      <c r="K1123">
        <v>0.0830430478161579</v>
      </c>
      <c r="L1123">
        <v>2612.45234522514</v>
      </c>
      <c r="M1123">
        <v>49.3694923347204</v>
      </c>
      <c r="N1123">
        <v>53.1710307311718</v>
      </c>
      <c r="O1123">
        <v>52.8297242363536</v>
      </c>
      <c r="P1123">
        <v>-0.209024174967887</v>
      </c>
      <c r="Q1123">
        <v>0.105303366925182</v>
      </c>
      <c r="R1123">
        <v>0.580517725093507</v>
      </c>
      <c r="S1123" t="s">
        <v>2807</v>
      </c>
      <c r="T1123" t="s">
        <v>3344</v>
      </c>
      <c r="U1123" t="s">
        <v>3344</v>
      </c>
      <c r="V1123" t="s">
        <v>3344</v>
      </c>
      <c r="W1123" t="s">
        <v>4465</v>
      </c>
      <c r="X1123">
        <v>14</v>
      </c>
      <c r="Y1123" t="s">
        <v>6122</v>
      </c>
      <c r="Z1123" t="s">
        <v>7780</v>
      </c>
      <c r="AA1123">
        <v>0.582120271127577</v>
      </c>
      <c r="AB1123">
        <f>HYPERLINK("Melting_Curves/meltCurve_P31120_glmM.pdf", "Melting_Curves/meltCurve_P31120_glmM.pdf")</f>
        <v>0</v>
      </c>
    </row>
    <row r="1124" spans="1:28">
      <c r="A1124" t="s">
        <v>1150</v>
      </c>
      <c r="B1124">
        <v>0.999998419929286</v>
      </c>
      <c r="C1124">
        <v>0.9783461214310309</v>
      </c>
      <c r="D1124">
        <v>0.779777900036338</v>
      </c>
      <c r="E1124">
        <v>1.05457953096176</v>
      </c>
      <c r="F1124">
        <v>1.17245958791735</v>
      </c>
      <c r="G1124">
        <v>1.3689906170813</v>
      </c>
      <c r="H1124">
        <v>1.4658265234907</v>
      </c>
      <c r="I1124">
        <v>1.38191840028095</v>
      </c>
      <c r="J1124">
        <v>1.41953516164284</v>
      </c>
      <c r="K1124">
        <v>1.19068553312378</v>
      </c>
      <c r="L1124">
        <v>2467.22284778657</v>
      </c>
      <c r="M1124">
        <v>49.0967586756218</v>
      </c>
      <c r="O1124">
        <v>50.169095951151</v>
      </c>
      <c r="P1124">
        <v>0.0899649920074148</v>
      </c>
      <c r="Q1124">
        <v>1.3677194427834</v>
      </c>
      <c r="R1124">
        <v>0.79449395754526</v>
      </c>
      <c r="S1124" t="s">
        <v>2808</v>
      </c>
      <c r="T1124" t="s">
        <v>3344</v>
      </c>
      <c r="U1124" t="s">
        <v>3344</v>
      </c>
      <c r="V1124" t="s">
        <v>3344</v>
      </c>
      <c r="W1124" t="s">
        <v>4466</v>
      </c>
      <c r="X1124">
        <v>8</v>
      </c>
      <c r="Y1124" t="s">
        <v>6123</v>
      </c>
      <c r="Z1124" t="s">
        <v>7781</v>
      </c>
      <c r="AA1124">
        <v>1.204436940246923</v>
      </c>
      <c r="AB1124">
        <f>HYPERLINK("Melting_Curves/meltCurve_P31130_ydeI.pdf", "Melting_Curves/meltCurve_P31130_ydeI.pdf")</f>
        <v>0</v>
      </c>
    </row>
    <row r="1125" spans="1:28">
      <c r="A1125" t="s">
        <v>1151</v>
      </c>
      <c r="B1125">
        <v>0.999998419929286</v>
      </c>
      <c r="C1125">
        <v>0.823242934058379</v>
      </c>
      <c r="D1125">
        <v>0.987016948927209</v>
      </c>
      <c r="E1125">
        <v>1.01734095859709</v>
      </c>
      <c r="F1125">
        <v>1.16510969062626</v>
      </c>
      <c r="G1125">
        <v>1.24198213872936</v>
      </c>
      <c r="H1125">
        <v>1.1817158083168</v>
      </c>
      <c r="I1125">
        <v>0.983548978671113</v>
      </c>
      <c r="J1125">
        <v>0.992994359271399</v>
      </c>
      <c r="K1125">
        <v>0.814410283766383</v>
      </c>
      <c r="L1125">
        <v>5024.06750584719</v>
      </c>
      <c r="M1125">
        <v>73.50705421959439</v>
      </c>
      <c r="Q1125">
        <v>0</v>
      </c>
      <c r="R1125">
        <v>0.166821230480125</v>
      </c>
      <c r="S1125" t="s">
        <v>2809</v>
      </c>
      <c r="T1125" t="s">
        <v>3344</v>
      </c>
      <c r="U1125" t="s">
        <v>3344</v>
      </c>
      <c r="V1125" t="s">
        <v>3344</v>
      </c>
      <c r="W1125" t="s">
        <v>4467</v>
      </c>
      <c r="X1125">
        <v>6</v>
      </c>
      <c r="Y1125" t="s">
        <v>6124</v>
      </c>
      <c r="Z1125" t="s">
        <v>7782</v>
      </c>
      <c r="AA1125">
        <v>0.9940512495768334</v>
      </c>
      <c r="AB1125">
        <f>HYPERLINK("Melting_Curves/meltCurve_P31131_ydeJ.pdf", "Melting_Curves/meltCurve_P31131_ydeJ.pdf")</f>
        <v>0</v>
      </c>
    </row>
    <row r="1126" spans="1:28">
      <c r="A1126" t="s">
        <v>1152</v>
      </c>
      <c r="B1126">
        <v>0.999998419929286</v>
      </c>
      <c r="C1126">
        <v>0.956732435154983</v>
      </c>
      <c r="D1126">
        <v>1.01176993545692</v>
      </c>
      <c r="E1126">
        <v>1.1582537415233</v>
      </c>
      <c r="F1126">
        <v>1.49485005678059</v>
      </c>
      <c r="G1126">
        <v>1.65584810466707</v>
      </c>
      <c r="H1126">
        <v>1.68120430361202</v>
      </c>
      <c r="I1126">
        <v>1.36759356971565</v>
      </c>
      <c r="J1126">
        <v>1.50370181298803</v>
      </c>
      <c r="K1126">
        <v>1.00620066103409</v>
      </c>
      <c r="L1126">
        <v>11678.7540382647</v>
      </c>
      <c r="M1126">
        <v>250</v>
      </c>
      <c r="O1126">
        <v>46.7120271610369</v>
      </c>
      <c r="P1126">
        <v>0.604189183546722</v>
      </c>
      <c r="Q1126">
        <v>1.45156641986849</v>
      </c>
      <c r="R1126">
        <v>0.591706982034281</v>
      </c>
      <c r="S1126" t="s">
        <v>2810</v>
      </c>
      <c r="T1126" t="s">
        <v>3344</v>
      </c>
      <c r="U1126" t="s">
        <v>3344</v>
      </c>
      <c r="V1126" t="s">
        <v>3344</v>
      </c>
      <c r="W1126" t="s">
        <v>4468</v>
      </c>
      <c r="X1126">
        <v>5</v>
      </c>
      <c r="Y1126" t="s">
        <v>6125</v>
      </c>
      <c r="Z1126" t="s">
        <v>7783</v>
      </c>
      <c r="AA1126">
        <v>1.305296896483379</v>
      </c>
      <c r="AB1126">
        <f>HYPERLINK("Melting_Curves/meltCurve_P31133_potF.pdf", "Melting_Curves/meltCurve_P31133_potF.pdf")</f>
        <v>0</v>
      </c>
    </row>
    <row r="1127" spans="1:28">
      <c r="A1127" t="s">
        <v>1153</v>
      </c>
      <c r="B1127">
        <v>0.999998419929286</v>
      </c>
      <c r="C1127">
        <v>0.956070191806272</v>
      </c>
      <c r="D1127">
        <v>1.01152400739854</v>
      </c>
      <c r="E1127">
        <v>1.16096525900973</v>
      </c>
      <c r="F1127">
        <v>1.04062844926895</v>
      </c>
      <c r="G1127">
        <v>0.263771198878944</v>
      </c>
      <c r="H1127">
        <v>0.0835842265608546</v>
      </c>
      <c r="I1127">
        <v>0.06785378845077519</v>
      </c>
      <c r="J1127">
        <v>0.0714445236694006</v>
      </c>
      <c r="K1127">
        <v>0.07278038655102891</v>
      </c>
      <c r="L1127">
        <v>13377.0860629542</v>
      </c>
      <c r="M1127">
        <v>250</v>
      </c>
      <c r="N1127">
        <v>53.5426058331375</v>
      </c>
      <c r="O1127">
        <v>53.5049201642094</v>
      </c>
      <c r="P1127">
        <v>-1.08177467945037</v>
      </c>
      <c r="Q1127">
        <v>0.0739157169148951</v>
      </c>
      <c r="R1127">
        <v>0.986334827902157</v>
      </c>
      <c r="S1127" t="s">
        <v>2811</v>
      </c>
      <c r="T1127" t="s">
        <v>3344</v>
      </c>
      <c r="U1127" t="s">
        <v>3344</v>
      </c>
      <c r="V1127" t="s">
        <v>3344</v>
      </c>
      <c r="W1127" t="s">
        <v>4469</v>
      </c>
      <c r="X1127">
        <v>9</v>
      </c>
      <c r="Y1127" t="s">
        <v>6126</v>
      </c>
      <c r="Z1127" t="s">
        <v>7784</v>
      </c>
      <c r="AA1127">
        <v>0.5836066204528165</v>
      </c>
      <c r="AB1127">
        <f>HYPERLINK("Melting_Curves/meltCurve_P31142_sseA.pdf", "Melting_Curves/meltCurve_P31142_sseA.pdf")</f>
        <v>0</v>
      </c>
    </row>
    <row r="1128" spans="1:28">
      <c r="A1128" t="s">
        <v>1154</v>
      </c>
      <c r="B1128">
        <v>0.999998419929286</v>
      </c>
      <c r="C1128">
        <v>1.39495276598021</v>
      </c>
      <c r="D1128">
        <v>1.03690917623119</v>
      </c>
      <c r="E1128">
        <v>0.7711647270505</v>
      </c>
      <c r="F1128">
        <v>0.340095694817788</v>
      </c>
      <c r="G1128">
        <v>0.149673374036279</v>
      </c>
      <c r="H1128">
        <v>0.08379825304831071</v>
      </c>
      <c r="I1128">
        <v>0.06420818942595979</v>
      </c>
      <c r="J1128">
        <v>0.0564063085377946</v>
      </c>
      <c r="K1128">
        <v>0.0539549836426843</v>
      </c>
      <c r="L1128">
        <v>1395.61065545896</v>
      </c>
      <c r="M1128">
        <v>28.6889977169861</v>
      </c>
      <c r="N1128">
        <v>48.8894798086862</v>
      </c>
      <c r="O1128">
        <v>48.4116783020932</v>
      </c>
      <c r="P1128">
        <v>-0.13829691534747</v>
      </c>
      <c r="Q1128">
        <v>0.0665224715024199</v>
      </c>
      <c r="R1128">
        <v>0.930030692286116</v>
      </c>
      <c r="S1128" t="s">
        <v>2812</v>
      </c>
      <c r="T1128" t="s">
        <v>3344</v>
      </c>
      <c r="U1128" t="s">
        <v>3344</v>
      </c>
      <c r="V1128" t="s">
        <v>3344</v>
      </c>
      <c r="W1128" t="s">
        <v>4470</v>
      </c>
      <c r="X1128">
        <v>13</v>
      </c>
      <c r="Y1128" t="s">
        <v>6127</v>
      </c>
      <c r="Z1128" t="s">
        <v>7785</v>
      </c>
      <c r="AA1128">
        <v>0.4350210970113401</v>
      </c>
      <c r="AB1128">
        <f>HYPERLINK("Melting_Curves/meltCurve_P31224_acrB.pdf", "Melting_Curves/meltCurve_P31224_acrB.pdf")</f>
        <v>0</v>
      </c>
    </row>
    <row r="1129" spans="1:28">
      <c r="A1129" t="s">
        <v>1155</v>
      </c>
      <c r="B1129">
        <v>0.999998419929286</v>
      </c>
      <c r="C1129">
        <v>1.10202529106036</v>
      </c>
      <c r="D1129">
        <v>0.569973316210836</v>
      </c>
      <c r="E1129">
        <v>0.215294830479646</v>
      </c>
      <c r="F1129">
        <v>0.117675526802755</v>
      </c>
      <c r="G1129">
        <v>0.104966148583833</v>
      </c>
      <c r="H1129">
        <v>0.07850474182516359</v>
      </c>
      <c r="I1129">
        <v>0.0413100511206673</v>
      </c>
      <c r="J1129">
        <v>0.0295648144261955</v>
      </c>
      <c r="K1129">
        <v>0.0488781146600407</v>
      </c>
      <c r="L1129">
        <v>1597.26888214336</v>
      </c>
      <c r="M1129">
        <v>36.8275994213421</v>
      </c>
      <c r="N1129">
        <v>43.5717688395755</v>
      </c>
      <c r="O1129">
        <v>43.2442237706703</v>
      </c>
      <c r="P1129">
        <v>-0.19632991862621</v>
      </c>
      <c r="Q1129">
        <v>0.07785338588559</v>
      </c>
      <c r="R1129">
        <v>0.978962218201585</v>
      </c>
      <c r="S1129" t="s">
        <v>2813</v>
      </c>
      <c r="T1129" t="s">
        <v>3344</v>
      </c>
      <c r="U1129" t="s">
        <v>3344</v>
      </c>
      <c r="V1129" t="s">
        <v>3344</v>
      </c>
      <c r="W1129" t="s">
        <v>4471</v>
      </c>
      <c r="X1129">
        <v>2</v>
      </c>
      <c r="Y1129" t="s">
        <v>6128</v>
      </c>
      <c r="Z1129" t="s">
        <v>7786</v>
      </c>
      <c r="AA1129">
        <v>0.2770141819891612</v>
      </c>
      <c r="AB1129">
        <f>HYPERLINK("Melting_Curves/meltCurve_P31433_yicH.pdf", "Melting_Curves/meltCurve_P31433_yicH.pdf")</f>
        <v>0</v>
      </c>
    </row>
    <row r="1130" spans="1:28">
      <c r="A1130" t="s">
        <v>1156</v>
      </c>
      <c r="B1130">
        <v>0.999998419929286</v>
      </c>
      <c r="C1130">
        <v>1.03133067515978</v>
      </c>
      <c r="D1130">
        <v>0.970242567699063</v>
      </c>
      <c r="E1130">
        <v>0.9810149047787911</v>
      </c>
      <c r="F1130">
        <v>0.835133328302925</v>
      </c>
      <c r="G1130">
        <v>0.452790121630998</v>
      </c>
      <c r="H1130">
        <v>0.302837988435343</v>
      </c>
      <c r="I1130">
        <v>0.101604071817</v>
      </c>
      <c r="J1130">
        <v>0.115162339575475</v>
      </c>
      <c r="K1130">
        <v>0.112670565817838</v>
      </c>
      <c r="L1130">
        <v>1211.74581198111</v>
      </c>
      <c r="M1130">
        <v>22.7739236949336</v>
      </c>
      <c r="N1130">
        <v>53.7185223839563</v>
      </c>
      <c r="O1130">
        <v>52.8024439151559</v>
      </c>
      <c r="P1130">
        <v>-0.0973282931518747</v>
      </c>
      <c r="Q1130">
        <v>0.0973761433559929</v>
      </c>
      <c r="R1130">
        <v>0.993732824278301</v>
      </c>
      <c r="S1130" t="s">
        <v>2814</v>
      </c>
      <c r="T1130" t="s">
        <v>3344</v>
      </c>
      <c r="U1130" t="s">
        <v>3344</v>
      </c>
      <c r="V1130" t="s">
        <v>3344</v>
      </c>
      <c r="W1130" t="s">
        <v>4472</v>
      </c>
      <c r="X1130">
        <v>1</v>
      </c>
      <c r="Y1130" t="s">
        <v>6129</v>
      </c>
      <c r="Z1130" t="s">
        <v>7787</v>
      </c>
      <c r="AA1130">
        <v>0.5943076689143699</v>
      </c>
      <c r="AB1130">
        <f>HYPERLINK("Melting_Curves/meltCurve_P31441_ade.pdf", "Melting_Curves/meltCurve_P31441_ade.pdf")</f>
        <v>0</v>
      </c>
    </row>
    <row r="1131" spans="1:28">
      <c r="A1131" t="s">
        <v>1157</v>
      </c>
      <c r="B1131">
        <v>0.999998419929286</v>
      </c>
      <c r="C1131">
        <v>1.18411689769131</v>
      </c>
      <c r="D1131">
        <v>1.2204901014509</v>
      </c>
      <c r="E1131">
        <v>1.20147819082702</v>
      </c>
      <c r="F1131">
        <v>0.569076579110701</v>
      </c>
      <c r="G1131">
        <v>0.342653050606169</v>
      </c>
      <c r="H1131">
        <v>0.225530489318709</v>
      </c>
      <c r="I1131">
        <v>0.112380351705278</v>
      </c>
      <c r="J1131">
        <v>0.107961613901157</v>
      </c>
      <c r="K1131">
        <v>0.141709462660609</v>
      </c>
      <c r="L1131">
        <v>2150.31331621836</v>
      </c>
      <c r="M1131">
        <v>42.6350794352582</v>
      </c>
      <c r="N1131">
        <v>50.927330595825</v>
      </c>
      <c r="O1131">
        <v>50.3247282228898</v>
      </c>
      <c r="P1131">
        <v>-0.176046902088273</v>
      </c>
      <c r="Q1131">
        <v>0.168806683149142</v>
      </c>
      <c r="R1131">
        <v>0.924616948416964</v>
      </c>
      <c r="S1131" t="s">
        <v>2815</v>
      </c>
      <c r="T1131" t="s">
        <v>3344</v>
      </c>
      <c r="U1131" t="s">
        <v>3344</v>
      </c>
      <c r="V1131" t="s">
        <v>3344</v>
      </c>
      <c r="W1131" t="s">
        <v>4473</v>
      </c>
      <c r="X1131">
        <v>2</v>
      </c>
      <c r="Y1131" t="s">
        <v>6130</v>
      </c>
      <c r="Z1131" t="s">
        <v>7788</v>
      </c>
      <c r="AA1131">
        <v>0.5435982581845737</v>
      </c>
      <c r="AB1131">
        <f>HYPERLINK("Melting_Curves/meltCurve_P31455_yidR.pdf", "Melting_Curves/meltCurve_P31455_yidR.pdf")</f>
        <v>0</v>
      </c>
    </row>
    <row r="1132" spans="1:28">
      <c r="A1132" t="s">
        <v>1158</v>
      </c>
      <c r="B1132">
        <v>0.999998419929286</v>
      </c>
      <c r="C1132">
        <v>0.9339064041702581</v>
      </c>
      <c r="D1132">
        <v>0.880989892968658</v>
      </c>
      <c r="E1132">
        <v>0.86583705714162</v>
      </c>
      <c r="F1132">
        <v>0.5870774804084949</v>
      </c>
      <c r="G1132">
        <v>0.289230651297401</v>
      </c>
      <c r="H1132">
        <v>0.152952758726781</v>
      </c>
      <c r="I1132">
        <v>0.104821725962319</v>
      </c>
      <c r="J1132">
        <v>0.0819338769033517</v>
      </c>
      <c r="K1132">
        <v>0.0728503420640008</v>
      </c>
      <c r="L1132">
        <v>887.21809876178</v>
      </c>
      <c r="M1132">
        <v>17.4822386921695</v>
      </c>
      <c r="N1132">
        <v>51.0763805528983</v>
      </c>
      <c r="O1132">
        <v>50.0996178768657</v>
      </c>
      <c r="P1132">
        <v>-0.0826275155534188</v>
      </c>
      <c r="Q1132">
        <v>0.0528952564854923</v>
      </c>
      <c r="R1132">
        <v>0.991760569907679</v>
      </c>
      <c r="S1132" t="s">
        <v>2816</v>
      </c>
      <c r="T1132" t="s">
        <v>3344</v>
      </c>
      <c r="U1132" t="s">
        <v>3344</v>
      </c>
      <c r="V1132" t="s">
        <v>3344</v>
      </c>
      <c r="W1132" t="s">
        <v>4474</v>
      </c>
      <c r="X1132">
        <v>3</v>
      </c>
      <c r="Y1132" t="s">
        <v>6131</v>
      </c>
      <c r="Z1132" t="s">
        <v>7789</v>
      </c>
      <c r="AA1132">
        <v>0.5024191314111683</v>
      </c>
      <c r="AB1132">
        <f>HYPERLINK("Melting_Curves/meltCurve_P31460_dgoR.pdf", "Melting_Curves/meltCurve_P31460_dgoR.pdf")</f>
        <v>0</v>
      </c>
    </row>
    <row r="1133" spans="1:28">
      <c r="A1133" t="s">
        <v>1159</v>
      </c>
      <c r="B1133">
        <v>0.999998419929286</v>
      </c>
      <c r="C1133">
        <v>0.856496494185388</v>
      </c>
      <c r="D1133">
        <v>0.872049673184537</v>
      </c>
      <c r="E1133">
        <v>0.564507771521775</v>
      </c>
      <c r="F1133">
        <v>0.261079389033187</v>
      </c>
      <c r="G1133">
        <v>0.112539290286739</v>
      </c>
      <c r="H1133">
        <v>0.0591691852773632</v>
      </c>
      <c r="I1133">
        <v>0.0444307803308319</v>
      </c>
      <c r="J1133">
        <v>0.0307136001246775</v>
      </c>
      <c r="K1133">
        <v>0.0331715953508752</v>
      </c>
      <c r="L1133">
        <v>799.3214489752889</v>
      </c>
      <c r="M1133">
        <v>16.9716174479428</v>
      </c>
      <c r="N1133">
        <v>47.2010705728271</v>
      </c>
      <c r="O1133">
        <v>46.4582371833337</v>
      </c>
      <c r="P1133">
        <v>-0.08966459341664031</v>
      </c>
      <c r="Q1133">
        <v>0.0182668927662351</v>
      </c>
      <c r="R1133">
        <v>0.991804116466403</v>
      </c>
      <c r="S1133" t="s">
        <v>2817</v>
      </c>
      <c r="T1133" t="s">
        <v>3344</v>
      </c>
      <c r="U1133" t="s">
        <v>3344</v>
      </c>
      <c r="V1133" t="s">
        <v>3344</v>
      </c>
      <c r="W1133" t="s">
        <v>4475</v>
      </c>
      <c r="X1133">
        <v>2</v>
      </c>
      <c r="Y1133" t="s">
        <v>6132</v>
      </c>
      <c r="Z1133" t="s">
        <v>7790</v>
      </c>
      <c r="AA1133">
        <v>0.3663038760883418</v>
      </c>
      <c r="AB1133">
        <f>HYPERLINK("Melting_Curves/meltCurve_P31475_yieP.pdf", "Melting_Curves/meltCurve_P31475_yieP.pdf")</f>
        <v>0</v>
      </c>
    </row>
    <row r="1134" spans="1:28">
      <c r="A1134" t="s">
        <v>1160</v>
      </c>
      <c r="B1134">
        <v>0.999998419929286</v>
      </c>
      <c r="C1134">
        <v>0.89127596230221</v>
      </c>
      <c r="D1134">
        <v>0.961796688406806</v>
      </c>
      <c r="E1134">
        <v>1.0270307491435</v>
      </c>
      <c r="F1134">
        <v>1.31120268366504</v>
      </c>
      <c r="G1134">
        <v>1.32376580561033</v>
      </c>
      <c r="H1134">
        <v>1.3482050490567</v>
      </c>
      <c r="I1134">
        <v>1.15236088239671</v>
      </c>
      <c r="J1134">
        <v>1.25493668197328</v>
      </c>
      <c r="K1134">
        <v>1.35477334694437</v>
      </c>
      <c r="L1134">
        <v>11756.17246934</v>
      </c>
      <c r="M1134">
        <v>250</v>
      </c>
      <c r="O1134">
        <v>47.0216806226491</v>
      </c>
      <c r="P1134">
        <v>0.386622294743923</v>
      </c>
      <c r="Q1134">
        <v>1.29087408061605</v>
      </c>
      <c r="R1134">
        <v>0.851397514274392</v>
      </c>
      <c r="S1134" t="s">
        <v>2818</v>
      </c>
      <c r="T1134" t="s">
        <v>3344</v>
      </c>
      <c r="U1134" t="s">
        <v>3344</v>
      </c>
      <c r="V1134" t="s">
        <v>3344</v>
      </c>
      <c r="W1134" t="s">
        <v>4476</v>
      </c>
      <c r="X1134">
        <v>5</v>
      </c>
      <c r="Y1134" t="s">
        <v>6133</v>
      </c>
      <c r="Z1134" t="s">
        <v>7791</v>
      </c>
      <c r="AA1134">
        <v>1.193652660425333</v>
      </c>
      <c r="AB1134">
        <f>HYPERLINK("Melting_Curves/meltCurve_P31550_thiB.pdf", "Melting_Curves/meltCurve_P31550_thiB.pdf")</f>
        <v>0</v>
      </c>
    </row>
    <row r="1135" spans="1:28">
      <c r="A1135" t="s">
        <v>1161</v>
      </c>
      <c r="B1135">
        <v>0.999998419929286</v>
      </c>
      <c r="C1135">
        <v>1.21741171593528</v>
      </c>
      <c r="D1135">
        <v>1.09513554710116</v>
      </c>
      <c r="E1135">
        <v>1.09613921138892</v>
      </c>
      <c r="F1135">
        <v>1.02846016567062</v>
      </c>
      <c r="G1135">
        <v>1.0472471917007</v>
      </c>
      <c r="H1135">
        <v>0.781862209040769</v>
      </c>
      <c r="I1135">
        <v>0.755358910908948</v>
      </c>
      <c r="J1135">
        <v>0.973269214339889</v>
      </c>
      <c r="K1135">
        <v>0.73454994111706</v>
      </c>
      <c r="L1135">
        <v>5558.96065319656</v>
      </c>
      <c r="M1135">
        <v>99.8784477050082</v>
      </c>
      <c r="O1135">
        <v>55.6349570804699</v>
      </c>
      <c r="P1135">
        <v>-0.08531248859457501</v>
      </c>
      <c r="Q1135">
        <v>0.809914691777309</v>
      </c>
      <c r="R1135">
        <v>0.558598909662583</v>
      </c>
      <c r="S1135" t="s">
        <v>2819</v>
      </c>
      <c r="T1135" t="s">
        <v>3344</v>
      </c>
      <c r="U1135" t="s">
        <v>3344</v>
      </c>
      <c r="V1135" t="s">
        <v>3344</v>
      </c>
      <c r="W1135" t="s">
        <v>4477</v>
      </c>
      <c r="X1135">
        <v>9</v>
      </c>
      <c r="Y1135" t="s">
        <v>6134</v>
      </c>
      <c r="Z1135" t="s">
        <v>7792</v>
      </c>
      <c r="AA1135">
        <v>0.9282468498639944</v>
      </c>
      <c r="AB1135">
        <f>HYPERLINK("Melting_Curves/meltCurve_P31554_lptD.pdf", "Melting_Curves/meltCurve_P31554_lptD.pdf")</f>
        <v>0</v>
      </c>
    </row>
    <row r="1136" spans="1:28">
      <c r="A1136" t="s">
        <v>1162</v>
      </c>
      <c r="B1136">
        <v>0.999998419929286</v>
      </c>
      <c r="C1136">
        <v>0.976596588272823</v>
      </c>
      <c r="D1136">
        <v>1.03181334090523</v>
      </c>
      <c r="E1136">
        <v>1.15310442497308</v>
      </c>
      <c r="F1136">
        <v>1.32997234416729</v>
      </c>
      <c r="G1136">
        <v>1.29123545854018</v>
      </c>
      <c r="H1136">
        <v>0.699070472846016</v>
      </c>
      <c r="I1136">
        <v>0.352877788086532</v>
      </c>
      <c r="J1136">
        <v>0.225396315951411</v>
      </c>
      <c r="K1136">
        <v>0.159418554822113</v>
      </c>
      <c r="L1136">
        <v>2912.22760680673</v>
      </c>
      <c r="M1136">
        <v>49.9880094637914</v>
      </c>
      <c r="N1136">
        <v>58.9089722153513</v>
      </c>
      <c r="O1136">
        <v>58.1654879705252</v>
      </c>
      <c r="P1136">
        <v>-0.169285315880794</v>
      </c>
      <c r="Q1136">
        <v>0.212086342861305</v>
      </c>
      <c r="R1136">
        <v>0.862783093131408</v>
      </c>
      <c r="S1136" t="s">
        <v>2820</v>
      </c>
      <c r="T1136" t="s">
        <v>3344</v>
      </c>
      <c r="U1136" t="s">
        <v>3344</v>
      </c>
      <c r="V1136" t="s">
        <v>3344</v>
      </c>
      <c r="W1136" t="s">
        <v>4478</v>
      </c>
      <c r="X1136">
        <v>10</v>
      </c>
      <c r="Y1136" t="s">
        <v>6135</v>
      </c>
      <c r="Z1136" t="s">
        <v>7793</v>
      </c>
      <c r="AA1136">
        <v>0.7723790164443698</v>
      </c>
      <c r="AB1136">
        <f>HYPERLINK("Melting_Curves/meltCurve_P31658_hchA.pdf", "Melting_Curves/meltCurve_P31658_hchA.pdf")</f>
        <v>0</v>
      </c>
    </row>
    <row r="1137" spans="1:28">
      <c r="A1137" t="s">
        <v>1163</v>
      </c>
      <c r="B1137">
        <v>0.999998419929286</v>
      </c>
      <c r="C1137">
        <v>0.848599064820424</v>
      </c>
      <c r="D1137">
        <v>0.644352721954189</v>
      </c>
      <c r="E1137">
        <v>0.461287303248018</v>
      </c>
      <c r="F1137">
        <v>0.334318092479343</v>
      </c>
      <c r="G1137">
        <v>0.257105517014207</v>
      </c>
      <c r="H1137">
        <v>0.161271163672821</v>
      </c>
      <c r="I1137">
        <v>0.103442669823841</v>
      </c>
      <c r="J1137">
        <v>0.106803464811981</v>
      </c>
      <c r="K1137">
        <v>0.08479947155132291</v>
      </c>
      <c r="L1137">
        <v>503.448616078765</v>
      </c>
      <c r="M1137">
        <v>11.0486309842988</v>
      </c>
      <c r="N1137">
        <v>46.2098956027593</v>
      </c>
      <c r="O1137">
        <v>44.15024290571</v>
      </c>
      <c r="P1137">
        <v>-0.0581223817580959</v>
      </c>
      <c r="Q1137">
        <v>0.07128183506010401</v>
      </c>
      <c r="R1137">
        <v>0.990820256517303</v>
      </c>
      <c r="S1137" t="s">
        <v>2821</v>
      </c>
      <c r="T1137" t="s">
        <v>3344</v>
      </c>
      <c r="U1137" t="s">
        <v>3344</v>
      </c>
      <c r="V1137" t="s">
        <v>3344</v>
      </c>
      <c r="W1137" t="s">
        <v>4479</v>
      </c>
      <c r="X1137">
        <v>5</v>
      </c>
      <c r="Y1137" t="s">
        <v>6136</v>
      </c>
      <c r="Z1137" t="s">
        <v>7794</v>
      </c>
      <c r="AA1137">
        <v>0.3741874883825193</v>
      </c>
      <c r="AB1137">
        <f>HYPERLINK("Melting_Curves/meltCurve_P31660_prpC.pdf", "Melting_Curves/meltCurve_P31660_prpC.pdf")</f>
        <v>0</v>
      </c>
    </row>
    <row r="1138" spans="1:28">
      <c r="A1138" t="s">
        <v>1164</v>
      </c>
      <c r="B1138">
        <v>0.999998419929286</v>
      </c>
      <c r="C1138">
        <v>1.03426681893339</v>
      </c>
      <c r="D1138">
        <v>1.04954508802502</v>
      </c>
      <c r="E1138">
        <v>1.08497922751427</v>
      </c>
      <c r="F1138">
        <v>0.8011104569667979</v>
      </c>
      <c r="G1138">
        <v>0.66802254105845</v>
      </c>
      <c r="H1138">
        <v>0.446507142238381</v>
      </c>
      <c r="I1138">
        <v>0.163124350052223</v>
      </c>
      <c r="J1138">
        <v>0.0515511775746115</v>
      </c>
      <c r="K1138">
        <v>0.0435396303777637</v>
      </c>
      <c r="L1138">
        <v>1008.38577220978</v>
      </c>
      <c r="M1138">
        <v>18.0184855177059</v>
      </c>
      <c r="N1138">
        <v>55.9639591906301</v>
      </c>
      <c r="O1138">
        <v>55.288293579385</v>
      </c>
      <c r="P1138">
        <v>-0.081479142384712</v>
      </c>
      <c r="Q1138">
        <v>0</v>
      </c>
      <c r="R1138">
        <v>0.982099674642279</v>
      </c>
      <c r="S1138" t="s">
        <v>2822</v>
      </c>
      <c r="T1138" t="s">
        <v>3344</v>
      </c>
      <c r="U1138" t="s">
        <v>3344</v>
      </c>
      <c r="V1138" t="s">
        <v>3344</v>
      </c>
      <c r="W1138" t="s">
        <v>4480</v>
      </c>
      <c r="X1138">
        <v>13</v>
      </c>
      <c r="Y1138" t="s">
        <v>6137</v>
      </c>
      <c r="Z1138" t="s">
        <v>7795</v>
      </c>
      <c r="AA1138">
        <v>0.6432137791401488</v>
      </c>
      <c r="AB1138">
        <f>HYPERLINK("Melting_Curves/meltCurve_P31663_panC.pdf", "Melting_Curves/meltCurve_P31663_panC.pdf")</f>
        <v>0</v>
      </c>
    </row>
    <row r="1139" spans="1:28">
      <c r="A1139" t="s">
        <v>1165</v>
      </c>
      <c r="B1139">
        <v>0.999998419929286</v>
      </c>
      <c r="C1139">
        <v>0.887779524630542</v>
      </c>
      <c r="D1139">
        <v>0.777951816148068</v>
      </c>
      <c r="E1139">
        <v>0.484109574844865</v>
      </c>
      <c r="F1139">
        <v>0.165050528071836</v>
      </c>
      <c r="G1139">
        <v>0.153862262097961</v>
      </c>
      <c r="H1139">
        <v>0.118502989236628</v>
      </c>
      <c r="I1139">
        <v>0.08584793331145441</v>
      </c>
      <c r="J1139">
        <v>0.159861388142927</v>
      </c>
      <c r="K1139">
        <v>0.12646919354399</v>
      </c>
      <c r="L1139">
        <v>893.244342141928</v>
      </c>
      <c r="M1139">
        <v>19.6852784406041</v>
      </c>
      <c r="N1139">
        <v>45.9571644416279</v>
      </c>
      <c r="O1139">
        <v>44.9157721885232</v>
      </c>
      <c r="P1139">
        <v>-0.09750317643624209</v>
      </c>
      <c r="Q1139">
        <v>0.110141314584773</v>
      </c>
      <c r="R1139">
        <v>0.9896191730638551</v>
      </c>
      <c r="S1139" t="s">
        <v>2823</v>
      </c>
      <c r="T1139" t="s">
        <v>3344</v>
      </c>
      <c r="U1139" t="s">
        <v>3344</v>
      </c>
      <c r="V1139" t="s">
        <v>3344</v>
      </c>
      <c r="W1139" t="s">
        <v>4481</v>
      </c>
      <c r="X1139">
        <v>11</v>
      </c>
      <c r="Y1139" t="s">
        <v>6138</v>
      </c>
      <c r="Z1139" t="s">
        <v>7796</v>
      </c>
      <c r="AA1139">
        <v>0.37064520047796</v>
      </c>
      <c r="AB1139">
        <f>HYPERLINK("Melting_Curves/meltCurve_P31677_otsA.pdf", "Melting_Curves/meltCurve_P31677_otsA.pdf")</f>
        <v>0</v>
      </c>
    </row>
    <row r="1140" spans="1:28">
      <c r="A1140" t="s">
        <v>1166</v>
      </c>
      <c r="B1140">
        <v>0.999998419929286</v>
      </c>
      <c r="C1140">
        <v>1.06475494514259</v>
      </c>
      <c r="D1140">
        <v>0.936018991303002</v>
      </c>
      <c r="E1140">
        <v>0.690037841947243</v>
      </c>
      <c r="F1140">
        <v>0.584052624562423</v>
      </c>
      <c r="G1140">
        <v>0.516879625287846</v>
      </c>
      <c r="H1140">
        <v>0.545608923952656</v>
      </c>
      <c r="I1140">
        <v>0.224933585901817</v>
      </c>
      <c r="J1140">
        <v>0.2015994639918</v>
      </c>
      <c r="K1140">
        <v>0.171103993729317</v>
      </c>
      <c r="L1140">
        <v>433.356438406956</v>
      </c>
      <c r="M1140">
        <v>8.002755108281249</v>
      </c>
      <c r="N1140">
        <v>54.1509285492022</v>
      </c>
      <c r="O1140">
        <v>51.0834257036113</v>
      </c>
      <c r="P1140">
        <v>-0.0392093648599147</v>
      </c>
      <c r="Q1140">
        <v>0</v>
      </c>
      <c r="R1140">
        <v>0.939308296339647</v>
      </c>
      <c r="S1140" t="s">
        <v>2824</v>
      </c>
      <c r="T1140" t="s">
        <v>3344</v>
      </c>
      <c r="U1140" t="s">
        <v>3344</v>
      </c>
      <c r="V1140" t="s">
        <v>3344</v>
      </c>
      <c r="W1140" t="s">
        <v>4482</v>
      </c>
      <c r="X1140">
        <v>1</v>
      </c>
      <c r="Y1140" t="s">
        <v>6139</v>
      </c>
      <c r="Z1140" t="s">
        <v>7797</v>
      </c>
      <c r="AA1140">
        <v>0.5851635017797994</v>
      </c>
      <c r="AB1140">
        <f>HYPERLINK("Melting_Curves/meltCurve_P31802_narP.pdf", "Melting_Curves/meltCurve_P31802_narP.pdf")</f>
        <v>0</v>
      </c>
    </row>
    <row r="1141" spans="1:28">
      <c r="A1141" t="s">
        <v>1167</v>
      </c>
      <c r="B1141">
        <v>0.999998419929286</v>
      </c>
      <c r="C1141">
        <v>1.52760956712394</v>
      </c>
      <c r="D1141">
        <v>1.30795822130002</v>
      </c>
      <c r="E1141">
        <v>1.37467825019598</v>
      </c>
      <c r="F1141">
        <v>0.2057822800496</v>
      </c>
      <c r="G1141">
        <v>0.188869285377866</v>
      </c>
      <c r="H1141">
        <v>0.106703219839867</v>
      </c>
      <c r="I1141">
        <v>0.06915156065255949</v>
      </c>
      <c r="J1141">
        <v>0.0681315328107403</v>
      </c>
      <c r="K1141">
        <v>0.0566671301389851</v>
      </c>
      <c r="L1141">
        <v>12449.7828534988</v>
      </c>
      <c r="M1141">
        <v>250</v>
      </c>
      <c r="N1141">
        <v>49.8425913306064</v>
      </c>
      <c r="O1141">
        <v>49.7959453476295</v>
      </c>
      <c r="P1141">
        <v>-1.13224013244616</v>
      </c>
      <c r="Q1141">
        <v>0.0979045305092152</v>
      </c>
      <c r="R1141">
        <v>0.851951733047946</v>
      </c>
      <c r="S1141" t="s">
        <v>2825</v>
      </c>
      <c r="T1141" t="s">
        <v>3344</v>
      </c>
      <c r="U1141" t="s">
        <v>3344</v>
      </c>
      <c r="V1141" t="s">
        <v>3344</v>
      </c>
      <c r="W1141" t="s">
        <v>4483</v>
      </c>
      <c r="X1141">
        <v>5</v>
      </c>
      <c r="Y1141" t="s">
        <v>6140</v>
      </c>
      <c r="Z1141" t="s">
        <v>7798</v>
      </c>
      <c r="AA1141">
        <v>0.4828513194096039</v>
      </c>
      <c r="AB1141">
        <f>HYPERLINK("Melting_Curves/meltCurve_P31806_nnr.pdf", "Melting_Curves/meltCurve_P31806_nnr.pdf")</f>
        <v>0</v>
      </c>
    </row>
    <row r="1142" spans="1:28">
      <c r="A1142" t="s">
        <v>1168</v>
      </c>
      <c r="B1142">
        <v>0.999998419929286</v>
      </c>
      <c r="C1142">
        <v>0.854639030637302</v>
      </c>
      <c r="D1142">
        <v>0.726393703652204</v>
      </c>
      <c r="E1142">
        <v>0.390469189730897</v>
      </c>
      <c r="F1142">
        <v>0.148959511983395</v>
      </c>
      <c r="G1142">
        <v>0.0848649046094324</v>
      </c>
      <c r="H1142">
        <v>0.0473974440636621</v>
      </c>
      <c r="I1142">
        <v>0.0346261745435714</v>
      </c>
      <c r="J1142">
        <v>0.0361199678206563</v>
      </c>
      <c r="K1142">
        <v>0.0417176798216586</v>
      </c>
      <c r="L1142">
        <v>768.473831369197</v>
      </c>
      <c r="M1142">
        <v>17.0431705455731</v>
      </c>
      <c r="N1142">
        <v>45.2309228454556</v>
      </c>
      <c r="O1142">
        <v>44.4828012810444</v>
      </c>
      <c r="P1142">
        <v>-0.0933110407564154</v>
      </c>
      <c r="Q1142">
        <v>0.0258895739737612</v>
      </c>
      <c r="R1142">
        <v>0.996740125845675</v>
      </c>
      <c r="S1142" t="s">
        <v>2826</v>
      </c>
      <c r="T1142" t="s">
        <v>3344</v>
      </c>
      <c r="U1142" t="s">
        <v>3344</v>
      </c>
      <c r="V1142" t="s">
        <v>3344</v>
      </c>
      <c r="W1142" t="s">
        <v>4484</v>
      </c>
      <c r="X1142">
        <v>5</v>
      </c>
      <c r="Y1142" t="s">
        <v>6141</v>
      </c>
      <c r="Z1142" t="s">
        <v>7799</v>
      </c>
      <c r="AA1142">
        <v>0.306410103839204</v>
      </c>
      <c r="AB1142">
        <f>HYPERLINK("Melting_Curves/meltCurve_P31808_yciK.pdf", "Melting_Curves/meltCurve_P31808_yciK.pdf")</f>
        <v>0</v>
      </c>
    </row>
    <row r="1143" spans="1:28">
      <c r="A1143" t="s">
        <v>1169</v>
      </c>
      <c r="B1143">
        <v>0.999998419929286</v>
      </c>
      <c r="C1143">
        <v>0.790216311612333</v>
      </c>
      <c r="D1143">
        <v>0.450032220517212</v>
      </c>
      <c r="E1143">
        <v>0.274588083693883</v>
      </c>
      <c r="F1143">
        <v>0.192757624732957</v>
      </c>
      <c r="G1143">
        <v>0.133569466286437</v>
      </c>
      <c r="H1143">
        <v>0.108451178127926</v>
      </c>
      <c r="I1143">
        <v>0.0962008431313008</v>
      </c>
      <c r="J1143">
        <v>0.110563933834581</v>
      </c>
      <c r="K1143">
        <v>0.09280469380973561</v>
      </c>
      <c r="L1143">
        <v>809.335228209599</v>
      </c>
      <c r="M1143">
        <v>19.130875652969</v>
      </c>
      <c r="N1143">
        <v>42.8766614517879</v>
      </c>
      <c r="O1143">
        <v>41.8510704009411</v>
      </c>
      <c r="P1143">
        <v>-0.101422933821908</v>
      </c>
      <c r="Q1143">
        <v>0.112535417566899</v>
      </c>
      <c r="R1143">
        <v>0.991747307201836</v>
      </c>
      <c r="S1143" t="s">
        <v>2827</v>
      </c>
      <c r="T1143" t="s">
        <v>3344</v>
      </c>
      <c r="U1143" t="s">
        <v>3344</v>
      </c>
      <c r="V1143" t="s">
        <v>3344</v>
      </c>
      <c r="W1143" t="s">
        <v>4485</v>
      </c>
      <c r="X1143">
        <v>2</v>
      </c>
      <c r="Y1143" t="s">
        <v>6142</v>
      </c>
      <c r="Z1143" t="s">
        <v>7800</v>
      </c>
      <c r="AA1143">
        <v>0.2838832187164332</v>
      </c>
      <c r="AB1143">
        <f>HYPERLINK("Melting_Curves/meltCurve_P31979_nuoF.pdf", "Melting_Curves/meltCurve_P31979_nuoF.pdf")</f>
        <v>0</v>
      </c>
    </row>
    <row r="1144" spans="1:28">
      <c r="A1144" t="s">
        <v>1170</v>
      </c>
      <c r="B1144">
        <v>0.999998419929286</v>
      </c>
      <c r="C1144">
        <v>1.06861215304593</v>
      </c>
      <c r="D1144">
        <v>1.06645529205781</v>
      </c>
      <c r="E1144">
        <v>1.01368117646984</v>
      </c>
      <c r="F1144">
        <v>0.611816183312335</v>
      </c>
      <c r="G1144">
        <v>0.240569920485036</v>
      </c>
      <c r="H1144">
        <v>0.125543946072676</v>
      </c>
      <c r="I1144">
        <v>0.110581418229574</v>
      </c>
      <c r="J1144">
        <v>0.0866679181352277</v>
      </c>
      <c r="K1144">
        <v>0.0542273349875017</v>
      </c>
      <c r="L1144">
        <v>1676.3869509285</v>
      </c>
      <c r="M1144">
        <v>32.9878147595269</v>
      </c>
      <c r="N1144">
        <v>51.1304589407557</v>
      </c>
      <c r="O1144">
        <v>50.632706788114</v>
      </c>
      <c r="P1144">
        <v>-0.148025976522396</v>
      </c>
      <c r="Q1144">
        <v>0.091188974587616</v>
      </c>
      <c r="R1144">
        <v>0.991633099402501</v>
      </c>
      <c r="S1144" t="s">
        <v>2828</v>
      </c>
      <c r="T1144" t="s">
        <v>3344</v>
      </c>
      <c r="U1144" t="s">
        <v>3344</v>
      </c>
      <c r="V1144" t="s">
        <v>3344</v>
      </c>
      <c r="W1144" t="s">
        <v>4486</v>
      </c>
      <c r="X1144">
        <v>2</v>
      </c>
      <c r="Y1144" t="s">
        <v>6143</v>
      </c>
      <c r="Z1144" t="s">
        <v>7801</v>
      </c>
      <c r="AA1144">
        <v>0.5144830175919491</v>
      </c>
      <c r="AB1144">
        <f>HYPERLINK("Melting_Curves/meltCurve_P32099_lplA.pdf", "Melting_Curves/meltCurve_P32099_lplA.pdf")</f>
        <v>0</v>
      </c>
    </row>
    <row r="1145" spans="1:28">
      <c r="A1145" t="s">
        <v>1171</v>
      </c>
      <c r="B1145">
        <v>0.999998419929286</v>
      </c>
      <c r="C1145">
        <v>1.48317467279628</v>
      </c>
      <c r="D1145">
        <v>1.29719589580547</v>
      </c>
      <c r="E1145">
        <v>0.590947160060142</v>
      </c>
      <c r="F1145">
        <v>0.28247123854538</v>
      </c>
      <c r="G1145">
        <v>0.393487589967386</v>
      </c>
      <c r="H1145">
        <v>0.195964121887936</v>
      </c>
      <c r="I1145">
        <v>0.0760259713450568</v>
      </c>
      <c r="J1145">
        <v>0.0516178211342625</v>
      </c>
      <c r="K1145">
        <v>0.0709935939040362</v>
      </c>
      <c r="L1145">
        <v>4577.53252957124</v>
      </c>
      <c r="M1145">
        <v>98.2181130332214</v>
      </c>
      <c r="N1145">
        <v>46.8159163307017</v>
      </c>
      <c r="O1145">
        <v>46.5864768269588</v>
      </c>
      <c r="P1145">
        <v>-0.433124828677764</v>
      </c>
      <c r="Q1145">
        <v>0.178246954467646</v>
      </c>
      <c r="R1145">
        <v>0.836809027112507</v>
      </c>
      <c r="S1145" t="s">
        <v>2829</v>
      </c>
      <c r="T1145" t="s">
        <v>3344</v>
      </c>
      <c r="U1145" t="s">
        <v>3344</v>
      </c>
      <c r="V1145" t="s">
        <v>3344</v>
      </c>
      <c r="W1145" t="s">
        <v>4487</v>
      </c>
      <c r="X1145">
        <v>1</v>
      </c>
      <c r="Y1145" t="s">
        <v>6144</v>
      </c>
      <c r="Z1145" t="s">
        <v>7802</v>
      </c>
      <c r="AA1145">
        <v>0.4418024581911053</v>
      </c>
      <c r="AB1145">
        <f>HYPERLINK("Melting_Curves/meltCurve_P32131_hemN.pdf", "Melting_Curves/meltCurve_P32131_hemN.pdf")</f>
        <v>0</v>
      </c>
    </row>
    <row r="1146" spans="1:28">
      <c r="A1146" t="s">
        <v>1172</v>
      </c>
      <c r="B1146">
        <v>0.999998419929286</v>
      </c>
      <c r="C1146">
        <v>1.22536834666488</v>
      </c>
      <c r="D1146">
        <v>1.17662269164216</v>
      </c>
      <c r="E1146">
        <v>0.475686640114622</v>
      </c>
      <c r="F1146">
        <v>0.112824434178067</v>
      </c>
      <c r="G1146">
        <v>0.0647139606889363</v>
      </c>
      <c r="H1146">
        <v>0.0352521293580919</v>
      </c>
      <c r="I1146">
        <v>0.0251373323451994</v>
      </c>
      <c r="J1146">
        <v>0.021267603648331</v>
      </c>
      <c r="K1146">
        <v>0.0204927903392496</v>
      </c>
      <c r="L1146">
        <v>5967.07481103059</v>
      </c>
      <c r="M1146">
        <v>128.249063331789</v>
      </c>
      <c r="N1146">
        <v>46.5627603567347</v>
      </c>
      <c r="O1146">
        <v>46.5159194437684</v>
      </c>
      <c r="P1146">
        <v>-0.6571565912595581</v>
      </c>
      <c r="Q1146">
        <v>0.0465973770057568</v>
      </c>
      <c r="R1146">
        <v>0.963132925327018</v>
      </c>
      <c r="S1146" t="s">
        <v>2830</v>
      </c>
      <c r="T1146" t="s">
        <v>3344</v>
      </c>
      <c r="U1146" t="s">
        <v>3344</v>
      </c>
      <c r="V1146" t="s">
        <v>3344</v>
      </c>
      <c r="W1146" t="s">
        <v>4488</v>
      </c>
      <c r="X1146">
        <v>10</v>
      </c>
      <c r="Y1146" t="s">
        <v>6145</v>
      </c>
      <c r="Z1146" t="s">
        <v>7803</v>
      </c>
      <c r="AA1146">
        <v>0.3496698670867154</v>
      </c>
      <c r="AB1146">
        <f>HYPERLINK("Melting_Curves/meltCurve_P32132_typA.pdf", "Melting_Curves/meltCurve_P32132_typA.pdf")</f>
        <v>0</v>
      </c>
    </row>
    <row r="1147" spans="1:28">
      <c r="A1147" t="s">
        <v>1173</v>
      </c>
      <c r="B1147">
        <v>0.999998419929286</v>
      </c>
      <c r="C1147">
        <v>1.00795656533093</v>
      </c>
      <c r="D1147">
        <v>1.09089984919202</v>
      </c>
      <c r="E1147">
        <v>1.16692461511226</v>
      </c>
      <c r="F1147">
        <v>0.840624511202398</v>
      </c>
      <c r="G1147">
        <v>0.424825366527528</v>
      </c>
      <c r="H1147">
        <v>0.230341849318355</v>
      </c>
      <c r="I1147">
        <v>0.122378770100495</v>
      </c>
      <c r="J1147">
        <v>0.0853963329875715</v>
      </c>
      <c r="K1147">
        <v>0.06812213894366501</v>
      </c>
      <c r="L1147">
        <v>1613.66845656808</v>
      </c>
      <c r="M1147">
        <v>30.4605133730151</v>
      </c>
      <c r="N1147">
        <v>53.3535714037792</v>
      </c>
      <c r="O1147">
        <v>52.7489924553093</v>
      </c>
      <c r="P1147">
        <v>-0.130360697504408</v>
      </c>
      <c r="Q1147">
        <v>0.0970141334418132</v>
      </c>
      <c r="R1147">
        <v>0.975604731129787</v>
      </c>
      <c r="S1147" t="s">
        <v>2831</v>
      </c>
      <c r="T1147" t="s">
        <v>3344</v>
      </c>
      <c r="U1147" t="s">
        <v>3344</v>
      </c>
      <c r="V1147" t="s">
        <v>3344</v>
      </c>
      <c r="W1147" t="s">
        <v>4489</v>
      </c>
      <c r="X1147">
        <v>5</v>
      </c>
      <c r="Y1147" t="s">
        <v>6146</v>
      </c>
      <c r="Z1147" t="s">
        <v>7804</v>
      </c>
      <c r="AA1147">
        <v>0.5834616577246048</v>
      </c>
      <c r="AB1147">
        <f>HYPERLINK("Melting_Curves/meltCurve_P32157_yiiM.pdf", "Melting_Curves/meltCurve_P32157_yiiM.pdf")</f>
        <v>0</v>
      </c>
    </row>
    <row r="1148" spans="1:28">
      <c r="A1148" t="s">
        <v>1174</v>
      </c>
      <c r="B1148">
        <v>0.999998419929286</v>
      </c>
      <c r="C1148">
        <v>1.15655524471156</v>
      </c>
      <c r="D1148">
        <v>0.908216205539603</v>
      </c>
      <c r="E1148">
        <v>0.992595519368219</v>
      </c>
      <c r="F1148">
        <v>1.04062985948645</v>
      </c>
      <c r="G1148">
        <v>1.01898930319176</v>
      </c>
      <c r="H1148">
        <v>0.459044161771928</v>
      </c>
      <c r="I1148">
        <v>0.181529070396746</v>
      </c>
      <c r="J1148">
        <v>0.122729133597468</v>
      </c>
      <c r="K1148">
        <v>0.125937083412029</v>
      </c>
      <c r="L1148">
        <v>5186.86665431007</v>
      </c>
      <c r="M1148">
        <v>90.89495422756779</v>
      </c>
      <c r="N1148">
        <v>57.2756188692797</v>
      </c>
      <c r="O1148">
        <v>57.0368018444124</v>
      </c>
      <c r="P1148">
        <v>-0.341672834052536</v>
      </c>
      <c r="Q1148">
        <v>0.142397981000154</v>
      </c>
      <c r="R1148">
        <v>0.977276219583227</v>
      </c>
      <c r="S1148" t="s">
        <v>2832</v>
      </c>
      <c r="T1148" t="s">
        <v>3344</v>
      </c>
      <c r="U1148" t="s">
        <v>3344</v>
      </c>
      <c r="V1148" t="s">
        <v>3344</v>
      </c>
      <c r="W1148" t="s">
        <v>4490</v>
      </c>
      <c r="X1148">
        <v>6</v>
      </c>
      <c r="Y1148" t="s">
        <v>6147</v>
      </c>
      <c r="Z1148" t="s">
        <v>7805</v>
      </c>
      <c r="AA1148">
        <v>0.716624472763058</v>
      </c>
      <c r="AB1148">
        <f>HYPERLINK("Melting_Curves/meltCurve_P32160_yiiQ.pdf", "Melting_Curves/meltCurve_P32160_yiiQ.pdf")</f>
        <v>0</v>
      </c>
    </row>
    <row r="1149" spans="1:28">
      <c r="A1149" t="s">
        <v>1175</v>
      </c>
      <c r="B1149">
        <v>0.999998419929286</v>
      </c>
      <c r="C1149">
        <v>0.829395394684552</v>
      </c>
      <c r="D1149">
        <v>0.658764986523937</v>
      </c>
      <c r="E1149">
        <v>0.903572407596305</v>
      </c>
      <c r="F1149">
        <v>0.888080928960279</v>
      </c>
      <c r="G1149">
        <v>0.927943129784115</v>
      </c>
      <c r="H1149">
        <v>0.79537935578495</v>
      </c>
      <c r="I1149">
        <v>1.15234135077822</v>
      </c>
      <c r="J1149">
        <v>0.783251260032639</v>
      </c>
      <c r="K1149">
        <v>0.929519547696414</v>
      </c>
      <c r="L1149">
        <v>9493.647408070739</v>
      </c>
      <c r="M1149">
        <v>250</v>
      </c>
      <c r="O1149">
        <v>37.9721441029087</v>
      </c>
      <c r="P1149">
        <v>-0.206977639903173</v>
      </c>
      <c r="Q1149">
        <v>0.874249792503637</v>
      </c>
      <c r="R1149">
        <v>0.0881186454800168</v>
      </c>
      <c r="S1149" t="s">
        <v>2833</v>
      </c>
      <c r="T1149" t="s">
        <v>3344</v>
      </c>
      <c r="U1149" t="s">
        <v>3344</v>
      </c>
      <c r="V1149" t="s">
        <v>3344</v>
      </c>
      <c r="W1149" t="s">
        <v>4491</v>
      </c>
      <c r="X1149">
        <v>2</v>
      </c>
      <c r="Y1149" t="s">
        <v>6148</v>
      </c>
      <c r="Z1149" t="s">
        <v>7806</v>
      </c>
      <c r="AA1149">
        <v>0.8783441623568223</v>
      </c>
      <c r="AB1149">
        <f>HYPERLINK("Melting_Curves/meltCurve_P32162_yiiS.pdf", "Melting_Curves/meltCurve_P32162_yiiS.pdf")</f>
        <v>0</v>
      </c>
    </row>
    <row r="1150" spans="1:28">
      <c r="A1150" t="s">
        <v>1176</v>
      </c>
      <c r="B1150">
        <v>0.999998419929286</v>
      </c>
      <c r="C1150">
        <v>1.67757997400993</v>
      </c>
      <c r="D1150">
        <v>1.45451064996001</v>
      </c>
      <c r="E1150">
        <v>1.2967558088013</v>
      </c>
      <c r="F1150">
        <v>1.30383070225857</v>
      </c>
      <c r="G1150">
        <v>1.11376223636326</v>
      </c>
      <c r="H1150">
        <v>0.98231591065766</v>
      </c>
      <c r="I1150">
        <v>0.9938985320379859</v>
      </c>
      <c r="J1150">
        <v>1.09029478571039</v>
      </c>
      <c r="K1150">
        <v>1.21706426680529</v>
      </c>
      <c r="L1150">
        <v>1e-05</v>
      </c>
      <c r="M1150">
        <v>0.0236390939750243</v>
      </c>
      <c r="Q1150">
        <v>1.42102814371726</v>
      </c>
      <c r="R1150">
        <v>-1.73778140766245e-08</v>
      </c>
      <c r="S1150" t="s">
        <v>2834</v>
      </c>
      <c r="T1150" t="s">
        <v>3344</v>
      </c>
      <c r="U1150" t="s">
        <v>3344</v>
      </c>
      <c r="V1150" t="s">
        <v>3344</v>
      </c>
      <c r="W1150" t="s">
        <v>4492</v>
      </c>
      <c r="X1150">
        <v>22</v>
      </c>
      <c r="Y1150" t="s">
        <v>6149</v>
      </c>
      <c r="Z1150" t="s">
        <v>7807</v>
      </c>
      <c r="AA1150">
        <v>1.213002116131196</v>
      </c>
      <c r="AB1150">
        <f>HYPERLINK("Melting_Curves/meltCurve_P32176_fdoG.pdf", "Melting_Curves/meltCurve_P32176_fdoG.pdf")</f>
        <v>0</v>
      </c>
    </row>
    <row r="1151" spans="1:28">
      <c r="A1151" t="s">
        <v>1177</v>
      </c>
      <c r="B1151">
        <v>0.999998419929286</v>
      </c>
      <c r="C1151">
        <v>1.14940764169372</v>
      </c>
      <c r="D1151">
        <v>0.958188619637193</v>
      </c>
      <c r="E1151">
        <v>1.07903120015683</v>
      </c>
      <c r="F1151">
        <v>1.24006977216331</v>
      </c>
      <c r="G1151">
        <v>1.29490150859338</v>
      </c>
      <c r="H1151">
        <v>1.31165783313078</v>
      </c>
      <c r="I1151">
        <v>1.06666338529375</v>
      </c>
      <c r="J1151">
        <v>0.819435844454437</v>
      </c>
      <c r="K1151">
        <v>0.714956566022713</v>
      </c>
      <c r="L1151">
        <v>15000</v>
      </c>
      <c r="M1151">
        <v>234.556330412515</v>
      </c>
      <c r="O1151">
        <v>63.9458875106339</v>
      </c>
      <c r="P1151">
        <v>-0.261395307851906</v>
      </c>
      <c r="Q1151">
        <v>0.714948620230901</v>
      </c>
      <c r="R1151">
        <v>0.210270261401349</v>
      </c>
      <c r="S1151" t="s">
        <v>2835</v>
      </c>
      <c r="T1151" t="s">
        <v>3344</v>
      </c>
      <c r="U1151" t="s">
        <v>3344</v>
      </c>
      <c r="V1151" t="s">
        <v>3344</v>
      </c>
      <c r="W1151" t="s">
        <v>4493</v>
      </c>
      <c r="X1151">
        <v>2</v>
      </c>
      <c r="Y1151" t="s">
        <v>6150</v>
      </c>
      <c r="Z1151" t="s">
        <v>7808</v>
      </c>
      <c r="AA1151">
        <v>0.9710610239438439</v>
      </c>
      <c r="AB1151">
        <f>HYPERLINK("Melting_Curves/meltCurve_P32177_fdhD.pdf", "Melting_Curves/meltCurve_P32177_fdhD.pdf")</f>
        <v>0</v>
      </c>
    </row>
    <row r="1152" spans="1:28">
      <c r="A1152" t="s">
        <v>1178</v>
      </c>
      <c r="B1152">
        <v>0.999998419929286</v>
      </c>
      <c r="C1152">
        <v>0.770223602827308</v>
      </c>
      <c r="D1152">
        <v>1.61498320906901</v>
      </c>
      <c r="E1152">
        <v>0.670021938725107</v>
      </c>
      <c r="F1152">
        <v>0.81339365930615</v>
      </c>
      <c r="G1152">
        <v>0.481566441016475</v>
      </c>
      <c r="H1152">
        <v>0.361609734311759</v>
      </c>
      <c r="I1152">
        <v>0.574231401833449</v>
      </c>
      <c r="J1152">
        <v>1.63774744210621</v>
      </c>
      <c r="K1152">
        <v>0.674372605393267</v>
      </c>
      <c r="L1152">
        <v>11229.3538136324</v>
      </c>
      <c r="M1152">
        <v>250</v>
      </c>
      <c r="O1152">
        <v>44.9145405082652</v>
      </c>
      <c r="P1152">
        <v>-0.355251959833389</v>
      </c>
      <c r="Q1152">
        <v>0.744704341776215</v>
      </c>
      <c r="R1152">
        <v>0.148522046330112</v>
      </c>
      <c r="S1152" t="s">
        <v>2836</v>
      </c>
      <c r="T1152" t="s">
        <v>3344</v>
      </c>
      <c r="U1152" t="s">
        <v>3344</v>
      </c>
      <c r="V1152" t="s">
        <v>3344</v>
      </c>
      <c r="W1152" t="s">
        <v>4494</v>
      </c>
      <c r="X1152">
        <v>1</v>
      </c>
      <c r="Y1152" t="s">
        <v>6151</v>
      </c>
      <c r="Z1152" t="s">
        <v>7809</v>
      </c>
      <c r="AA1152">
        <v>0.8121005245319722</v>
      </c>
      <c r="AB1152">
        <f>HYPERLINK("Melting_Curves/meltCurve_P32662_gph.pdf", "Melting_Curves/meltCurve_P32662_gph.pdf")</f>
        <v>0</v>
      </c>
    </row>
    <row r="1153" spans="1:28">
      <c r="A1153" t="s">
        <v>1179</v>
      </c>
      <c r="B1153">
        <v>0.999998419929286</v>
      </c>
      <c r="C1153">
        <v>0.917608547250631</v>
      </c>
      <c r="D1153">
        <v>0.155627034199861</v>
      </c>
      <c r="E1153">
        <v>0.0970713764533115</v>
      </c>
      <c r="F1153">
        <v>0.780660496499052</v>
      </c>
      <c r="G1153">
        <v>0.868597810623246</v>
      </c>
      <c r="H1153">
        <v>0.0648401283609702</v>
      </c>
      <c r="I1153">
        <v>0.0545992921955004</v>
      </c>
      <c r="J1153">
        <v>0.683408382981271</v>
      </c>
      <c r="K1153">
        <v>0.894881851476089</v>
      </c>
      <c r="L1153">
        <v>10044.2756311241</v>
      </c>
      <c r="M1153">
        <v>250</v>
      </c>
      <c r="N1153">
        <v>40.5504581228728</v>
      </c>
      <c r="O1153">
        <v>40.1745302718587</v>
      </c>
      <c r="P1153">
        <v>-0.855702579916876</v>
      </c>
      <c r="Q1153">
        <v>0.449960797209736</v>
      </c>
      <c r="R1153">
        <v>0.284024873497421</v>
      </c>
      <c r="S1153" t="s">
        <v>2837</v>
      </c>
      <c r="T1153" t="s">
        <v>3344</v>
      </c>
      <c r="U1153" t="s">
        <v>3344</v>
      </c>
      <c r="V1153" t="s">
        <v>3344</v>
      </c>
      <c r="W1153" t="s">
        <v>4495</v>
      </c>
      <c r="X1153">
        <v>2</v>
      </c>
      <c r="Y1153" t="s">
        <v>6152</v>
      </c>
      <c r="Z1153" t="s">
        <v>7810</v>
      </c>
      <c r="AA1153">
        <v>0.508250611904643</v>
      </c>
      <c r="AB1153">
        <f>HYPERLINK("Melting_Curves/meltCurve_P32664_nudC.pdf", "Melting_Curves/meltCurve_P32664_nudC.pdf")</f>
        <v>0</v>
      </c>
    </row>
    <row r="1154" spans="1:28">
      <c r="A1154" t="s">
        <v>1180</v>
      </c>
      <c r="B1154">
        <v>0.999998419929286</v>
      </c>
      <c r="C1154">
        <v>1.04580336477083</v>
      </c>
      <c r="D1154">
        <v>0.820443875079559</v>
      </c>
      <c r="E1154">
        <v>0.925925102467313</v>
      </c>
      <c r="F1154">
        <v>0.928247911571519</v>
      </c>
      <c r="G1154">
        <v>0.927688954172158</v>
      </c>
      <c r="H1154">
        <v>0.785273203066309</v>
      </c>
      <c r="I1154">
        <v>0.671196982950705</v>
      </c>
      <c r="J1154">
        <v>0.538628433212866</v>
      </c>
      <c r="K1154">
        <v>0.605392781313572</v>
      </c>
      <c r="L1154">
        <v>415.562832321206</v>
      </c>
      <c r="M1154">
        <v>6.00152840154843</v>
      </c>
      <c r="O1154">
        <v>62.7289154426708</v>
      </c>
      <c r="P1154">
        <v>-0.0239959001892663</v>
      </c>
      <c r="Q1154">
        <v>0</v>
      </c>
      <c r="R1154">
        <v>0.8331799285973071</v>
      </c>
      <c r="S1154" t="s">
        <v>2838</v>
      </c>
      <c r="T1154" t="s">
        <v>3344</v>
      </c>
      <c r="U1154" t="s">
        <v>3344</v>
      </c>
      <c r="V1154" t="s">
        <v>3344</v>
      </c>
      <c r="W1154" t="s">
        <v>4496</v>
      </c>
      <c r="X1154">
        <v>5</v>
      </c>
      <c r="Y1154" t="s">
        <v>6153</v>
      </c>
      <c r="Z1154" t="s">
        <v>7811</v>
      </c>
      <c r="AA1154">
        <v>0.839711298729741</v>
      </c>
      <c r="AB1154">
        <f>HYPERLINK("Melting_Curves/meltCurve_P32669_fsaB.pdf", "Melting_Curves/meltCurve_P32669_fsaB.pdf")</f>
        <v>0</v>
      </c>
    </row>
    <row r="1155" spans="1:28">
      <c r="A1155" t="s">
        <v>1181</v>
      </c>
      <c r="B1155">
        <v>0.999998419929286</v>
      </c>
      <c r="C1155">
        <v>0.887534105713253</v>
      </c>
      <c r="D1155">
        <v>0.799017373259996</v>
      </c>
      <c r="E1155">
        <v>0.399300786383141</v>
      </c>
      <c r="F1155">
        <v>0.17224518367086</v>
      </c>
      <c r="G1155">
        <v>0.0988657542446451</v>
      </c>
      <c r="H1155">
        <v>0.07030757223816721</v>
      </c>
      <c r="I1155">
        <v>0.0348476029870664</v>
      </c>
      <c r="J1155">
        <v>0.0375564478060207</v>
      </c>
      <c r="K1155">
        <v>0.0406217854166428</v>
      </c>
      <c r="L1155">
        <v>873.048745253982</v>
      </c>
      <c r="M1155">
        <v>19.1789425260604</v>
      </c>
      <c r="N1155">
        <v>45.7147809924127</v>
      </c>
      <c r="O1155">
        <v>45.0349748436122</v>
      </c>
      <c r="P1155">
        <v>-0.102318735127414</v>
      </c>
      <c r="Q1155">
        <v>0.0389991031072572</v>
      </c>
      <c r="R1155">
        <v>0.996537220912893</v>
      </c>
      <c r="S1155" t="s">
        <v>2839</v>
      </c>
      <c r="T1155" t="s">
        <v>3344</v>
      </c>
      <c r="U1155" t="s">
        <v>3344</v>
      </c>
      <c r="V1155" t="s">
        <v>3344</v>
      </c>
      <c r="W1155" t="s">
        <v>4497</v>
      </c>
      <c r="X1155">
        <v>1</v>
      </c>
      <c r="Y1155" t="s">
        <v>6154</v>
      </c>
      <c r="Z1155" t="s">
        <v>7812</v>
      </c>
      <c r="AA1155">
        <v>0.3256769341747606</v>
      </c>
      <c r="AB1155">
        <f>HYPERLINK("Melting_Curves/meltCurve_P32680_yjaG.pdf", "Melting_Curves/meltCurve_P32680_yjaG.pdf")</f>
        <v>0</v>
      </c>
    </row>
    <row r="1156" spans="1:28">
      <c r="A1156" t="s">
        <v>1182</v>
      </c>
      <c r="B1156">
        <v>0.999998419929286</v>
      </c>
      <c r="C1156">
        <v>0.874763323785437</v>
      </c>
      <c r="D1156">
        <v>0.701076220973762</v>
      </c>
      <c r="E1156">
        <v>0.317180544319991</v>
      </c>
      <c r="F1156">
        <v>0.214105961576311</v>
      </c>
      <c r="G1156">
        <v>0.114252458522998</v>
      </c>
      <c r="H1156">
        <v>0.103653891602547</v>
      </c>
      <c r="I1156">
        <v>0.069821483218426</v>
      </c>
      <c r="J1156">
        <v>0.0712672416540559</v>
      </c>
      <c r="K1156">
        <v>0.0565159237714736</v>
      </c>
      <c r="L1156">
        <v>799.783301999865</v>
      </c>
      <c r="M1156">
        <v>17.9795584870626</v>
      </c>
      <c r="N1156">
        <v>44.8697938316534</v>
      </c>
      <c r="O1156">
        <v>43.9435782644932</v>
      </c>
      <c r="P1156">
        <v>-0.0949480070446536</v>
      </c>
      <c r="Q1156">
        <v>0.07180158196568941</v>
      </c>
      <c r="R1156">
        <v>0.995691425401563</v>
      </c>
      <c r="S1156" t="s">
        <v>2840</v>
      </c>
      <c r="T1156" t="s">
        <v>3344</v>
      </c>
      <c r="U1156" t="s">
        <v>3344</v>
      </c>
      <c r="V1156" t="s">
        <v>3344</v>
      </c>
      <c r="W1156" t="s">
        <v>4498</v>
      </c>
      <c r="X1156">
        <v>2</v>
      </c>
      <c r="Y1156" t="s">
        <v>6155</v>
      </c>
      <c r="Z1156" t="s">
        <v>7813</v>
      </c>
      <c r="AA1156">
        <v>0.3187555919998566</v>
      </c>
      <c r="AB1156">
        <f>HYPERLINK("Melting_Curves/meltCurve_P32684_rluF.pdf", "Melting_Curves/meltCurve_P32684_rluF.pdf")</f>
        <v>0</v>
      </c>
    </row>
    <row r="1157" spans="1:28">
      <c r="A1157" t="s">
        <v>1183</v>
      </c>
      <c r="B1157">
        <v>0.999998419929286</v>
      </c>
      <c r="C1157">
        <v>0.855380615254225</v>
      </c>
      <c r="D1157">
        <v>0.610501332000569</v>
      </c>
      <c r="E1157">
        <v>0.448605138091882</v>
      </c>
      <c r="F1157">
        <v>0.5121318239950861</v>
      </c>
      <c r="G1157">
        <v>0.395966733239445</v>
      </c>
      <c r="H1157">
        <v>0.256181696859393</v>
      </c>
      <c r="I1157">
        <v>0.229445525069165</v>
      </c>
      <c r="J1157">
        <v>0.276405352124113</v>
      </c>
      <c r="K1157">
        <v>0.275964253245807</v>
      </c>
      <c r="L1157">
        <v>519.912395907874</v>
      </c>
      <c r="M1157">
        <v>11.8313966958804</v>
      </c>
      <c r="N1157">
        <v>46.8307107858314</v>
      </c>
      <c r="O1157">
        <v>42.7444532853129</v>
      </c>
      <c r="P1157">
        <v>-0.0512952298528021</v>
      </c>
      <c r="Q1157">
        <v>0.25891118819822</v>
      </c>
      <c r="R1157">
        <v>0.94257347628994</v>
      </c>
      <c r="S1157" t="s">
        <v>2841</v>
      </c>
      <c r="T1157" t="s">
        <v>3344</v>
      </c>
      <c r="U1157" t="s">
        <v>3344</v>
      </c>
      <c r="V1157" t="s">
        <v>3344</v>
      </c>
      <c r="W1157" t="s">
        <v>4499</v>
      </c>
      <c r="X1157">
        <v>2</v>
      </c>
      <c r="Y1157" t="s">
        <v>6156</v>
      </c>
      <c r="Z1157" t="s">
        <v>7814</v>
      </c>
      <c r="AA1157">
        <v>0.4599552289778464</v>
      </c>
      <c r="AB1157">
        <f>HYPERLINK("Melting_Curves/meltCurve_P32695_dusA.pdf", "Melting_Curves/meltCurve_P32695_dusA.pdf")</f>
        <v>0</v>
      </c>
    </row>
    <row r="1158" spans="1:28">
      <c r="A1158" t="s">
        <v>1184</v>
      </c>
      <c r="B1158">
        <v>0.999998419929286</v>
      </c>
      <c r="C1158">
        <v>1.04398343681256</v>
      </c>
      <c r="D1158">
        <v>0.795373706510183</v>
      </c>
      <c r="E1158">
        <v>0.528956531309264</v>
      </c>
      <c r="F1158">
        <v>0.273008684453358</v>
      </c>
      <c r="G1158">
        <v>0.276422648929441</v>
      </c>
      <c r="H1158">
        <v>0.133093843379084</v>
      </c>
      <c r="I1158">
        <v>0.0688821023869078</v>
      </c>
      <c r="J1158">
        <v>0.0488996542926397</v>
      </c>
      <c r="K1158">
        <v>0.0387622924193986</v>
      </c>
      <c r="L1158">
        <v>721.0499778632141</v>
      </c>
      <c r="M1158">
        <v>15.3643676172533</v>
      </c>
      <c r="N1158">
        <v>47.3166819272442</v>
      </c>
      <c r="O1158">
        <v>46.1565741173136</v>
      </c>
      <c r="P1158">
        <v>-0.0783163149299316</v>
      </c>
      <c r="Q1158">
        <v>0.0589970076155686</v>
      </c>
      <c r="R1158">
        <v>0.981658986320068</v>
      </c>
      <c r="S1158" t="s">
        <v>2842</v>
      </c>
      <c r="T1158" t="s">
        <v>3344</v>
      </c>
      <c r="U1158" t="s">
        <v>3344</v>
      </c>
      <c r="V1158" t="s">
        <v>3344</v>
      </c>
      <c r="W1158" t="s">
        <v>4500</v>
      </c>
      <c r="X1158">
        <v>2</v>
      </c>
      <c r="Y1158" t="s">
        <v>6157</v>
      </c>
      <c r="Z1158" t="s">
        <v>7815</v>
      </c>
      <c r="AA1158">
        <v>0.3907858025869001</v>
      </c>
      <c r="AB1158">
        <f>HYPERLINK("Melting_Curves/meltCurve_P32705_actP.pdf", "Melting_Curves/meltCurve_P32705_actP.pdf")</f>
        <v>0</v>
      </c>
    </row>
    <row r="1159" spans="1:28">
      <c r="A1159" t="s">
        <v>1185</v>
      </c>
      <c r="B1159">
        <v>0.999998419929286</v>
      </c>
      <c r="C1159">
        <v>0.469504319486076</v>
      </c>
      <c r="D1159">
        <v>0.554964844376068</v>
      </c>
      <c r="E1159">
        <v>0.567702124515667</v>
      </c>
      <c r="F1159">
        <v>0.720014829650926</v>
      </c>
      <c r="G1159">
        <v>0.775385683045491</v>
      </c>
      <c r="H1159">
        <v>0.582621761952585</v>
      </c>
      <c r="I1159">
        <v>0.537875083259848</v>
      </c>
      <c r="J1159">
        <v>0.401889211062623</v>
      </c>
      <c r="K1159">
        <v>0.209350245781296</v>
      </c>
      <c r="L1159">
        <v>132.149450513328</v>
      </c>
      <c r="M1159">
        <v>2.27535078984229</v>
      </c>
      <c r="N1159">
        <v>58.0786944656999</v>
      </c>
      <c r="O1159">
        <v>37.2188004056417</v>
      </c>
      <c r="P1159">
        <v>-0.0162823840794902</v>
      </c>
      <c r="Q1159">
        <v>0</v>
      </c>
      <c r="R1159">
        <v>0.354113044338239</v>
      </c>
      <c r="S1159" t="s">
        <v>2843</v>
      </c>
      <c r="T1159" t="s">
        <v>3344</v>
      </c>
      <c r="U1159" t="s">
        <v>3344</v>
      </c>
      <c r="V1159" t="s">
        <v>3344</v>
      </c>
      <c r="W1159" t="s">
        <v>4501</v>
      </c>
      <c r="X1159">
        <v>1</v>
      </c>
      <c r="Y1159" t="s">
        <v>6158</v>
      </c>
      <c r="Z1159" t="s">
        <v>7816</v>
      </c>
      <c r="AA1159">
        <v>0.5796832691412673</v>
      </c>
      <c r="AB1159">
        <f>HYPERLINK("Melting_Curves/meltCurve_P32715_mdtO.pdf", "Melting_Curves/meltCurve_P32715_mdtO.pdf")</f>
        <v>0</v>
      </c>
    </row>
    <row r="1160" spans="1:28">
      <c r="A1160" t="s">
        <v>1186</v>
      </c>
      <c r="B1160">
        <v>0.999998419929286</v>
      </c>
      <c r="C1160">
        <v>1.27944005822968</v>
      </c>
      <c r="D1160">
        <v>0.611733462258191</v>
      </c>
      <c r="E1160">
        <v>1.65889840883866</v>
      </c>
      <c r="F1160">
        <v>1.4783968045717</v>
      </c>
      <c r="G1160">
        <v>2.3034900352222</v>
      </c>
      <c r="H1160">
        <v>1.90327744784459</v>
      </c>
      <c r="I1160">
        <v>1.1994992081491</v>
      </c>
      <c r="J1160">
        <v>0.53284838441586</v>
      </c>
      <c r="K1160">
        <v>0.848002451836976</v>
      </c>
      <c r="L1160">
        <v>1956.0568270405</v>
      </c>
      <c r="M1160">
        <v>30.2705643355689</v>
      </c>
      <c r="O1160">
        <v>64.3390571404869</v>
      </c>
      <c r="P1160">
        <v>-0.0316643209183591</v>
      </c>
      <c r="Q1160">
        <v>0.7307959348219</v>
      </c>
      <c r="R1160">
        <v>-0.243355017516712</v>
      </c>
      <c r="S1160" t="s">
        <v>2844</v>
      </c>
      <c r="T1160" t="s">
        <v>3344</v>
      </c>
      <c r="U1160" t="s">
        <v>3344</v>
      </c>
      <c r="V1160" t="s">
        <v>3344</v>
      </c>
      <c r="W1160" t="s">
        <v>4502</v>
      </c>
      <c r="X1160">
        <v>2</v>
      </c>
      <c r="Y1160" t="s">
        <v>6159</v>
      </c>
      <c r="Z1160" t="s">
        <v>7817</v>
      </c>
      <c r="AA1160">
        <v>0.9742051587910422</v>
      </c>
      <c r="AB1160">
        <f>HYPERLINK("Melting_Curves/meltCurve_P33012_sbmC.pdf", "Melting_Curves/meltCurve_P33012_sbmC.pdf")</f>
        <v>0</v>
      </c>
    </row>
    <row r="1161" spans="1:28">
      <c r="A1161" t="s">
        <v>1187</v>
      </c>
      <c r="B1161">
        <v>0.999998419929286</v>
      </c>
      <c r="C1161">
        <v>0.949996585931659</v>
      </c>
      <c r="D1161">
        <v>0.72412128415949</v>
      </c>
      <c r="E1161">
        <v>0.376224804770593</v>
      </c>
      <c r="F1161">
        <v>0.176560241523011</v>
      </c>
      <c r="G1161">
        <v>0.054750516164224</v>
      </c>
      <c r="H1161">
        <v>0.09164668390680129</v>
      </c>
      <c r="I1161">
        <v>0.07674061902999731</v>
      </c>
      <c r="J1161">
        <v>0.0412855679046274</v>
      </c>
      <c r="K1161">
        <v>0</v>
      </c>
      <c r="L1161">
        <v>874.970391412153</v>
      </c>
      <c r="M1161">
        <v>19.387248500415</v>
      </c>
      <c r="N1161">
        <v>45.3360643628078</v>
      </c>
      <c r="O1161">
        <v>44.6592880927558</v>
      </c>
      <c r="P1161">
        <v>-0.103981886563966</v>
      </c>
      <c r="Q1161">
        <v>0.0419298326283983</v>
      </c>
      <c r="R1161">
        <v>0.995953186957337</v>
      </c>
      <c r="S1161" t="s">
        <v>2845</v>
      </c>
      <c r="T1161" t="s">
        <v>3344</v>
      </c>
      <c r="U1161" t="s">
        <v>3344</v>
      </c>
      <c r="V1161" t="s">
        <v>3344</v>
      </c>
      <c r="W1161" t="s">
        <v>4503</v>
      </c>
      <c r="X1161">
        <v>1</v>
      </c>
      <c r="Y1161" t="s">
        <v>6160</v>
      </c>
      <c r="Z1161" t="s">
        <v>7818</v>
      </c>
      <c r="AA1161">
        <v>0.3150261928018019</v>
      </c>
      <c r="AB1161">
        <f>HYPERLINK("Melting_Curves/meltCurve_P33030_yeiR.pdf", "Melting_Curves/meltCurve_P33030_yeiR.pdf")</f>
        <v>0</v>
      </c>
    </row>
    <row r="1162" spans="1:28">
      <c r="A1162" t="s">
        <v>1188</v>
      </c>
      <c r="B1162">
        <v>0.999998419929286</v>
      </c>
      <c r="C1162">
        <v>1.45250247680472</v>
      </c>
      <c r="D1162">
        <v>1.58908567111973</v>
      </c>
      <c r="E1162">
        <v>1.88761943838382</v>
      </c>
      <c r="F1162">
        <v>2.24223231464799</v>
      </c>
      <c r="G1162">
        <v>2.32268403972436</v>
      </c>
      <c r="H1162">
        <v>0.585376549362721</v>
      </c>
      <c r="I1162">
        <v>0.103572937012396</v>
      </c>
      <c r="J1162">
        <v>0.0667676155884309</v>
      </c>
      <c r="K1162">
        <v>0.06288877096606491</v>
      </c>
      <c r="L1162">
        <v>14361.6172166569</v>
      </c>
      <c r="M1162">
        <v>250</v>
      </c>
      <c r="N1162">
        <v>57.4853276901142</v>
      </c>
      <c r="O1162">
        <v>57.4427927319756</v>
      </c>
      <c r="P1162">
        <v>-1.00345169980752</v>
      </c>
      <c r="Q1162">
        <v>0.0777429138798918</v>
      </c>
      <c r="R1162">
        <v>0.355103625253991</v>
      </c>
      <c r="S1162" t="s">
        <v>2846</v>
      </c>
      <c r="T1162" t="s">
        <v>3344</v>
      </c>
      <c r="U1162" t="s">
        <v>3344</v>
      </c>
      <c r="V1162" t="s">
        <v>3344</v>
      </c>
      <c r="W1162" t="s">
        <v>4504</v>
      </c>
      <c r="X1162">
        <v>16</v>
      </c>
      <c r="Y1162" t="s">
        <v>6161</v>
      </c>
      <c r="Z1162" t="s">
        <v>7819</v>
      </c>
      <c r="AA1162">
        <v>0.7063992536261724</v>
      </c>
      <c r="AB1162">
        <f>HYPERLINK("Melting_Curves/meltCurve_P33136_mdoG.pdf", "Melting_Curves/meltCurve_P33136_mdoG.pdf")</f>
        <v>0</v>
      </c>
    </row>
    <row r="1163" spans="1:28">
      <c r="A1163" t="s">
        <v>1189</v>
      </c>
      <c r="B1163">
        <v>0.999998419929286</v>
      </c>
      <c r="C1163">
        <v>1.25354956979183</v>
      </c>
      <c r="D1163">
        <v>1.15781126868197</v>
      </c>
      <c r="E1163">
        <v>1.20188616058702</v>
      </c>
      <c r="F1163">
        <v>0.985998375113991</v>
      </c>
      <c r="G1163">
        <v>0.952089726362792</v>
      </c>
      <c r="H1163">
        <v>0.179775557217459</v>
      </c>
      <c r="I1163">
        <v>0.0463964169744847</v>
      </c>
      <c r="J1163">
        <v>0.0308403015181319</v>
      </c>
      <c r="K1163">
        <v>0.026343830092713</v>
      </c>
      <c r="L1163">
        <v>3996.08613104849</v>
      </c>
      <c r="M1163">
        <v>71.33804334084461</v>
      </c>
      <c r="N1163">
        <v>56.0705523067794</v>
      </c>
      <c r="O1163">
        <v>55.9722313220736</v>
      </c>
      <c r="P1163">
        <v>-0.307985727193596</v>
      </c>
      <c r="Q1163">
        <v>0.0334108685898709</v>
      </c>
      <c r="R1163">
        <v>0.949883153063285</v>
      </c>
      <c r="S1163" t="s">
        <v>2847</v>
      </c>
      <c r="T1163" t="s">
        <v>3344</v>
      </c>
      <c r="U1163" t="s">
        <v>3344</v>
      </c>
      <c r="V1163" t="s">
        <v>3344</v>
      </c>
      <c r="W1163" t="s">
        <v>4505</v>
      </c>
      <c r="X1163">
        <v>18</v>
      </c>
      <c r="Y1163" t="s">
        <v>6162</v>
      </c>
      <c r="Z1163" t="s">
        <v>7820</v>
      </c>
      <c r="AA1163">
        <v>0.6472755609540958</v>
      </c>
      <c r="AB1163">
        <f>HYPERLINK("Melting_Curves/meltCurve_P33195_gcvP.pdf", "Melting_Curves/meltCurve_P33195_gcvP.pdf")</f>
        <v>0</v>
      </c>
    </row>
    <row r="1164" spans="1:28">
      <c r="A1164" t="s">
        <v>1190</v>
      </c>
      <c r="B1164">
        <v>0.999998419929286</v>
      </c>
      <c r="C1164">
        <v>0.758580213556302</v>
      </c>
      <c r="D1164">
        <v>0.649166037644198</v>
      </c>
      <c r="E1164">
        <v>0.509401794377126</v>
      </c>
      <c r="F1164">
        <v>0.305982662225487</v>
      </c>
      <c r="G1164">
        <v>0.204942801383259</v>
      </c>
      <c r="H1164">
        <v>0.135458487828839</v>
      </c>
      <c r="I1164">
        <v>0.12284944453674</v>
      </c>
      <c r="J1164">
        <v>0.100953362767528</v>
      </c>
      <c r="K1164">
        <v>0.106125711363923</v>
      </c>
      <c r="L1164">
        <v>480.325682253525</v>
      </c>
      <c r="M1164">
        <v>10.5853533689765</v>
      </c>
      <c r="N1164">
        <v>45.9535893909302</v>
      </c>
      <c r="O1164">
        <v>43.8467935159382</v>
      </c>
      <c r="P1164">
        <v>-0.0566197897220953</v>
      </c>
      <c r="Q1164">
        <v>0.0622416837908349</v>
      </c>
      <c r="R1164">
        <v>0.986134245898577</v>
      </c>
      <c r="S1164" t="s">
        <v>2848</v>
      </c>
      <c r="T1164" t="s">
        <v>3344</v>
      </c>
      <c r="U1164" t="s">
        <v>3344</v>
      </c>
      <c r="V1164" t="s">
        <v>3344</v>
      </c>
      <c r="W1164" t="s">
        <v>4506</v>
      </c>
      <c r="X1164">
        <v>2</v>
      </c>
      <c r="Y1164" t="s">
        <v>6163</v>
      </c>
      <c r="Z1164" t="s">
        <v>7821</v>
      </c>
      <c r="AA1164">
        <v>0.3654213601867832</v>
      </c>
      <c r="AB1164">
        <f>HYPERLINK("Melting_Curves/meltCurve_P33218_yebE.pdf", "Melting_Curves/meltCurve_P33218_yebE.pdf")</f>
        <v>0</v>
      </c>
    </row>
    <row r="1165" spans="1:28">
      <c r="A1165" t="s">
        <v>1191</v>
      </c>
      <c r="B1165">
        <v>0.999998419929286</v>
      </c>
      <c r="C1165">
        <v>0.860821794768043</v>
      </c>
      <c r="D1165">
        <v>0.901345343675522</v>
      </c>
      <c r="E1165">
        <v>0.933564527382827</v>
      </c>
      <c r="F1165">
        <v>0.909996780703778</v>
      </c>
      <c r="G1165">
        <v>1.04220871706217</v>
      </c>
      <c r="H1165">
        <v>0.9734295234254819</v>
      </c>
      <c r="I1165">
        <v>0.991073525640496</v>
      </c>
      <c r="J1165">
        <v>0.9178551028193001</v>
      </c>
      <c r="K1165">
        <v>0.847794617490914</v>
      </c>
      <c r="L1165">
        <v>7.40497733417116</v>
      </c>
      <c r="M1165">
        <v>1e-05</v>
      </c>
      <c r="Q1165">
        <v>0.865712002210678</v>
      </c>
      <c r="R1165">
        <v>0.000261996067775994</v>
      </c>
      <c r="S1165" t="s">
        <v>2849</v>
      </c>
      <c r="T1165" t="s">
        <v>3344</v>
      </c>
      <c r="U1165" t="s">
        <v>3344</v>
      </c>
      <c r="V1165" t="s">
        <v>3344</v>
      </c>
      <c r="W1165" t="s">
        <v>4507</v>
      </c>
      <c r="X1165">
        <v>7</v>
      </c>
      <c r="Y1165" t="s">
        <v>6164</v>
      </c>
      <c r="Z1165" t="s">
        <v>7822</v>
      </c>
      <c r="AA1165">
        <v>0.937766491191676</v>
      </c>
      <c r="AB1165">
        <f>HYPERLINK("Melting_Curves/meltCurve_P33219_yebF.pdf", "Melting_Curves/meltCurve_P33219_yebF.pdf")</f>
        <v>0</v>
      </c>
    </row>
    <row r="1166" spans="1:28">
      <c r="A1166" t="s">
        <v>1192</v>
      </c>
      <c r="B1166">
        <v>0.999998419929286</v>
      </c>
      <c r="C1166">
        <v>1.13944612567769</v>
      </c>
      <c r="D1166">
        <v>1.00660135667612</v>
      </c>
      <c r="E1166">
        <v>0.790878007340472</v>
      </c>
      <c r="F1166">
        <v>0.461764041677584</v>
      </c>
      <c r="G1166">
        <v>0.184510387952392</v>
      </c>
      <c r="H1166">
        <v>0.159561043302041</v>
      </c>
      <c r="I1166">
        <v>0.152094518072428</v>
      </c>
      <c r="J1166">
        <v>0.141473392172528</v>
      </c>
      <c r="K1166">
        <v>0.122150199295968</v>
      </c>
      <c r="L1166">
        <v>1262.05505939387</v>
      </c>
      <c r="M1166">
        <v>25.7540861757977</v>
      </c>
      <c r="N1166">
        <v>49.6006775825953</v>
      </c>
      <c r="O1166">
        <v>48.7114790581264</v>
      </c>
      <c r="P1166">
        <v>-0.114572889798494</v>
      </c>
      <c r="Q1166">
        <v>0.13319414973722</v>
      </c>
      <c r="R1166">
        <v>0.985346253173098</v>
      </c>
      <c r="S1166" t="s">
        <v>2850</v>
      </c>
      <c r="T1166" t="s">
        <v>3344</v>
      </c>
      <c r="U1166" t="s">
        <v>3344</v>
      </c>
      <c r="V1166" t="s">
        <v>3344</v>
      </c>
      <c r="W1166" t="s">
        <v>4508</v>
      </c>
      <c r="X1166">
        <v>1</v>
      </c>
      <c r="Y1166" t="s">
        <v>6165</v>
      </c>
      <c r="Z1166" t="s">
        <v>7823</v>
      </c>
      <c r="AA1166">
        <v>0.4871031262089515</v>
      </c>
      <c r="AB1166">
        <f>HYPERLINK("Melting_Curves/meltCurve_P33221_purT.pdf", "Melting_Curves/meltCurve_P33221_purT.pdf")</f>
        <v>0</v>
      </c>
    </row>
    <row r="1167" spans="1:28">
      <c r="A1167" t="s">
        <v>1193</v>
      </c>
      <c r="B1167">
        <v>0.999998419929286</v>
      </c>
      <c r="C1167">
        <v>1.45257615406673</v>
      </c>
      <c r="D1167">
        <v>1.27996232938998</v>
      </c>
      <c r="E1167">
        <v>1.45901058322587</v>
      </c>
      <c r="F1167">
        <v>1.53585125708128</v>
      </c>
      <c r="G1167">
        <v>1.35322124640764</v>
      </c>
      <c r="H1167">
        <v>0.342116043427844</v>
      </c>
      <c r="I1167">
        <v>0.131871219551164</v>
      </c>
      <c r="J1167">
        <v>0.0982411571062389</v>
      </c>
      <c r="K1167">
        <v>0.101249284328186</v>
      </c>
      <c r="L1167">
        <v>14290.0889821508</v>
      </c>
      <c r="M1167">
        <v>250</v>
      </c>
      <c r="N1167">
        <v>57.2174873305411</v>
      </c>
      <c r="O1167">
        <v>57.1566975222636</v>
      </c>
      <c r="P1167">
        <v>-0.972705593413231</v>
      </c>
      <c r="Q1167">
        <v>0.11045376281164</v>
      </c>
      <c r="R1167">
        <v>0.745221471369634</v>
      </c>
      <c r="S1167" t="s">
        <v>2851</v>
      </c>
      <c r="T1167" t="s">
        <v>3344</v>
      </c>
      <c r="U1167" t="s">
        <v>3344</v>
      </c>
      <c r="V1167" t="s">
        <v>3344</v>
      </c>
      <c r="W1167" t="s">
        <v>4509</v>
      </c>
      <c r="X1167">
        <v>7</v>
      </c>
      <c r="Y1167" t="s">
        <v>6166</v>
      </c>
      <c r="Z1167" t="s">
        <v>7824</v>
      </c>
      <c r="AA1167">
        <v>0.7083286233406031</v>
      </c>
      <c r="AB1167">
        <f>HYPERLINK("Melting_Curves/meltCurve_P33224_aidB.pdf", "Melting_Curves/meltCurve_P33224_aidB.pdf")</f>
        <v>0</v>
      </c>
    </row>
    <row r="1168" spans="1:28">
      <c r="A1168" t="s">
        <v>1194</v>
      </c>
      <c r="B1168">
        <v>0.999998419929286</v>
      </c>
      <c r="C1168">
        <v>0.767556694742082</v>
      </c>
      <c r="D1168">
        <v>0.748587142925405</v>
      </c>
      <c r="E1168">
        <v>0.878721560037055</v>
      </c>
      <c r="F1168">
        <v>1.21444666263016</v>
      </c>
      <c r="G1168">
        <v>1.30239511586933</v>
      </c>
      <c r="H1168">
        <v>1.13480986980689</v>
      </c>
      <c r="I1168">
        <v>0.901182924594769</v>
      </c>
      <c r="J1168">
        <v>0.811877456248399</v>
      </c>
      <c r="K1168">
        <v>0.676429331082861</v>
      </c>
      <c r="L1168">
        <v>2507.33783510244</v>
      </c>
      <c r="M1168">
        <v>39.382360029498</v>
      </c>
      <c r="O1168">
        <v>63.503013205401</v>
      </c>
      <c r="P1168">
        <v>-0.0562003918112703</v>
      </c>
      <c r="Q1168">
        <v>0.637514154257414</v>
      </c>
      <c r="R1168">
        <v>0.281804414539972</v>
      </c>
      <c r="S1168" t="s">
        <v>2852</v>
      </c>
      <c r="T1168" t="s">
        <v>3344</v>
      </c>
      <c r="U1168" t="s">
        <v>3344</v>
      </c>
      <c r="V1168" t="s">
        <v>3344</v>
      </c>
      <c r="W1168" t="s">
        <v>4510</v>
      </c>
      <c r="X1168">
        <v>1</v>
      </c>
      <c r="Y1168" t="s">
        <v>6167</v>
      </c>
      <c r="Z1168" t="s">
        <v>7825</v>
      </c>
      <c r="AA1168">
        <v>0.9583443105387225</v>
      </c>
      <c r="AB1168">
        <f>HYPERLINK("Melting_Curves/meltCurve_P33225_torA.pdf", "Melting_Curves/meltCurve_P33225_torA.pdf")</f>
        <v>0</v>
      </c>
    </row>
    <row r="1169" spans="1:28">
      <c r="A1169" t="s">
        <v>1195</v>
      </c>
      <c r="B1169">
        <v>0.999998419929286</v>
      </c>
      <c r="C1169">
        <v>0.759610776418948</v>
      </c>
      <c r="D1169">
        <v>0.990218918555281</v>
      </c>
      <c r="E1169">
        <v>0.934592576130862</v>
      </c>
      <c r="F1169">
        <v>0.349960558530169</v>
      </c>
      <c r="G1169">
        <v>0.157539948072237</v>
      </c>
      <c r="H1169">
        <v>0.0844197840991593</v>
      </c>
      <c r="I1169">
        <v>0.07084710593467761</v>
      </c>
      <c r="J1169">
        <v>0.0716232865060058</v>
      </c>
      <c r="K1169">
        <v>0.0556983672363811</v>
      </c>
      <c r="L1169">
        <v>2044.80459100305</v>
      </c>
      <c r="M1169">
        <v>41.5490538310143</v>
      </c>
      <c r="N1169">
        <v>49.4231320388637</v>
      </c>
      <c r="O1169">
        <v>49.1006317563516</v>
      </c>
      <c r="P1169">
        <v>-0.194512970367431</v>
      </c>
      <c r="Q1169">
        <v>0.0805380913523778</v>
      </c>
      <c r="R1169">
        <v>0.96138929074657</v>
      </c>
      <c r="S1169" t="s">
        <v>2853</v>
      </c>
      <c r="T1169" t="s">
        <v>3344</v>
      </c>
      <c r="U1169" t="s">
        <v>3344</v>
      </c>
      <c r="V1169" t="s">
        <v>3344</v>
      </c>
      <c r="W1169" t="s">
        <v>4511</v>
      </c>
      <c r="X1169">
        <v>1</v>
      </c>
      <c r="Y1169" t="s">
        <v>6168</v>
      </c>
      <c r="Z1169" t="s">
        <v>7826</v>
      </c>
      <c r="AA1169">
        <v>0.4577854277296813</v>
      </c>
      <c r="AB1169">
        <f>HYPERLINK("Melting_Curves/meltCurve_P33355_yehS.pdf", "Melting_Curves/meltCurve_P33355_yehS.pdf")</f>
        <v>0</v>
      </c>
    </row>
    <row r="1170" spans="1:28">
      <c r="A1170" t="s">
        <v>1196</v>
      </c>
      <c r="B1170">
        <v>0.999998419929286</v>
      </c>
      <c r="C1170">
        <v>0.643420449404539</v>
      </c>
      <c r="D1170">
        <v>0.570695111357341</v>
      </c>
      <c r="E1170">
        <v>0.77791814136244</v>
      </c>
      <c r="F1170">
        <v>0.654720662126563</v>
      </c>
      <c r="G1170">
        <v>0.549597409314822</v>
      </c>
      <c r="H1170">
        <v>0.533072917023891</v>
      </c>
      <c r="I1170">
        <v>0.405557008656624</v>
      </c>
      <c r="J1170">
        <v>0.338181502934302</v>
      </c>
      <c r="K1170">
        <v>0.388675573726748</v>
      </c>
      <c r="L1170">
        <v>181.826330920055</v>
      </c>
      <c r="M1170">
        <v>3.23028447566475</v>
      </c>
      <c r="N1170">
        <v>56.2880242558567</v>
      </c>
      <c r="O1170">
        <v>42.7674872645694</v>
      </c>
      <c r="P1170">
        <v>-0.0193526886686923</v>
      </c>
      <c r="Q1170">
        <v>0</v>
      </c>
      <c r="R1170">
        <v>0.72700127448833</v>
      </c>
      <c r="S1170" t="s">
        <v>2854</v>
      </c>
      <c r="T1170" t="s">
        <v>3344</v>
      </c>
      <c r="U1170" t="s">
        <v>3344</v>
      </c>
      <c r="V1170" t="s">
        <v>3344</v>
      </c>
      <c r="W1170" t="s">
        <v>4512</v>
      </c>
      <c r="X1170">
        <v>1</v>
      </c>
      <c r="Y1170" t="s">
        <v>6169</v>
      </c>
      <c r="Z1170" t="s">
        <v>7827</v>
      </c>
      <c r="AA1170">
        <v>0.5819786253721392</v>
      </c>
      <c r="AB1170">
        <f>HYPERLINK("Melting_Curves/meltCurve_P33360_yehX.pdf", "Melting_Curves/meltCurve_P33360_yehX.pdf")</f>
        <v>0</v>
      </c>
    </row>
    <row r="1171" spans="1:28">
      <c r="A1171" t="s">
        <v>1197</v>
      </c>
      <c r="B1171">
        <v>0.999998419929286</v>
      </c>
      <c r="C1171">
        <v>0.912994345631652</v>
      </c>
      <c r="D1171">
        <v>1.0748586236709</v>
      </c>
      <c r="E1171">
        <v>1.12793935988135</v>
      </c>
      <c r="F1171">
        <v>1.51597469514074</v>
      </c>
      <c r="G1171">
        <v>1.46276540241949</v>
      </c>
      <c r="H1171">
        <v>1.1894948032312</v>
      </c>
      <c r="I1171">
        <v>0.8875257325253439</v>
      </c>
      <c r="J1171">
        <v>1.10218085557805</v>
      </c>
      <c r="K1171">
        <v>1.12667933823994</v>
      </c>
      <c r="L1171">
        <v>1835.37350403292</v>
      </c>
      <c r="M1171">
        <v>41.6393597218613</v>
      </c>
      <c r="O1171">
        <v>43.9765523938505</v>
      </c>
      <c r="P1171">
        <v>0.0487433898202794</v>
      </c>
      <c r="Q1171">
        <v>1.2059169444622</v>
      </c>
      <c r="R1171">
        <v>0.245149367693448</v>
      </c>
      <c r="S1171" t="s">
        <v>2855</v>
      </c>
      <c r="T1171" t="s">
        <v>3344</v>
      </c>
      <c r="U1171" t="s">
        <v>3344</v>
      </c>
      <c r="V1171" t="s">
        <v>3344</v>
      </c>
      <c r="W1171" t="s">
        <v>4513</v>
      </c>
      <c r="X1171">
        <v>7</v>
      </c>
      <c r="Y1171" t="s">
        <v>6170</v>
      </c>
      <c r="Z1171" t="s">
        <v>7828</v>
      </c>
      <c r="AA1171">
        <v>1.15675487018896</v>
      </c>
      <c r="AB1171">
        <f>HYPERLINK("Melting_Curves/meltCurve_P33362_yehZ.pdf", "Melting_Curves/meltCurve_P33362_yehZ.pdf")</f>
        <v>0</v>
      </c>
    </row>
    <row r="1172" spans="1:28">
      <c r="A1172" t="s">
        <v>1198</v>
      </c>
      <c r="B1172">
        <v>0.999998419929286</v>
      </c>
      <c r="C1172">
        <v>1.5874902767702</v>
      </c>
      <c r="D1172">
        <v>1.42075124018117</v>
      </c>
      <c r="E1172">
        <v>1.41744450984445</v>
      </c>
      <c r="F1172">
        <v>0.582352103176578</v>
      </c>
      <c r="G1172">
        <v>0.373890400435477</v>
      </c>
      <c r="H1172">
        <v>0.10889022023889</v>
      </c>
      <c r="I1172">
        <v>0.0798921109867259</v>
      </c>
      <c r="J1172">
        <v>0.0623135048401913</v>
      </c>
      <c r="K1172">
        <v>0.0524472228624002</v>
      </c>
      <c r="L1172">
        <v>1680.9153638296</v>
      </c>
      <c r="M1172">
        <v>32.5999996285165</v>
      </c>
      <c r="N1172">
        <v>51.8374315978345</v>
      </c>
      <c r="O1172">
        <v>51.3689621409964</v>
      </c>
      <c r="P1172">
        <v>-0.146032555237047</v>
      </c>
      <c r="Q1172">
        <v>0.07956983437117029</v>
      </c>
      <c r="R1172">
        <v>0.788931485618994</v>
      </c>
      <c r="S1172" t="s">
        <v>2856</v>
      </c>
      <c r="T1172" t="s">
        <v>3344</v>
      </c>
      <c r="U1172" t="s">
        <v>3344</v>
      </c>
      <c r="V1172" t="s">
        <v>3344</v>
      </c>
      <c r="W1172" t="s">
        <v>4514</v>
      </c>
      <c r="X1172">
        <v>15</v>
      </c>
      <c r="Y1172" t="s">
        <v>6171</v>
      </c>
      <c r="Z1172" t="s">
        <v>7829</v>
      </c>
      <c r="AA1172">
        <v>0.5312551395876125</v>
      </c>
      <c r="AB1172">
        <f>HYPERLINK("Melting_Curves/meltCurve_P33363_bglX.pdf", "Melting_Curves/meltCurve_P33363_bglX.pdf")</f>
        <v>0</v>
      </c>
    </row>
    <row r="1173" spans="1:28">
      <c r="A1173" t="s">
        <v>1199</v>
      </c>
      <c r="B1173">
        <v>0.999998419929286</v>
      </c>
      <c r="C1173">
        <v>0.878243020403545</v>
      </c>
      <c r="D1173">
        <v>0.893853285020042</v>
      </c>
      <c r="E1173">
        <v>0.86522125943684</v>
      </c>
      <c r="F1173">
        <v>0.88025740908892</v>
      </c>
      <c r="G1173">
        <v>0.549191322399234</v>
      </c>
      <c r="H1173">
        <v>0.170915157702364</v>
      </c>
      <c r="I1173">
        <v>0.10244984877295</v>
      </c>
      <c r="J1173">
        <v>0.079348194280998</v>
      </c>
      <c r="K1173">
        <v>0.0743986846700752</v>
      </c>
      <c r="L1173">
        <v>1392.62143040574</v>
      </c>
      <c r="M1173">
        <v>25.903845285118</v>
      </c>
      <c r="N1173">
        <v>54.0164051533699</v>
      </c>
      <c r="O1173">
        <v>53.4438541141026</v>
      </c>
      <c r="P1173">
        <v>-0.114194961411375</v>
      </c>
      <c r="Q1173">
        <v>0.0575997500391653</v>
      </c>
      <c r="R1173">
        <v>0.970580403942184</v>
      </c>
      <c r="S1173" t="s">
        <v>2857</v>
      </c>
      <c r="T1173" t="s">
        <v>3344</v>
      </c>
      <c r="U1173" t="s">
        <v>3344</v>
      </c>
      <c r="V1173" t="s">
        <v>3344</v>
      </c>
      <c r="W1173" t="s">
        <v>4515</v>
      </c>
      <c r="X1173">
        <v>2</v>
      </c>
      <c r="Y1173" t="s">
        <v>6172</v>
      </c>
      <c r="Z1173" t="s">
        <v>7830</v>
      </c>
      <c r="AA1173">
        <v>0.5919110220427238</v>
      </c>
      <c r="AB1173">
        <f>HYPERLINK("Melting_Curves/meltCurve_P33368_yohF.pdf", "Melting_Curves/meltCurve_P33368_yohF.pdf")</f>
        <v>0</v>
      </c>
    </row>
    <row r="1174" spans="1:28">
      <c r="A1174" t="s">
        <v>1200</v>
      </c>
      <c r="B1174">
        <v>0.999998419929286</v>
      </c>
      <c r="C1174">
        <v>1.36586048191063</v>
      </c>
      <c r="D1174">
        <v>1.4215380569962</v>
      </c>
      <c r="E1174">
        <v>1.66797134046896</v>
      </c>
      <c r="F1174">
        <v>1.56701933435549</v>
      </c>
      <c r="G1174">
        <v>1.73153789380222</v>
      </c>
      <c r="H1174">
        <v>1.11628569659894</v>
      </c>
      <c r="I1174">
        <v>0.313807796408039</v>
      </c>
      <c r="J1174">
        <v>0.0948564533594381</v>
      </c>
      <c r="K1174">
        <v>0.0663572723371831</v>
      </c>
      <c r="L1174">
        <v>15000</v>
      </c>
      <c r="M1174">
        <v>246.980888190171</v>
      </c>
      <c r="N1174">
        <v>60.7767112098563</v>
      </c>
      <c r="O1174">
        <v>60.7294621068217</v>
      </c>
      <c r="P1174">
        <v>-0.934772167059493</v>
      </c>
      <c r="Q1174">
        <v>0.0806056088740944</v>
      </c>
      <c r="R1174">
        <v>0.568979752026149</v>
      </c>
      <c r="S1174" t="s">
        <v>2858</v>
      </c>
      <c r="T1174" t="s">
        <v>3344</v>
      </c>
      <c r="U1174" t="s">
        <v>3344</v>
      </c>
      <c r="V1174" t="s">
        <v>3344</v>
      </c>
      <c r="W1174" t="s">
        <v>4516</v>
      </c>
      <c r="X1174">
        <v>17</v>
      </c>
      <c r="Y1174" t="s">
        <v>6173</v>
      </c>
      <c r="Z1174" t="s">
        <v>7831</v>
      </c>
      <c r="AA1174">
        <v>0.8080525317109684</v>
      </c>
      <c r="AB1174">
        <f>HYPERLINK("Melting_Curves/meltCurve_P33570_tktB.pdf", "Melting_Curves/meltCurve_P33570_tktB.pdf")</f>
        <v>0</v>
      </c>
    </row>
    <row r="1175" spans="1:28">
      <c r="A1175" t="s">
        <v>1201</v>
      </c>
      <c r="B1175">
        <v>0.999998419929286</v>
      </c>
      <c r="C1175">
        <v>1.23886356456395</v>
      </c>
      <c r="D1175">
        <v>1.28467455272694</v>
      </c>
      <c r="E1175">
        <v>1.5373464394559</v>
      </c>
      <c r="F1175">
        <v>1.42194177031523</v>
      </c>
      <c r="G1175">
        <v>0.395426690530185</v>
      </c>
      <c r="H1175">
        <v>0.140687088991225</v>
      </c>
      <c r="I1175">
        <v>0.070100291926287</v>
      </c>
      <c r="J1175">
        <v>0.0556744962933433</v>
      </c>
      <c r="K1175">
        <v>0.0485214137768607</v>
      </c>
      <c r="L1175">
        <v>13415.2114209375</v>
      </c>
      <c r="M1175">
        <v>250</v>
      </c>
      <c r="N1175">
        <v>53.6976562712646</v>
      </c>
      <c r="O1175">
        <v>53.6574115310853</v>
      </c>
      <c r="P1175">
        <v>-1.07307427746964</v>
      </c>
      <c r="Q1175">
        <v>0.0787457876436137</v>
      </c>
      <c r="R1175">
        <v>0.829677378756049</v>
      </c>
      <c r="S1175" t="s">
        <v>2859</v>
      </c>
      <c r="T1175" t="s">
        <v>3344</v>
      </c>
      <c r="U1175" t="s">
        <v>3344</v>
      </c>
      <c r="V1175" t="s">
        <v>3344</v>
      </c>
      <c r="W1175" t="s">
        <v>4517</v>
      </c>
      <c r="X1175">
        <v>9</v>
      </c>
      <c r="Y1175" t="s">
        <v>6174</v>
      </c>
      <c r="Z1175" t="s">
        <v>7832</v>
      </c>
      <c r="AA1175">
        <v>0.5904616880433309</v>
      </c>
      <c r="AB1175">
        <f>HYPERLINK("Melting_Curves/meltCurve_P33590_nikA.pdf", "Melting_Curves/meltCurve_P33590_nikA.pdf")</f>
        <v>0</v>
      </c>
    </row>
    <row r="1176" spans="1:28">
      <c r="A1176" t="s">
        <v>1202</v>
      </c>
      <c r="B1176">
        <v>0.999998419929286</v>
      </c>
      <c r="C1176">
        <v>0.950723990741778</v>
      </c>
      <c r="D1176">
        <v>0.479799426995664</v>
      </c>
      <c r="E1176">
        <v>0.297538028342457</v>
      </c>
      <c r="F1176">
        <v>0.217758462460757</v>
      </c>
      <c r="G1176">
        <v>0.248823890339292</v>
      </c>
      <c r="H1176">
        <v>0.170680443211929</v>
      </c>
      <c r="I1176">
        <v>0.132468070421841</v>
      </c>
      <c r="J1176">
        <v>0.0986322578635106</v>
      </c>
      <c r="K1176">
        <v>0.0958599363763893</v>
      </c>
      <c r="L1176">
        <v>1227.29828834219</v>
      </c>
      <c r="M1176">
        <v>28.8095318787204</v>
      </c>
      <c r="N1176">
        <v>43.2027069010955</v>
      </c>
      <c r="O1176">
        <v>42.3967528694704</v>
      </c>
      <c r="P1176">
        <v>-0.14178594132716</v>
      </c>
      <c r="Q1176">
        <v>0.165384916805255</v>
      </c>
      <c r="R1176">
        <v>0.972295393278751</v>
      </c>
      <c r="S1176" t="s">
        <v>2860</v>
      </c>
      <c r="T1176" t="s">
        <v>3344</v>
      </c>
      <c r="U1176" t="s">
        <v>3344</v>
      </c>
      <c r="V1176" t="s">
        <v>3344</v>
      </c>
      <c r="W1176" t="s">
        <v>4518</v>
      </c>
      <c r="X1176">
        <v>5</v>
      </c>
      <c r="Y1176" t="s">
        <v>6175</v>
      </c>
      <c r="Z1176" t="s">
        <v>7833</v>
      </c>
      <c r="AA1176">
        <v>0.3263392908838705</v>
      </c>
      <c r="AB1176">
        <f>HYPERLINK("Melting_Curves/meltCurve_P33599_nuoC.pdf", "Melting_Curves/meltCurve_P33599_nuoC.pdf")</f>
        <v>0</v>
      </c>
    </row>
    <row r="1177" spans="1:28">
      <c r="A1177" t="s">
        <v>1203</v>
      </c>
      <c r="B1177">
        <v>0.999998419929286</v>
      </c>
      <c r="C1177">
        <v>1.00277580192754</v>
      </c>
      <c r="D1177">
        <v>0.5441239247013659</v>
      </c>
      <c r="E1177">
        <v>0.411062133464005</v>
      </c>
      <c r="F1177">
        <v>0.308687171026522</v>
      </c>
      <c r="G1177">
        <v>0.228725190462998</v>
      </c>
      <c r="H1177">
        <v>0.117313086079758</v>
      </c>
      <c r="I1177">
        <v>0.0907584710974183</v>
      </c>
      <c r="J1177">
        <v>0.0860625288731667</v>
      </c>
      <c r="K1177">
        <v>0.0813152672032396</v>
      </c>
      <c r="L1177">
        <v>655.256540662343</v>
      </c>
      <c r="M1177">
        <v>14.6745018206894</v>
      </c>
      <c r="N1177">
        <v>45.3251870456475</v>
      </c>
      <c r="O1177">
        <v>43.848097694227</v>
      </c>
      <c r="P1177">
        <v>-0.07549048714935711</v>
      </c>
      <c r="Q1177">
        <v>0.0978230329069299</v>
      </c>
      <c r="R1177">
        <v>0.959792070704787</v>
      </c>
      <c r="S1177" t="s">
        <v>2861</v>
      </c>
      <c r="T1177" t="s">
        <v>3344</v>
      </c>
      <c r="U1177" t="s">
        <v>3344</v>
      </c>
      <c r="V1177" t="s">
        <v>3344</v>
      </c>
      <c r="W1177" t="s">
        <v>4519</v>
      </c>
      <c r="X1177">
        <v>20</v>
      </c>
      <c r="Y1177" t="s">
        <v>6176</v>
      </c>
      <c r="Z1177" t="s">
        <v>7834</v>
      </c>
      <c r="AA1177">
        <v>0.3506912750002589</v>
      </c>
      <c r="AB1177">
        <f>HYPERLINK("Melting_Curves/meltCurve_P33602_nuoG.pdf", "Melting_Curves/meltCurve_P33602_nuoG.pdf")</f>
        <v>0</v>
      </c>
    </row>
    <row r="1178" spans="1:28">
      <c r="A1178" t="s">
        <v>1204</v>
      </c>
      <c r="B1178">
        <v>0.999998419929286</v>
      </c>
      <c r="C1178">
        <v>1.27734817213532</v>
      </c>
      <c r="D1178">
        <v>0.967841849278638</v>
      </c>
      <c r="E1178">
        <v>1.20567274705937</v>
      </c>
      <c r="F1178">
        <v>0.442958214251498</v>
      </c>
      <c r="G1178">
        <v>0.233574738034545</v>
      </c>
      <c r="H1178">
        <v>0.151470779096796</v>
      </c>
      <c r="I1178">
        <v>0.177739626119879</v>
      </c>
      <c r="J1178">
        <v>0.112272679214865</v>
      </c>
      <c r="K1178">
        <v>0.202519833944245</v>
      </c>
      <c r="L1178">
        <v>12513.1665095891</v>
      </c>
      <c r="M1178">
        <v>250</v>
      </c>
      <c r="N1178">
        <v>50.1393890966407</v>
      </c>
      <c r="O1178">
        <v>50.0494391394132</v>
      </c>
      <c r="P1178">
        <v>-1.02958706278088</v>
      </c>
      <c r="Q1178">
        <v>0.175515524377461</v>
      </c>
      <c r="R1178">
        <v>0.937102319087072</v>
      </c>
      <c r="S1178" t="s">
        <v>2862</v>
      </c>
      <c r="T1178" t="s">
        <v>3344</v>
      </c>
      <c r="U1178" t="s">
        <v>3344</v>
      </c>
      <c r="V1178" t="s">
        <v>3344</v>
      </c>
      <c r="W1178" t="s">
        <v>4520</v>
      </c>
      <c r="X1178">
        <v>4</v>
      </c>
      <c r="Y1178" t="s">
        <v>6177</v>
      </c>
      <c r="Z1178" t="s">
        <v>7835</v>
      </c>
      <c r="AA1178">
        <v>0.534311965591134</v>
      </c>
      <c r="AB1178">
        <f>HYPERLINK("Melting_Curves/meltCurve_P33643_rluD.pdf", "Melting_Curves/meltCurve_P33643_rluD.pdf")</f>
        <v>0</v>
      </c>
    </row>
    <row r="1179" spans="1:28">
      <c r="A1179" t="s">
        <v>1205</v>
      </c>
      <c r="B1179">
        <v>0.999998419929286</v>
      </c>
      <c r="C1179">
        <v>1.00386192391886</v>
      </c>
      <c r="D1179">
        <v>0.967768169358022</v>
      </c>
      <c r="E1179">
        <v>1.13102671906333</v>
      </c>
      <c r="F1179">
        <v>1.28768964984329</v>
      </c>
      <c r="G1179">
        <v>1.34057317673711</v>
      </c>
      <c r="H1179">
        <v>1.01846896709103</v>
      </c>
      <c r="I1179">
        <v>0.538559595333589</v>
      </c>
      <c r="J1179">
        <v>0.319976495289048</v>
      </c>
      <c r="K1179">
        <v>0.138800846081593</v>
      </c>
      <c r="L1179">
        <v>3215.92744470563</v>
      </c>
      <c r="M1179">
        <v>52.8806384355198</v>
      </c>
      <c r="N1179">
        <v>61.382217575895</v>
      </c>
      <c r="O1179">
        <v>60.728053326659</v>
      </c>
      <c r="P1179">
        <v>-0.175610487178698</v>
      </c>
      <c r="Q1179">
        <v>0.193317170946464</v>
      </c>
      <c r="R1179">
        <v>0.844048765975756</v>
      </c>
      <c r="S1179" t="s">
        <v>2863</v>
      </c>
      <c r="T1179" t="s">
        <v>3344</v>
      </c>
      <c r="U1179" t="s">
        <v>3344</v>
      </c>
      <c r="V1179" t="s">
        <v>3344</v>
      </c>
      <c r="W1179" t="s">
        <v>4521</v>
      </c>
      <c r="X1179">
        <v>5</v>
      </c>
      <c r="Y1179" t="s">
        <v>6178</v>
      </c>
      <c r="Z1179" t="s">
        <v>7836</v>
      </c>
      <c r="AA1179">
        <v>0.8353217829141745</v>
      </c>
      <c r="AB1179">
        <f>HYPERLINK("Melting_Curves/meltCurve_P33644_yfiH.pdf", "Melting_Curves/meltCurve_P33644_yfiH.pdf")</f>
        <v>0</v>
      </c>
    </row>
    <row r="1180" spans="1:28">
      <c r="A1180" t="s">
        <v>1206</v>
      </c>
      <c r="B1180">
        <v>0.999998419929286</v>
      </c>
      <c r="C1180">
        <v>1.43720147774921</v>
      </c>
      <c r="D1180">
        <v>1.4768340724736</v>
      </c>
      <c r="E1180">
        <v>1.85877420063133</v>
      </c>
      <c r="F1180">
        <v>0.419814302337855</v>
      </c>
      <c r="G1180">
        <v>0.323960742245328</v>
      </c>
      <c r="H1180">
        <v>0.222390814957063</v>
      </c>
      <c r="I1180">
        <v>0.17016200241248</v>
      </c>
      <c r="J1180">
        <v>0.127708486675002</v>
      </c>
      <c r="K1180">
        <v>0.0923658181101413</v>
      </c>
      <c r="L1180">
        <v>12504.0935218159</v>
      </c>
      <c r="M1180">
        <v>250</v>
      </c>
      <c r="N1180">
        <v>50.1104719279279</v>
      </c>
      <c r="O1180">
        <v>50.0131734159668</v>
      </c>
      <c r="P1180">
        <v>-1.01558546115378</v>
      </c>
      <c r="Q1180">
        <v>0.187317573083362</v>
      </c>
      <c r="R1180">
        <v>0.703067060012537</v>
      </c>
      <c r="S1180" t="s">
        <v>2864</v>
      </c>
      <c r="T1180" t="s">
        <v>3344</v>
      </c>
      <c r="U1180" t="s">
        <v>3344</v>
      </c>
      <c r="V1180" t="s">
        <v>3344</v>
      </c>
      <c r="W1180" t="s">
        <v>4522</v>
      </c>
      <c r="X1180">
        <v>1</v>
      </c>
      <c r="Y1180" t="s">
        <v>6179</v>
      </c>
      <c r="Z1180" t="s">
        <v>7837</v>
      </c>
      <c r="AA1180">
        <v>0.5399948581171171</v>
      </c>
      <c r="AB1180">
        <f>HYPERLINK("Melting_Curves/meltCurve_P33913_yejA.pdf", "Melting_Curves/meltCurve_P33913_yejA.pdf")</f>
        <v>0</v>
      </c>
    </row>
    <row r="1181" spans="1:28">
      <c r="A1181" t="s">
        <v>1207</v>
      </c>
      <c r="B1181">
        <v>0.999998419929286</v>
      </c>
      <c r="C1181">
        <v>0.872292185536676</v>
      </c>
      <c r="D1181">
        <v>0.62175740883714</v>
      </c>
      <c r="E1181">
        <v>0.601938771791149</v>
      </c>
      <c r="F1181">
        <v>0.660630544644571</v>
      </c>
      <c r="G1181">
        <v>0.754102336928088</v>
      </c>
      <c r="H1181">
        <v>0.6559072672942859</v>
      </c>
      <c r="I1181">
        <v>0.7937443295351601</v>
      </c>
      <c r="J1181">
        <v>0.733928109892964</v>
      </c>
      <c r="K1181">
        <v>0.69058707843311</v>
      </c>
      <c r="L1181">
        <v>9989.401109547711</v>
      </c>
      <c r="M1181">
        <v>250</v>
      </c>
      <c r="O1181">
        <v>39.955028684066</v>
      </c>
      <c r="P1181">
        <v>-0.486367710136931</v>
      </c>
      <c r="Q1181">
        <v>0.689074480569229</v>
      </c>
      <c r="R1181">
        <v>0.772124406309473</v>
      </c>
      <c r="S1181" t="s">
        <v>2865</v>
      </c>
      <c r="T1181" t="s">
        <v>3344</v>
      </c>
      <c r="U1181" t="s">
        <v>3344</v>
      </c>
      <c r="V1181" t="s">
        <v>3344</v>
      </c>
      <c r="W1181" t="s">
        <v>4523</v>
      </c>
      <c r="X1181">
        <v>1</v>
      </c>
      <c r="Y1181" t="s">
        <v>6180</v>
      </c>
      <c r="Z1181" t="s">
        <v>7838</v>
      </c>
      <c r="AA1181">
        <v>0.7197494407566292</v>
      </c>
      <c r="AB1181">
        <f>HYPERLINK("Melting_Curves/meltCurve_P33916_yejF.pdf", "Melting_Curves/meltCurve_P33916_yejF.pdf")</f>
        <v>0</v>
      </c>
    </row>
    <row r="1182" spans="1:28">
      <c r="A1182" t="s">
        <v>1208</v>
      </c>
      <c r="B1182">
        <v>0.999998419929286</v>
      </c>
      <c r="C1182">
        <v>1.17926221055732</v>
      </c>
      <c r="D1182">
        <v>0.873133648586442</v>
      </c>
      <c r="E1182">
        <v>0.87259949691797</v>
      </c>
      <c r="F1182">
        <v>0.733784367152845</v>
      </c>
      <c r="G1182">
        <v>0.884922689380009</v>
      </c>
      <c r="H1182">
        <v>0.627821526276525</v>
      </c>
      <c r="I1182">
        <v>0.557330563113307</v>
      </c>
      <c r="J1182">
        <v>0.45245676047951</v>
      </c>
      <c r="K1182">
        <v>0.430388916242902</v>
      </c>
      <c r="L1182">
        <v>408.137801187907</v>
      </c>
      <c r="M1182">
        <v>6.52917438814335</v>
      </c>
      <c r="N1182">
        <v>63.2511354453004</v>
      </c>
      <c r="O1182">
        <v>57.4230730250342</v>
      </c>
      <c r="P1182">
        <v>-0.0274441859067199</v>
      </c>
      <c r="Q1182">
        <v>0.0368321888496849</v>
      </c>
      <c r="R1182">
        <v>0.852894309113049</v>
      </c>
      <c r="S1182" t="s">
        <v>2866</v>
      </c>
      <c r="T1182" t="s">
        <v>3344</v>
      </c>
      <c r="U1182" t="s">
        <v>3344</v>
      </c>
      <c r="V1182" t="s">
        <v>3344</v>
      </c>
      <c r="W1182" t="s">
        <v>4524</v>
      </c>
      <c r="X1182">
        <v>5</v>
      </c>
      <c r="Y1182" t="s">
        <v>6181</v>
      </c>
      <c r="Z1182" t="s">
        <v>7839</v>
      </c>
      <c r="AA1182">
        <v>0.7608398486792322</v>
      </c>
      <c r="AB1182">
        <f>HYPERLINK("Melting_Curves/meltCurve_P33937_napA.pdf", "Melting_Curves/meltCurve_P33937_napA.pdf")</f>
        <v>0</v>
      </c>
    </row>
    <row r="1183" spans="1:28">
      <c r="A1183" t="s">
        <v>1209</v>
      </c>
      <c r="B1183">
        <v>0.999998419929286</v>
      </c>
      <c r="C1183">
        <v>0.809693462017208</v>
      </c>
      <c r="D1183">
        <v>0.461239076567607</v>
      </c>
      <c r="E1183">
        <v>0.149271321212396</v>
      </c>
      <c r="F1183">
        <v>0.0856635495092089</v>
      </c>
      <c r="G1183">
        <v>0.08087428476383671</v>
      </c>
      <c r="H1183">
        <v>0.0366625756051448</v>
      </c>
      <c r="I1183">
        <v>0.0530395018714109</v>
      </c>
      <c r="J1183">
        <v>0.0415189173669942</v>
      </c>
      <c r="K1183">
        <v>0</v>
      </c>
      <c r="L1183">
        <v>957.78696007425</v>
      </c>
      <c r="M1183">
        <v>22.5366280083463</v>
      </c>
      <c r="N1183">
        <v>42.6628480066997</v>
      </c>
      <c r="O1183">
        <v>42.1687471512586</v>
      </c>
      <c r="P1183">
        <v>-0.128077106222051</v>
      </c>
      <c r="Q1183">
        <v>0.0414286342334968</v>
      </c>
      <c r="R1183">
        <v>0.996291471189792</v>
      </c>
      <c r="S1183" t="s">
        <v>2867</v>
      </c>
      <c r="T1183" t="s">
        <v>3344</v>
      </c>
      <c r="U1183" t="s">
        <v>3344</v>
      </c>
      <c r="V1183" t="s">
        <v>3344</v>
      </c>
      <c r="W1183" t="s">
        <v>4525</v>
      </c>
      <c r="X1183">
        <v>2</v>
      </c>
      <c r="Y1183" t="s">
        <v>6182</v>
      </c>
      <c r="Z1183" t="s">
        <v>7840</v>
      </c>
      <c r="AA1183">
        <v>0.2276093566405248</v>
      </c>
      <c r="AB1183">
        <f>HYPERLINK("Melting_Curves/meltCurve_P34209_ydcF.pdf", "Melting_Curves/meltCurve_P34209_ydcF.pdf")</f>
        <v>0</v>
      </c>
    </row>
    <row r="1184" spans="1:28">
      <c r="A1184" t="s">
        <v>1210</v>
      </c>
      <c r="B1184">
        <v>0.999998419929286</v>
      </c>
      <c r="C1184">
        <v>1.39883865454957</v>
      </c>
      <c r="D1184">
        <v>1.35488938229585</v>
      </c>
      <c r="E1184">
        <v>1.55076166206706</v>
      </c>
      <c r="F1184">
        <v>1.07171822346333</v>
      </c>
      <c r="G1184">
        <v>0.727769271122862</v>
      </c>
      <c r="H1184">
        <v>0.402271072953941</v>
      </c>
      <c r="I1184">
        <v>0.222455061786711</v>
      </c>
      <c r="J1184">
        <v>0.128614707242792</v>
      </c>
      <c r="K1184">
        <v>0.0943796306482813</v>
      </c>
      <c r="L1184">
        <v>1684.01591699228</v>
      </c>
      <c r="M1184">
        <v>30.1761419520844</v>
      </c>
      <c r="N1184">
        <v>56.3181608986623</v>
      </c>
      <c r="O1184">
        <v>55.5628425510534</v>
      </c>
      <c r="P1184">
        <v>-0.119488914309329</v>
      </c>
      <c r="Q1184">
        <v>0.119953571090712</v>
      </c>
      <c r="R1184">
        <v>0.7822983531822399</v>
      </c>
      <c r="S1184" t="s">
        <v>2868</v>
      </c>
      <c r="T1184" t="s">
        <v>3344</v>
      </c>
      <c r="U1184" t="s">
        <v>3344</v>
      </c>
      <c r="V1184" t="s">
        <v>3344</v>
      </c>
      <c r="W1184" t="s">
        <v>4526</v>
      </c>
      <c r="X1184">
        <v>15</v>
      </c>
      <c r="Y1184" t="s">
        <v>6183</v>
      </c>
      <c r="Z1184" t="s">
        <v>7841</v>
      </c>
      <c r="AA1184">
        <v>0.6770891328123273</v>
      </c>
      <c r="AB1184">
        <f>HYPERLINK("Melting_Curves/meltCurve_P35340_ahpF.pdf", "Melting_Curves/meltCurve_P35340_ahpF.pdf")</f>
        <v>0</v>
      </c>
    </row>
    <row r="1185" spans="1:28">
      <c r="A1185" t="s">
        <v>1211</v>
      </c>
      <c r="B1185">
        <v>0.999998419929286</v>
      </c>
      <c r="C1185">
        <v>1.10587804300122</v>
      </c>
      <c r="D1185">
        <v>1.38717081099753</v>
      </c>
      <c r="E1185">
        <v>1.55704565506583</v>
      </c>
      <c r="F1185">
        <v>2.10223955830548</v>
      </c>
      <c r="G1185">
        <v>2.65522580855565</v>
      </c>
      <c r="H1185">
        <v>2.60994420957676</v>
      </c>
      <c r="I1185">
        <v>1.93555843606332</v>
      </c>
      <c r="J1185">
        <v>2.40678435399313</v>
      </c>
      <c r="K1185">
        <v>2.36355812374553</v>
      </c>
      <c r="S1185" t="s">
        <v>2869</v>
      </c>
      <c r="T1185" t="s">
        <v>3344</v>
      </c>
      <c r="U1185" t="s">
        <v>3345</v>
      </c>
      <c r="V1185" t="s">
        <v>3344</v>
      </c>
      <c r="W1185" t="s">
        <v>4527</v>
      </c>
      <c r="X1185">
        <v>4</v>
      </c>
      <c r="Y1185" t="s">
        <v>6184</v>
      </c>
      <c r="Z1185" t="s">
        <v>7842</v>
      </c>
      <c r="AB1185">
        <f>HYPERLINK("Melting_Curves/meltCurve_P36649_cueO.pdf", "Melting_Curves/meltCurve_P36649_cueO.pdf")</f>
        <v>0</v>
      </c>
    </row>
    <row r="1186" spans="1:28">
      <c r="A1186" t="s">
        <v>1212</v>
      </c>
      <c r="B1186">
        <v>0.999998419929286</v>
      </c>
      <c r="C1186">
        <v>0.94661647839834</v>
      </c>
      <c r="D1186">
        <v>1.2020160609804</v>
      </c>
      <c r="E1186">
        <v>1.27163304625155</v>
      </c>
      <c r="F1186">
        <v>1.67706691438634</v>
      </c>
      <c r="G1186">
        <v>1.77563671309509</v>
      </c>
      <c r="H1186">
        <v>1.53613265476349</v>
      </c>
      <c r="I1186">
        <v>1.00156646227169</v>
      </c>
      <c r="J1186">
        <v>0.738846042707815</v>
      </c>
      <c r="K1186">
        <v>0.170595692841819</v>
      </c>
      <c r="L1186">
        <v>15000</v>
      </c>
      <c r="M1186">
        <v>233.231781539384</v>
      </c>
      <c r="N1186">
        <v>64.4289274501299</v>
      </c>
      <c r="O1186">
        <v>64.30897640669571</v>
      </c>
      <c r="P1186">
        <v>-0.752073246144799</v>
      </c>
      <c r="Q1186">
        <v>0.170523669972049</v>
      </c>
      <c r="R1186">
        <v>0.284275526186027</v>
      </c>
      <c r="S1186" t="s">
        <v>2870</v>
      </c>
      <c r="T1186" t="s">
        <v>3344</v>
      </c>
      <c r="U1186" t="s">
        <v>3344</v>
      </c>
      <c r="V1186" t="s">
        <v>3344</v>
      </c>
      <c r="W1186" t="s">
        <v>4528</v>
      </c>
      <c r="X1186">
        <v>7</v>
      </c>
      <c r="Y1186" t="s">
        <v>6185</v>
      </c>
      <c r="Z1186" t="s">
        <v>7843</v>
      </c>
      <c r="AA1186">
        <v>0.9258329102664623</v>
      </c>
      <c r="AB1186">
        <f>HYPERLINK("Melting_Curves/meltCurve_P36659_cbpA.pdf", "Melting_Curves/meltCurve_P36659_cbpA.pdf")</f>
        <v>0</v>
      </c>
    </row>
    <row r="1187" spans="1:28">
      <c r="A1187" t="s">
        <v>1213</v>
      </c>
      <c r="B1187">
        <v>0.999998419929286</v>
      </c>
      <c r="C1187">
        <v>0.7729242603612519</v>
      </c>
      <c r="D1187">
        <v>0.670068467334012</v>
      </c>
      <c r="E1187">
        <v>0.537209038470886</v>
      </c>
      <c r="F1187">
        <v>0.528547791569034</v>
      </c>
      <c r="G1187">
        <v>0.610984050367663</v>
      </c>
      <c r="H1187">
        <v>0.496170262591805</v>
      </c>
      <c r="I1187">
        <v>0.348837930560647</v>
      </c>
      <c r="J1187">
        <v>0.403748244588921</v>
      </c>
      <c r="K1187">
        <v>0.381617499395128</v>
      </c>
      <c r="L1187">
        <v>434.858836947213</v>
      </c>
      <c r="M1187">
        <v>10.1143494586973</v>
      </c>
      <c r="N1187">
        <v>51.268650900339</v>
      </c>
      <c r="O1187">
        <v>41.4150588659433</v>
      </c>
      <c r="P1187">
        <v>-0.0365113312393865</v>
      </c>
      <c r="Q1187">
        <v>0.402268652032939</v>
      </c>
      <c r="R1187">
        <v>0.873398558855161</v>
      </c>
      <c r="S1187" t="s">
        <v>2871</v>
      </c>
      <c r="T1187" t="s">
        <v>3344</v>
      </c>
      <c r="U1187" t="s">
        <v>3344</v>
      </c>
      <c r="V1187" t="s">
        <v>3344</v>
      </c>
      <c r="W1187" t="s">
        <v>4529</v>
      </c>
      <c r="X1187">
        <v>3</v>
      </c>
      <c r="Y1187" t="s">
        <v>6186</v>
      </c>
      <c r="Z1187" t="s">
        <v>7844</v>
      </c>
      <c r="AA1187">
        <v>0.5555747206272409</v>
      </c>
      <c r="AB1187">
        <f>HYPERLINK("Melting_Curves/meltCurve_P36672_treB.pdf", "Melting_Curves/meltCurve_P36672_treB.pdf")</f>
        <v>0</v>
      </c>
    </row>
    <row r="1188" spans="1:28">
      <c r="A1188" t="s">
        <v>1214</v>
      </c>
      <c r="B1188">
        <v>0.999998419929286</v>
      </c>
      <c r="C1188">
        <v>0.599526194664905</v>
      </c>
      <c r="D1188">
        <v>0.662175172518802</v>
      </c>
      <c r="E1188">
        <v>0.477044985303576</v>
      </c>
      <c r="F1188">
        <v>0.493758537482323</v>
      </c>
      <c r="G1188">
        <v>0.309585475383009</v>
      </c>
      <c r="H1188">
        <v>0.132289077802023</v>
      </c>
      <c r="I1188">
        <v>0.0718244216440454</v>
      </c>
      <c r="J1188">
        <v>0.061486041054442</v>
      </c>
      <c r="K1188">
        <v>0.0452040811937727</v>
      </c>
      <c r="L1188">
        <v>361.001594021856</v>
      </c>
      <c r="M1188">
        <v>7.7765337713266</v>
      </c>
      <c r="N1188">
        <v>46.4219157830308</v>
      </c>
      <c r="O1188">
        <v>43.6520233175865</v>
      </c>
      <c r="P1188">
        <v>-0.0445930563506236</v>
      </c>
      <c r="Q1188">
        <v>0</v>
      </c>
      <c r="R1188">
        <v>0.9126056207351541</v>
      </c>
      <c r="S1188" t="s">
        <v>2872</v>
      </c>
      <c r="T1188" t="s">
        <v>3344</v>
      </c>
      <c r="U1188" t="s">
        <v>3344</v>
      </c>
      <c r="V1188" t="s">
        <v>3344</v>
      </c>
      <c r="W1188" t="s">
        <v>4530</v>
      </c>
      <c r="X1188">
        <v>4</v>
      </c>
      <c r="Y1188" t="s">
        <v>6187</v>
      </c>
      <c r="Z1188" t="s">
        <v>7845</v>
      </c>
      <c r="AA1188">
        <v>0.3767073307680355</v>
      </c>
      <c r="AB1188">
        <f>HYPERLINK("Melting_Curves/meltCurve_P36680_zapD.pdf", "Melting_Curves/meltCurve_P36680_zapD.pdf")</f>
        <v>0</v>
      </c>
    </row>
    <row r="1189" spans="1:28">
      <c r="A1189" t="s">
        <v>1215</v>
      </c>
      <c r="B1189">
        <v>0.999998419929286</v>
      </c>
      <c r="C1189">
        <v>1.11678973259548</v>
      </c>
      <c r="D1189">
        <v>1.04001092545226</v>
      </c>
      <c r="E1189">
        <v>0.279488487618493</v>
      </c>
      <c r="F1189">
        <v>0.0958436158116054</v>
      </c>
      <c r="G1189">
        <v>0.0761362874758183</v>
      </c>
      <c r="H1189">
        <v>0.0475293049942714</v>
      </c>
      <c r="I1189">
        <v>0.03413398588922</v>
      </c>
      <c r="J1189">
        <v>0.0329781951102281</v>
      </c>
      <c r="K1189">
        <v>0.0268273543998923</v>
      </c>
      <c r="L1189">
        <v>9140.764487722399</v>
      </c>
      <c r="M1189">
        <v>197.307664450102</v>
      </c>
      <c r="N1189">
        <v>46.3533935337191</v>
      </c>
      <c r="O1189">
        <v>46.3227075583299</v>
      </c>
      <c r="P1189">
        <v>-1.00922441984803</v>
      </c>
      <c r="Q1189">
        <v>0.0522414071254335</v>
      </c>
      <c r="R1189">
        <v>0.990559734179369</v>
      </c>
      <c r="S1189" t="s">
        <v>2873</v>
      </c>
      <c r="T1189" t="s">
        <v>3344</v>
      </c>
      <c r="U1189" t="s">
        <v>3344</v>
      </c>
      <c r="V1189" t="s">
        <v>3344</v>
      </c>
      <c r="W1189" t="s">
        <v>4531</v>
      </c>
      <c r="X1189">
        <v>28</v>
      </c>
      <c r="Y1189" t="s">
        <v>6188</v>
      </c>
      <c r="Z1189" t="s">
        <v>7846</v>
      </c>
      <c r="AA1189">
        <v>0.3470380606448907</v>
      </c>
      <c r="AB1189">
        <f>HYPERLINK("Melting_Curves/meltCurve_P36683_acnB.pdf", "Melting_Curves/meltCurve_P36683_acnB.pdf")</f>
        <v>0</v>
      </c>
    </row>
    <row r="1190" spans="1:28">
      <c r="A1190" t="s">
        <v>1216</v>
      </c>
      <c r="B1190">
        <v>0.999998419929286</v>
      </c>
      <c r="C1190">
        <v>1.3375872623864</v>
      </c>
      <c r="D1190">
        <v>1.21568086907931</v>
      </c>
      <c r="E1190">
        <v>1.21776642184396</v>
      </c>
      <c r="F1190">
        <v>1.11716515839853</v>
      </c>
      <c r="G1190">
        <v>0.881194214836331</v>
      </c>
      <c r="H1190">
        <v>0.380163721110461</v>
      </c>
      <c r="I1190">
        <v>0.154262551250167</v>
      </c>
      <c r="J1190">
        <v>0.0570373070774543</v>
      </c>
      <c r="K1190">
        <v>0.0561079071861973</v>
      </c>
      <c r="L1190">
        <v>2251.11873372115</v>
      </c>
      <c r="M1190">
        <v>39.8626148184925</v>
      </c>
      <c r="N1190">
        <v>56.6801455103052</v>
      </c>
      <c r="O1190">
        <v>56.3303675027234</v>
      </c>
      <c r="P1190">
        <v>-0.164865480222757</v>
      </c>
      <c r="Q1190">
        <v>0.06810793873873749</v>
      </c>
      <c r="R1190">
        <v>0.9078750761308</v>
      </c>
      <c r="S1190" t="s">
        <v>2874</v>
      </c>
      <c r="T1190" t="s">
        <v>3344</v>
      </c>
      <c r="U1190" t="s">
        <v>3344</v>
      </c>
      <c r="V1190" t="s">
        <v>3344</v>
      </c>
      <c r="W1190" t="s">
        <v>4532</v>
      </c>
      <c r="X1190">
        <v>7</v>
      </c>
      <c r="Y1190" t="s">
        <v>6189</v>
      </c>
      <c r="Z1190" t="s">
        <v>7847</v>
      </c>
      <c r="AA1190">
        <v>0.6765042759098382</v>
      </c>
      <c r="AB1190">
        <f>HYPERLINK("Melting_Curves/meltCurve_P36767_rdgC.pdf", "Melting_Curves/meltCurve_P36767_rdgC.pdf")</f>
        <v>0</v>
      </c>
    </row>
    <row r="1191" spans="1:28">
      <c r="A1191" t="s">
        <v>1217</v>
      </c>
      <c r="B1191">
        <v>0.999998419929286</v>
      </c>
      <c r="C1191">
        <v>0.8115446142784219</v>
      </c>
      <c r="D1191">
        <v>0.878286406377827</v>
      </c>
      <c r="E1191">
        <v>0.918224677118532</v>
      </c>
      <c r="F1191">
        <v>1.06439912781791</v>
      </c>
      <c r="G1191">
        <v>0.906886964535693</v>
      </c>
      <c r="H1191">
        <v>0.725723019381047</v>
      </c>
      <c r="I1191">
        <v>0.454358427340869</v>
      </c>
      <c r="J1191">
        <v>0.350225438657537</v>
      </c>
      <c r="K1191">
        <v>0.275254247680251</v>
      </c>
      <c r="L1191">
        <v>1435.89166765538</v>
      </c>
      <c r="M1191">
        <v>24.4887175382788</v>
      </c>
      <c r="N1191">
        <v>60.3634904412876</v>
      </c>
      <c r="O1191">
        <v>58.2480305281597</v>
      </c>
      <c r="P1191">
        <v>-0.0786168725809083</v>
      </c>
      <c r="Q1191">
        <v>0.252029355858699</v>
      </c>
      <c r="R1191">
        <v>0.9102998817164411</v>
      </c>
      <c r="S1191" t="s">
        <v>2875</v>
      </c>
      <c r="T1191" t="s">
        <v>3344</v>
      </c>
      <c r="U1191" t="s">
        <v>3344</v>
      </c>
      <c r="V1191" t="s">
        <v>3344</v>
      </c>
      <c r="W1191" t="s">
        <v>4533</v>
      </c>
      <c r="X1191">
        <v>2</v>
      </c>
      <c r="Y1191" t="s">
        <v>6190</v>
      </c>
      <c r="Z1191" t="s">
        <v>7848</v>
      </c>
      <c r="AA1191">
        <v>0.7956740325891158</v>
      </c>
      <c r="AB1191">
        <f>HYPERLINK("Melting_Curves/meltCurve_P36771_lrhA.pdf", "Melting_Curves/meltCurve_P36771_lrhA.pdf")</f>
        <v>0</v>
      </c>
    </row>
    <row r="1192" spans="1:28">
      <c r="A1192" t="s">
        <v>1218</v>
      </c>
      <c r="B1192">
        <v>0.999998419929286</v>
      </c>
      <c r="C1192">
        <v>1.13751523034466</v>
      </c>
      <c r="D1192">
        <v>0.810753677398947</v>
      </c>
      <c r="E1192">
        <v>0.652097491811529</v>
      </c>
      <c r="F1192">
        <v>0.766266285151095</v>
      </c>
      <c r="G1192">
        <v>0.477124626572898</v>
      </c>
      <c r="H1192">
        <v>0.323869563764635</v>
      </c>
      <c r="I1192">
        <v>0.195215545901635</v>
      </c>
      <c r="J1192">
        <v>0.117730310543442</v>
      </c>
      <c r="K1192">
        <v>0.0831298390535697</v>
      </c>
      <c r="L1192">
        <v>532.01983242651</v>
      </c>
      <c r="M1192">
        <v>10.0368114744124</v>
      </c>
      <c r="N1192">
        <v>53.0068437757002</v>
      </c>
      <c r="O1192">
        <v>51.031575364838</v>
      </c>
      <c r="P1192">
        <v>-0.0491931956489941</v>
      </c>
      <c r="Q1192">
        <v>0</v>
      </c>
      <c r="R1192">
        <v>0.935730616460159</v>
      </c>
      <c r="S1192" t="s">
        <v>2876</v>
      </c>
      <c r="T1192" t="s">
        <v>3344</v>
      </c>
      <c r="U1192" t="s">
        <v>3344</v>
      </c>
      <c r="V1192" t="s">
        <v>3344</v>
      </c>
      <c r="W1192" t="s">
        <v>4534</v>
      </c>
      <c r="X1192">
        <v>1</v>
      </c>
      <c r="Y1192" t="s">
        <v>6191</v>
      </c>
      <c r="Z1192" t="s">
        <v>7849</v>
      </c>
      <c r="AA1192">
        <v>0.5559123714016431</v>
      </c>
      <c r="AB1192">
        <f>HYPERLINK("Melting_Curves/meltCurve_P36879_yadG.pdf", "Melting_Curves/meltCurve_P36879_yadG.pdf")</f>
        <v>0</v>
      </c>
    </row>
    <row r="1193" spans="1:28">
      <c r="A1193" t="s">
        <v>1219</v>
      </c>
      <c r="B1193">
        <v>0.999998419929286</v>
      </c>
      <c r="C1193">
        <v>0.944435063439362</v>
      </c>
      <c r="D1193">
        <v>0.669981306799463</v>
      </c>
      <c r="E1193">
        <v>0.412523882027158</v>
      </c>
      <c r="F1193">
        <v>0.171574165000222</v>
      </c>
      <c r="G1193">
        <v>0.14381669135982</v>
      </c>
      <c r="H1193">
        <v>0.14361931110805</v>
      </c>
      <c r="I1193">
        <v>0.16061168330213</v>
      </c>
      <c r="J1193">
        <v>0.117521437950004</v>
      </c>
      <c r="K1193">
        <v>0.130726606019948</v>
      </c>
      <c r="L1193">
        <v>896.072220473093</v>
      </c>
      <c r="M1193">
        <v>20.1770502316983</v>
      </c>
      <c r="N1193">
        <v>45.0767216041816</v>
      </c>
      <c r="O1193">
        <v>43.9811350843219</v>
      </c>
      <c r="P1193">
        <v>-0.09990724227681939</v>
      </c>
      <c r="Q1193">
        <v>0.128931981490256</v>
      </c>
      <c r="R1193">
        <v>0.994717804267503</v>
      </c>
      <c r="S1193" t="s">
        <v>2877</v>
      </c>
      <c r="T1193" t="s">
        <v>3344</v>
      </c>
      <c r="U1193" t="s">
        <v>3344</v>
      </c>
      <c r="V1193" t="s">
        <v>3344</v>
      </c>
      <c r="W1193" t="s">
        <v>4535</v>
      </c>
      <c r="X1193">
        <v>1</v>
      </c>
      <c r="Y1193" t="s">
        <v>6192</v>
      </c>
      <c r="Z1193" t="s">
        <v>7850</v>
      </c>
      <c r="AA1193">
        <v>0.355427339049131</v>
      </c>
      <c r="AB1193">
        <f>HYPERLINK("Melting_Curves/meltCurve_P36929_rsmB.pdf", "Melting_Curves/meltCurve_P36929_rsmB.pdf")</f>
        <v>0</v>
      </c>
    </row>
    <row r="1194" spans="1:28">
      <c r="A1194" t="s">
        <v>1220</v>
      </c>
      <c r="B1194">
        <v>0.999998419929286</v>
      </c>
      <c r="C1194">
        <v>1.07255064805395</v>
      </c>
      <c r="D1194">
        <v>1.00924641257366</v>
      </c>
      <c r="E1194">
        <v>0.894876646165114</v>
      </c>
      <c r="F1194">
        <v>0.735056043019264</v>
      </c>
      <c r="G1194">
        <v>0.62828183989466</v>
      </c>
      <c r="H1194">
        <v>0.474877422582493</v>
      </c>
      <c r="I1194">
        <v>0.362753344456079</v>
      </c>
      <c r="J1194">
        <v>0.360066142425231</v>
      </c>
      <c r="K1194">
        <v>0.327790004218986</v>
      </c>
      <c r="L1194">
        <v>746.957892691867</v>
      </c>
      <c r="M1194">
        <v>14.1617610225609</v>
      </c>
      <c r="N1194">
        <v>56.3196483432064</v>
      </c>
      <c r="O1194">
        <v>51.7264320880545</v>
      </c>
      <c r="P1194">
        <v>-0.0481576486196659</v>
      </c>
      <c r="Q1194">
        <v>0.296497851686747</v>
      </c>
      <c r="R1194">
        <v>0.986507680096923</v>
      </c>
      <c r="S1194" t="s">
        <v>2878</v>
      </c>
      <c r="T1194" t="s">
        <v>3344</v>
      </c>
      <c r="U1194" t="s">
        <v>3344</v>
      </c>
      <c r="V1194" t="s">
        <v>3344</v>
      </c>
      <c r="W1194" t="s">
        <v>4536</v>
      </c>
      <c r="X1194">
        <v>12</v>
      </c>
      <c r="Y1194" t="s">
        <v>6193</v>
      </c>
      <c r="Z1194" t="s">
        <v>7851</v>
      </c>
      <c r="AA1194">
        <v>0.6792502639128627</v>
      </c>
      <c r="AB1194">
        <f>HYPERLINK("Melting_Curves/meltCurve_P36938_pgm.pdf", "Melting_Curves/meltCurve_P36938_pgm.pdf")</f>
        <v>0</v>
      </c>
    </row>
    <row r="1195" spans="1:28">
      <c r="A1195" t="s">
        <v>1221</v>
      </c>
      <c r="B1195">
        <v>0.999998419929286</v>
      </c>
      <c r="C1195">
        <v>0.976441841981328</v>
      </c>
      <c r="D1195">
        <v>0.774527158186738</v>
      </c>
      <c r="E1195">
        <v>0.880886635665192</v>
      </c>
      <c r="F1195">
        <v>0.886181304965638</v>
      </c>
      <c r="G1195">
        <v>0.950362431554713</v>
      </c>
      <c r="H1195">
        <v>0.746767200017676</v>
      </c>
      <c r="I1195">
        <v>0.7002775427721371</v>
      </c>
      <c r="J1195">
        <v>0.756074426476175</v>
      </c>
      <c r="K1195">
        <v>0.671113975247707</v>
      </c>
      <c r="L1195">
        <v>197.171418222496</v>
      </c>
      <c r="M1195">
        <v>2.12927988367379</v>
      </c>
      <c r="O1195">
        <v>57.1145031142846</v>
      </c>
      <c r="P1195">
        <v>-0.0100392009780547</v>
      </c>
      <c r="Q1195">
        <v>0</v>
      </c>
      <c r="R1195">
        <v>0.631439116910013</v>
      </c>
      <c r="S1195" t="s">
        <v>2879</v>
      </c>
      <c r="T1195" t="s">
        <v>3344</v>
      </c>
      <c r="U1195" t="s">
        <v>3344</v>
      </c>
      <c r="V1195" t="s">
        <v>3344</v>
      </c>
      <c r="W1195" t="s">
        <v>4537</v>
      </c>
      <c r="X1195">
        <v>1</v>
      </c>
      <c r="Y1195" t="s">
        <v>6194</v>
      </c>
      <c r="Z1195" t="s">
        <v>7852</v>
      </c>
      <c r="AA1195">
        <v>0.8361588805139034</v>
      </c>
      <c r="AB1195">
        <f>HYPERLINK("Melting_Curves/meltCurve_P36979_rlmN.pdf", "Melting_Curves/meltCurve_P36979_rlmN.pdf")</f>
        <v>0</v>
      </c>
    </row>
    <row r="1196" spans="1:28">
      <c r="A1196" t="s">
        <v>1222</v>
      </c>
      <c r="B1196">
        <v>0.999998419929286</v>
      </c>
      <c r="C1196">
        <v>0.997935738340723</v>
      </c>
      <c r="D1196">
        <v>1.06503229873512</v>
      </c>
      <c r="E1196">
        <v>1.00284434429482</v>
      </c>
      <c r="F1196">
        <v>0.929212701689075</v>
      </c>
      <c r="G1196">
        <v>0.675779842635394</v>
      </c>
      <c r="H1196">
        <v>0.248473514386502</v>
      </c>
      <c r="I1196">
        <v>0.08036859910715979</v>
      </c>
      <c r="J1196">
        <v>0.029503579969805</v>
      </c>
      <c r="K1196">
        <v>0.0286412960009305</v>
      </c>
      <c r="L1196">
        <v>1573.00679576545</v>
      </c>
      <c r="M1196">
        <v>28.5597551156853</v>
      </c>
      <c r="N1196">
        <v>55.1497167659841</v>
      </c>
      <c r="O1196">
        <v>54.8098276381246</v>
      </c>
      <c r="P1196">
        <v>-0.12788545336221</v>
      </c>
      <c r="Q1196">
        <v>0.0182935472339872</v>
      </c>
      <c r="R1196">
        <v>0.99749210615779</v>
      </c>
      <c r="S1196" t="s">
        <v>2880</v>
      </c>
      <c r="T1196" t="s">
        <v>3344</v>
      </c>
      <c r="U1196" t="s">
        <v>3344</v>
      </c>
      <c r="V1196" t="s">
        <v>3344</v>
      </c>
      <c r="W1196" t="s">
        <v>4538</v>
      </c>
      <c r="X1196">
        <v>2</v>
      </c>
      <c r="Y1196" t="s">
        <v>6195</v>
      </c>
      <c r="Z1196" t="s">
        <v>7853</v>
      </c>
      <c r="AA1196">
        <v>0.6166242906403648</v>
      </c>
      <c r="AB1196">
        <f>HYPERLINK("Melting_Curves/meltCurve_P37051_purU.pdf", "Melting_Curves/meltCurve_P37051_purU.pdf")</f>
        <v>0</v>
      </c>
    </row>
    <row r="1197" spans="1:28">
      <c r="A1197" t="s">
        <v>1223</v>
      </c>
      <c r="B1197">
        <v>0.999998419929286</v>
      </c>
      <c r="C1197">
        <v>1.21769233141949</v>
      </c>
      <c r="D1197">
        <v>0.998052448488196</v>
      </c>
      <c r="E1197">
        <v>0.512819372980054</v>
      </c>
      <c r="F1197">
        <v>0.222151550251312</v>
      </c>
      <c r="G1197">
        <v>0.137494504593105</v>
      </c>
      <c r="H1197">
        <v>0.0707999182807058</v>
      </c>
      <c r="I1197">
        <v>0.0586698408420808</v>
      </c>
      <c r="J1197">
        <v>0.0552637162220634</v>
      </c>
      <c r="K1197">
        <v>0.0528045469573482</v>
      </c>
      <c r="L1197">
        <v>1496.27499405636</v>
      </c>
      <c r="M1197">
        <v>32.0608063997605</v>
      </c>
      <c r="N1197">
        <v>46.9214244833343</v>
      </c>
      <c r="O1197">
        <v>46.4894685436305</v>
      </c>
      <c r="P1197">
        <v>-0.158797711582776</v>
      </c>
      <c r="Q1197">
        <v>0.0789521668258375</v>
      </c>
      <c r="R1197">
        <v>0.969040687663154</v>
      </c>
      <c r="S1197" t="s">
        <v>2881</v>
      </c>
      <c r="T1197" t="s">
        <v>3344</v>
      </c>
      <c r="U1197" t="s">
        <v>3344</v>
      </c>
      <c r="V1197" t="s">
        <v>3344</v>
      </c>
      <c r="W1197" t="s">
        <v>4539</v>
      </c>
      <c r="X1197">
        <v>11</v>
      </c>
      <c r="Y1197" t="s">
        <v>6196</v>
      </c>
      <c r="Z1197" t="s">
        <v>7854</v>
      </c>
      <c r="AA1197">
        <v>0.3804835203522288</v>
      </c>
      <c r="AB1197">
        <f>HYPERLINK("Melting_Curves/meltCurve_P37095_pepB.pdf", "Melting_Curves/meltCurve_P37095_pepB.pdf")</f>
        <v>0</v>
      </c>
    </row>
    <row r="1198" spans="1:28">
      <c r="A1198" t="s">
        <v>1224</v>
      </c>
      <c r="B1198">
        <v>0.999998419929286</v>
      </c>
      <c r="C1198">
        <v>1.76331568911993</v>
      </c>
      <c r="D1198">
        <v>0.998736825279528</v>
      </c>
      <c r="E1198">
        <v>1.24196851102208</v>
      </c>
      <c r="F1198">
        <v>1.98471911832861</v>
      </c>
      <c r="G1198">
        <v>2.74474113968728</v>
      </c>
      <c r="H1198">
        <v>1.67931630398638</v>
      </c>
      <c r="I1198">
        <v>1.21781861288388</v>
      </c>
      <c r="J1198">
        <v>0.295770984978886</v>
      </c>
      <c r="K1198">
        <v>1.3880016813334</v>
      </c>
      <c r="L1198">
        <v>11652.9951581381</v>
      </c>
      <c r="M1198">
        <v>250</v>
      </c>
      <c r="O1198">
        <v>46.6089977343932</v>
      </c>
      <c r="P1198">
        <v>0.670471400983774</v>
      </c>
      <c r="Q1198">
        <v>1.5</v>
      </c>
      <c r="R1198">
        <v>0.00190499540579447</v>
      </c>
      <c r="S1198" t="s">
        <v>2882</v>
      </c>
      <c r="T1198" t="s">
        <v>3344</v>
      </c>
      <c r="U1198" t="s">
        <v>3344</v>
      </c>
      <c r="V1198" t="s">
        <v>3344</v>
      </c>
      <c r="W1198" t="s">
        <v>4540</v>
      </c>
      <c r="X1198">
        <v>1</v>
      </c>
      <c r="Y1198" t="s">
        <v>6197</v>
      </c>
      <c r="Z1198" t="s">
        <v>7855</v>
      </c>
      <c r="AA1198">
        <v>1.33975942114051</v>
      </c>
      <c r="AB1198">
        <f>HYPERLINK("Melting_Curves/meltCurve_P37128_nudK.pdf", "Melting_Curves/meltCurve_P37128_nudK.pdf")</f>
        <v>0</v>
      </c>
    </row>
    <row r="1199" spans="1:28">
      <c r="A1199" t="s">
        <v>1225</v>
      </c>
      <c r="B1199">
        <v>0.999998419929286</v>
      </c>
      <c r="C1199">
        <v>0.8514330621421921</v>
      </c>
      <c r="D1199">
        <v>0.933357612403326</v>
      </c>
      <c r="E1199">
        <v>1.0579389257383</v>
      </c>
      <c r="F1199">
        <v>1.24432848452549</v>
      </c>
      <c r="G1199">
        <v>1.41916638886597</v>
      </c>
      <c r="H1199">
        <v>1.36565851020318</v>
      </c>
      <c r="I1199">
        <v>1.00372523238529</v>
      </c>
      <c r="J1199">
        <v>0.950434532256199</v>
      </c>
      <c r="K1199">
        <v>0.8219749102146</v>
      </c>
      <c r="L1199">
        <v>15000</v>
      </c>
      <c r="M1199">
        <v>233.056895351185</v>
      </c>
      <c r="O1199">
        <v>64.35722666067819</v>
      </c>
      <c r="P1199">
        <v>-0.16118729159844</v>
      </c>
      <c r="Q1199">
        <v>0.82195648743304</v>
      </c>
      <c r="R1199">
        <v>-0.0200509590490212</v>
      </c>
      <c r="S1199" t="s">
        <v>2883</v>
      </c>
      <c r="T1199" t="s">
        <v>3344</v>
      </c>
      <c r="U1199" t="s">
        <v>3344</v>
      </c>
      <c r="V1199" t="s">
        <v>3344</v>
      </c>
      <c r="W1199" t="s">
        <v>4541</v>
      </c>
      <c r="X1199">
        <v>2</v>
      </c>
      <c r="Y1199" t="s">
        <v>6198</v>
      </c>
      <c r="Z1199" t="s">
        <v>7856</v>
      </c>
      <c r="AA1199">
        <v>0.9843667958271295</v>
      </c>
      <c r="AB1199">
        <f>HYPERLINK("Melting_Curves/meltCurve_P37147_fxsA.pdf", "Melting_Curves/meltCurve_P37147_fxsA.pdf")</f>
        <v>0</v>
      </c>
    </row>
    <row r="1200" spans="1:28">
      <c r="A1200" t="s">
        <v>1226</v>
      </c>
      <c r="B1200">
        <v>0.999998419929286</v>
      </c>
      <c r="C1200">
        <v>0.982780651649339</v>
      </c>
      <c r="D1200">
        <v>0.807828336782733</v>
      </c>
      <c r="E1200">
        <v>1.01792095473712</v>
      </c>
      <c r="F1200">
        <v>0.8781738343764</v>
      </c>
      <c r="G1200">
        <v>0.7206524376267061</v>
      </c>
      <c r="H1200">
        <v>0.472286032127115</v>
      </c>
      <c r="I1200">
        <v>0.314335865722347</v>
      </c>
      <c r="J1200">
        <v>0.269062413514088</v>
      </c>
      <c r="K1200">
        <v>0.266441901558024</v>
      </c>
      <c r="L1200">
        <v>1054.38778548209</v>
      </c>
      <c r="M1200">
        <v>19.1171102727802</v>
      </c>
      <c r="N1200">
        <v>56.9252540733746</v>
      </c>
      <c r="O1200">
        <v>54.561267526073</v>
      </c>
      <c r="P1200">
        <v>-0.06796204520262029</v>
      </c>
      <c r="Q1200">
        <v>0.224160809457438</v>
      </c>
      <c r="R1200">
        <v>0.956003978337388</v>
      </c>
      <c r="S1200" t="s">
        <v>2884</v>
      </c>
      <c r="T1200" t="s">
        <v>3344</v>
      </c>
      <c r="U1200" t="s">
        <v>3344</v>
      </c>
      <c r="V1200" t="s">
        <v>3344</v>
      </c>
      <c r="W1200" t="s">
        <v>4542</v>
      </c>
      <c r="X1200">
        <v>3</v>
      </c>
      <c r="Y1200" t="s">
        <v>6199</v>
      </c>
      <c r="Z1200" t="s">
        <v>7857</v>
      </c>
      <c r="AA1200">
        <v>0.7027438491399989</v>
      </c>
      <c r="AB1200">
        <f>HYPERLINK("Melting_Curves/meltCurve_P37182_hybD.pdf", "Melting_Curves/meltCurve_P37182_hybD.pdf")</f>
        <v>0</v>
      </c>
    </row>
    <row r="1201" spans="1:28">
      <c r="A1201" t="s">
        <v>1227</v>
      </c>
      <c r="B1201">
        <v>0.999998419929286</v>
      </c>
      <c r="C1201">
        <v>0.918912905491103</v>
      </c>
      <c r="D1201">
        <v>0.598456693184552</v>
      </c>
      <c r="E1201">
        <v>1.11496881004092</v>
      </c>
      <c r="F1201">
        <v>1.05364143674702</v>
      </c>
      <c r="G1201">
        <v>1.41260357753507</v>
      </c>
      <c r="H1201">
        <v>1.00050223420279</v>
      </c>
      <c r="I1201">
        <v>0.650475288620918</v>
      </c>
      <c r="J1201">
        <v>0.43345195354209</v>
      </c>
      <c r="K1201">
        <v>0.600296668022562</v>
      </c>
      <c r="L1201">
        <v>15000</v>
      </c>
      <c r="M1201">
        <v>246.86336633406</v>
      </c>
      <c r="O1201">
        <v>60.7583815758465</v>
      </c>
      <c r="P1201">
        <v>-0.490739248968147</v>
      </c>
      <c r="Q1201">
        <v>0.516874181930334</v>
      </c>
      <c r="R1201">
        <v>0.545045788631052</v>
      </c>
      <c r="S1201" t="s">
        <v>2885</v>
      </c>
      <c r="T1201" t="s">
        <v>3344</v>
      </c>
      <c r="U1201" t="s">
        <v>3344</v>
      </c>
      <c r="V1201" t="s">
        <v>3344</v>
      </c>
      <c r="W1201" t="s">
        <v>4543</v>
      </c>
      <c r="X1201">
        <v>5</v>
      </c>
      <c r="Y1201" t="s">
        <v>6200</v>
      </c>
      <c r="Z1201" t="s">
        <v>7858</v>
      </c>
      <c r="AA1201">
        <v>0.8996006246229669</v>
      </c>
      <c r="AB1201">
        <f>HYPERLINK("Melting_Curves/meltCurve_P37188_gatB.pdf", "Melting_Curves/meltCurve_P37188_gatB.pdf")</f>
        <v>0</v>
      </c>
    </row>
    <row r="1202" spans="1:28">
      <c r="A1202" t="s">
        <v>1228</v>
      </c>
      <c r="B1202">
        <v>0.999998419929286</v>
      </c>
      <c r="C1202">
        <v>0.758990958806256</v>
      </c>
      <c r="D1202">
        <v>0.86296867375269</v>
      </c>
      <c r="E1202">
        <v>0.589005870449116</v>
      </c>
      <c r="F1202">
        <v>0.258562852145218</v>
      </c>
      <c r="G1202">
        <v>0.164626806961657</v>
      </c>
      <c r="H1202">
        <v>0.123586986906098</v>
      </c>
      <c r="I1202">
        <v>0.0953605830957827</v>
      </c>
      <c r="J1202">
        <v>0.155395382208878</v>
      </c>
      <c r="K1202">
        <v>0.188613232088153</v>
      </c>
      <c r="L1202">
        <v>774.496102149022</v>
      </c>
      <c r="M1202">
        <v>16.719742730962</v>
      </c>
      <c r="N1202">
        <v>47.0649544136214</v>
      </c>
      <c r="O1202">
        <v>45.6748226410393</v>
      </c>
      <c r="P1202">
        <v>-0.08090895979200401</v>
      </c>
      <c r="Q1202">
        <v>0.115953242714036</v>
      </c>
      <c r="R1202">
        <v>0.953188002915573</v>
      </c>
      <c r="S1202" t="s">
        <v>2886</v>
      </c>
      <c r="T1202" t="s">
        <v>3344</v>
      </c>
      <c r="U1202" t="s">
        <v>3344</v>
      </c>
      <c r="V1202" t="s">
        <v>3344</v>
      </c>
      <c r="W1202" t="s">
        <v>4544</v>
      </c>
      <c r="X1202">
        <v>4</v>
      </c>
      <c r="Y1202" t="s">
        <v>6201</v>
      </c>
      <c r="Z1202" t="s">
        <v>7859</v>
      </c>
      <c r="AA1202">
        <v>0.4071183307529557</v>
      </c>
      <c r="AB1202">
        <f>HYPERLINK("Melting_Curves/meltCurve_P37194_slp.pdf", "Melting_Curves/meltCurve_P37194_slp.pdf")</f>
        <v>0</v>
      </c>
    </row>
    <row r="1203" spans="1:28">
      <c r="A1203" t="s">
        <v>1229</v>
      </c>
      <c r="B1203">
        <v>0.999998419929286</v>
      </c>
      <c r="C1203">
        <v>0.777921985353494</v>
      </c>
      <c r="D1203">
        <v>0.494774804770138</v>
      </c>
      <c r="E1203">
        <v>0.15474807523492</v>
      </c>
      <c r="F1203">
        <v>0.106834635638824</v>
      </c>
      <c r="G1203">
        <v>0.08637860074453339</v>
      </c>
      <c r="H1203">
        <v>0.0625178442208285</v>
      </c>
      <c r="I1203">
        <v>0.0518867665206097</v>
      </c>
      <c r="J1203">
        <v>0.0599039915315536</v>
      </c>
      <c r="K1203">
        <v>0.0458193633398082</v>
      </c>
      <c r="L1203">
        <v>899.84705442905</v>
      </c>
      <c r="M1203">
        <v>21.178587794202</v>
      </c>
      <c r="N1203">
        <v>42.7347726732786</v>
      </c>
      <c r="O1203">
        <v>42.1151557825101</v>
      </c>
      <c r="P1203">
        <v>-0.118500054712223</v>
      </c>
      <c r="Q1203">
        <v>0.0574407060406861</v>
      </c>
      <c r="R1203">
        <v>0.995705323289377</v>
      </c>
      <c r="S1203" t="s">
        <v>2887</v>
      </c>
      <c r="T1203" t="s">
        <v>3344</v>
      </c>
      <c r="U1203" t="s">
        <v>3344</v>
      </c>
      <c r="V1203" t="s">
        <v>3344</v>
      </c>
      <c r="W1203" t="s">
        <v>4545</v>
      </c>
      <c r="X1203">
        <v>4</v>
      </c>
      <c r="Y1203" t="s">
        <v>6202</v>
      </c>
      <c r="Z1203" t="s">
        <v>7860</v>
      </c>
      <c r="AA1203">
        <v>0.2417912919147088</v>
      </c>
      <c r="AB1203">
        <f>HYPERLINK("Melting_Curves/meltCurve_P37313_dppF.pdf", "Melting_Curves/meltCurve_P37313_dppF.pdf")</f>
        <v>0</v>
      </c>
    </row>
    <row r="1204" spans="1:28">
      <c r="A1204" t="s">
        <v>1230</v>
      </c>
      <c r="B1204">
        <v>0.999998419929286</v>
      </c>
      <c r="C1204">
        <v>0.833607313413495</v>
      </c>
      <c r="D1204">
        <v>0.909798489037552</v>
      </c>
      <c r="E1204">
        <v>0.990108610534027</v>
      </c>
      <c r="F1204">
        <v>1.15925396077382</v>
      </c>
      <c r="G1204">
        <v>1.3441875068505</v>
      </c>
      <c r="H1204">
        <v>1.15238482210167</v>
      </c>
      <c r="I1204">
        <v>1.04452337150353</v>
      </c>
      <c r="J1204">
        <v>0.818427461718465</v>
      </c>
      <c r="K1204">
        <v>0.369117570941102</v>
      </c>
      <c r="L1204">
        <v>15000</v>
      </c>
      <c r="M1204">
        <v>233.103159315977</v>
      </c>
      <c r="N1204">
        <v>64.7211974026566</v>
      </c>
      <c r="O1204">
        <v>64.3444554536662</v>
      </c>
      <c r="P1204">
        <v>-0.571437065174223</v>
      </c>
      <c r="Q1204">
        <v>0.369055194462173</v>
      </c>
      <c r="R1204">
        <v>0.670283961256866</v>
      </c>
      <c r="S1204" t="s">
        <v>2888</v>
      </c>
      <c r="T1204" t="s">
        <v>3344</v>
      </c>
      <c r="U1204" t="s">
        <v>3344</v>
      </c>
      <c r="V1204" t="s">
        <v>3344</v>
      </c>
      <c r="W1204" t="s">
        <v>4546</v>
      </c>
      <c r="X1204">
        <v>5</v>
      </c>
      <c r="Y1204" t="s">
        <v>6203</v>
      </c>
      <c r="Z1204" t="s">
        <v>7861</v>
      </c>
      <c r="AA1204">
        <v>0.9443308862082559</v>
      </c>
      <c r="AB1204">
        <f>HYPERLINK("Melting_Curves/meltCurve_P37325_ybcH.pdf", "Melting_Curves/meltCurve_P37325_ybcH.pdf")</f>
        <v>0</v>
      </c>
    </row>
    <row r="1205" spans="1:28">
      <c r="A1205" t="s">
        <v>1231</v>
      </c>
      <c r="B1205">
        <v>0.999998419929286</v>
      </c>
      <c r="C1205">
        <v>0.950054466263602</v>
      </c>
      <c r="D1205">
        <v>0.997471175881109</v>
      </c>
      <c r="E1205">
        <v>1.07860459184022</v>
      </c>
      <c r="F1205">
        <v>1.21042865171787</v>
      </c>
      <c r="G1205">
        <v>1.48276950162645</v>
      </c>
      <c r="H1205">
        <v>1.31875493793138</v>
      </c>
      <c r="I1205">
        <v>1.27350626172704</v>
      </c>
      <c r="J1205">
        <v>1.24744427155346</v>
      </c>
      <c r="K1205">
        <v>1.28900195792373</v>
      </c>
      <c r="L1205">
        <v>1861.00111918036</v>
      </c>
      <c r="M1205">
        <v>38.4114940068559</v>
      </c>
      <c r="O1205">
        <v>48.3183098643927</v>
      </c>
      <c r="P1205">
        <v>0.06307529802853989</v>
      </c>
      <c r="Q1205">
        <v>1.31737213604634</v>
      </c>
      <c r="R1205">
        <v>0.842073971721802</v>
      </c>
      <c r="S1205" t="s">
        <v>2889</v>
      </c>
      <c r="T1205" t="s">
        <v>3344</v>
      </c>
      <c r="U1205" t="s">
        <v>3344</v>
      </c>
      <c r="V1205" t="s">
        <v>3344</v>
      </c>
      <c r="W1205" t="s">
        <v>4547</v>
      </c>
      <c r="X1205">
        <v>19</v>
      </c>
      <c r="Y1205" t="s">
        <v>6204</v>
      </c>
      <c r="Z1205" t="s">
        <v>7862</v>
      </c>
      <c r="AA1205">
        <v>1.195098445009966</v>
      </c>
      <c r="AB1205">
        <f>HYPERLINK("Melting_Curves/meltCurve_P37329_modA.pdf", "Melting_Curves/meltCurve_P37329_modA.pdf")</f>
        <v>0</v>
      </c>
    </row>
    <row r="1206" spans="1:28">
      <c r="A1206" t="s">
        <v>1232</v>
      </c>
      <c r="B1206">
        <v>0.999998419929286</v>
      </c>
      <c r="C1206">
        <v>1.32010091997663</v>
      </c>
      <c r="D1206">
        <v>1.40499501675106</v>
      </c>
      <c r="E1206">
        <v>1.38700516882504</v>
      </c>
      <c r="F1206">
        <v>0.382887478909395</v>
      </c>
      <c r="G1206">
        <v>0.203045827685311</v>
      </c>
      <c r="H1206">
        <v>0.115123936541676</v>
      </c>
      <c r="I1206">
        <v>0.09073943803317799</v>
      </c>
      <c r="J1206">
        <v>0.0847899938186728</v>
      </c>
      <c r="K1206">
        <v>0.0715134288247016</v>
      </c>
      <c r="L1206">
        <v>12508.4743775146</v>
      </c>
      <c r="M1206">
        <v>250</v>
      </c>
      <c r="N1206">
        <v>50.0852441211602</v>
      </c>
      <c r="O1206">
        <v>50.0306958639892</v>
      </c>
      <c r="P1206">
        <v>-1.10801663002428</v>
      </c>
      <c r="Q1206">
        <v>0.1130425159707</v>
      </c>
      <c r="R1206">
        <v>0.866001911017897</v>
      </c>
      <c r="S1206" t="s">
        <v>2890</v>
      </c>
      <c r="T1206" t="s">
        <v>3344</v>
      </c>
      <c r="U1206" t="s">
        <v>3344</v>
      </c>
      <c r="V1206" t="s">
        <v>3344</v>
      </c>
      <c r="W1206" t="s">
        <v>4548</v>
      </c>
      <c r="X1206">
        <v>20</v>
      </c>
      <c r="Y1206" t="s">
        <v>6205</v>
      </c>
      <c r="Z1206" t="s">
        <v>7863</v>
      </c>
      <c r="AA1206">
        <v>0.4984708299850372</v>
      </c>
      <c r="AB1206">
        <f>HYPERLINK("Melting_Curves/meltCurve_P37330_glcB.pdf", "Melting_Curves/meltCurve_P37330_glcB.pdf")</f>
        <v>0</v>
      </c>
    </row>
    <row r="1207" spans="1:28">
      <c r="A1207" t="s">
        <v>1233</v>
      </c>
      <c r="B1207">
        <v>0.999998419929286</v>
      </c>
      <c r="C1207">
        <v>1.21399685715442</v>
      </c>
      <c r="D1207">
        <v>1.24113012302864</v>
      </c>
      <c r="E1207">
        <v>1.33343881039614</v>
      </c>
      <c r="F1207">
        <v>0.878400513025545</v>
      </c>
      <c r="G1207">
        <v>0.681269347211832</v>
      </c>
      <c r="H1207">
        <v>0.453082306453193</v>
      </c>
      <c r="I1207">
        <v>0.243384399985098</v>
      </c>
      <c r="J1207">
        <v>0.273735829947228</v>
      </c>
      <c r="K1207">
        <v>0.238044577990316</v>
      </c>
      <c r="L1207">
        <v>1445.07379874651</v>
      </c>
      <c r="M1207">
        <v>26.4195491943503</v>
      </c>
      <c r="N1207">
        <v>56.0703220741438</v>
      </c>
      <c r="O1207">
        <v>54.3866510479423</v>
      </c>
      <c r="P1207">
        <v>-0.09251619462847351</v>
      </c>
      <c r="Q1207">
        <v>0.238201781659294</v>
      </c>
      <c r="R1207">
        <v>0.866808718389267</v>
      </c>
      <c r="S1207" t="s">
        <v>2891</v>
      </c>
      <c r="T1207" t="s">
        <v>3344</v>
      </c>
      <c r="U1207" t="s">
        <v>3344</v>
      </c>
      <c r="V1207" t="s">
        <v>3344</v>
      </c>
      <c r="W1207" t="s">
        <v>4549</v>
      </c>
      <c r="X1207">
        <v>1</v>
      </c>
      <c r="Y1207" t="s">
        <v>6206</v>
      </c>
      <c r="Z1207" t="s">
        <v>7864</v>
      </c>
      <c r="AA1207">
        <v>0.6935913481899748</v>
      </c>
      <c r="AB1207">
        <f>HYPERLINK("Melting_Curves/meltCurve_P37339_lhgO.pdf", "Melting_Curves/meltCurve_P37339_lhgO.pdf")</f>
        <v>0</v>
      </c>
    </row>
    <row r="1208" spans="1:28">
      <c r="A1208" t="s">
        <v>1234</v>
      </c>
      <c r="B1208">
        <v>0.999998419929286</v>
      </c>
      <c r="C1208">
        <v>0.750787766769564</v>
      </c>
      <c r="D1208">
        <v>0.280998835521666</v>
      </c>
      <c r="E1208">
        <v>0.164636220592652</v>
      </c>
      <c r="F1208">
        <v>0.102294065410115</v>
      </c>
      <c r="G1208">
        <v>0.118057789122314</v>
      </c>
      <c r="H1208">
        <v>0.07189502392800939</v>
      </c>
      <c r="I1208">
        <v>0.0577870531484112</v>
      </c>
      <c r="J1208">
        <v>0.0596138806631188</v>
      </c>
      <c r="K1208">
        <v>0.0439401501458191</v>
      </c>
      <c r="L1208">
        <v>1206.0900947691</v>
      </c>
      <c r="M1208">
        <v>29.2355358270189</v>
      </c>
      <c r="N1208">
        <v>41.5057971657703</v>
      </c>
      <c r="O1208">
        <v>41.0626758666501</v>
      </c>
      <c r="P1208">
        <v>-0.163544351462096</v>
      </c>
      <c r="Q1208">
        <v>0.08118390629490441</v>
      </c>
      <c r="R1208">
        <v>0.9920815821354509</v>
      </c>
      <c r="S1208" t="s">
        <v>2892</v>
      </c>
      <c r="T1208" t="s">
        <v>3344</v>
      </c>
      <c r="U1208" t="s">
        <v>3344</v>
      </c>
      <c r="V1208" t="s">
        <v>3344</v>
      </c>
      <c r="W1208" t="s">
        <v>4550</v>
      </c>
      <c r="X1208">
        <v>1</v>
      </c>
      <c r="Y1208" t="s">
        <v>6207</v>
      </c>
      <c r="Z1208" t="s">
        <v>7865</v>
      </c>
      <c r="AA1208">
        <v>0.2175409940600349</v>
      </c>
      <c r="AB1208">
        <f>HYPERLINK("Melting_Curves/meltCurve_P37340_mdtK.pdf", "Melting_Curves/meltCurve_P37340_mdtK.pdf")</f>
        <v>0</v>
      </c>
    </row>
    <row r="1209" spans="1:28">
      <c r="A1209" t="s">
        <v>1235</v>
      </c>
      <c r="B1209">
        <v>0.999998419929286</v>
      </c>
      <c r="C1209">
        <v>1.03382755341188</v>
      </c>
      <c r="D1209">
        <v>0.908416995489531</v>
      </c>
      <c r="E1209">
        <v>0.705553971597375</v>
      </c>
      <c r="F1209">
        <v>0.377783104248646</v>
      </c>
      <c r="G1209">
        <v>0.382029012773499</v>
      </c>
      <c r="H1209">
        <v>0.234057946220893</v>
      </c>
      <c r="I1209">
        <v>0.0887970186836292</v>
      </c>
      <c r="J1209">
        <v>0.08518855094545549</v>
      </c>
      <c r="K1209">
        <v>0.0774977534021362</v>
      </c>
      <c r="L1209">
        <v>663.815586573401</v>
      </c>
      <c r="M1209">
        <v>13.4614568413328</v>
      </c>
      <c r="N1209">
        <v>49.7997905876532</v>
      </c>
      <c r="O1209">
        <v>48.2622290577031</v>
      </c>
      <c r="P1209">
        <v>-0.0654364907528092</v>
      </c>
      <c r="Q1209">
        <v>0.0617289175757151</v>
      </c>
      <c r="R1209">
        <v>0.979637637163597</v>
      </c>
      <c r="S1209" t="s">
        <v>2893</v>
      </c>
      <c r="T1209" t="s">
        <v>3344</v>
      </c>
      <c r="U1209" t="s">
        <v>3344</v>
      </c>
      <c r="V1209" t="s">
        <v>3344</v>
      </c>
      <c r="W1209" t="s">
        <v>4551</v>
      </c>
      <c r="X1209">
        <v>2</v>
      </c>
      <c r="Y1209" t="s">
        <v>6208</v>
      </c>
      <c r="Z1209" t="s">
        <v>7866</v>
      </c>
      <c r="AA1209">
        <v>0.4702803134077189</v>
      </c>
      <c r="AB1209">
        <f>HYPERLINK("Melting_Curves/meltCurve_P37342_yjjI.pdf", "Melting_Curves/meltCurve_P37342_yjjI.pdf")</f>
        <v>0</v>
      </c>
    </row>
    <row r="1210" spans="1:28">
      <c r="A1210" t="s">
        <v>1236</v>
      </c>
      <c r="B1210">
        <v>0.999998419929286</v>
      </c>
      <c r="C1210">
        <v>1.17462621858839</v>
      </c>
      <c r="D1210">
        <v>1.14737972738004</v>
      </c>
      <c r="E1210">
        <v>1.28924202267879</v>
      </c>
      <c r="F1210">
        <v>1.12612552957074</v>
      </c>
      <c r="G1210">
        <v>0.5137634910889251</v>
      </c>
      <c r="H1210">
        <v>0.221337784175478</v>
      </c>
      <c r="I1210">
        <v>0.145428810949963</v>
      </c>
      <c r="J1210">
        <v>0.112907089250657</v>
      </c>
      <c r="K1210">
        <v>0.0938673637964899</v>
      </c>
      <c r="L1210">
        <v>6932.91454214559</v>
      </c>
      <c r="M1210">
        <v>129.135903456082</v>
      </c>
      <c r="N1210">
        <v>53.8277247759462</v>
      </c>
      <c r="O1210">
        <v>53.6740718381005</v>
      </c>
      <c r="P1210">
        <v>-0.5152804985557849</v>
      </c>
      <c r="Q1210">
        <v>0.143314564988658</v>
      </c>
      <c r="R1210">
        <v>0.930635651676964</v>
      </c>
      <c r="S1210" t="s">
        <v>2894</v>
      </c>
      <c r="T1210" t="s">
        <v>3344</v>
      </c>
      <c r="U1210" t="s">
        <v>3344</v>
      </c>
      <c r="V1210" t="s">
        <v>3344</v>
      </c>
      <c r="W1210" t="s">
        <v>4552</v>
      </c>
      <c r="X1210">
        <v>4</v>
      </c>
      <c r="Y1210" t="s">
        <v>6209</v>
      </c>
      <c r="Z1210" t="s">
        <v>7867</v>
      </c>
      <c r="AA1210">
        <v>0.6201332202949693</v>
      </c>
      <c r="AB1210">
        <f>HYPERLINK("Melting_Curves/meltCurve_P37349_dhaM.pdf", "Melting_Curves/meltCurve_P37349_dhaM.pdf")</f>
        <v>0</v>
      </c>
    </row>
    <row r="1211" spans="1:28">
      <c r="A1211" t="s">
        <v>1237</v>
      </c>
      <c r="B1211">
        <v>0.999998419929286</v>
      </c>
      <c r="C1211">
        <v>0.826725429249497</v>
      </c>
      <c r="D1211">
        <v>0.7632231797214371</v>
      </c>
      <c r="E1211">
        <v>0.911248259030046</v>
      </c>
      <c r="F1211">
        <v>0.940978908765994</v>
      </c>
      <c r="G1211">
        <v>1.04600340305642</v>
      </c>
      <c r="H1211">
        <v>0.829094394292709</v>
      </c>
      <c r="I1211">
        <v>0.455405793271245</v>
      </c>
      <c r="J1211">
        <v>0.265487464517384</v>
      </c>
      <c r="K1211">
        <v>0.13983771033673</v>
      </c>
      <c r="L1211">
        <v>1889.07756940064</v>
      </c>
      <c r="M1211">
        <v>31.4230269488926</v>
      </c>
      <c r="N1211">
        <v>60.6829361313123</v>
      </c>
      <c r="O1211">
        <v>59.875711368585</v>
      </c>
      <c r="P1211">
        <v>-0.114553531062561</v>
      </c>
      <c r="Q1211">
        <v>0.126890321757542</v>
      </c>
      <c r="R1211">
        <v>0.886303165599477</v>
      </c>
      <c r="S1211" t="s">
        <v>2895</v>
      </c>
      <c r="T1211" t="s">
        <v>3344</v>
      </c>
      <c r="U1211" t="s">
        <v>3344</v>
      </c>
      <c r="V1211" t="s">
        <v>3344</v>
      </c>
      <c r="W1211" t="s">
        <v>4553</v>
      </c>
      <c r="X1211">
        <v>1</v>
      </c>
      <c r="Y1211" t="s">
        <v>6210</v>
      </c>
      <c r="Z1211" t="s">
        <v>7868</v>
      </c>
      <c r="AA1211">
        <v>0.8027058938783266</v>
      </c>
      <c r="AB1211">
        <f>HYPERLINK("Melting_Curves/meltCurve_P37351_rpiB.pdf", "Melting_Curves/meltCurve_P37351_rpiB.pdf")</f>
        <v>0</v>
      </c>
    </row>
    <row r="1212" spans="1:28">
      <c r="A1212" t="s">
        <v>1238</v>
      </c>
      <c r="B1212">
        <v>0.999998419929286</v>
      </c>
      <c r="C1212">
        <v>0.994845164445113</v>
      </c>
      <c r="D1212">
        <v>1.05747200898307</v>
      </c>
      <c r="E1212">
        <v>1.16509307583717</v>
      </c>
      <c r="F1212">
        <v>1.4221289188865</v>
      </c>
      <c r="G1212">
        <v>1.54119860600515</v>
      </c>
      <c r="H1212">
        <v>1.3265094754117</v>
      </c>
      <c r="I1212">
        <v>1.17483633423644</v>
      </c>
      <c r="J1212">
        <v>1.38127831069715</v>
      </c>
      <c r="K1212">
        <v>1.47590317022699</v>
      </c>
      <c r="L1212">
        <v>11663.7768028604</v>
      </c>
      <c r="M1212">
        <v>250</v>
      </c>
      <c r="O1212">
        <v>46.652121933845</v>
      </c>
      <c r="P1212">
        <v>0.518432751362934</v>
      </c>
      <c r="Q1212">
        <v>1.38697580362535</v>
      </c>
      <c r="R1212">
        <v>0.7678465846754891</v>
      </c>
      <c r="S1212" t="s">
        <v>2896</v>
      </c>
      <c r="T1212" t="s">
        <v>3344</v>
      </c>
      <c r="U1212" t="s">
        <v>3344</v>
      </c>
      <c r="V1212" t="s">
        <v>3344</v>
      </c>
      <c r="W1212" t="s">
        <v>4554</v>
      </c>
      <c r="X1212">
        <v>10</v>
      </c>
      <c r="Y1212" t="s">
        <v>6211</v>
      </c>
      <c r="Z1212" t="s">
        <v>7869</v>
      </c>
      <c r="AA1212">
        <v>1.262401022697324</v>
      </c>
      <c r="AB1212">
        <f>HYPERLINK("Melting_Curves/meltCurve_P37387_xylF.pdf", "Melting_Curves/meltCurve_P37387_xylF.pdf")</f>
        <v>0</v>
      </c>
    </row>
    <row r="1213" spans="1:28">
      <c r="A1213" t="s">
        <v>1239</v>
      </c>
      <c r="B1213">
        <v>0.999998419929286</v>
      </c>
      <c r="C1213">
        <v>0.802387465335851</v>
      </c>
      <c r="D1213">
        <v>0.885804512598322</v>
      </c>
      <c r="E1213">
        <v>0.682011104953101</v>
      </c>
      <c r="F1213">
        <v>0.494780569293862</v>
      </c>
      <c r="G1213">
        <v>0.236624335972904</v>
      </c>
      <c r="H1213">
        <v>0.101091138076566</v>
      </c>
      <c r="I1213">
        <v>0.0705045455084103</v>
      </c>
      <c r="J1213">
        <v>0.043711914839617</v>
      </c>
      <c r="K1213">
        <v>0.0586155621566792</v>
      </c>
      <c r="L1213">
        <v>615.3748754929589</v>
      </c>
      <c r="M1213">
        <v>12.4847639908663</v>
      </c>
      <c r="N1213">
        <v>49.2900533452805</v>
      </c>
      <c r="O1213">
        <v>48.0767299713473</v>
      </c>
      <c r="P1213">
        <v>-0.0649344554844213</v>
      </c>
      <c r="Q1213">
        <v>0</v>
      </c>
      <c r="R1213">
        <v>0.978000137572986</v>
      </c>
      <c r="S1213" t="s">
        <v>2897</v>
      </c>
      <c r="T1213" t="s">
        <v>3344</v>
      </c>
      <c r="U1213" t="s">
        <v>3344</v>
      </c>
      <c r="V1213" t="s">
        <v>3344</v>
      </c>
      <c r="W1213" t="s">
        <v>4555</v>
      </c>
      <c r="X1213">
        <v>8</v>
      </c>
      <c r="Y1213" t="s">
        <v>6212</v>
      </c>
      <c r="Z1213" t="s">
        <v>7870</v>
      </c>
      <c r="AA1213">
        <v>0.4374347100253667</v>
      </c>
      <c r="AB1213">
        <f>HYPERLINK("Melting_Curves/meltCurve_P37440_ucpA.pdf", "Melting_Curves/meltCurve_P37440_ucpA.pdf")</f>
        <v>0</v>
      </c>
    </row>
    <row r="1214" spans="1:28">
      <c r="A1214" t="s">
        <v>1240</v>
      </c>
      <c r="B1214">
        <v>0.999998419929286</v>
      </c>
      <c r="C1214">
        <v>0.936652956042446</v>
      </c>
      <c r="D1214">
        <v>0.926151617981619</v>
      </c>
      <c r="E1214">
        <v>1.01876359272721</v>
      </c>
      <c r="F1214">
        <v>1.04957897790391</v>
      </c>
      <c r="G1214">
        <v>1.18650857230244</v>
      </c>
      <c r="H1214">
        <v>1.10796276516598</v>
      </c>
      <c r="I1214">
        <v>1.06467416835283</v>
      </c>
      <c r="J1214">
        <v>1.18124798484305</v>
      </c>
      <c r="K1214">
        <v>1.07366308614353</v>
      </c>
      <c r="L1214">
        <v>12569.5814893443</v>
      </c>
      <c r="M1214">
        <v>250</v>
      </c>
      <c r="O1214">
        <v>50.2751084718659</v>
      </c>
      <c r="P1214">
        <v>0.152674104724694</v>
      </c>
      <c r="Q1214">
        <v>1.12281131468511</v>
      </c>
      <c r="R1214">
        <v>0.673819782590205</v>
      </c>
      <c r="S1214" t="s">
        <v>2898</v>
      </c>
      <c r="T1214" t="s">
        <v>3344</v>
      </c>
      <c r="U1214" t="s">
        <v>3344</v>
      </c>
      <c r="V1214" t="s">
        <v>3344</v>
      </c>
      <c r="W1214" t="s">
        <v>4556</v>
      </c>
      <c r="X1214">
        <v>4</v>
      </c>
      <c r="Y1214" t="s">
        <v>6213</v>
      </c>
      <c r="Z1214" t="s">
        <v>7871</v>
      </c>
      <c r="AA1214">
        <v>1.068442855844915</v>
      </c>
      <c r="AB1214">
        <f>HYPERLINK("Melting_Curves/meltCurve_P37595_iaaA.pdf", "Melting_Curves/meltCurve_P37595_iaaA.pdf")</f>
        <v>0</v>
      </c>
    </row>
    <row r="1215" spans="1:28">
      <c r="A1215" t="s">
        <v>1241</v>
      </c>
      <c r="B1215">
        <v>0.999998419929286</v>
      </c>
      <c r="C1215">
        <v>0.559406851716523</v>
      </c>
      <c r="D1215">
        <v>0.768791619760572</v>
      </c>
      <c r="E1215">
        <v>0.671443592573555</v>
      </c>
      <c r="F1215">
        <v>0.518111689955733</v>
      </c>
      <c r="G1215">
        <v>0.197687815360672</v>
      </c>
      <c r="H1215">
        <v>0.0616978557784526</v>
      </c>
      <c r="I1215">
        <v>0.0282481339163534</v>
      </c>
      <c r="J1215">
        <v>0.0269106535408103</v>
      </c>
      <c r="K1215">
        <v>0.017112510577965</v>
      </c>
      <c r="L1215">
        <v>463.625315754734</v>
      </c>
      <c r="M1215">
        <v>9.73350195284322</v>
      </c>
      <c r="N1215">
        <v>47.6319127456141</v>
      </c>
      <c r="O1215">
        <v>45.7518298613025</v>
      </c>
      <c r="P1215">
        <v>-0.0532150886192657</v>
      </c>
      <c r="Q1215">
        <v>0</v>
      </c>
      <c r="R1215">
        <v>0.8692165506334339</v>
      </c>
      <c r="S1215" t="s">
        <v>2899</v>
      </c>
      <c r="T1215" t="s">
        <v>3344</v>
      </c>
      <c r="U1215" t="s">
        <v>3344</v>
      </c>
      <c r="V1215" t="s">
        <v>3344</v>
      </c>
      <c r="W1215" t="s">
        <v>4557</v>
      </c>
      <c r="X1215">
        <v>3</v>
      </c>
      <c r="Y1215" t="s">
        <v>6214</v>
      </c>
      <c r="Z1215" t="s">
        <v>7872</v>
      </c>
      <c r="AA1215">
        <v>0.3971374296850787</v>
      </c>
      <c r="AB1215">
        <f>HYPERLINK("Melting_Curves/meltCurve_P37613_panM.pdf", "Melting_Curves/meltCurve_P37613_panM.pdf")</f>
        <v>0</v>
      </c>
    </row>
    <row r="1216" spans="1:28">
      <c r="A1216" t="s">
        <v>1242</v>
      </c>
      <c r="B1216">
        <v>0.999998419929286</v>
      </c>
      <c r="C1216">
        <v>0.916152871476429</v>
      </c>
      <c r="D1216">
        <v>0.775427455222145</v>
      </c>
      <c r="E1216">
        <v>0.627245614586901</v>
      </c>
      <c r="F1216">
        <v>0.606543876282979</v>
      </c>
      <c r="G1216">
        <v>0.430573756856273</v>
      </c>
      <c r="H1216">
        <v>0.472920469022479</v>
      </c>
      <c r="I1216">
        <v>0.260666123589745</v>
      </c>
      <c r="J1216">
        <v>0.26208617923368</v>
      </c>
      <c r="K1216">
        <v>0.23258572310814</v>
      </c>
      <c r="L1216">
        <v>361.927902478859</v>
      </c>
      <c r="M1216">
        <v>7.13066437620838</v>
      </c>
      <c r="N1216">
        <v>52.4335075160086</v>
      </c>
      <c r="O1216">
        <v>47.2190208569711</v>
      </c>
      <c r="P1216">
        <v>-0.0339625381131939</v>
      </c>
      <c r="Q1216">
        <v>0.101960758640516</v>
      </c>
      <c r="R1216">
        <v>0.965646514020939</v>
      </c>
      <c r="S1216" t="s">
        <v>2900</v>
      </c>
      <c r="T1216" t="s">
        <v>3344</v>
      </c>
      <c r="U1216" t="s">
        <v>3344</v>
      </c>
      <c r="V1216" t="s">
        <v>3344</v>
      </c>
      <c r="W1216" t="s">
        <v>4558</v>
      </c>
      <c r="X1216">
        <v>3</v>
      </c>
      <c r="Y1216" t="s">
        <v>6215</v>
      </c>
      <c r="Z1216" t="s">
        <v>7873</v>
      </c>
      <c r="AA1216">
        <v>0.5481622266810828</v>
      </c>
      <c r="AB1216">
        <f>HYPERLINK("Melting_Curves/meltCurve_P37617_zntA.pdf", "Melting_Curves/meltCurve_P37617_zntA.pdf")</f>
        <v>0</v>
      </c>
    </row>
    <row r="1217" spans="1:28">
      <c r="A1217" t="s">
        <v>1243</v>
      </c>
      <c r="B1217">
        <v>0.999998419929286</v>
      </c>
      <c r="C1217">
        <v>0.915043905384049</v>
      </c>
      <c r="D1217">
        <v>0.745696040319046</v>
      </c>
      <c r="E1217">
        <v>0.438938707696656</v>
      </c>
      <c r="F1217">
        <v>0.29742439485676</v>
      </c>
      <c r="G1217">
        <v>0.243318615172792</v>
      </c>
      <c r="H1217">
        <v>0.208826525756803</v>
      </c>
      <c r="I1217">
        <v>0.173524987311864</v>
      </c>
      <c r="J1217">
        <v>0.163499279840105</v>
      </c>
      <c r="K1217">
        <v>0.157990076634625</v>
      </c>
      <c r="L1217">
        <v>775.541268686452</v>
      </c>
      <c r="M1217">
        <v>17.2698381162782</v>
      </c>
      <c r="N1217">
        <v>46.0357444142407</v>
      </c>
      <c r="O1217">
        <v>44.3181141475793</v>
      </c>
      <c r="P1217">
        <v>-0.080612674233004</v>
      </c>
      <c r="Q1217">
        <v>0.172570347577283</v>
      </c>
      <c r="R1217">
        <v>0.997378878996497</v>
      </c>
      <c r="S1217" t="s">
        <v>2901</v>
      </c>
      <c r="T1217" t="s">
        <v>3344</v>
      </c>
      <c r="U1217" t="s">
        <v>3344</v>
      </c>
      <c r="V1217" t="s">
        <v>3344</v>
      </c>
      <c r="W1217" t="s">
        <v>4559</v>
      </c>
      <c r="X1217">
        <v>12</v>
      </c>
      <c r="Y1217" t="s">
        <v>6216</v>
      </c>
      <c r="Z1217" t="s">
        <v>7874</v>
      </c>
      <c r="AA1217">
        <v>0.4054709400097511</v>
      </c>
      <c r="AB1217">
        <f>HYPERLINK("Melting_Curves/meltCurve_P37626_yhiI.pdf", "Melting_Curves/meltCurve_P37626_yhiI.pdf")</f>
        <v>0</v>
      </c>
    </row>
    <row r="1218" spans="1:28">
      <c r="A1218" t="s">
        <v>1244</v>
      </c>
      <c r="B1218">
        <v>0.999998419929286</v>
      </c>
      <c r="C1218">
        <v>0.81941188286523</v>
      </c>
      <c r="D1218">
        <v>1.07899951956204</v>
      </c>
      <c r="E1218">
        <v>1.00701096055065</v>
      </c>
      <c r="F1218">
        <v>1.30053940416194</v>
      </c>
      <c r="G1218">
        <v>0.654278427752796</v>
      </c>
      <c r="H1218">
        <v>0.169202479736616</v>
      </c>
      <c r="I1218">
        <v>0</v>
      </c>
      <c r="J1218">
        <v>0.0579602340377893</v>
      </c>
      <c r="K1218">
        <v>0.0479743230791809</v>
      </c>
      <c r="L1218">
        <v>3043.7003466819</v>
      </c>
      <c r="M1218">
        <v>55.8997684321634</v>
      </c>
      <c r="N1218">
        <v>54.5588475407847</v>
      </c>
      <c r="O1218">
        <v>54.3796973971903</v>
      </c>
      <c r="P1218">
        <v>-0.243340094879904</v>
      </c>
      <c r="Q1218">
        <v>0.0531085452474793</v>
      </c>
      <c r="R1218">
        <v>0.936425046966733</v>
      </c>
      <c r="S1218" t="s">
        <v>2902</v>
      </c>
      <c r="T1218" t="s">
        <v>3344</v>
      </c>
      <c r="U1218" t="s">
        <v>3344</v>
      </c>
      <c r="V1218" t="s">
        <v>3344</v>
      </c>
      <c r="W1218" t="s">
        <v>4560</v>
      </c>
      <c r="X1218">
        <v>1</v>
      </c>
      <c r="Y1218" t="s">
        <v>6217</v>
      </c>
      <c r="Z1218" t="s">
        <v>7875</v>
      </c>
      <c r="AA1218">
        <v>0.6056760805825415</v>
      </c>
      <c r="AB1218">
        <f>HYPERLINK("Melting_Curves/meltCurve_P37631_yhiN.pdf", "Melting_Curves/meltCurve_P37631_yhiN.pdf")</f>
        <v>0</v>
      </c>
    </row>
    <row r="1219" spans="1:28">
      <c r="A1219" t="s">
        <v>1245</v>
      </c>
      <c r="B1219">
        <v>0.999998419929286</v>
      </c>
      <c r="C1219">
        <v>1.04156422113153</v>
      </c>
      <c r="D1219">
        <v>1.22941290669948</v>
      </c>
      <c r="E1219">
        <v>1.29371063046796</v>
      </c>
      <c r="F1219">
        <v>0.903788203290701</v>
      </c>
      <c r="G1219">
        <v>0.5102290639848041</v>
      </c>
      <c r="H1219">
        <v>0.224098991643456</v>
      </c>
      <c r="I1219">
        <v>0.0864845080144501</v>
      </c>
      <c r="J1219">
        <v>0.09519148137229259</v>
      </c>
      <c r="K1219">
        <v>0.0563930009625335</v>
      </c>
      <c r="L1219">
        <v>1770.67555745269</v>
      </c>
      <c r="M1219">
        <v>32.9608863957716</v>
      </c>
      <c r="N1219">
        <v>54.0122378087145</v>
      </c>
      <c r="O1219">
        <v>53.5239312138803</v>
      </c>
      <c r="P1219">
        <v>-0.141401029246772</v>
      </c>
      <c r="Q1219">
        <v>0.08154119995192601</v>
      </c>
      <c r="R1219">
        <v>0.934916140171581</v>
      </c>
      <c r="S1219" t="s">
        <v>2903</v>
      </c>
      <c r="T1219" t="s">
        <v>3344</v>
      </c>
      <c r="U1219" t="s">
        <v>3344</v>
      </c>
      <c r="V1219" t="s">
        <v>3344</v>
      </c>
      <c r="W1219" t="s">
        <v>4561</v>
      </c>
      <c r="X1219">
        <v>5</v>
      </c>
      <c r="Y1219" t="s">
        <v>6218</v>
      </c>
      <c r="Z1219" t="s">
        <v>7876</v>
      </c>
      <c r="AA1219">
        <v>0.5983675424920258</v>
      </c>
      <c r="AB1219">
        <f>HYPERLINK("Melting_Curves/meltCurve_P37636_mdtE.pdf", "Melting_Curves/meltCurve_P37636_mdtE.pdf")</f>
        <v>0</v>
      </c>
    </row>
    <row r="1220" spans="1:28">
      <c r="A1220" t="s">
        <v>1246</v>
      </c>
      <c r="B1220">
        <v>0.999998419929286</v>
      </c>
      <c r="C1220">
        <v>1.36370133203543</v>
      </c>
      <c r="D1220">
        <v>1.09214608433377</v>
      </c>
      <c r="E1220">
        <v>0.808638860982435</v>
      </c>
      <c r="F1220">
        <v>0.268363284555812</v>
      </c>
      <c r="G1220">
        <v>0.12700700785085</v>
      </c>
      <c r="H1220">
        <v>0.0755898999824739</v>
      </c>
      <c r="I1220">
        <v>0.0510466834275018</v>
      </c>
      <c r="J1220">
        <v>0.0468321719549043</v>
      </c>
      <c r="K1220">
        <v>0.0483406404332918</v>
      </c>
      <c r="L1220">
        <v>1752.07629745416</v>
      </c>
      <c r="M1220">
        <v>36.1593972605718</v>
      </c>
      <c r="N1220">
        <v>48.6358836881358</v>
      </c>
      <c r="O1220">
        <v>48.3067619801598</v>
      </c>
      <c r="P1220">
        <v>-0.175315218687021</v>
      </c>
      <c r="Q1220">
        <v>0.06316089887535729</v>
      </c>
      <c r="R1220">
        <v>0.940076122727009</v>
      </c>
      <c r="S1220" t="s">
        <v>2904</v>
      </c>
      <c r="T1220" t="s">
        <v>3344</v>
      </c>
      <c r="U1220" t="s">
        <v>3344</v>
      </c>
      <c r="V1220" t="s">
        <v>3344</v>
      </c>
      <c r="W1220" t="s">
        <v>4562</v>
      </c>
      <c r="X1220">
        <v>9</v>
      </c>
      <c r="Y1220" t="s">
        <v>6219</v>
      </c>
      <c r="Z1220" t="s">
        <v>7877</v>
      </c>
      <c r="AA1220">
        <v>0.424698623816215</v>
      </c>
      <c r="AB1220">
        <f>HYPERLINK("Melting_Curves/meltCurve_P37637_mdtF.pdf", "Melting_Curves/meltCurve_P37637_mdtF.pdf")</f>
        <v>0</v>
      </c>
    </row>
    <row r="1221" spans="1:28">
      <c r="A1221" t="s">
        <v>1247</v>
      </c>
      <c r="B1221">
        <v>0.999998419929286</v>
      </c>
      <c r="C1221">
        <v>0.801274932735357</v>
      </c>
      <c r="D1221">
        <v>0.876723124928215</v>
      </c>
      <c r="E1221">
        <v>0.833593884811794</v>
      </c>
      <c r="F1221">
        <v>0.761412256352334</v>
      </c>
      <c r="G1221">
        <v>0.649482188890385</v>
      </c>
      <c r="H1221">
        <v>0.390513503479769</v>
      </c>
      <c r="I1221">
        <v>0.180037641324713</v>
      </c>
      <c r="J1221">
        <v>0.108796755015021</v>
      </c>
      <c r="K1221">
        <v>0.0723341123397538</v>
      </c>
      <c r="L1221">
        <v>656.84501559008</v>
      </c>
      <c r="M1221">
        <v>11.9694333798595</v>
      </c>
      <c r="N1221">
        <v>54.8768680101472</v>
      </c>
      <c r="O1221">
        <v>53.4123874102219</v>
      </c>
      <c r="P1221">
        <v>-0.0560373081088571</v>
      </c>
      <c r="Q1221">
        <v>0</v>
      </c>
      <c r="R1221">
        <v>0.944540196867334</v>
      </c>
      <c r="S1221" t="s">
        <v>2905</v>
      </c>
      <c r="T1221" t="s">
        <v>3344</v>
      </c>
      <c r="U1221" t="s">
        <v>3344</v>
      </c>
      <c r="V1221" t="s">
        <v>3344</v>
      </c>
      <c r="W1221" t="s">
        <v>4563</v>
      </c>
      <c r="X1221">
        <v>2</v>
      </c>
      <c r="Y1221" t="s">
        <v>6220</v>
      </c>
      <c r="Z1221" t="s">
        <v>7878</v>
      </c>
      <c r="AA1221">
        <v>0.6105615051442951</v>
      </c>
      <c r="AB1221">
        <f>HYPERLINK("Melting_Curves/meltCurve_P37642_yhjD.pdf", "Melting_Curves/meltCurve_P37642_yhjD.pdf")</f>
        <v>0</v>
      </c>
    </row>
    <row r="1222" spans="1:28">
      <c r="A1222" t="s">
        <v>1248</v>
      </c>
      <c r="B1222">
        <v>0.999998419929286</v>
      </c>
      <c r="C1222">
        <v>1.26963802653899</v>
      </c>
      <c r="D1222">
        <v>1.01880363342085</v>
      </c>
      <c r="E1222">
        <v>0.667751721815499</v>
      </c>
      <c r="F1222">
        <v>0.218909260452808</v>
      </c>
      <c r="G1222">
        <v>0.117137587505502</v>
      </c>
      <c r="H1222">
        <v>0.07392601529453879</v>
      </c>
      <c r="I1222">
        <v>0.0615442438595912</v>
      </c>
      <c r="J1222">
        <v>0.0708780164063907</v>
      </c>
      <c r="K1222">
        <v>0.0419037797991784</v>
      </c>
      <c r="L1222">
        <v>1578.11678645348</v>
      </c>
      <c r="M1222">
        <v>33.1947086028327</v>
      </c>
      <c r="N1222">
        <v>47.7570401433571</v>
      </c>
      <c r="O1222">
        <v>47.3696712653628</v>
      </c>
      <c r="P1222">
        <v>-0.162988431753268</v>
      </c>
      <c r="Q1222">
        <v>0.069649935419675</v>
      </c>
      <c r="R1222">
        <v>0.963162055589413</v>
      </c>
      <c r="S1222" t="s">
        <v>2906</v>
      </c>
      <c r="T1222" t="s">
        <v>3344</v>
      </c>
      <c r="U1222" t="s">
        <v>3344</v>
      </c>
      <c r="V1222" t="s">
        <v>3344</v>
      </c>
      <c r="W1222" t="s">
        <v>4564</v>
      </c>
      <c r="X1222">
        <v>12</v>
      </c>
      <c r="Y1222" t="s">
        <v>6221</v>
      </c>
      <c r="Z1222" t="s">
        <v>7879</v>
      </c>
      <c r="AA1222">
        <v>0.4010050321322163</v>
      </c>
      <c r="AB1222">
        <f>HYPERLINK("Melting_Curves/meltCurve_P37645_yhjG.pdf", "Melting_Curves/meltCurve_P37645_yhjG.pdf")</f>
        <v>0</v>
      </c>
    </row>
    <row r="1223" spans="1:28">
      <c r="A1223" t="s">
        <v>1249</v>
      </c>
      <c r="B1223">
        <v>0.999998419929286</v>
      </c>
      <c r="C1223">
        <v>1.02230207495424</v>
      </c>
      <c r="D1223">
        <v>1.04998573151713</v>
      </c>
      <c r="E1223">
        <v>1.21864271972236</v>
      </c>
      <c r="F1223">
        <v>1.40931449026157</v>
      </c>
      <c r="G1223">
        <v>1.40362585186411</v>
      </c>
      <c r="H1223">
        <v>0.562035574033243</v>
      </c>
      <c r="I1223">
        <v>0.106729025173809</v>
      </c>
      <c r="J1223">
        <v>0.0603323676521631</v>
      </c>
      <c r="K1223">
        <v>0.0472833235210281</v>
      </c>
      <c r="L1223">
        <v>14356.5129810861</v>
      </c>
      <c r="M1223">
        <v>250</v>
      </c>
      <c r="N1223">
        <v>57.4615117656108</v>
      </c>
      <c r="O1223">
        <v>57.4223787519431</v>
      </c>
      <c r="P1223">
        <v>-1.01065992510321</v>
      </c>
      <c r="Q1223">
        <v>0.07144807665335511</v>
      </c>
      <c r="R1223">
        <v>0.858716299602505</v>
      </c>
      <c r="S1223" t="s">
        <v>2907</v>
      </c>
      <c r="T1223" t="s">
        <v>3344</v>
      </c>
      <c r="U1223" t="s">
        <v>3344</v>
      </c>
      <c r="V1223" t="s">
        <v>3344</v>
      </c>
      <c r="W1223" t="s">
        <v>4565</v>
      </c>
      <c r="X1223">
        <v>6</v>
      </c>
      <c r="Y1223" t="s">
        <v>6222</v>
      </c>
      <c r="Z1223" t="s">
        <v>7880</v>
      </c>
      <c r="AA1223">
        <v>0.7037633178372887</v>
      </c>
      <c r="AB1223">
        <f>HYPERLINK("Melting_Curves/meltCurve_P37647_kdgK.pdf", "Melting_Curves/meltCurve_P37647_kdgK.pdf")</f>
        <v>0</v>
      </c>
    </row>
    <row r="1224" spans="1:28">
      <c r="A1224" t="s">
        <v>1250</v>
      </c>
      <c r="B1224">
        <v>0.999998419929286</v>
      </c>
      <c r="C1224">
        <v>1.13105171296</v>
      </c>
      <c r="D1224">
        <v>1.16202802056564</v>
      </c>
      <c r="E1224">
        <v>1.51448677997847</v>
      </c>
      <c r="F1224">
        <v>1.59372286813012</v>
      </c>
      <c r="G1224">
        <v>0.6392072425094431</v>
      </c>
      <c r="H1224">
        <v>0.130287850527026</v>
      </c>
      <c r="I1224">
        <v>0.08865283323133361</v>
      </c>
      <c r="J1224">
        <v>0.0890410024105588</v>
      </c>
      <c r="K1224">
        <v>0.0722625934995131</v>
      </c>
      <c r="L1224">
        <v>12766.6575138259</v>
      </c>
      <c r="M1224">
        <v>236.887552489579</v>
      </c>
      <c r="N1224">
        <v>53.9413410346161</v>
      </c>
      <c r="O1224">
        <v>53.8894824556633</v>
      </c>
      <c r="P1224">
        <v>-0.994483481689266</v>
      </c>
      <c r="Q1224">
        <v>0.09506093568526371</v>
      </c>
      <c r="R1224">
        <v>0.8053301896520531</v>
      </c>
      <c r="S1224" t="s">
        <v>2908</v>
      </c>
      <c r="T1224" t="s">
        <v>3344</v>
      </c>
      <c r="U1224" t="s">
        <v>3344</v>
      </c>
      <c r="V1224" t="s">
        <v>3344</v>
      </c>
      <c r="W1224" t="s">
        <v>4566</v>
      </c>
      <c r="X1224">
        <v>10</v>
      </c>
      <c r="Y1224" t="s">
        <v>6223</v>
      </c>
      <c r="Z1224" t="s">
        <v>7881</v>
      </c>
      <c r="AA1224">
        <v>0.6047372138681144</v>
      </c>
      <c r="AB1224">
        <f>HYPERLINK("Melting_Curves/meltCurve_P37648_yhjJ.pdf", "Melting_Curves/meltCurve_P37648_yhjJ.pdf")</f>
        <v>0</v>
      </c>
    </row>
    <row r="1225" spans="1:28">
      <c r="A1225" t="s">
        <v>1251</v>
      </c>
      <c r="B1225">
        <v>0.999998419929286</v>
      </c>
      <c r="C1225">
        <v>0.848074521524726</v>
      </c>
      <c r="D1225">
        <v>0.770967439160025</v>
      </c>
      <c r="E1225">
        <v>0.829365195791579</v>
      </c>
      <c r="F1225">
        <v>0.907509063795484</v>
      </c>
      <c r="G1225">
        <v>0.897237493450311</v>
      </c>
      <c r="H1225">
        <v>0.559744395788854</v>
      </c>
      <c r="I1225">
        <v>0.30761086405466</v>
      </c>
      <c r="J1225">
        <v>0.146909402751041</v>
      </c>
      <c r="K1225">
        <v>0</v>
      </c>
      <c r="L1225">
        <v>1205.44930935873</v>
      </c>
      <c r="M1225">
        <v>20.6745992946645</v>
      </c>
      <c r="N1225">
        <v>58.3058280237226</v>
      </c>
      <c r="O1225">
        <v>57.7685432379838</v>
      </c>
      <c r="P1225">
        <v>-0.0894742552432547</v>
      </c>
      <c r="Q1225">
        <v>0</v>
      </c>
      <c r="R1225">
        <v>0.8998612540357031</v>
      </c>
      <c r="S1225" t="s">
        <v>2909</v>
      </c>
      <c r="T1225" t="s">
        <v>3344</v>
      </c>
      <c r="U1225" t="s">
        <v>3344</v>
      </c>
      <c r="V1225" t="s">
        <v>3344</v>
      </c>
      <c r="W1225" t="s">
        <v>4567</v>
      </c>
      <c r="X1225">
        <v>1</v>
      </c>
      <c r="Y1225" t="s">
        <v>6224</v>
      </c>
      <c r="Z1225" t="s">
        <v>7882</v>
      </c>
      <c r="AA1225">
        <v>0.716334466780475</v>
      </c>
      <c r="AB1225">
        <f>HYPERLINK("Melting_Curves/meltCurve_P37659_bcsG.pdf", "Melting_Curves/meltCurve_P37659_bcsG.pdf")</f>
        <v>0</v>
      </c>
    </row>
    <row r="1226" spans="1:28">
      <c r="A1226" t="s">
        <v>1252</v>
      </c>
      <c r="B1226">
        <v>0.999998419929286</v>
      </c>
      <c r="C1226">
        <v>0.8873064043050291</v>
      </c>
      <c r="D1226">
        <v>0.926580598010189</v>
      </c>
      <c r="E1226">
        <v>1.01854947980353</v>
      </c>
      <c r="F1226">
        <v>1.47289442858385</v>
      </c>
      <c r="G1226">
        <v>1.28331732675026</v>
      </c>
      <c r="H1226">
        <v>1.05948800686745</v>
      </c>
      <c r="I1226">
        <v>0.753109065598514</v>
      </c>
      <c r="J1226">
        <v>0.977528501330063</v>
      </c>
      <c r="K1226">
        <v>0.996352379168523</v>
      </c>
      <c r="L1226">
        <v>11713.134111995</v>
      </c>
      <c r="M1226">
        <v>250</v>
      </c>
      <c r="O1226">
        <v>46.849537556495</v>
      </c>
      <c r="P1226">
        <v>0.12066324635742</v>
      </c>
      <c r="Q1226">
        <v>1.09044827780026</v>
      </c>
      <c r="R1226">
        <v>0.0947232346281629</v>
      </c>
      <c r="S1226" t="s">
        <v>2910</v>
      </c>
      <c r="T1226" t="s">
        <v>3344</v>
      </c>
      <c r="U1226" t="s">
        <v>3344</v>
      </c>
      <c r="V1226" t="s">
        <v>3344</v>
      </c>
      <c r="W1226" t="s">
        <v>4568</v>
      </c>
      <c r="X1226">
        <v>1</v>
      </c>
      <c r="Y1226" t="s">
        <v>6225</v>
      </c>
      <c r="Z1226" t="s">
        <v>7883</v>
      </c>
      <c r="AA1226">
        <v>1.060736008858431</v>
      </c>
      <c r="AB1226">
        <f>HYPERLINK("Melting_Curves/meltCurve_P37665_yiaD.pdf", "Melting_Curves/meltCurve_P37665_yiaD.pdf")</f>
        <v>0</v>
      </c>
    </row>
    <row r="1227" spans="1:28">
      <c r="A1227" t="s">
        <v>1253</v>
      </c>
      <c r="B1227">
        <v>0.999998419929286</v>
      </c>
      <c r="C1227">
        <v>1.06989624692988</v>
      </c>
      <c r="D1227">
        <v>1.00599843476117</v>
      </c>
      <c r="E1227">
        <v>0.73860307849509</v>
      </c>
      <c r="F1227">
        <v>0.201598076507121</v>
      </c>
      <c r="G1227">
        <v>0.133526273913657</v>
      </c>
      <c r="H1227">
        <v>0.07975243618296191</v>
      </c>
      <c r="I1227">
        <v>0.0481233310699254</v>
      </c>
      <c r="J1227">
        <v>0.0364854753793416</v>
      </c>
      <c r="K1227">
        <v>0.0359331636748228</v>
      </c>
      <c r="L1227">
        <v>1691.63905780382</v>
      </c>
      <c r="M1227">
        <v>35.3447070242954</v>
      </c>
      <c r="N1227">
        <v>48.0362813295476</v>
      </c>
      <c r="O1227">
        <v>47.708739565518</v>
      </c>
      <c r="P1227">
        <v>-0.174016395427835</v>
      </c>
      <c r="Q1227">
        <v>0.0604449996768519</v>
      </c>
      <c r="R1227">
        <v>0.994557124804203</v>
      </c>
      <c r="S1227" t="s">
        <v>2911</v>
      </c>
      <c r="T1227" t="s">
        <v>3344</v>
      </c>
      <c r="U1227" t="s">
        <v>3344</v>
      </c>
      <c r="V1227" t="s">
        <v>3344</v>
      </c>
      <c r="W1227" t="s">
        <v>4569</v>
      </c>
      <c r="X1227">
        <v>5</v>
      </c>
      <c r="Y1227" t="s">
        <v>6226</v>
      </c>
      <c r="Z1227" t="s">
        <v>7884</v>
      </c>
      <c r="AA1227">
        <v>0.4045898288024145</v>
      </c>
      <c r="AB1227">
        <f>HYPERLINK("Melting_Curves/meltCurve_P37666_ghrB.pdf", "Melting_Curves/meltCurve_P37666_ghrB.pdf")</f>
        <v>0</v>
      </c>
    </row>
    <row r="1228" spans="1:28">
      <c r="A1228" t="s">
        <v>1254</v>
      </c>
      <c r="B1228">
        <v>0.999998419929286</v>
      </c>
      <c r="C1228">
        <v>1.36407453073031</v>
      </c>
      <c r="D1228">
        <v>1.44108160364427</v>
      </c>
      <c r="E1228">
        <v>1.46929695816249</v>
      </c>
      <c r="F1228">
        <v>1.37474039373061</v>
      </c>
      <c r="G1228">
        <v>1.26233109991211</v>
      </c>
      <c r="H1228">
        <v>0.842650531069851</v>
      </c>
      <c r="I1228">
        <v>0.595699656831187</v>
      </c>
      <c r="J1228">
        <v>0.370795514450791</v>
      </c>
      <c r="K1228">
        <v>0.14828078237096</v>
      </c>
      <c r="L1228">
        <v>1802.34369974152</v>
      </c>
      <c r="M1228">
        <v>29.2388237921805</v>
      </c>
      <c r="N1228">
        <v>62.1065360870145</v>
      </c>
      <c r="O1228">
        <v>61.3559640585914</v>
      </c>
      <c r="P1228">
        <v>-0.107438800480962</v>
      </c>
      <c r="Q1228">
        <v>0.098190448074282</v>
      </c>
      <c r="R1228">
        <v>0.625888312785129</v>
      </c>
      <c r="S1228" t="s">
        <v>2912</v>
      </c>
      <c r="T1228" t="s">
        <v>3344</v>
      </c>
      <c r="U1228" t="s">
        <v>3344</v>
      </c>
      <c r="V1228" t="s">
        <v>3344</v>
      </c>
      <c r="W1228" t="s">
        <v>4570</v>
      </c>
      <c r="X1228">
        <v>12</v>
      </c>
      <c r="Y1228" t="s">
        <v>6227</v>
      </c>
      <c r="Z1228" t="s">
        <v>7885</v>
      </c>
      <c r="AA1228">
        <v>0.8386990226985288</v>
      </c>
      <c r="AB1228">
        <f>HYPERLINK("Melting_Curves/meltCurve_P37685_aldB.pdf", "Melting_Curves/meltCurve_P37685_aldB.pdf")</f>
        <v>0</v>
      </c>
    </row>
    <row r="1229" spans="1:28">
      <c r="A1229" t="s">
        <v>1255</v>
      </c>
      <c r="B1229">
        <v>0.999998419929286</v>
      </c>
      <c r="C1229">
        <v>1.36400151884486</v>
      </c>
      <c r="D1229">
        <v>1.36695393605379</v>
      </c>
      <c r="E1229">
        <v>1.86209352914349</v>
      </c>
      <c r="F1229">
        <v>2.07580061601846</v>
      </c>
      <c r="G1229">
        <v>2.08231208826278</v>
      </c>
      <c r="H1229">
        <v>0.601356924009059</v>
      </c>
      <c r="I1229">
        <v>0.202894535254695</v>
      </c>
      <c r="J1229">
        <v>0.120516313789239</v>
      </c>
      <c r="K1229">
        <v>0.0816542531011583</v>
      </c>
      <c r="L1229">
        <v>14359.0026259381</v>
      </c>
      <c r="M1229">
        <v>250</v>
      </c>
      <c r="N1229">
        <v>57.5084302114312</v>
      </c>
      <c r="O1229">
        <v>57.4323337347274</v>
      </c>
      <c r="P1229">
        <v>-0.941301699235202</v>
      </c>
      <c r="Q1229">
        <v>0.135021528883222</v>
      </c>
      <c r="R1229">
        <v>0.412110559766539</v>
      </c>
      <c r="S1229" t="s">
        <v>2913</v>
      </c>
      <c r="T1229" t="s">
        <v>3344</v>
      </c>
      <c r="U1229" t="s">
        <v>3344</v>
      </c>
      <c r="V1229" t="s">
        <v>3344</v>
      </c>
      <c r="W1229" t="s">
        <v>4571</v>
      </c>
      <c r="X1229">
        <v>9</v>
      </c>
      <c r="Y1229" t="s">
        <v>6228</v>
      </c>
      <c r="Z1229" t="s">
        <v>7886</v>
      </c>
      <c r="AA1229">
        <v>0.7243323554869519</v>
      </c>
      <c r="AB1229">
        <f>HYPERLINK("Melting_Curves/meltCurve_P37689_gpmI.pdf", "Melting_Curves/meltCurve_P37689_gpmI.pdf")</f>
        <v>0</v>
      </c>
    </row>
    <row r="1230" spans="1:28">
      <c r="A1230" t="s">
        <v>1256</v>
      </c>
      <c r="B1230">
        <v>0.999998419929286</v>
      </c>
      <c r="C1230">
        <v>1.19825124931659</v>
      </c>
      <c r="D1230">
        <v>1.13766203285066</v>
      </c>
      <c r="E1230">
        <v>1.06553211862381</v>
      </c>
      <c r="F1230">
        <v>0.509131475235293</v>
      </c>
      <c r="G1230">
        <v>0.154367913738227</v>
      </c>
      <c r="H1230">
        <v>0.09171275196153909</v>
      </c>
      <c r="I1230">
        <v>0.0965907098691411</v>
      </c>
      <c r="J1230">
        <v>0.121886958060409</v>
      </c>
      <c r="K1230">
        <v>0.128363444195217</v>
      </c>
      <c r="L1230">
        <v>5897.51505417271</v>
      </c>
      <c r="M1230">
        <v>117.708464996487</v>
      </c>
      <c r="N1230">
        <v>50.2181294317578</v>
      </c>
      <c r="O1230">
        <v>50.0882679255432</v>
      </c>
      <c r="P1230">
        <v>-0.5178736349905479</v>
      </c>
      <c r="Q1230">
        <v>0.118520719313902</v>
      </c>
      <c r="R1230">
        <v>0.969964133929227</v>
      </c>
      <c r="S1230" t="s">
        <v>2914</v>
      </c>
      <c r="T1230" t="s">
        <v>3344</v>
      </c>
      <c r="U1230" t="s">
        <v>3344</v>
      </c>
      <c r="V1230" t="s">
        <v>3344</v>
      </c>
      <c r="W1230" t="s">
        <v>4572</v>
      </c>
      <c r="X1230">
        <v>1</v>
      </c>
      <c r="Y1230" t="s">
        <v>6229</v>
      </c>
      <c r="Z1230" t="s">
        <v>7887</v>
      </c>
      <c r="AA1230">
        <v>0.503863360966441</v>
      </c>
      <c r="AB1230">
        <f>HYPERLINK("Melting_Curves/meltCurve_P37690_envC.pdf", "Melting_Curves/meltCurve_P37690_envC.pdf")</f>
        <v>0</v>
      </c>
    </row>
    <row r="1231" spans="1:28">
      <c r="A1231" t="s">
        <v>1257</v>
      </c>
      <c r="B1231">
        <v>0.999998419929286</v>
      </c>
      <c r="C1231">
        <v>0.652160942991558</v>
      </c>
      <c r="D1231">
        <v>0.292377887625456</v>
      </c>
      <c r="E1231">
        <v>0.193161128996388</v>
      </c>
      <c r="F1231">
        <v>0.133038660185491</v>
      </c>
      <c r="G1231">
        <v>0.108512441675025</v>
      </c>
      <c r="H1231">
        <v>0.0458047636081485</v>
      </c>
      <c r="I1231">
        <v>0.0391669888811346</v>
      </c>
      <c r="J1231">
        <v>0.0236022276726513</v>
      </c>
      <c r="K1231">
        <v>0.0292426690961607</v>
      </c>
      <c r="L1231">
        <v>910.104713425898</v>
      </c>
      <c r="M1231">
        <v>22.1664807844043</v>
      </c>
      <c r="N1231">
        <v>41.3204397820469</v>
      </c>
      <c r="O1231">
        <v>40.7279196656829</v>
      </c>
      <c r="P1231">
        <v>-0.127123284245349</v>
      </c>
      <c r="Q1231">
        <v>0.0657325889671576</v>
      </c>
      <c r="R1231">
        <v>0.979348629593923</v>
      </c>
      <c r="S1231" t="s">
        <v>2915</v>
      </c>
      <c r="T1231" t="s">
        <v>3344</v>
      </c>
      <c r="U1231" t="s">
        <v>3344</v>
      </c>
      <c r="V1231" t="s">
        <v>3344</v>
      </c>
      <c r="W1231" t="s">
        <v>4573</v>
      </c>
      <c r="X1231">
        <v>2</v>
      </c>
      <c r="Y1231" t="s">
        <v>6230</v>
      </c>
      <c r="Z1231" t="s">
        <v>7888</v>
      </c>
      <c r="AA1231">
        <v>0.2045393838157164</v>
      </c>
      <c r="AB1231">
        <f>HYPERLINK("Melting_Curves/meltCurve_P37744_rfbA.pdf", "Melting_Curves/meltCurve_P37744_rfbA.pdf")</f>
        <v>0</v>
      </c>
    </row>
    <row r="1232" spans="1:28">
      <c r="A1232" t="s">
        <v>1258</v>
      </c>
      <c r="B1232">
        <v>0.999998419929286</v>
      </c>
      <c r="C1232">
        <v>0.739521353295011</v>
      </c>
      <c r="D1232">
        <v>0.343905305999208</v>
      </c>
      <c r="E1232">
        <v>0.144132027844203</v>
      </c>
      <c r="F1232">
        <v>0.134722725407976</v>
      </c>
      <c r="G1232">
        <v>0.170314462067036</v>
      </c>
      <c r="H1232">
        <v>0.07333419329242991</v>
      </c>
      <c r="I1232">
        <v>0.0585620058358992</v>
      </c>
      <c r="J1232">
        <v>0.0549966650066407</v>
      </c>
      <c r="K1232">
        <v>0.0547013858808675</v>
      </c>
      <c r="L1232">
        <v>1058.17399458509</v>
      </c>
      <c r="M1232">
        <v>25.5442008352817</v>
      </c>
      <c r="N1232">
        <v>41.7454728067611</v>
      </c>
      <c r="O1232">
        <v>41.1738098109661</v>
      </c>
      <c r="P1232">
        <v>-0.141300628457784</v>
      </c>
      <c r="Q1232">
        <v>0.0889804281400062</v>
      </c>
      <c r="R1232">
        <v>0.986874513036854</v>
      </c>
      <c r="S1232" t="s">
        <v>2916</v>
      </c>
      <c r="T1232" t="s">
        <v>3344</v>
      </c>
      <c r="U1232" t="s">
        <v>3344</v>
      </c>
      <c r="V1232" t="s">
        <v>3344</v>
      </c>
      <c r="W1232" t="s">
        <v>4574</v>
      </c>
      <c r="X1232">
        <v>1</v>
      </c>
      <c r="Y1232" t="s">
        <v>6231</v>
      </c>
      <c r="Z1232" t="s">
        <v>7889</v>
      </c>
      <c r="AA1232">
        <v>0.2315303596195015</v>
      </c>
      <c r="AB1232">
        <f>HYPERLINK("Melting_Curves/meltCurve_P37747_glf.pdf", "Melting_Curves/meltCurve_P37747_glf.pdf")</f>
        <v>0</v>
      </c>
    </row>
    <row r="1233" spans="1:28">
      <c r="A1233" t="s">
        <v>1259</v>
      </c>
      <c r="B1233">
        <v>0.999998419929286</v>
      </c>
      <c r="C1233">
        <v>0.828617030703436</v>
      </c>
      <c r="D1233">
        <v>0.623058649958241</v>
      </c>
      <c r="E1233">
        <v>0.60288713031075</v>
      </c>
      <c r="F1233">
        <v>0.5112400059271101</v>
      </c>
      <c r="G1233">
        <v>0.686241125747141</v>
      </c>
      <c r="H1233">
        <v>0.414563679160321</v>
      </c>
      <c r="I1233">
        <v>0.484730528775003</v>
      </c>
      <c r="J1233">
        <v>0.354146917082277</v>
      </c>
      <c r="K1233">
        <v>0.380279057231633</v>
      </c>
      <c r="L1233">
        <v>389.390159723171</v>
      </c>
      <c r="M1233">
        <v>8.871603919050919</v>
      </c>
      <c r="N1233">
        <v>53.0363438281423</v>
      </c>
      <c r="O1233">
        <v>41.8333266902746</v>
      </c>
      <c r="P1233">
        <v>-0.0322756098738134</v>
      </c>
      <c r="Q1233">
        <v>0.391694731638405</v>
      </c>
      <c r="R1233">
        <v>0.817560005037665</v>
      </c>
      <c r="S1233" t="s">
        <v>2917</v>
      </c>
      <c r="T1233" t="s">
        <v>3344</v>
      </c>
      <c r="U1233" t="s">
        <v>3344</v>
      </c>
      <c r="V1233" t="s">
        <v>3344</v>
      </c>
      <c r="W1233" t="s">
        <v>4575</v>
      </c>
      <c r="X1233">
        <v>1</v>
      </c>
      <c r="Y1233" t="s">
        <v>6232</v>
      </c>
      <c r="Z1233" t="s">
        <v>7890</v>
      </c>
      <c r="AA1233">
        <v>0.5710123138849708</v>
      </c>
      <c r="AB1233">
        <f>HYPERLINK("Melting_Curves/meltCurve_P37750_wbbJ.pdf", "Melting_Curves/meltCurve_P37750_wbbJ.pdf")</f>
        <v>0</v>
      </c>
    </row>
    <row r="1234" spans="1:28">
      <c r="A1234" t="s">
        <v>1260</v>
      </c>
      <c r="B1234">
        <v>0.999998419929286</v>
      </c>
      <c r="C1234">
        <v>0.685362454002306</v>
      </c>
      <c r="D1234">
        <v>0.350011340081565</v>
      </c>
      <c r="E1234">
        <v>0.249742296586632</v>
      </c>
      <c r="F1234">
        <v>0.230248657897585</v>
      </c>
      <c r="G1234">
        <v>0.223388535001753</v>
      </c>
      <c r="H1234">
        <v>0.184511798896335</v>
      </c>
      <c r="I1234">
        <v>0.154625898632781</v>
      </c>
      <c r="J1234">
        <v>0.161854143276798</v>
      </c>
      <c r="K1234">
        <v>0.154409646944623</v>
      </c>
      <c r="L1234">
        <v>1089.77161448749</v>
      </c>
      <c r="M1234">
        <v>26.7503905599046</v>
      </c>
      <c r="N1234">
        <v>41.47296363274</v>
      </c>
      <c r="O1234">
        <v>40.5129091536927</v>
      </c>
      <c r="P1234">
        <v>-0.133932304808619</v>
      </c>
      <c r="Q1234">
        <v>0.188657621956906</v>
      </c>
      <c r="R1234">
        <v>0.986426378639089</v>
      </c>
      <c r="S1234" t="s">
        <v>2918</v>
      </c>
      <c r="T1234" t="s">
        <v>3344</v>
      </c>
      <c r="U1234" t="s">
        <v>3344</v>
      </c>
      <c r="V1234" t="s">
        <v>3344</v>
      </c>
      <c r="W1234" t="s">
        <v>4576</v>
      </c>
      <c r="X1234">
        <v>4</v>
      </c>
      <c r="Y1234" t="s">
        <v>6233</v>
      </c>
      <c r="Z1234" t="s">
        <v>7891</v>
      </c>
      <c r="AA1234">
        <v>0.296994764617888</v>
      </c>
      <c r="AB1234">
        <f>HYPERLINK("Melting_Curves/meltCurve_P37759_rfbB.pdf", "Melting_Curves/meltCurve_P37759_rfbB.pdf")</f>
        <v>0</v>
      </c>
    </row>
    <row r="1235" spans="1:28">
      <c r="A1235" t="s">
        <v>1261</v>
      </c>
      <c r="B1235">
        <v>0.999998419929286</v>
      </c>
      <c r="C1235">
        <v>0.758734432238233</v>
      </c>
      <c r="D1235">
        <v>0.522029365002383</v>
      </c>
      <c r="E1235">
        <v>0.373475380128725</v>
      </c>
      <c r="F1235">
        <v>0.315070606372386</v>
      </c>
      <c r="G1235">
        <v>0.230359506270927</v>
      </c>
      <c r="H1235">
        <v>0.15488292519062</v>
      </c>
      <c r="I1235">
        <v>0.140292288774089</v>
      </c>
      <c r="J1235">
        <v>0.143522351478306</v>
      </c>
      <c r="K1235">
        <v>0.132291283220717</v>
      </c>
      <c r="L1235">
        <v>570.568090314049</v>
      </c>
      <c r="M1235">
        <v>13.2580225782155</v>
      </c>
      <c r="N1235">
        <v>44.1523511666544</v>
      </c>
      <c r="O1235">
        <v>42.0919662217455</v>
      </c>
      <c r="P1235">
        <v>-0.0675389372690096</v>
      </c>
      <c r="Q1235">
        <v>0.142442257787792</v>
      </c>
      <c r="R1235">
        <v>0.979373638594692</v>
      </c>
      <c r="S1235" t="s">
        <v>2919</v>
      </c>
      <c r="T1235" t="s">
        <v>3344</v>
      </c>
      <c r="U1235" t="s">
        <v>3344</v>
      </c>
      <c r="V1235" t="s">
        <v>3344</v>
      </c>
      <c r="W1235" t="s">
        <v>4577</v>
      </c>
      <c r="X1235">
        <v>3</v>
      </c>
      <c r="Y1235" t="s">
        <v>6234</v>
      </c>
      <c r="Z1235" t="s">
        <v>7892</v>
      </c>
      <c r="AA1235">
        <v>0.3441867861481379</v>
      </c>
      <c r="AB1235">
        <f>HYPERLINK("Melting_Curves/meltCurve_P37760_rfbD.pdf", "Melting_Curves/meltCurve_P37760_rfbD.pdf")</f>
        <v>0</v>
      </c>
    </row>
    <row r="1236" spans="1:28">
      <c r="A1236" t="s">
        <v>1262</v>
      </c>
      <c r="B1236">
        <v>0.999998419929286</v>
      </c>
      <c r="C1236">
        <v>0.742085226420055</v>
      </c>
      <c r="D1236">
        <v>0.445550348091573</v>
      </c>
      <c r="E1236">
        <v>0.115635660940285</v>
      </c>
      <c r="F1236">
        <v>0.0843782531418341</v>
      </c>
      <c r="G1236">
        <v>0.07761079793080961</v>
      </c>
      <c r="H1236">
        <v>0.0564031442213563</v>
      </c>
      <c r="I1236">
        <v>0.0426600393521015</v>
      </c>
      <c r="J1236">
        <v>0.0343106699766928</v>
      </c>
      <c r="K1236">
        <v>0.0298182533275423</v>
      </c>
      <c r="L1236">
        <v>911.975790069508</v>
      </c>
      <c r="M1236">
        <v>21.6604372116454</v>
      </c>
      <c r="N1236">
        <v>42.2836877194355</v>
      </c>
      <c r="O1236">
        <v>41.7493576679007</v>
      </c>
      <c r="P1236">
        <v>-0.123983547465783</v>
      </c>
      <c r="Q1236">
        <v>0.0441355309425388</v>
      </c>
      <c r="R1236">
        <v>0.99395982324129</v>
      </c>
      <c r="S1236" t="s">
        <v>2920</v>
      </c>
      <c r="T1236" t="s">
        <v>3344</v>
      </c>
      <c r="U1236" t="s">
        <v>3344</v>
      </c>
      <c r="V1236" t="s">
        <v>3344</v>
      </c>
      <c r="W1236" t="s">
        <v>4578</v>
      </c>
      <c r="X1236">
        <v>4</v>
      </c>
      <c r="Y1236" t="s">
        <v>6235</v>
      </c>
      <c r="Z1236" t="s">
        <v>7893</v>
      </c>
      <c r="AA1236">
        <v>0.2185620802691733</v>
      </c>
      <c r="AB1236">
        <f>HYPERLINK("Melting_Curves/meltCurve_P37765_rluB.pdf", "Melting_Curves/meltCurve_P37765_rluB.pdf")</f>
        <v>0</v>
      </c>
    </row>
    <row r="1237" spans="1:28">
      <c r="A1237" t="s">
        <v>1263</v>
      </c>
      <c r="B1237">
        <v>0.999998419929286</v>
      </c>
      <c r="C1237">
        <v>1.01699146859549</v>
      </c>
      <c r="D1237">
        <v>1.00274926851936</v>
      </c>
      <c r="E1237">
        <v>0.623934205062489</v>
      </c>
      <c r="F1237">
        <v>0.560167532106187</v>
      </c>
      <c r="G1237">
        <v>0.54658183328766</v>
      </c>
      <c r="H1237">
        <v>0.330081125164109</v>
      </c>
      <c r="I1237">
        <v>0.216131278914803</v>
      </c>
      <c r="J1237">
        <v>0.183990672874147</v>
      </c>
      <c r="K1237">
        <v>0.179698272306942</v>
      </c>
      <c r="L1237">
        <v>527.035729023546</v>
      </c>
      <c r="M1237">
        <v>10.2854584485896</v>
      </c>
      <c r="N1237">
        <v>52.372519910822</v>
      </c>
      <c r="O1237">
        <v>49.4172820180394</v>
      </c>
      <c r="P1237">
        <v>-0.0468694390490429</v>
      </c>
      <c r="Q1237">
        <v>0.099641795211691</v>
      </c>
      <c r="R1237">
        <v>0.953119405426155</v>
      </c>
      <c r="S1237" t="s">
        <v>2921</v>
      </c>
      <c r="T1237" t="s">
        <v>3344</v>
      </c>
      <c r="U1237" t="s">
        <v>3344</v>
      </c>
      <c r="V1237" t="s">
        <v>3344</v>
      </c>
      <c r="W1237" t="s">
        <v>4579</v>
      </c>
      <c r="X1237">
        <v>1</v>
      </c>
      <c r="Y1237" t="s">
        <v>6236</v>
      </c>
      <c r="Z1237" t="s">
        <v>7894</v>
      </c>
      <c r="AA1237">
        <v>0.5531624398299361</v>
      </c>
      <c r="AB1237">
        <f>HYPERLINK("Melting_Curves/meltCurve_P37767_yfhH.pdf", "Melting_Curves/meltCurve_P37767_yfhH.pdf")</f>
        <v>0</v>
      </c>
    </row>
    <row r="1238" spans="1:28">
      <c r="A1238" t="s">
        <v>1264</v>
      </c>
      <c r="B1238">
        <v>0.999998419929286</v>
      </c>
      <c r="C1238">
        <v>1.00775125748918</v>
      </c>
      <c r="D1238">
        <v>0.7641345008628601</v>
      </c>
      <c r="E1238">
        <v>0.715526823063599</v>
      </c>
      <c r="F1238">
        <v>0.563668817738473</v>
      </c>
      <c r="G1238">
        <v>0.399818960578039</v>
      </c>
      <c r="H1238">
        <v>0.130755463701467</v>
      </c>
      <c r="I1238">
        <v>0.0771578039009347</v>
      </c>
      <c r="J1238">
        <v>0.0640275204490609</v>
      </c>
      <c r="K1238">
        <v>0.060605636092534</v>
      </c>
      <c r="L1238">
        <v>576.951212798194</v>
      </c>
      <c r="M1238">
        <v>11.4332156800676</v>
      </c>
      <c r="N1238">
        <v>50.4627230130327</v>
      </c>
      <c r="O1238">
        <v>48.9929576153858</v>
      </c>
      <c r="P1238">
        <v>-0.0583580769424608</v>
      </c>
      <c r="Q1238">
        <v>0</v>
      </c>
      <c r="R1238">
        <v>0.976817020689515</v>
      </c>
      <c r="S1238" t="s">
        <v>2922</v>
      </c>
      <c r="T1238" t="s">
        <v>3344</v>
      </c>
      <c r="U1238" t="s">
        <v>3344</v>
      </c>
      <c r="V1238" t="s">
        <v>3344</v>
      </c>
      <c r="W1238" t="s">
        <v>4580</v>
      </c>
      <c r="X1238">
        <v>8</v>
      </c>
      <c r="Y1238" t="s">
        <v>6237</v>
      </c>
      <c r="Z1238" t="s">
        <v>7895</v>
      </c>
      <c r="AA1238">
        <v>0.4773026642327571</v>
      </c>
      <c r="AB1238">
        <f>HYPERLINK("Melting_Curves/meltCurve_P37773_mpl.pdf", "Melting_Curves/meltCurve_P37773_mpl.pdf")</f>
        <v>0</v>
      </c>
    </row>
    <row r="1239" spans="1:28">
      <c r="A1239" t="s">
        <v>1265</v>
      </c>
      <c r="B1239">
        <v>0.999998419929286</v>
      </c>
      <c r="C1239">
        <v>0.9799517945906711</v>
      </c>
      <c r="D1239">
        <v>1.04871714562501</v>
      </c>
      <c r="E1239">
        <v>1.16042700816169</v>
      </c>
      <c r="F1239">
        <v>1.29637784843952</v>
      </c>
      <c r="G1239">
        <v>1.42527670051126</v>
      </c>
      <c r="H1239">
        <v>1.18706609444237</v>
      </c>
      <c r="I1239">
        <v>0.7291610802341359</v>
      </c>
      <c r="J1239">
        <v>0.670197194600692</v>
      </c>
      <c r="K1239">
        <v>0.760595619627076</v>
      </c>
      <c r="L1239">
        <v>15000</v>
      </c>
      <c r="M1239">
        <v>248.879348848286</v>
      </c>
      <c r="O1239">
        <v>60.2662757537578</v>
      </c>
      <c r="P1239">
        <v>-0.293836506078284</v>
      </c>
      <c r="Q1239">
        <v>0.715389293221971</v>
      </c>
      <c r="R1239">
        <v>0.404791879922404</v>
      </c>
      <c r="S1239" t="s">
        <v>2923</v>
      </c>
      <c r="T1239" t="s">
        <v>3344</v>
      </c>
      <c r="U1239" t="s">
        <v>3344</v>
      </c>
      <c r="V1239" t="s">
        <v>3344</v>
      </c>
      <c r="W1239" t="s">
        <v>4581</v>
      </c>
      <c r="X1239">
        <v>1</v>
      </c>
      <c r="Y1239" t="s">
        <v>6238</v>
      </c>
      <c r="Z1239" t="s">
        <v>7896</v>
      </c>
      <c r="AA1239">
        <v>0.9361842948706015</v>
      </c>
      <c r="AB1239">
        <f>HYPERLINK("Melting_Curves/meltCurve_P37794_chbG.pdf", "Melting_Curves/meltCurve_P37794_chbG.pdf")</f>
        <v>0</v>
      </c>
    </row>
    <row r="1240" spans="1:28">
      <c r="A1240" t="s">
        <v>1266</v>
      </c>
      <c r="B1240">
        <v>0.999998419929286</v>
      </c>
      <c r="C1240">
        <v>0.963155560185604</v>
      </c>
      <c r="D1240">
        <v>1.03618336204279</v>
      </c>
      <c r="E1240">
        <v>1.10113717801773</v>
      </c>
      <c r="F1240">
        <v>1.23230744620154</v>
      </c>
      <c r="G1240">
        <v>1.35587269378563</v>
      </c>
      <c r="H1240">
        <v>1.1750828903743</v>
      </c>
      <c r="I1240">
        <v>1.04029639289415</v>
      </c>
      <c r="J1240">
        <v>1.143815013416</v>
      </c>
      <c r="K1240">
        <v>1.13871412106215</v>
      </c>
      <c r="L1240">
        <v>11639.0032098379</v>
      </c>
      <c r="M1240">
        <v>250</v>
      </c>
      <c r="O1240">
        <v>46.5530282597585</v>
      </c>
      <c r="P1240">
        <v>0.243022239874259</v>
      </c>
      <c r="Q1240">
        <v>1.18101475965669</v>
      </c>
      <c r="R1240">
        <v>0.528621488519233</v>
      </c>
      <c r="S1240" t="s">
        <v>2924</v>
      </c>
      <c r="T1240" t="s">
        <v>3344</v>
      </c>
      <c r="U1240" t="s">
        <v>3344</v>
      </c>
      <c r="V1240" t="s">
        <v>3344</v>
      </c>
      <c r="W1240" t="s">
        <v>4582</v>
      </c>
      <c r="X1240">
        <v>13</v>
      </c>
      <c r="Y1240" t="s">
        <v>6239</v>
      </c>
      <c r="Z1240" t="s">
        <v>7897</v>
      </c>
      <c r="AA1240">
        <v>1.123340657585258</v>
      </c>
      <c r="AB1240">
        <f>HYPERLINK("Melting_Curves/meltCurve_P37902_gltI.pdf", "Melting_Curves/meltCurve_P37902_gltI.pdf")</f>
        <v>0</v>
      </c>
    </row>
    <row r="1241" spans="1:28">
      <c r="A1241" t="s">
        <v>1267</v>
      </c>
      <c r="B1241">
        <v>0.999998419929286</v>
      </c>
      <c r="C1241">
        <v>0.830180583297084</v>
      </c>
      <c r="D1241">
        <v>0.817776059900282</v>
      </c>
      <c r="E1241">
        <v>0.925251505387972</v>
      </c>
      <c r="F1241">
        <v>0.874584900860823</v>
      </c>
      <c r="G1241">
        <v>1.01064757424387</v>
      </c>
      <c r="H1241">
        <v>0.870832925113769</v>
      </c>
      <c r="I1241">
        <v>0.816702392505078</v>
      </c>
      <c r="J1241">
        <v>0.550905019051225</v>
      </c>
      <c r="K1241">
        <v>0.672468678284171</v>
      </c>
      <c r="L1241">
        <v>300.48691655769</v>
      </c>
      <c r="M1241">
        <v>3.81090963624431</v>
      </c>
      <c r="O1241">
        <v>63.7137960650905</v>
      </c>
      <c r="P1241">
        <v>-0.0151774739268413</v>
      </c>
      <c r="Q1241">
        <v>0</v>
      </c>
      <c r="R1241">
        <v>0.43976695498532</v>
      </c>
      <c r="S1241" t="s">
        <v>2925</v>
      </c>
      <c r="T1241" t="s">
        <v>3344</v>
      </c>
      <c r="U1241" t="s">
        <v>3344</v>
      </c>
      <c r="V1241" t="s">
        <v>3344</v>
      </c>
      <c r="W1241" t="s">
        <v>4583</v>
      </c>
      <c r="X1241">
        <v>4</v>
      </c>
      <c r="Y1241" t="s">
        <v>6240</v>
      </c>
      <c r="Z1241" t="s">
        <v>7898</v>
      </c>
      <c r="AA1241">
        <v>0.8587109323273412</v>
      </c>
      <c r="AB1241">
        <f>HYPERLINK("Melting_Curves/meltCurve_P37903_uspF.pdf", "Melting_Curves/meltCurve_P37903_uspF.pdf")</f>
        <v>0</v>
      </c>
    </row>
    <row r="1242" spans="1:28">
      <c r="A1242" t="s">
        <v>1268</v>
      </c>
      <c r="B1242">
        <v>0.999998419929286</v>
      </c>
      <c r="C1242">
        <v>1.72622955177082</v>
      </c>
      <c r="D1242">
        <v>1.25525449780498</v>
      </c>
      <c r="E1242">
        <v>1.38582156730672</v>
      </c>
      <c r="F1242">
        <v>0.903985132210522</v>
      </c>
      <c r="G1242">
        <v>0.31789174703605</v>
      </c>
      <c r="H1242">
        <v>0.114636549575429</v>
      </c>
      <c r="I1242">
        <v>0.0915668249544202</v>
      </c>
      <c r="J1242">
        <v>0.0549956310245023</v>
      </c>
      <c r="K1242">
        <v>0.06399818671837609</v>
      </c>
      <c r="L1242">
        <v>2546.01714659337</v>
      </c>
      <c r="M1242">
        <v>48.3668036171138</v>
      </c>
      <c r="N1242">
        <v>52.8216392684024</v>
      </c>
      <c r="O1242">
        <v>52.55001248296</v>
      </c>
      <c r="P1242">
        <v>-0.212450790663588</v>
      </c>
      <c r="Q1242">
        <v>0.07669889053320531</v>
      </c>
      <c r="R1242">
        <v>0.795632735673566</v>
      </c>
      <c r="S1242" t="s">
        <v>2926</v>
      </c>
      <c r="T1242" t="s">
        <v>3344</v>
      </c>
      <c r="U1242" t="s">
        <v>3344</v>
      </c>
      <c r="V1242" t="s">
        <v>3344</v>
      </c>
      <c r="W1242" t="s">
        <v>4584</v>
      </c>
      <c r="X1242">
        <v>8</v>
      </c>
      <c r="Y1242" t="s">
        <v>6241</v>
      </c>
      <c r="Z1242" t="s">
        <v>7899</v>
      </c>
      <c r="AA1242">
        <v>0.5603294665520308</v>
      </c>
      <c r="AB1242">
        <f>HYPERLINK("Melting_Curves/meltCurve_P38038_cysJ.pdf", "Melting_Curves/meltCurve_P38038_cysJ.pdf")</f>
        <v>0</v>
      </c>
    </row>
    <row r="1243" spans="1:28">
      <c r="A1243" t="s">
        <v>1269</v>
      </c>
      <c r="B1243">
        <v>0.999998419929286</v>
      </c>
      <c r="C1243">
        <v>1.09159674829022</v>
      </c>
      <c r="D1243">
        <v>1.15247934335096</v>
      </c>
      <c r="E1243">
        <v>1.1672287443964</v>
      </c>
      <c r="F1243">
        <v>0.738790475638213</v>
      </c>
      <c r="G1243">
        <v>0.306195933309376</v>
      </c>
      <c r="H1243">
        <v>0.0684628525543856</v>
      </c>
      <c r="I1243">
        <v>0.0465734012126016</v>
      </c>
      <c r="J1243">
        <v>0.0409634676952063</v>
      </c>
      <c r="K1243">
        <v>0.0353279396921797</v>
      </c>
      <c r="L1243">
        <v>1760.14748267354</v>
      </c>
      <c r="M1243">
        <v>33.8140564624479</v>
      </c>
      <c r="N1243">
        <v>52.1794436178193</v>
      </c>
      <c r="O1243">
        <v>51.8726679772464</v>
      </c>
      <c r="P1243">
        <v>-0.1565918699964</v>
      </c>
      <c r="Q1243">
        <v>0.0391207800390212</v>
      </c>
      <c r="R1243">
        <v>0.970434277099024</v>
      </c>
      <c r="S1243" t="s">
        <v>2927</v>
      </c>
      <c r="T1243" t="s">
        <v>3344</v>
      </c>
      <c r="U1243" t="s">
        <v>3344</v>
      </c>
      <c r="V1243" t="s">
        <v>3344</v>
      </c>
      <c r="W1243" t="s">
        <v>4585</v>
      </c>
      <c r="X1243">
        <v>2</v>
      </c>
      <c r="Y1243" t="s">
        <v>6242</v>
      </c>
      <c r="Z1243" t="s">
        <v>7900</v>
      </c>
      <c r="AA1243">
        <v>0.5260908730351367</v>
      </c>
      <c r="AB1243">
        <f>HYPERLINK("Melting_Curves/meltCurve_P38051_menF.pdf", "Melting_Curves/meltCurve_P38051_menF.pdf")</f>
        <v>0</v>
      </c>
    </row>
    <row r="1244" spans="1:28">
      <c r="A1244" t="s">
        <v>1270</v>
      </c>
      <c r="B1244">
        <v>0.999998419929286</v>
      </c>
      <c r="C1244">
        <v>0.909510408560408</v>
      </c>
      <c r="D1244">
        <v>0.766832856101633</v>
      </c>
      <c r="E1244">
        <v>0.549326164974491</v>
      </c>
      <c r="F1244">
        <v>0.310895022024602</v>
      </c>
      <c r="G1244">
        <v>0.210278495458861</v>
      </c>
      <c r="H1244">
        <v>0.119487964186353</v>
      </c>
      <c r="I1244">
        <v>0.08135348035792141</v>
      </c>
      <c r="J1244">
        <v>0.06257058805102141</v>
      </c>
      <c r="K1244">
        <v>0.0578945119350421</v>
      </c>
      <c r="L1244">
        <v>612.4865452355079</v>
      </c>
      <c r="M1244">
        <v>13.0532817569526</v>
      </c>
      <c r="N1244">
        <v>47.215437293779</v>
      </c>
      <c r="O1244">
        <v>45.8617476832696</v>
      </c>
      <c r="P1244">
        <v>-0.0683955592743576</v>
      </c>
      <c r="Q1244">
        <v>0.0389559822807894</v>
      </c>
      <c r="R1244">
        <v>0.998722988860171</v>
      </c>
      <c r="S1244" t="s">
        <v>2928</v>
      </c>
      <c r="T1244" t="s">
        <v>3344</v>
      </c>
      <c r="U1244" t="s">
        <v>3344</v>
      </c>
      <c r="V1244" t="s">
        <v>3344</v>
      </c>
      <c r="W1244" t="s">
        <v>4586</v>
      </c>
      <c r="X1244">
        <v>9</v>
      </c>
      <c r="Y1244" t="s">
        <v>6243</v>
      </c>
      <c r="Z1244" t="s">
        <v>7901</v>
      </c>
      <c r="AA1244">
        <v>0.3844175054344545</v>
      </c>
      <c r="AB1244">
        <f>HYPERLINK("Melting_Curves/meltCurve_P38489_nfsB.pdf", "Melting_Curves/meltCurve_P38489_nfsB.pdf")</f>
        <v>0</v>
      </c>
    </row>
    <row r="1245" spans="1:28">
      <c r="A1245" t="s">
        <v>1271</v>
      </c>
      <c r="B1245">
        <v>0.999998419929286</v>
      </c>
      <c r="C1245">
        <v>1.37360521644129</v>
      </c>
      <c r="D1245">
        <v>1.30174166491329</v>
      </c>
      <c r="E1245">
        <v>1.3453339339049</v>
      </c>
      <c r="F1245">
        <v>1.50845527819336</v>
      </c>
      <c r="G1245">
        <v>1.67898836029946</v>
      </c>
      <c r="H1245">
        <v>1.92299627222973</v>
      </c>
      <c r="I1245">
        <v>1.80785737131855</v>
      </c>
      <c r="J1245">
        <v>1.80301246357079</v>
      </c>
      <c r="K1245">
        <v>1.37213754965331</v>
      </c>
      <c r="L1245">
        <v>749.450665438803</v>
      </c>
      <c r="M1245">
        <v>18.7410877777634</v>
      </c>
      <c r="O1245">
        <v>39.5427420491096</v>
      </c>
      <c r="P1245">
        <v>0.0592456259458455</v>
      </c>
      <c r="Q1245">
        <v>1.5</v>
      </c>
      <c r="R1245">
        <v>0.371928395578893</v>
      </c>
      <c r="S1245" t="s">
        <v>2929</v>
      </c>
      <c r="T1245" t="s">
        <v>3344</v>
      </c>
      <c r="U1245" t="s">
        <v>3344</v>
      </c>
      <c r="V1245" t="s">
        <v>3344</v>
      </c>
      <c r="W1245" t="s">
        <v>4587</v>
      </c>
      <c r="X1245">
        <v>17</v>
      </c>
      <c r="Y1245" t="s">
        <v>6244</v>
      </c>
      <c r="Z1245" t="s">
        <v>7902</v>
      </c>
      <c r="AA1245">
        <v>1.438217255622948</v>
      </c>
      <c r="AB1245">
        <f>HYPERLINK("Melting_Curves/meltCurve_P39099_degQ.pdf", "Melting_Curves/meltCurve_P39099_degQ.pdf")</f>
        <v>0</v>
      </c>
    </row>
    <row r="1246" spans="1:28">
      <c r="A1246" t="s">
        <v>1272</v>
      </c>
      <c r="B1246">
        <v>0.999998419929286</v>
      </c>
      <c r="C1246">
        <v>1.40593235911542</v>
      </c>
      <c r="D1246">
        <v>1.57877034902745</v>
      </c>
      <c r="E1246">
        <v>1.94873436763862</v>
      </c>
      <c r="F1246">
        <v>1.52842401035067</v>
      </c>
      <c r="G1246">
        <v>0.353789890494092</v>
      </c>
      <c r="H1246">
        <v>0.105698882960034</v>
      </c>
      <c r="I1246">
        <v>0.07927035943907131</v>
      </c>
      <c r="J1246">
        <v>0.058746576267043</v>
      </c>
      <c r="K1246">
        <v>0.0633813423854323</v>
      </c>
      <c r="L1246">
        <v>13404.4287006028</v>
      </c>
      <c r="M1246">
        <v>250</v>
      </c>
      <c r="N1246">
        <v>53.6534930276963</v>
      </c>
      <c r="O1246">
        <v>53.614271642516</v>
      </c>
      <c r="P1246">
        <v>-1.07623574389672</v>
      </c>
      <c r="Q1246">
        <v>0.07677426564209951</v>
      </c>
      <c r="R1246">
        <v>0.674018608832068</v>
      </c>
      <c r="S1246" t="s">
        <v>2930</v>
      </c>
      <c r="T1246" t="s">
        <v>3344</v>
      </c>
      <c r="U1246" t="s">
        <v>3344</v>
      </c>
      <c r="V1246" t="s">
        <v>3344</v>
      </c>
      <c r="W1246" t="s">
        <v>4588</v>
      </c>
      <c r="X1246">
        <v>9</v>
      </c>
      <c r="Y1246" t="s">
        <v>6245</v>
      </c>
      <c r="Z1246" t="s">
        <v>7903</v>
      </c>
      <c r="AA1246">
        <v>0.5882578712995484</v>
      </c>
      <c r="AB1246">
        <f>HYPERLINK("Melting_Curves/meltCurve_P39160_uxuB.pdf", "Melting_Curves/meltCurve_P39160_uxuB.pdf")</f>
        <v>0</v>
      </c>
    </row>
    <row r="1247" spans="1:28">
      <c r="A1247" t="s">
        <v>1273</v>
      </c>
      <c r="B1247">
        <v>0.999998419929286</v>
      </c>
      <c r="C1247">
        <v>0.979893296057527</v>
      </c>
      <c r="D1247">
        <v>0.933316602021498</v>
      </c>
      <c r="E1247">
        <v>1.03494815048396</v>
      </c>
      <c r="F1247">
        <v>1.10301841755172</v>
      </c>
      <c r="G1247">
        <v>1.33941081540029</v>
      </c>
      <c r="H1247">
        <v>1.12157867118283</v>
      </c>
      <c r="I1247">
        <v>1.0879209965554</v>
      </c>
      <c r="J1247">
        <v>0.779718890288866</v>
      </c>
      <c r="K1247">
        <v>0.6166081639086</v>
      </c>
      <c r="L1247">
        <v>15000</v>
      </c>
      <c r="M1247">
        <v>234.30972393849</v>
      </c>
      <c r="O1247">
        <v>64.01316610496769</v>
      </c>
      <c r="P1247">
        <v>-0.350847151420202</v>
      </c>
      <c r="Q1247">
        <v>0.6165957343564979</v>
      </c>
      <c r="R1247">
        <v>0.55875005094504</v>
      </c>
      <c r="S1247" t="s">
        <v>2931</v>
      </c>
      <c r="T1247" t="s">
        <v>3344</v>
      </c>
      <c r="U1247" t="s">
        <v>3344</v>
      </c>
      <c r="V1247" t="s">
        <v>3344</v>
      </c>
      <c r="W1247" t="s">
        <v>4589</v>
      </c>
      <c r="X1247">
        <v>6</v>
      </c>
      <c r="Y1247" t="s">
        <v>6246</v>
      </c>
      <c r="Z1247" t="s">
        <v>7904</v>
      </c>
      <c r="AA1247">
        <v>0.9619363644890077</v>
      </c>
      <c r="AB1247">
        <f>HYPERLINK("Melting_Curves/meltCurve_P39172_znuA.pdf", "Melting_Curves/meltCurve_P39172_znuA.pdf")</f>
        <v>0</v>
      </c>
    </row>
    <row r="1248" spans="1:28">
      <c r="A1248" t="s">
        <v>1274</v>
      </c>
      <c r="B1248">
        <v>0.999998419929286</v>
      </c>
      <c r="C1248">
        <v>1.01799092873176</v>
      </c>
      <c r="D1248">
        <v>1.29199206122581</v>
      </c>
      <c r="E1248">
        <v>1.60743995395973</v>
      </c>
      <c r="F1248">
        <v>2.15812709711183</v>
      </c>
      <c r="G1248">
        <v>3.04479745851547</v>
      </c>
      <c r="H1248">
        <v>1.98303065370723</v>
      </c>
      <c r="I1248">
        <v>0.487579674206165</v>
      </c>
      <c r="J1248">
        <v>0.238451147669916</v>
      </c>
      <c r="K1248">
        <v>0.101885188535029</v>
      </c>
      <c r="L1248">
        <v>15000</v>
      </c>
      <c r="M1248">
        <v>246.380564441394</v>
      </c>
      <c r="N1248">
        <v>60.9843963660721</v>
      </c>
      <c r="O1248">
        <v>60.8774143023964</v>
      </c>
      <c r="P1248">
        <v>-0.839617861760751</v>
      </c>
      <c r="Q1248">
        <v>0.170165642540239</v>
      </c>
      <c r="R1248">
        <v>0.100936501536457</v>
      </c>
      <c r="S1248" t="s">
        <v>2932</v>
      </c>
      <c r="T1248" t="s">
        <v>3344</v>
      </c>
      <c r="U1248" t="s">
        <v>3344</v>
      </c>
      <c r="V1248" t="s">
        <v>3344</v>
      </c>
      <c r="W1248" t="s">
        <v>4590</v>
      </c>
      <c r="X1248">
        <v>5</v>
      </c>
      <c r="Y1248" t="s">
        <v>6247</v>
      </c>
      <c r="Z1248" t="s">
        <v>7905</v>
      </c>
      <c r="AA1248">
        <v>0.8308445136454219</v>
      </c>
      <c r="AB1248">
        <f>HYPERLINK("Melting_Curves/meltCurve_P39173_yeaD.pdf", "Melting_Curves/meltCurve_P39173_yeaD.pdf")</f>
        <v>0</v>
      </c>
    </row>
    <row r="1249" spans="1:28">
      <c r="A1249" t="s">
        <v>1275</v>
      </c>
      <c r="B1249">
        <v>0.999998419929286</v>
      </c>
      <c r="C1249">
        <v>0.969587521456395</v>
      </c>
      <c r="D1249">
        <v>0.779143277383806</v>
      </c>
      <c r="E1249">
        <v>0.304006501147594</v>
      </c>
      <c r="F1249">
        <v>0.178921209583134</v>
      </c>
      <c r="G1249">
        <v>0.0975611672374382</v>
      </c>
      <c r="H1249">
        <v>0.0573345869247846</v>
      </c>
      <c r="I1249">
        <v>0.0479492061860163</v>
      </c>
      <c r="J1249">
        <v>0.038359335677031</v>
      </c>
      <c r="K1249">
        <v>0.0340444109010452</v>
      </c>
      <c r="L1249">
        <v>1089.44906625195</v>
      </c>
      <c r="M1249">
        <v>24.2309339267974</v>
      </c>
      <c r="N1249">
        <v>45.1820932272115</v>
      </c>
      <c r="O1249">
        <v>44.6582097742873</v>
      </c>
      <c r="P1249">
        <v>-0.128067209290476</v>
      </c>
      <c r="Q1249">
        <v>0.0558902273895922</v>
      </c>
      <c r="R1249">
        <v>0.995972768860541</v>
      </c>
      <c r="S1249" t="s">
        <v>2933</v>
      </c>
      <c r="T1249" t="s">
        <v>3344</v>
      </c>
      <c r="U1249" t="s">
        <v>3344</v>
      </c>
      <c r="V1249" t="s">
        <v>3344</v>
      </c>
      <c r="W1249" t="s">
        <v>4591</v>
      </c>
      <c r="X1249">
        <v>5</v>
      </c>
      <c r="Y1249" t="s">
        <v>6248</v>
      </c>
      <c r="Z1249" t="s">
        <v>7906</v>
      </c>
      <c r="AA1249">
        <v>0.3147036638390294</v>
      </c>
      <c r="AB1249">
        <f>HYPERLINK("Melting_Curves/meltCurve_P39176_erfK.pdf", "Melting_Curves/meltCurve_P39176_erfK.pdf")</f>
        <v>0</v>
      </c>
    </row>
    <row r="1250" spans="1:28">
      <c r="A1250" t="s">
        <v>1276</v>
      </c>
      <c r="B1250">
        <v>0.999998419929286</v>
      </c>
      <c r="C1250">
        <v>1.28168501019799</v>
      </c>
      <c r="D1250">
        <v>0.898089985848362</v>
      </c>
      <c r="E1250">
        <v>1.08772650595338</v>
      </c>
      <c r="F1250">
        <v>0.9793835060745369</v>
      </c>
      <c r="G1250">
        <v>1.03596535656058</v>
      </c>
      <c r="H1250">
        <v>0.794426469096562</v>
      </c>
      <c r="I1250">
        <v>0.476172210091402</v>
      </c>
      <c r="J1250">
        <v>0.174133711418918</v>
      </c>
      <c r="K1250">
        <v>0.420082266053972</v>
      </c>
      <c r="L1250">
        <v>2491.05558711006</v>
      </c>
      <c r="M1250">
        <v>42.3695862424996</v>
      </c>
      <c r="N1250">
        <v>60.1247205353664</v>
      </c>
      <c r="O1250">
        <v>58.6629492673992</v>
      </c>
      <c r="P1250">
        <v>-0.125615106260248</v>
      </c>
      <c r="Q1250">
        <v>0.30431772722369</v>
      </c>
      <c r="R1250">
        <v>0.873284458374967</v>
      </c>
      <c r="S1250" t="s">
        <v>2934</v>
      </c>
      <c r="T1250" t="s">
        <v>3344</v>
      </c>
      <c r="U1250" t="s">
        <v>3344</v>
      </c>
      <c r="V1250" t="s">
        <v>3344</v>
      </c>
      <c r="W1250" t="s">
        <v>4592</v>
      </c>
      <c r="X1250">
        <v>1</v>
      </c>
      <c r="Y1250" t="s">
        <v>6249</v>
      </c>
      <c r="Z1250" t="s">
        <v>7907</v>
      </c>
      <c r="AA1250">
        <v>0.8119679446896567</v>
      </c>
      <c r="AB1250">
        <f>HYPERLINK("Melting_Curves/meltCurve_P39177_uspG.pdf", "Melting_Curves/meltCurve_P39177_uspG.pdf")</f>
        <v>0</v>
      </c>
    </row>
    <row r="1251" spans="1:28">
      <c r="A1251" t="s">
        <v>1277</v>
      </c>
      <c r="B1251">
        <v>0.999998419929286</v>
      </c>
      <c r="C1251">
        <v>1.02143134565075</v>
      </c>
      <c r="D1251">
        <v>0.903344235993413</v>
      </c>
      <c r="E1251">
        <v>1.0357742605047</v>
      </c>
      <c r="F1251">
        <v>1.05428848633216</v>
      </c>
      <c r="G1251">
        <v>1.12987740677117</v>
      </c>
      <c r="H1251">
        <v>0.8123273991136249</v>
      </c>
      <c r="I1251">
        <v>0.494621598662941</v>
      </c>
      <c r="J1251">
        <v>0.39304750928627</v>
      </c>
      <c r="K1251">
        <v>0.438609426620239</v>
      </c>
      <c r="L1251">
        <v>3252.30162760945</v>
      </c>
      <c r="M1251">
        <v>55.8223656261033</v>
      </c>
      <c r="N1251">
        <v>60.3075976119028</v>
      </c>
      <c r="O1251">
        <v>58.187016214598</v>
      </c>
      <c r="P1251">
        <v>-0.137967935584926</v>
      </c>
      <c r="Q1251">
        <v>0.424751338059025</v>
      </c>
      <c r="R1251">
        <v>0.951153520078602</v>
      </c>
      <c r="S1251" t="s">
        <v>2935</v>
      </c>
      <c r="T1251" t="s">
        <v>3344</v>
      </c>
      <c r="U1251" t="s">
        <v>3344</v>
      </c>
      <c r="V1251" t="s">
        <v>3344</v>
      </c>
      <c r="W1251" t="s">
        <v>4593</v>
      </c>
      <c r="X1251">
        <v>7</v>
      </c>
      <c r="Y1251" t="s">
        <v>6250</v>
      </c>
      <c r="Z1251" t="s">
        <v>7908</v>
      </c>
      <c r="AA1251">
        <v>0.8336077191410276</v>
      </c>
      <c r="AB1251">
        <f>HYPERLINK("Melting_Curves/meltCurve_P39187_ytfJ.pdf", "Melting_Curves/meltCurve_P39187_ytfJ.pdf")</f>
        <v>0</v>
      </c>
    </row>
    <row r="1252" spans="1:28">
      <c r="A1252" t="s">
        <v>1278</v>
      </c>
      <c r="B1252">
        <v>0.999998419929286</v>
      </c>
      <c r="C1252">
        <v>1.25176930651922</v>
      </c>
      <c r="D1252">
        <v>1.12520996864169</v>
      </c>
      <c r="E1252">
        <v>1.1838870389158</v>
      </c>
      <c r="F1252">
        <v>1.10416391098253</v>
      </c>
      <c r="G1252">
        <v>0.0893175261212405</v>
      </c>
      <c r="H1252">
        <v>0.0342799677720923</v>
      </c>
      <c r="I1252">
        <v>0.0329374161256305</v>
      </c>
      <c r="J1252">
        <v>0.0265338355253176</v>
      </c>
      <c r="K1252">
        <v>0.026597963545053</v>
      </c>
      <c r="L1252">
        <v>13302.9780932543</v>
      </c>
      <c r="M1252">
        <v>250</v>
      </c>
      <c r="N1252">
        <v>53.2251155086375</v>
      </c>
      <c r="O1252">
        <v>53.2085278255908</v>
      </c>
      <c r="P1252">
        <v>-1.13928309040292</v>
      </c>
      <c r="Q1252">
        <v>0.0300871592209388</v>
      </c>
      <c r="R1252">
        <v>0.958934660486308</v>
      </c>
      <c r="S1252" t="s">
        <v>2936</v>
      </c>
      <c r="T1252" t="s">
        <v>3344</v>
      </c>
      <c r="U1252" t="s">
        <v>3344</v>
      </c>
      <c r="V1252" t="s">
        <v>3344</v>
      </c>
      <c r="W1252" t="s">
        <v>4594</v>
      </c>
      <c r="X1252">
        <v>3</v>
      </c>
      <c r="Y1252" t="s">
        <v>6251</v>
      </c>
      <c r="Z1252" t="s">
        <v>7909</v>
      </c>
      <c r="AA1252">
        <v>0.5543158017163379</v>
      </c>
      <c r="AB1252">
        <f>HYPERLINK("Melting_Curves/meltCurve_P39199_prmB.pdf", "Melting_Curves/meltCurve_P39199_prmB.pdf")</f>
        <v>0</v>
      </c>
    </row>
    <row r="1253" spans="1:28">
      <c r="A1253" t="s">
        <v>1279</v>
      </c>
      <c r="B1253">
        <v>0.999998419929286</v>
      </c>
      <c r="C1253">
        <v>1.1070883049507</v>
      </c>
      <c r="D1253">
        <v>0.974857346555835</v>
      </c>
      <c r="E1253">
        <v>1.27891824334628</v>
      </c>
      <c r="F1253">
        <v>1.321042657981</v>
      </c>
      <c r="G1253">
        <v>1.54809636531313</v>
      </c>
      <c r="H1253">
        <v>1.18262452585031</v>
      </c>
      <c r="I1253">
        <v>0.999893291946654</v>
      </c>
      <c r="J1253">
        <v>0.934115955282689</v>
      </c>
      <c r="K1253">
        <v>1.07983331618219</v>
      </c>
      <c r="L1253">
        <v>11156.0461784285</v>
      </c>
      <c r="M1253">
        <v>250</v>
      </c>
      <c r="O1253">
        <v>44.6213290825542</v>
      </c>
      <c r="P1253">
        <v>0.269034733735927</v>
      </c>
      <c r="Q1253">
        <v>1.19207499790455</v>
      </c>
      <c r="R1253">
        <v>0.163992393563177</v>
      </c>
      <c r="S1253" t="s">
        <v>2937</v>
      </c>
      <c r="T1253" t="s">
        <v>3344</v>
      </c>
      <c r="U1253" t="s">
        <v>3344</v>
      </c>
      <c r="V1253" t="s">
        <v>3344</v>
      </c>
      <c r="W1253" t="s">
        <v>4595</v>
      </c>
      <c r="X1253">
        <v>10</v>
      </c>
      <c r="Y1253" t="s">
        <v>6252</v>
      </c>
      <c r="Z1253" t="s">
        <v>7910</v>
      </c>
      <c r="AA1253">
        <v>1.143246113502153</v>
      </c>
      <c r="AB1253">
        <f>HYPERLINK("Melting_Curves/meltCurve_P39265_alsB.pdf", "Melting_Curves/meltCurve_P39265_alsB.pdf")</f>
        <v>0</v>
      </c>
    </row>
    <row r="1254" spans="1:28">
      <c r="A1254" t="s">
        <v>1280</v>
      </c>
      <c r="B1254">
        <v>0.999998419929286</v>
      </c>
      <c r="C1254">
        <v>1.0277362078866</v>
      </c>
      <c r="D1254">
        <v>1.05469390039638</v>
      </c>
      <c r="E1254">
        <v>0.948230024639385</v>
      </c>
      <c r="F1254">
        <v>0.81016703831597</v>
      </c>
      <c r="G1254">
        <v>0.593051717707235</v>
      </c>
      <c r="H1254">
        <v>0.447176590311595</v>
      </c>
      <c r="I1254">
        <v>0.7862186156297289</v>
      </c>
      <c r="J1254">
        <v>0.549680315346982</v>
      </c>
      <c r="K1254">
        <v>0.405661137885469</v>
      </c>
      <c r="L1254">
        <v>1824.42024942787</v>
      </c>
      <c r="M1254">
        <v>36.0906791754826</v>
      </c>
      <c r="O1254">
        <v>50.3965639939887</v>
      </c>
      <c r="P1254">
        <v>-0.0812198002567921</v>
      </c>
      <c r="Q1254">
        <v>0.546344276718994</v>
      </c>
      <c r="R1254">
        <v>0.831176424444322</v>
      </c>
      <c r="S1254" t="s">
        <v>2938</v>
      </c>
      <c r="T1254" t="s">
        <v>3344</v>
      </c>
      <c r="U1254" t="s">
        <v>3344</v>
      </c>
      <c r="V1254" t="s">
        <v>3344</v>
      </c>
      <c r="W1254" t="s">
        <v>4596</v>
      </c>
      <c r="X1254">
        <v>2</v>
      </c>
      <c r="Y1254" t="s">
        <v>6253</v>
      </c>
      <c r="Z1254" t="s">
        <v>7911</v>
      </c>
      <c r="AA1254">
        <v>0.7532067400802831</v>
      </c>
      <c r="AB1254">
        <f>HYPERLINK("Melting_Curves/meltCurve_P39274_yjdJ.pdf", "Melting_Curves/meltCurve_P39274_yjdJ.pdf")</f>
        <v>0</v>
      </c>
    </row>
    <row r="1255" spans="1:28">
      <c r="A1255" t="s">
        <v>1281</v>
      </c>
      <c r="B1255">
        <v>0.999998419929286</v>
      </c>
      <c r="C1255">
        <v>0.942633619057478</v>
      </c>
      <c r="D1255">
        <v>0.923607604874724</v>
      </c>
      <c r="E1255">
        <v>0.985757015603999</v>
      </c>
      <c r="F1255">
        <v>0.902153090439037</v>
      </c>
      <c r="G1255">
        <v>1.13645433352634</v>
      </c>
      <c r="H1255">
        <v>0.958165886746552</v>
      </c>
      <c r="I1255">
        <v>1.13722900937873</v>
      </c>
      <c r="J1255">
        <v>1.2271158424347</v>
      </c>
      <c r="K1255">
        <v>1.17905015978971</v>
      </c>
      <c r="L1255">
        <v>15000</v>
      </c>
      <c r="M1255">
        <v>246.635853837951</v>
      </c>
      <c r="O1255">
        <v>60.8144093232236</v>
      </c>
      <c r="P1255">
        <v>0.205903490169256</v>
      </c>
      <c r="Q1255">
        <v>1.20308319160256</v>
      </c>
      <c r="R1255">
        <v>0.680068243907646</v>
      </c>
      <c r="S1255" t="s">
        <v>2939</v>
      </c>
      <c r="T1255" t="s">
        <v>3344</v>
      </c>
      <c r="U1255" t="s">
        <v>3344</v>
      </c>
      <c r="V1255" t="s">
        <v>3344</v>
      </c>
      <c r="W1255" t="s">
        <v>4597</v>
      </c>
      <c r="X1255">
        <v>1</v>
      </c>
      <c r="Y1255" t="s">
        <v>6254</v>
      </c>
      <c r="Z1255" t="s">
        <v>7912</v>
      </c>
      <c r="AA1255">
        <v>1.041823642381001</v>
      </c>
      <c r="AB1255">
        <f>HYPERLINK("Melting_Curves/meltCurve_P39285_mscM.pdf", "Melting_Curves/meltCurve_P39285_mscM.pdf")</f>
        <v>0</v>
      </c>
    </row>
    <row r="1256" spans="1:28">
      <c r="A1256" t="s">
        <v>1282</v>
      </c>
      <c r="B1256">
        <v>0.999998419929286</v>
      </c>
      <c r="C1256">
        <v>1.06761704973027</v>
      </c>
      <c r="D1256">
        <v>1.07820524795906</v>
      </c>
      <c r="E1256">
        <v>0.983797009266246</v>
      </c>
      <c r="F1256">
        <v>0.247502857667065</v>
      </c>
      <c r="G1256">
        <v>0.168351248737036</v>
      </c>
      <c r="H1256">
        <v>0.102927213605203</v>
      </c>
      <c r="I1256">
        <v>0.08765982211465551</v>
      </c>
      <c r="J1256">
        <v>0.0844276514233336</v>
      </c>
      <c r="K1256">
        <v>0.0635091436745699</v>
      </c>
      <c r="L1256">
        <v>3490.8533262798</v>
      </c>
      <c r="M1256">
        <v>71.16022397166159</v>
      </c>
      <c r="N1256">
        <v>49.2118769283776</v>
      </c>
      <c r="O1256">
        <v>49.0175451261976</v>
      </c>
      <c r="P1256">
        <v>-0.326366243767871</v>
      </c>
      <c r="Q1256">
        <v>0.100752209692409</v>
      </c>
      <c r="R1256">
        <v>0.991571215340604</v>
      </c>
      <c r="S1256" t="s">
        <v>2940</v>
      </c>
      <c r="T1256" t="s">
        <v>3344</v>
      </c>
      <c r="U1256" t="s">
        <v>3344</v>
      </c>
      <c r="V1256" t="s">
        <v>3344</v>
      </c>
      <c r="W1256" t="s">
        <v>4598</v>
      </c>
      <c r="X1256">
        <v>3</v>
      </c>
      <c r="Y1256" t="s">
        <v>6255</v>
      </c>
      <c r="Z1256" t="s">
        <v>7913</v>
      </c>
      <c r="AA1256">
        <v>0.4630952015194104</v>
      </c>
      <c r="AB1256">
        <f>HYPERLINK("Melting_Curves/meltCurve_P39286_rsgA.pdf", "Melting_Curves/meltCurve_P39286_rsgA.pdf")</f>
        <v>0</v>
      </c>
    </row>
    <row r="1257" spans="1:28">
      <c r="A1257" t="s">
        <v>1283</v>
      </c>
      <c r="B1257">
        <v>0.999998419929286</v>
      </c>
      <c r="C1257">
        <v>1.31664621675632</v>
      </c>
      <c r="D1257">
        <v>0.61820279825766</v>
      </c>
      <c r="E1257">
        <v>0.925036962171863</v>
      </c>
      <c r="F1257">
        <v>0.546132651331463</v>
      </c>
      <c r="G1257">
        <v>0.289498368175709</v>
      </c>
      <c r="H1257">
        <v>0.183681930623862</v>
      </c>
      <c r="I1257">
        <v>0.123384969160989</v>
      </c>
      <c r="J1257">
        <v>0.11610582978981</v>
      </c>
      <c r="K1257">
        <v>0.116204878507967</v>
      </c>
      <c r="L1257">
        <v>843.761122868506</v>
      </c>
      <c r="M1257">
        <v>16.7783741755118</v>
      </c>
      <c r="N1257">
        <v>50.8611107585077</v>
      </c>
      <c r="O1257">
        <v>49.5905365868005</v>
      </c>
      <c r="P1257">
        <v>-0.07731118948483021</v>
      </c>
      <c r="Q1257">
        <v>0.08604875283811229</v>
      </c>
      <c r="R1257">
        <v>0.862529984344018</v>
      </c>
      <c r="S1257" t="s">
        <v>2941</v>
      </c>
      <c r="T1257" t="s">
        <v>3344</v>
      </c>
      <c r="U1257" t="s">
        <v>3344</v>
      </c>
      <c r="V1257" t="s">
        <v>3344</v>
      </c>
      <c r="W1257" t="s">
        <v>4599</v>
      </c>
      <c r="X1257">
        <v>1</v>
      </c>
      <c r="Y1257" t="s">
        <v>6256</v>
      </c>
      <c r="Z1257" t="s">
        <v>7914</v>
      </c>
      <c r="AA1257">
        <v>0.5069202909461279</v>
      </c>
      <c r="AB1257">
        <f>HYPERLINK("Melting_Curves/meltCurve_P39297_bsmA.pdf", "Melting_Curves/meltCurve_P39297_bsmA.pdf")</f>
        <v>0</v>
      </c>
    </row>
    <row r="1258" spans="1:28">
      <c r="A1258" t="s">
        <v>1284</v>
      </c>
      <c r="B1258">
        <v>0.999998419929286</v>
      </c>
      <c r="C1258">
        <v>0.7538432198817731</v>
      </c>
      <c r="D1258">
        <v>0.674459655611037</v>
      </c>
      <c r="E1258">
        <v>0.598878590195954</v>
      </c>
      <c r="F1258">
        <v>0.758777211947738</v>
      </c>
      <c r="G1258">
        <v>0.568254923916326</v>
      </c>
      <c r="H1258">
        <v>0.369760416489839</v>
      </c>
      <c r="I1258">
        <v>0.181757213115326</v>
      </c>
      <c r="J1258">
        <v>0.153334260316532</v>
      </c>
      <c r="K1258">
        <v>0.143470056324032</v>
      </c>
      <c r="L1258">
        <v>327.520083568042</v>
      </c>
      <c r="M1258">
        <v>6.31011463665381</v>
      </c>
      <c r="N1258">
        <v>51.9039830744673</v>
      </c>
      <c r="O1258">
        <v>47.4230432980464</v>
      </c>
      <c r="P1258">
        <v>-0.0333549437567503</v>
      </c>
      <c r="Q1258">
        <v>0</v>
      </c>
      <c r="R1258">
        <v>0.856531174420436</v>
      </c>
      <c r="S1258" t="s">
        <v>2942</v>
      </c>
      <c r="T1258" t="s">
        <v>3344</v>
      </c>
      <c r="U1258" t="s">
        <v>3344</v>
      </c>
      <c r="V1258" t="s">
        <v>3344</v>
      </c>
      <c r="W1258" t="s">
        <v>4600</v>
      </c>
      <c r="X1258">
        <v>2</v>
      </c>
      <c r="Y1258" t="s">
        <v>6257</v>
      </c>
      <c r="Z1258" t="s">
        <v>7915</v>
      </c>
      <c r="AA1258">
        <v>0.5261063481815066</v>
      </c>
      <c r="AB1258">
        <f>HYPERLINK("Melting_Curves/meltCurve_P39298_yjfP.pdf", "Melting_Curves/meltCurve_P39298_yjfP.pdf")</f>
        <v>0</v>
      </c>
    </row>
    <row r="1259" spans="1:28">
      <c r="A1259" t="s">
        <v>1285</v>
      </c>
      <c r="B1259">
        <v>0.999998419929286</v>
      </c>
      <c r="C1259">
        <v>1.21660410178391</v>
      </c>
      <c r="D1259">
        <v>0.8132682963054531</v>
      </c>
      <c r="E1259">
        <v>0.902245171430106</v>
      </c>
      <c r="F1259">
        <v>0.7571078446081601</v>
      </c>
      <c r="G1259">
        <v>0.6108369714213709</v>
      </c>
      <c r="H1259">
        <v>0.379143098891265</v>
      </c>
      <c r="I1259">
        <v>0.272521839739589</v>
      </c>
      <c r="J1259">
        <v>0.268452591965901</v>
      </c>
      <c r="K1259">
        <v>0.185735050113216</v>
      </c>
      <c r="L1259">
        <v>668.290728870089</v>
      </c>
      <c r="M1259">
        <v>12.3555435350064</v>
      </c>
      <c r="N1259">
        <v>55.3259363590375</v>
      </c>
      <c r="O1259">
        <v>52.7300382567412</v>
      </c>
      <c r="P1259">
        <v>-0.0515175505722694</v>
      </c>
      <c r="Q1259">
        <v>0.120738716589758</v>
      </c>
      <c r="R1259">
        <v>0.929692383952325</v>
      </c>
      <c r="S1259" t="s">
        <v>2943</v>
      </c>
      <c r="T1259" t="s">
        <v>3344</v>
      </c>
      <c r="U1259" t="s">
        <v>3344</v>
      </c>
      <c r="V1259" t="s">
        <v>3344</v>
      </c>
      <c r="W1259" t="s">
        <v>4601</v>
      </c>
      <c r="X1259">
        <v>2</v>
      </c>
      <c r="Y1259" t="s">
        <v>6258</v>
      </c>
      <c r="Z1259" t="s">
        <v>7916</v>
      </c>
      <c r="AA1259">
        <v>0.6369837704932557</v>
      </c>
      <c r="AB1259">
        <f>HYPERLINK("Melting_Curves/meltCurve_P39310_ytfB.pdf", "Melting_Curves/meltCurve_P39310_ytfB.pdf")</f>
        <v>0</v>
      </c>
    </row>
    <row r="1260" spans="1:28">
      <c r="A1260" t="s">
        <v>1286</v>
      </c>
      <c r="B1260">
        <v>0.999998419929286</v>
      </c>
      <c r="C1260">
        <v>0.913113185285185</v>
      </c>
      <c r="D1260">
        <v>1.0577880345532</v>
      </c>
      <c r="E1260">
        <v>1.08691967988011</v>
      </c>
      <c r="F1260">
        <v>1.21589260056848</v>
      </c>
      <c r="G1260">
        <v>1.31440409411507</v>
      </c>
      <c r="H1260">
        <v>1.09303540046215</v>
      </c>
      <c r="I1260">
        <v>0.841530620921064</v>
      </c>
      <c r="J1260">
        <v>0.772823883132469</v>
      </c>
      <c r="K1260">
        <v>0.644115777438046</v>
      </c>
      <c r="L1260">
        <v>2618.92570489064</v>
      </c>
      <c r="M1260">
        <v>42.2093515621793</v>
      </c>
      <c r="O1260">
        <v>61.9073190372246</v>
      </c>
      <c r="P1260">
        <v>-0.0586264226134476</v>
      </c>
      <c r="Q1260">
        <v>0.656057398302363</v>
      </c>
      <c r="R1260">
        <v>0.520698920777346</v>
      </c>
      <c r="S1260" t="s">
        <v>2944</v>
      </c>
      <c r="T1260" t="s">
        <v>3344</v>
      </c>
      <c r="U1260" t="s">
        <v>3344</v>
      </c>
      <c r="V1260" t="s">
        <v>3344</v>
      </c>
      <c r="W1260" t="s">
        <v>4602</v>
      </c>
      <c r="X1260">
        <v>7</v>
      </c>
      <c r="Y1260" t="s">
        <v>6259</v>
      </c>
      <c r="Z1260" t="s">
        <v>7917</v>
      </c>
      <c r="AA1260">
        <v>0.9436326327134993</v>
      </c>
      <c r="AB1260">
        <f>HYPERLINK("Melting_Curves/meltCurve_P39315_qorB.pdf", "Melting_Curves/meltCurve_P39315_qorB.pdf")</f>
        <v>0</v>
      </c>
    </row>
    <row r="1261" spans="1:28">
      <c r="A1261" t="s">
        <v>1287</v>
      </c>
      <c r="B1261">
        <v>0.999998419929286</v>
      </c>
      <c r="C1261">
        <v>1.13015760010328</v>
      </c>
      <c r="D1261">
        <v>0.9005502274092</v>
      </c>
      <c r="E1261">
        <v>0.888440276909289</v>
      </c>
      <c r="F1261">
        <v>0.730737887184323</v>
      </c>
      <c r="G1261">
        <v>0.7390719173358959</v>
      </c>
      <c r="H1261">
        <v>0.562298899207372</v>
      </c>
      <c r="I1261">
        <v>0.439446192060429</v>
      </c>
      <c r="J1261">
        <v>0.343186204019172</v>
      </c>
      <c r="K1261">
        <v>0.284135719815386</v>
      </c>
      <c r="L1261">
        <v>464.635452330143</v>
      </c>
      <c r="M1261">
        <v>7.8594321827648</v>
      </c>
      <c r="N1261">
        <v>59.1181932086577</v>
      </c>
      <c r="O1261">
        <v>55.6577762394117</v>
      </c>
      <c r="P1261">
        <v>-0.0353451568981965</v>
      </c>
      <c r="Q1261">
        <v>0</v>
      </c>
      <c r="R1261">
        <v>0.954358431430018</v>
      </c>
      <c r="S1261" t="s">
        <v>2945</v>
      </c>
      <c r="T1261" t="s">
        <v>3344</v>
      </c>
      <c r="U1261" t="s">
        <v>3344</v>
      </c>
      <c r="V1261" t="s">
        <v>3344</v>
      </c>
      <c r="W1261" t="s">
        <v>4603</v>
      </c>
      <c r="X1261">
        <v>7</v>
      </c>
      <c r="Y1261" t="s">
        <v>6260</v>
      </c>
      <c r="Z1261" t="s">
        <v>7918</v>
      </c>
      <c r="AA1261">
        <v>0.702902333609323</v>
      </c>
      <c r="AB1261">
        <f>HYPERLINK("Melting_Curves/meltCurve_P39321_tamB.pdf", "Melting_Curves/meltCurve_P39321_tamB.pdf")</f>
        <v>0</v>
      </c>
    </row>
    <row r="1262" spans="1:28">
      <c r="A1262" t="s">
        <v>1288</v>
      </c>
      <c r="B1262">
        <v>0.999998419929286</v>
      </c>
      <c r="C1262">
        <v>1.17277953515025</v>
      </c>
      <c r="D1262">
        <v>1.0798107149324</v>
      </c>
      <c r="E1262">
        <v>1.42970749704625</v>
      </c>
      <c r="F1262">
        <v>1.64647629515677</v>
      </c>
      <c r="G1262">
        <v>1.9349017770293</v>
      </c>
      <c r="H1262">
        <v>1.70895830999983</v>
      </c>
      <c r="I1262">
        <v>1.45855818475354</v>
      </c>
      <c r="J1262">
        <v>1.45715814808728</v>
      </c>
      <c r="K1262">
        <v>1.63971424847525</v>
      </c>
      <c r="L1262">
        <v>2005.92445765977</v>
      </c>
      <c r="M1262">
        <v>45.0682484320914</v>
      </c>
      <c r="O1262">
        <v>44.4212301484142</v>
      </c>
      <c r="P1262">
        <v>0.126820852436519</v>
      </c>
      <c r="Q1262">
        <v>1.5</v>
      </c>
      <c r="R1262">
        <v>0.612544728747315</v>
      </c>
      <c r="S1262" t="s">
        <v>2946</v>
      </c>
      <c r="T1262" t="s">
        <v>3344</v>
      </c>
      <c r="U1262" t="s">
        <v>3344</v>
      </c>
      <c r="V1262" t="s">
        <v>3344</v>
      </c>
      <c r="W1262" t="s">
        <v>4604</v>
      </c>
      <c r="X1262">
        <v>15</v>
      </c>
      <c r="Y1262" t="s">
        <v>6261</v>
      </c>
      <c r="Z1262" t="s">
        <v>7919</v>
      </c>
      <c r="AA1262">
        <v>1.373645755483197</v>
      </c>
      <c r="AB1262">
        <f>HYPERLINK("Melting_Curves/meltCurve_P39325_ytfQ.pdf", "Melting_Curves/meltCurve_P39325_ytfQ.pdf")</f>
        <v>0</v>
      </c>
    </row>
    <row r="1263" spans="1:28">
      <c r="A1263" t="s">
        <v>1289</v>
      </c>
      <c r="B1263">
        <v>0.999998419929286</v>
      </c>
      <c r="C1263">
        <v>0.956453860202531</v>
      </c>
      <c r="D1263">
        <v>1.0118573697263</v>
      </c>
      <c r="E1263">
        <v>1.02704705746099</v>
      </c>
      <c r="F1263">
        <v>1.27181711214273</v>
      </c>
      <c r="G1263">
        <v>1.3269310938363</v>
      </c>
      <c r="H1263">
        <v>1.24924972388004</v>
      </c>
      <c r="I1263">
        <v>1.07208855103839</v>
      </c>
      <c r="J1263">
        <v>1.18692310192421</v>
      </c>
      <c r="K1263">
        <v>1.12802297976187</v>
      </c>
      <c r="L1263">
        <v>11738.0106747179</v>
      </c>
      <c r="M1263">
        <v>250</v>
      </c>
      <c r="O1263">
        <v>46.9490385115666</v>
      </c>
      <c r="P1263">
        <v>0.274018875219735</v>
      </c>
      <c r="Q1263">
        <v>1.20583876147436</v>
      </c>
      <c r="R1263">
        <v>0.686743921197725</v>
      </c>
      <c r="S1263" t="s">
        <v>2947</v>
      </c>
      <c r="T1263" t="s">
        <v>3344</v>
      </c>
      <c r="U1263" t="s">
        <v>3344</v>
      </c>
      <c r="V1263" t="s">
        <v>3344</v>
      </c>
      <c r="W1263" t="s">
        <v>4605</v>
      </c>
      <c r="X1263">
        <v>1</v>
      </c>
      <c r="Y1263" t="s">
        <v>6262</v>
      </c>
      <c r="Z1263" t="s">
        <v>7920</v>
      </c>
      <c r="AA1263">
        <v>1.137537928896443</v>
      </c>
      <c r="AB1263">
        <f>HYPERLINK("Melting_Curves/meltCurve_P39332_yjgH.pdf", "Melting_Curves/meltCurve_P39332_yjgH.pdf")</f>
        <v>0</v>
      </c>
    </row>
    <row r="1264" spans="1:28">
      <c r="A1264" t="s">
        <v>1290</v>
      </c>
      <c r="B1264">
        <v>0.999998419929286</v>
      </c>
      <c r="C1264">
        <v>0.859881506991087</v>
      </c>
      <c r="D1264">
        <v>0.952511767374339</v>
      </c>
      <c r="E1264">
        <v>0.836709362531992</v>
      </c>
      <c r="F1264">
        <v>0.626541693851963</v>
      </c>
      <c r="G1264">
        <v>0.34831701928897</v>
      </c>
      <c r="H1264">
        <v>0.147713407655482</v>
      </c>
      <c r="I1264">
        <v>0.0960667550463072</v>
      </c>
      <c r="J1264">
        <v>0.0880616699469611</v>
      </c>
      <c r="K1264">
        <v>0.08343901148354101</v>
      </c>
      <c r="L1264">
        <v>840.407867045596</v>
      </c>
      <c r="M1264">
        <v>16.4005941260106</v>
      </c>
      <c r="N1264">
        <v>51.524219192667</v>
      </c>
      <c r="O1264">
        <v>50.498860601774</v>
      </c>
      <c r="P1264">
        <v>-0.0777167845219468</v>
      </c>
      <c r="Q1264">
        <v>0.0428810706712127</v>
      </c>
      <c r="R1264">
        <v>0.9854486070051121</v>
      </c>
      <c r="S1264" t="s">
        <v>2948</v>
      </c>
      <c r="T1264" t="s">
        <v>3344</v>
      </c>
      <c r="U1264" t="s">
        <v>3344</v>
      </c>
      <c r="V1264" t="s">
        <v>3344</v>
      </c>
      <c r="W1264" t="s">
        <v>4606</v>
      </c>
      <c r="X1264">
        <v>3</v>
      </c>
      <c r="Y1264" t="s">
        <v>6263</v>
      </c>
      <c r="Z1264" t="s">
        <v>7921</v>
      </c>
      <c r="AA1264">
        <v>0.5141903770569672</v>
      </c>
      <c r="AB1264">
        <f>HYPERLINK("Melting_Curves/meltCurve_P39337_yjgM.pdf", "Melting_Curves/meltCurve_P39337_yjgM.pdf")</f>
        <v>0</v>
      </c>
    </row>
    <row r="1265" spans="1:28">
      <c r="A1265" t="s">
        <v>1291</v>
      </c>
      <c r="B1265">
        <v>0.999998419929286</v>
      </c>
      <c r="C1265">
        <v>1.09985280029371</v>
      </c>
      <c r="D1265">
        <v>1.17532267015428</v>
      </c>
      <c r="E1265">
        <v>1.14517109680256</v>
      </c>
      <c r="F1265">
        <v>0.228970584751953</v>
      </c>
      <c r="G1265">
        <v>0.177161562793837</v>
      </c>
      <c r="H1265">
        <v>0.134656891177104</v>
      </c>
      <c r="I1265">
        <v>0.104035831086938</v>
      </c>
      <c r="J1265">
        <v>0.100045113121354</v>
      </c>
      <c r="K1265">
        <v>0.0951927030091731</v>
      </c>
      <c r="L1265">
        <v>12450.7437604979</v>
      </c>
      <c r="M1265">
        <v>250</v>
      </c>
      <c r="N1265">
        <v>49.858856275362</v>
      </c>
      <c r="O1265">
        <v>49.7997879931409</v>
      </c>
      <c r="P1265">
        <v>-1.1016382119419</v>
      </c>
      <c r="Q1265">
        <v>0.122218410828986</v>
      </c>
      <c r="R1265">
        <v>0.9706635495646559</v>
      </c>
      <c r="S1265" t="s">
        <v>2949</v>
      </c>
      <c r="T1265" t="s">
        <v>3344</v>
      </c>
      <c r="U1265" t="s">
        <v>3344</v>
      </c>
      <c r="V1265" t="s">
        <v>3344</v>
      </c>
      <c r="W1265" t="s">
        <v>4607</v>
      </c>
      <c r="X1265">
        <v>15</v>
      </c>
      <c r="Y1265" t="s">
        <v>6264</v>
      </c>
      <c r="Z1265" t="s">
        <v>7922</v>
      </c>
      <c r="AA1265">
        <v>0.4969023245806705</v>
      </c>
      <c r="AB1265">
        <f>HYPERLINK("Melting_Curves/meltCurve_P39342_yjgR.pdf", "Melting_Curves/meltCurve_P39342_yjgR.pdf")</f>
        <v>0</v>
      </c>
    </row>
    <row r="1266" spans="1:28">
      <c r="A1266" t="s">
        <v>1292</v>
      </c>
      <c r="B1266">
        <v>0.999998419929286</v>
      </c>
      <c r="C1266">
        <v>1.0716530997347</v>
      </c>
      <c r="D1266">
        <v>1.04192347682733</v>
      </c>
      <c r="E1266">
        <v>1.10688984912675</v>
      </c>
      <c r="F1266">
        <v>1.18449936055598</v>
      </c>
      <c r="G1266">
        <v>1.12829454633975</v>
      </c>
      <c r="H1266">
        <v>0.631400507558722</v>
      </c>
      <c r="I1266">
        <v>0.183888900335037</v>
      </c>
      <c r="J1266">
        <v>0.143245363906613</v>
      </c>
      <c r="K1266">
        <v>0.121821725695517</v>
      </c>
      <c r="L1266">
        <v>6769.10942806032</v>
      </c>
      <c r="M1266">
        <v>117.658665405569</v>
      </c>
      <c r="N1266">
        <v>57.7056442154659</v>
      </c>
      <c r="O1266">
        <v>57.515138208848</v>
      </c>
      <c r="P1266">
        <v>-0.435094407811582</v>
      </c>
      <c r="Q1266">
        <v>0.149250435074507</v>
      </c>
      <c r="R1266">
        <v>0.96080993824168</v>
      </c>
      <c r="S1266" t="s">
        <v>2950</v>
      </c>
      <c r="T1266" t="s">
        <v>3344</v>
      </c>
      <c r="U1266" t="s">
        <v>3344</v>
      </c>
      <c r="V1266" t="s">
        <v>3344</v>
      </c>
      <c r="W1266" t="s">
        <v>4608</v>
      </c>
      <c r="X1266">
        <v>5</v>
      </c>
      <c r="Y1266" t="s">
        <v>6265</v>
      </c>
      <c r="Z1266" t="s">
        <v>7923</v>
      </c>
      <c r="AA1266">
        <v>0.7318845765545895</v>
      </c>
      <c r="AB1266">
        <f>HYPERLINK("Melting_Curves/meltCurve_P39356_yjhU.pdf", "Melting_Curves/meltCurve_P39356_yjhU.pdf")</f>
        <v>0</v>
      </c>
    </row>
    <row r="1267" spans="1:28">
      <c r="A1267" t="s">
        <v>1293</v>
      </c>
      <c r="B1267">
        <v>0.999998419929286</v>
      </c>
      <c r="C1267">
        <v>1.01558547147086</v>
      </c>
      <c r="D1267">
        <v>0.892127703194709</v>
      </c>
      <c r="E1267">
        <v>0.96771117672222</v>
      </c>
      <c r="F1267">
        <v>0.945978289991579</v>
      </c>
      <c r="G1267">
        <v>1.06095759528621</v>
      </c>
      <c r="H1267">
        <v>0.788223962532779</v>
      </c>
      <c r="I1267">
        <v>0.719216896690458</v>
      </c>
      <c r="J1267">
        <v>0.705971334311092</v>
      </c>
      <c r="K1267">
        <v>0.65386060527669</v>
      </c>
      <c r="L1267">
        <v>14304.1105716785</v>
      </c>
      <c r="M1267">
        <v>250</v>
      </c>
      <c r="O1267">
        <v>57.2127808350657</v>
      </c>
      <c r="P1267">
        <v>-0.335353120578196</v>
      </c>
      <c r="Q1267">
        <v>0.6930162470333781</v>
      </c>
      <c r="R1267">
        <v>0.886401416458101</v>
      </c>
      <c r="S1267" t="s">
        <v>2951</v>
      </c>
      <c r="T1267" t="s">
        <v>3344</v>
      </c>
      <c r="U1267" t="s">
        <v>3344</v>
      </c>
      <c r="V1267" t="s">
        <v>3344</v>
      </c>
      <c r="W1267" t="s">
        <v>4609</v>
      </c>
      <c r="X1267">
        <v>3</v>
      </c>
      <c r="Y1267" t="s">
        <v>6266</v>
      </c>
      <c r="Z1267" t="s">
        <v>7924</v>
      </c>
      <c r="AA1267">
        <v>0.8999177166497145</v>
      </c>
      <c r="AB1267">
        <f>HYPERLINK("Melting_Curves/meltCurve_P39358_yjhG.pdf", "Melting_Curves/meltCurve_P39358_yjhG.pdf")</f>
        <v>0</v>
      </c>
    </row>
    <row r="1268" spans="1:28">
      <c r="A1268" t="s">
        <v>1294</v>
      </c>
      <c r="B1268">
        <v>0.999998419929286</v>
      </c>
      <c r="C1268">
        <v>0.774321012987976</v>
      </c>
      <c r="D1268">
        <v>0.858978213510099</v>
      </c>
      <c r="E1268">
        <v>0.715778265125715</v>
      </c>
      <c r="F1268">
        <v>0.598498444818775</v>
      </c>
      <c r="G1268">
        <v>0.348332885749221</v>
      </c>
      <c r="H1268">
        <v>0.24497246797798</v>
      </c>
      <c r="I1268">
        <v>0.108596485850182</v>
      </c>
      <c r="J1268">
        <v>0.09953610943637491</v>
      </c>
      <c r="K1268">
        <v>0.09694241173413209</v>
      </c>
      <c r="L1268">
        <v>489.030573652545</v>
      </c>
      <c r="M1268">
        <v>9.640159974703829</v>
      </c>
      <c r="N1268">
        <v>50.7284701186608</v>
      </c>
      <c r="O1268">
        <v>48.6897816869054</v>
      </c>
      <c r="P1268">
        <v>-0.0495255742410338</v>
      </c>
      <c r="Q1268">
        <v>0</v>
      </c>
      <c r="R1268">
        <v>0.967260321251085</v>
      </c>
      <c r="S1268" t="s">
        <v>2952</v>
      </c>
      <c r="T1268" t="s">
        <v>3344</v>
      </c>
      <c r="U1268" t="s">
        <v>3344</v>
      </c>
      <c r="V1268" t="s">
        <v>3344</v>
      </c>
      <c r="W1268" t="s">
        <v>4610</v>
      </c>
      <c r="X1268">
        <v>1</v>
      </c>
      <c r="Y1268" t="s">
        <v>6267</v>
      </c>
      <c r="Z1268" t="s">
        <v>7925</v>
      </c>
      <c r="AA1268">
        <v>0.4899724667540161</v>
      </c>
      <c r="AB1268">
        <f>HYPERLINK("Melting_Curves/meltCurve_P39363_sgcA.pdf", "Melting_Curves/meltCurve_P39363_sgcA.pdf")</f>
        <v>0</v>
      </c>
    </row>
    <row r="1269" spans="1:28">
      <c r="A1269" t="s">
        <v>1295</v>
      </c>
      <c r="B1269">
        <v>0.999998419929286</v>
      </c>
      <c r="C1269">
        <v>1.8525172107697</v>
      </c>
      <c r="D1269">
        <v>1.72133939005573</v>
      </c>
      <c r="E1269">
        <v>1.43516025161749</v>
      </c>
      <c r="F1269">
        <v>1.85756945763193</v>
      </c>
      <c r="G1269">
        <v>1.46867366536456</v>
      </c>
      <c r="H1269">
        <v>1.16226114411989</v>
      </c>
      <c r="I1269">
        <v>1.35426161337056</v>
      </c>
      <c r="J1269">
        <v>0.997525242938428</v>
      </c>
      <c r="K1269">
        <v>1.1604850091305</v>
      </c>
      <c r="L1269">
        <v>9481.702413682189</v>
      </c>
      <c r="M1269">
        <v>250</v>
      </c>
      <c r="O1269">
        <v>37.9243834587674</v>
      </c>
      <c r="P1269">
        <v>0.7342446376720519</v>
      </c>
      <c r="Q1269">
        <v>1.44553239234662</v>
      </c>
      <c r="R1269">
        <v>0.185838462505661</v>
      </c>
      <c r="S1269" t="s">
        <v>2953</v>
      </c>
      <c r="T1269" t="s">
        <v>3344</v>
      </c>
      <c r="U1269" t="s">
        <v>3344</v>
      </c>
      <c r="V1269" t="s">
        <v>3344</v>
      </c>
      <c r="W1269" t="s">
        <v>4611</v>
      </c>
      <c r="X1269">
        <v>2</v>
      </c>
      <c r="Y1269" t="s">
        <v>6268</v>
      </c>
      <c r="Z1269" t="s">
        <v>7926</v>
      </c>
      <c r="AA1269">
        <v>1.431734559547787</v>
      </c>
      <c r="AB1269">
        <f>HYPERLINK("Melting_Curves/meltCurve_P39366_sgcX.pdf", "Melting_Curves/meltCurve_P39366_sgcX.pdf")</f>
        <v>0</v>
      </c>
    </row>
    <row r="1270" spans="1:28">
      <c r="A1270" t="s">
        <v>1296</v>
      </c>
      <c r="B1270">
        <v>0.999998419929286</v>
      </c>
      <c r="C1270">
        <v>1.21027491775209</v>
      </c>
      <c r="D1270">
        <v>1.14467359285538</v>
      </c>
      <c r="E1270">
        <v>1.2771548373319</v>
      </c>
      <c r="F1270">
        <v>1.58780410794507</v>
      </c>
      <c r="G1270">
        <v>0.997514294655123</v>
      </c>
      <c r="H1270">
        <v>0.537565069704082</v>
      </c>
      <c r="I1270">
        <v>0.251330316483128</v>
      </c>
      <c r="J1270">
        <v>0.221749290902614</v>
      </c>
      <c r="K1270">
        <v>0.190581982218056</v>
      </c>
      <c r="L1270">
        <v>3844.5310129242</v>
      </c>
      <c r="M1270">
        <v>67.3332345009088</v>
      </c>
      <c r="N1270">
        <v>57.5841959670322</v>
      </c>
      <c r="O1270">
        <v>57.046785037716</v>
      </c>
      <c r="P1270">
        <v>-0.231012465235166</v>
      </c>
      <c r="Q1270">
        <v>0.217116866093792</v>
      </c>
      <c r="R1270">
        <v>0.784846565437733</v>
      </c>
      <c r="S1270" t="s">
        <v>2954</v>
      </c>
      <c r="T1270" t="s">
        <v>3344</v>
      </c>
      <c r="U1270" t="s">
        <v>3344</v>
      </c>
      <c r="V1270" t="s">
        <v>3344</v>
      </c>
      <c r="W1270" t="s">
        <v>4612</v>
      </c>
      <c r="X1270">
        <v>2</v>
      </c>
      <c r="Y1270" t="s">
        <v>6269</v>
      </c>
      <c r="Z1270" t="s">
        <v>7927</v>
      </c>
      <c r="AA1270">
        <v>0.7426553616454725</v>
      </c>
      <c r="AB1270">
        <f>HYPERLINK("Melting_Curves/meltCurve_P39371_nanM.pdf", "Melting_Curves/meltCurve_P39371_nanM.pdf")</f>
        <v>0</v>
      </c>
    </row>
    <row r="1271" spans="1:28">
      <c r="A1271" t="s">
        <v>1297</v>
      </c>
      <c r="B1271">
        <v>0.999998419929286</v>
      </c>
      <c r="C1271">
        <v>1.11843565247217</v>
      </c>
      <c r="D1271">
        <v>1.06871542286705</v>
      </c>
      <c r="E1271">
        <v>1.00499033178026</v>
      </c>
      <c r="F1271">
        <v>1.03804704223477</v>
      </c>
      <c r="G1271">
        <v>0.9660543936416079</v>
      </c>
      <c r="H1271">
        <v>0.780846995805399</v>
      </c>
      <c r="I1271">
        <v>0.743883138026636</v>
      </c>
      <c r="J1271">
        <v>0.664151174725418</v>
      </c>
      <c r="K1271">
        <v>0.787195837147428</v>
      </c>
      <c r="L1271">
        <v>2991.19630790889</v>
      </c>
      <c r="M1271">
        <v>53.5963944174627</v>
      </c>
      <c r="O1271">
        <v>55.73211733878</v>
      </c>
      <c r="P1271">
        <v>-0.0647317188060863</v>
      </c>
      <c r="Q1271">
        <v>0.730755493048985</v>
      </c>
      <c r="R1271">
        <v>0.875155761286469</v>
      </c>
      <c r="S1271" t="s">
        <v>2955</v>
      </c>
      <c r="T1271" t="s">
        <v>3344</v>
      </c>
      <c r="U1271" t="s">
        <v>3344</v>
      </c>
      <c r="V1271" t="s">
        <v>3344</v>
      </c>
      <c r="W1271" t="s">
        <v>4613</v>
      </c>
      <c r="X1271">
        <v>9</v>
      </c>
      <c r="Y1271" t="s">
        <v>6270</v>
      </c>
      <c r="Z1271" t="s">
        <v>7928</v>
      </c>
      <c r="AA1271">
        <v>0.9001433123503053</v>
      </c>
      <c r="AB1271">
        <f>HYPERLINK("Melting_Curves/meltCurve_P39377_iadA.pdf", "Melting_Curves/meltCurve_P39377_iadA.pdf")</f>
        <v>0</v>
      </c>
    </row>
    <row r="1272" spans="1:28">
      <c r="A1272" t="s">
        <v>1298</v>
      </c>
      <c r="B1272">
        <v>0.999998419929286</v>
      </c>
      <c r="C1272">
        <v>0.950082488712476</v>
      </c>
      <c r="D1272">
        <v>1.00470088865996</v>
      </c>
      <c r="E1272">
        <v>1.32142686083879</v>
      </c>
      <c r="F1272">
        <v>1.43983803874525</v>
      </c>
      <c r="G1272">
        <v>1.07836412284186</v>
      </c>
      <c r="H1272">
        <v>0.563824748800988</v>
      </c>
      <c r="I1272">
        <v>0.247264428694403</v>
      </c>
      <c r="J1272">
        <v>0.176859530385084</v>
      </c>
      <c r="K1272">
        <v>0.226333649167706</v>
      </c>
      <c r="L1272">
        <v>11062.4677482435</v>
      </c>
      <c r="M1272">
        <v>192.954603613225</v>
      </c>
      <c r="N1272">
        <v>57.50139219668</v>
      </c>
      <c r="O1272">
        <v>57.3257988259908</v>
      </c>
      <c r="P1272">
        <v>-0.659035031003534</v>
      </c>
      <c r="Q1272">
        <v>0.216816435040525</v>
      </c>
      <c r="R1272">
        <v>0.841369089069433</v>
      </c>
      <c r="S1272" t="s">
        <v>2956</v>
      </c>
      <c r="T1272" t="s">
        <v>3344</v>
      </c>
      <c r="U1272" t="s">
        <v>3344</v>
      </c>
      <c r="V1272" t="s">
        <v>3344</v>
      </c>
      <c r="W1272" t="s">
        <v>4614</v>
      </c>
      <c r="X1272">
        <v>2</v>
      </c>
      <c r="Y1272" t="s">
        <v>6271</v>
      </c>
      <c r="Z1272" t="s">
        <v>7929</v>
      </c>
      <c r="AA1272">
        <v>0.7477375900378679</v>
      </c>
      <c r="AB1272">
        <f>HYPERLINK("Melting_Curves/meltCurve_P39385_yjiN.pdf", "Melting_Curves/meltCurve_P39385_yjiN.pdf")</f>
        <v>0</v>
      </c>
    </row>
    <row r="1273" spans="1:28">
      <c r="A1273" t="s">
        <v>1299</v>
      </c>
      <c r="B1273">
        <v>0.999998419929286</v>
      </c>
      <c r="C1273">
        <v>1.07626575258789</v>
      </c>
      <c r="D1273">
        <v>0.91532348484731</v>
      </c>
      <c r="E1273">
        <v>0.807386439055674</v>
      </c>
      <c r="F1273">
        <v>0.31221116484725</v>
      </c>
      <c r="G1273">
        <v>0.106095911734236</v>
      </c>
      <c r="H1273">
        <v>0.057561316142706</v>
      </c>
      <c r="I1273">
        <v>0.0477724193753812</v>
      </c>
      <c r="J1273">
        <v>0.0266826162971938</v>
      </c>
      <c r="K1273">
        <v>0.030963098468129</v>
      </c>
      <c r="L1273">
        <v>1381.89714526192</v>
      </c>
      <c r="M1273">
        <v>28.3834523664147</v>
      </c>
      <c r="N1273">
        <v>48.8186871343497</v>
      </c>
      <c r="O1273">
        <v>48.4469664612901</v>
      </c>
      <c r="P1273">
        <v>-0.141058963728715</v>
      </c>
      <c r="Q1273">
        <v>0.0369285584565053</v>
      </c>
      <c r="R1273">
        <v>0.99411191934615</v>
      </c>
      <c r="S1273" t="s">
        <v>2957</v>
      </c>
      <c r="T1273" t="s">
        <v>3344</v>
      </c>
      <c r="U1273" t="s">
        <v>3344</v>
      </c>
      <c r="V1273" t="s">
        <v>3344</v>
      </c>
      <c r="W1273" t="s">
        <v>4615</v>
      </c>
      <c r="X1273">
        <v>6</v>
      </c>
      <c r="Y1273" t="s">
        <v>6272</v>
      </c>
      <c r="Z1273" t="s">
        <v>7930</v>
      </c>
      <c r="AA1273">
        <v>0.4185508676704108</v>
      </c>
      <c r="AB1273">
        <f>HYPERLINK("Melting_Curves/meltCurve_P39406_rsmC.pdf", "Melting_Curves/meltCurve_P39406_rsmC.pdf")</f>
        <v>0</v>
      </c>
    </row>
    <row r="1274" spans="1:28">
      <c r="A1274" t="s">
        <v>1300</v>
      </c>
      <c r="B1274">
        <v>0.999998419929286</v>
      </c>
      <c r="C1274">
        <v>2.08320037276329</v>
      </c>
      <c r="D1274">
        <v>1.99199364411944</v>
      </c>
      <c r="E1274">
        <v>1.58074260434422</v>
      </c>
      <c r="F1274">
        <v>2.21539099762907</v>
      </c>
      <c r="G1274">
        <v>1.40245165456115</v>
      </c>
      <c r="H1274">
        <v>1.26012615714533</v>
      </c>
      <c r="I1274">
        <v>1.22664580440803</v>
      </c>
      <c r="J1274">
        <v>0.839118939273961</v>
      </c>
      <c r="K1274">
        <v>0.6962553095271961</v>
      </c>
      <c r="L1274">
        <v>15000</v>
      </c>
      <c r="M1274">
        <v>234.127953411331</v>
      </c>
      <c r="O1274">
        <v>64.06287333072279</v>
      </c>
      <c r="P1274">
        <v>-0.277532519584536</v>
      </c>
      <c r="Q1274">
        <v>0.696242575149472</v>
      </c>
      <c r="R1274">
        <v>-0.683975800821421</v>
      </c>
      <c r="S1274" t="s">
        <v>2958</v>
      </c>
      <c r="T1274" t="s">
        <v>3344</v>
      </c>
      <c r="U1274" t="s">
        <v>3344</v>
      </c>
      <c r="V1274" t="s">
        <v>3344</v>
      </c>
      <c r="W1274" t="s">
        <v>4616</v>
      </c>
      <c r="X1274">
        <v>2</v>
      </c>
      <c r="Y1274" t="s">
        <v>6273</v>
      </c>
      <c r="Z1274" t="s">
        <v>7931</v>
      </c>
      <c r="AA1274">
        <v>0.9703468635818009</v>
      </c>
      <c r="AB1274">
        <f>HYPERLINK("Melting_Curves/meltCurve_P39407_yjjU.pdf", "Melting_Curves/meltCurve_P39407_yjjU.pdf")</f>
        <v>0</v>
      </c>
    </row>
    <row r="1275" spans="1:28">
      <c r="A1275" t="s">
        <v>1301</v>
      </c>
      <c r="B1275">
        <v>0.999998419929286</v>
      </c>
      <c r="C1275">
        <v>0.881307167429987</v>
      </c>
      <c r="D1275">
        <v>1.00487770207603</v>
      </c>
      <c r="E1275">
        <v>1.06190715497523</v>
      </c>
      <c r="F1275">
        <v>1.23727666656588</v>
      </c>
      <c r="G1275">
        <v>1.26862284349229</v>
      </c>
      <c r="H1275">
        <v>1.07098872842937</v>
      </c>
      <c r="I1275">
        <v>0.748934172733173</v>
      </c>
      <c r="J1275">
        <v>0.57551980908968</v>
      </c>
      <c r="K1275">
        <v>0.407447559252301</v>
      </c>
      <c r="L1275">
        <v>2588.73156575854</v>
      </c>
      <c r="M1275">
        <v>41.8221834644686</v>
      </c>
      <c r="N1275">
        <v>64.6046610332903</v>
      </c>
      <c r="O1275">
        <v>61.7575091739199</v>
      </c>
      <c r="P1275">
        <v>-0.09933323219345221</v>
      </c>
      <c r="Q1275">
        <v>0.413271921064543</v>
      </c>
      <c r="R1275">
        <v>0.767030127135696</v>
      </c>
      <c r="S1275" t="s">
        <v>2959</v>
      </c>
      <c r="T1275" t="s">
        <v>3344</v>
      </c>
      <c r="U1275" t="s">
        <v>3344</v>
      </c>
      <c r="V1275" t="s">
        <v>3344</v>
      </c>
      <c r="W1275" t="s">
        <v>4617</v>
      </c>
      <c r="X1275">
        <v>6</v>
      </c>
      <c r="Y1275" t="s">
        <v>6274</v>
      </c>
      <c r="Z1275" t="s">
        <v>7932</v>
      </c>
      <c r="AA1275">
        <v>0.9010686496558457</v>
      </c>
      <c r="AB1275">
        <f>HYPERLINK("Melting_Curves/meltCurve_P39408_yjjV.pdf", "Melting_Curves/meltCurve_P39408_yjjV.pdf")</f>
        <v>0</v>
      </c>
    </row>
    <row r="1276" spans="1:28">
      <c r="A1276" t="s">
        <v>1302</v>
      </c>
      <c r="B1276">
        <v>0.999998419929286</v>
      </c>
      <c r="C1276">
        <v>0.758238751474565</v>
      </c>
      <c r="D1276">
        <v>0.5903561924842839</v>
      </c>
      <c r="E1276">
        <v>0.227459431390216</v>
      </c>
      <c r="F1276">
        <v>0.100724043651748</v>
      </c>
      <c r="G1276">
        <v>0.0852242084798131</v>
      </c>
      <c r="H1276">
        <v>0.0507209463383034</v>
      </c>
      <c r="I1276">
        <v>0.050261942727486</v>
      </c>
      <c r="J1276">
        <v>0.0402448797914099</v>
      </c>
      <c r="K1276">
        <v>0.0470569318389799</v>
      </c>
      <c r="L1276">
        <v>760.814072703446</v>
      </c>
      <c r="M1276">
        <v>17.5992074520868</v>
      </c>
      <c r="N1276">
        <v>43.4373329293699</v>
      </c>
      <c r="O1276">
        <v>42.6834562695305</v>
      </c>
      <c r="P1276">
        <v>-0.0989328015702248</v>
      </c>
      <c r="Q1276">
        <v>0.0402826416208856</v>
      </c>
      <c r="R1276">
        <v>0.991652857093261</v>
      </c>
      <c r="S1276" t="s">
        <v>2960</v>
      </c>
      <c r="T1276" t="s">
        <v>3344</v>
      </c>
      <c r="U1276" t="s">
        <v>3344</v>
      </c>
      <c r="V1276" t="s">
        <v>3344</v>
      </c>
      <c r="W1276" t="s">
        <v>4618</v>
      </c>
      <c r="X1276">
        <v>2</v>
      </c>
      <c r="Y1276" t="s">
        <v>6275</v>
      </c>
      <c r="Z1276" t="s">
        <v>7933</v>
      </c>
      <c r="AA1276">
        <v>0.2572019057928813</v>
      </c>
      <c r="AB1276">
        <f>HYPERLINK("Melting_Curves/meltCurve_P39411_yjjX.pdf", "Melting_Curves/meltCurve_P39411_yjjX.pdf")</f>
        <v>0</v>
      </c>
    </row>
    <row r="1277" spans="1:28">
      <c r="A1277" t="s">
        <v>1303</v>
      </c>
      <c r="B1277">
        <v>0.999998419929286</v>
      </c>
      <c r="C1277">
        <v>1.15056938940921</v>
      </c>
      <c r="D1277">
        <v>1.07195477465647</v>
      </c>
      <c r="E1277">
        <v>1.25721344759278</v>
      </c>
      <c r="F1277">
        <v>1.34387550071694</v>
      </c>
      <c r="G1277">
        <v>1.28699729826108</v>
      </c>
      <c r="H1277">
        <v>0.852395476504673</v>
      </c>
      <c r="I1277">
        <v>0.249344574949543</v>
      </c>
      <c r="J1277">
        <v>0.0602834164166045</v>
      </c>
      <c r="K1277">
        <v>0.0498231306253366</v>
      </c>
      <c r="L1277">
        <v>3165.14653999963</v>
      </c>
      <c r="M1277">
        <v>53.2588736817979</v>
      </c>
      <c r="N1277">
        <v>59.5402187068978</v>
      </c>
      <c r="O1277">
        <v>59.3458583374011</v>
      </c>
      <c r="P1277">
        <v>-0.213777877819456</v>
      </c>
      <c r="Q1277">
        <v>0.0471579779779921</v>
      </c>
      <c r="R1277">
        <v>0.875294916685303</v>
      </c>
      <c r="S1277" t="s">
        <v>2961</v>
      </c>
      <c r="T1277" t="s">
        <v>3344</v>
      </c>
      <c r="U1277" t="s">
        <v>3344</v>
      </c>
      <c r="V1277" t="s">
        <v>3344</v>
      </c>
      <c r="W1277" t="s">
        <v>4619</v>
      </c>
      <c r="X1277">
        <v>5</v>
      </c>
      <c r="Y1277" t="s">
        <v>6276</v>
      </c>
      <c r="Z1277" t="s">
        <v>7934</v>
      </c>
      <c r="AA1277">
        <v>0.7616348345366594</v>
      </c>
      <c r="AB1277">
        <f>HYPERLINK("Melting_Curves/meltCurve_P39451_adhP.pdf", "Melting_Curves/meltCurve_P39451_adhP.pdf")</f>
        <v>0</v>
      </c>
    </row>
    <row r="1278" spans="1:28">
      <c r="A1278" t="s">
        <v>1304</v>
      </c>
      <c r="B1278">
        <v>0.999998419929286</v>
      </c>
      <c r="C1278">
        <v>0.971065938631601</v>
      </c>
      <c r="D1278">
        <v>0.729416870056211</v>
      </c>
      <c r="E1278">
        <v>0.506254661897466</v>
      </c>
      <c r="F1278">
        <v>0.284595456018902</v>
      </c>
      <c r="G1278">
        <v>0.188598450136399</v>
      </c>
      <c r="H1278">
        <v>0.0894009976255732</v>
      </c>
      <c r="I1278">
        <v>0.0582323168155987</v>
      </c>
      <c r="J1278">
        <v>0.041267339829343</v>
      </c>
      <c r="K1278">
        <v>0.0429294596596894</v>
      </c>
      <c r="L1278">
        <v>658.216066927597</v>
      </c>
      <c r="M1278">
        <v>14.1516472472654</v>
      </c>
      <c r="N1278">
        <v>46.7311482906618</v>
      </c>
      <c r="O1278">
        <v>45.6124298396844</v>
      </c>
      <c r="P1278">
        <v>-0.0750797817584106</v>
      </c>
      <c r="Q1278">
        <v>0.032158901651869</v>
      </c>
      <c r="R1278">
        <v>0.995151364706631</v>
      </c>
      <c r="S1278" t="s">
        <v>2962</v>
      </c>
      <c r="T1278" t="s">
        <v>3344</v>
      </c>
      <c r="U1278" t="s">
        <v>3344</v>
      </c>
      <c r="V1278" t="s">
        <v>3344</v>
      </c>
      <c r="W1278" t="s">
        <v>4620</v>
      </c>
      <c r="X1278">
        <v>4</v>
      </c>
      <c r="Y1278" t="s">
        <v>6277</v>
      </c>
      <c r="Z1278" t="s">
        <v>7935</v>
      </c>
      <c r="AA1278">
        <v>0.3635147773210016</v>
      </c>
      <c r="AB1278">
        <f>HYPERLINK("Melting_Curves/meltCurve_P39830_ybaL.pdf", "Melting_Curves/meltCurve_P39830_ybaL.pdf")</f>
        <v>0</v>
      </c>
    </row>
    <row r="1279" spans="1:28">
      <c r="A1279" t="s">
        <v>1305</v>
      </c>
      <c r="B1279">
        <v>0.999998419929286</v>
      </c>
      <c r="C1279">
        <v>1.20749979673336</v>
      </c>
      <c r="D1279">
        <v>0.972731970561493</v>
      </c>
      <c r="E1279">
        <v>1.30733186994221</v>
      </c>
      <c r="F1279">
        <v>0.584761524298287</v>
      </c>
      <c r="G1279">
        <v>0.229685327857791</v>
      </c>
      <c r="H1279">
        <v>0.160775507799196</v>
      </c>
      <c r="I1279">
        <v>0.130144875358202</v>
      </c>
      <c r="J1279">
        <v>0.105701658869457</v>
      </c>
      <c r="K1279">
        <v>0.0926802182251088</v>
      </c>
      <c r="L1279">
        <v>6304.01933849508</v>
      </c>
      <c r="M1279">
        <v>125.517124923477</v>
      </c>
      <c r="N1279">
        <v>50.3603636510318</v>
      </c>
      <c r="O1279">
        <v>50.2116310824188</v>
      </c>
      <c r="P1279">
        <v>-0.535110696113392</v>
      </c>
      <c r="Q1279">
        <v>0.143741387837662</v>
      </c>
      <c r="R1279">
        <v>0.932258019701225</v>
      </c>
      <c r="S1279" t="s">
        <v>2963</v>
      </c>
      <c r="T1279" t="s">
        <v>3344</v>
      </c>
      <c r="U1279" t="s">
        <v>3344</v>
      </c>
      <c r="V1279" t="s">
        <v>3344</v>
      </c>
      <c r="W1279" t="s">
        <v>4621</v>
      </c>
      <c r="X1279">
        <v>2</v>
      </c>
      <c r="Y1279" t="s">
        <v>6278</v>
      </c>
      <c r="Z1279" t="s">
        <v>7936</v>
      </c>
      <c r="AA1279">
        <v>0.5214905371405416</v>
      </c>
      <c r="AB1279">
        <f>HYPERLINK("Melting_Curves/meltCurve_P39831_ydfG.pdf", "Melting_Curves/meltCurve_P39831_ydfG.pdf")</f>
        <v>0</v>
      </c>
    </row>
    <row r="1280" spans="1:28">
      <c r="A1280" t="s">
        <v>1306</v>
      </c>
      <c r="B1280">
        <v>0.999998419929286</v>
      </c>
      <c r="C1280">
        <v>1.04912575420032</v>
      </c>
      <c r="D1280">
        <v>0.847128784972803</v>
      </c>
      <c r="E1280">
        <v>0.5003972701181419</v>
      </c>
      <c r="F1280">
        <v>0.429159274832376</v>
      </c>
      <c r="G1280">
        <v>0.299375391554392</v>
      </c>
      <c r="H1280">
        <v>0.216521807045009</v>
      </c>
      <c r="I1280">
        <v>0.191064882219635</v>
      </c>
      <c r="J1280">
        <v>0.184610590751319</v>
      </c>
      <c r="K1280">
        <v>0.163827266673857</v>
      </c>
      <c r="L1280">
        <v>788.994605553725</v>
      </c>
      <c r="M1280">
        <v>16.9810644523954</v>
      </c>
      <c r="N1280">
        <v>47.7851528447936</v>
      </c>
      <c r="O1280">
        <v>45.8331767251003</v>
      </c>
      <c r="P1280">
        <v>-0.075268746571636</v>
      </c>
      <c r="Q1280">
        <v>0.187426024492498</v>
      </c>
      <c r="R1280">
        <v>0.979307382495161</v>
      </c>
      <c r="S1280" t="s">
        <v>2964</v>
      </c>
      <c r="T1280" t="s">
        <v>3344</v>
      </c>
      <c r="U1280" t="s">
        <v>3344</v>
      </c>
      <c r="V1280" t="s">
        <v>3344</v>
      </c>
      <c r="W1280" t="s">
        <v>4622</v>
      </c>
      <c r="X1280">
        <v>2</v>
      </c>
      <c r="Y1280" t="s">
        <v>6279</v>
      </c>
      <c r="Z1280" t="s">
        <v>7937</v>
      </c>
      <c r="AA1280">
        <v>0.4583963790211731</v>
      </c>
      <c r="AB1280">
        <f>HYPERLINK("Melting_Curves/meltCurve_P39838_rcsD.pdf", "Melting_Curves/meltCurve_P39838_rcsD.pdf")</f>
        <v>0</v>
      </c>
    </row>
    <row r="1281" spans="1:28">
      <c r="A1281" t="s">
        <v>1307</v>
      </c>
      <c r="B1281">
        <v>0.999998419929286</v>
      </c>
      <c r="C1281">
        <v>1.27588458867678</v>
      </c>
      <c r="D1281">
        <v>1.31086939534451</v>
      </c>
      <c r="E1281">
        <v>1.65531054565943</v>
      </c>
      <c r="F1281">
        <v>1.33986744394338</v>
      </c>
      <c r="G1281">
        <v>0.176779720955223</v>
      </c>
      <c r="H1281">
        <v>0.106404547731726</v>
      </c>
      <c r="I1281">
        <v>0.0686232497553813</v>
      </c>
      <c r="J1281">
        <v>0.0572543376622853</v>
      </c>
      <c r="K1281">
        <v>0.0517298652881991</v>
      </c>
      <c r="L1281">
        <v>13339.6085021992</v>
      </c>
      <c r="M1281">
        <v>250</v>
      </c>
      <c r="N1281">
        <v>53.3911676469979</v>
      </c>
      <c r="O1281">
        <v>53.3550194542385</v>
      </c>
      <c r="P1281">
        <v>-1.08822599816651</v>
      </c>
      <c r="Q1281">
        <v>0.0710028927893739</v>
      </c>
      <c r="R1281">
        <v>0.818981116658571</v>
      </c>
      <c r="S1281" t="s">
        <v>2965</v>
      </c>
      <c r="T1281" t="s">
        <v>3344</v>
      </c>
      <c r="U1281" t="s">
        <v>3344</v>
      </c>
      <c r="V1281" t="s">
        <v>3344</v>
      </c>
      <c r="W1281" t="s">
        <v>4623</v>
      </c>
      <c r="X1281">
        <v>7</v>
      </c>
      <c r="Y1281" t="s">
        <v>6280</v>
      </c>
      <c r="Z1281" t="s">
        <v>7938</v>
      </c>
      <c r="AA1281">
        <v>0.5776544828266255</v>
      </c>
      <c r="AB1281">
        <f>HYPERLINK("Melting_Curves/meltCurve_P40120_mdoD.pdf", "Melting_Curves/meltCurve_P40120_mdoD.pdf")</f>
        <v>0</v>
      </c>
    </row>
    <row r="1282" spans="1:28">
      <c r="A1282" t="s">
        <v>1308</v>
      </c>
      <c r="B1282">
        <v>0.999998419929286</v>
      </c>
      <c r="C1282">
        <v>1.00611719802725</v>
      </c>
      <c r="D1282">
        <v>1.1129182527922</v>
      </c>
      <c r="E1282">
        <v>1.37412278220135</v>
      </c>
      <c r="F1282">
        <v>1.73684066750321</v>
      </c>
      <c r="G1282">
        <v>2.00179074038945</v>
      </c>
      <c r="H1282">
        <v>1.81512750467133</v>
      </c>
      <c r="I1282">
        <v>1.39786006816434</v>
      </c>
      <c r="J1282">
        <v>1.14712014342421</v>
      </c>
      <c r="K1282">
        <v>0.776358747688815</v>
      </c>
      <c r="L1282">
        <v>1865.37410169078</v>
      </c>
      <c r="M1282">
        <v>42.0577999896708</v>
      </c>
      <c r="O1282">
        <v>44.2527224287345</v>
      </c>
      <c r="P1282">
        <v>0.112477937353345</v>
      </c>
      <c r="Q1282">
        <v>1.4733909276899</v>
      </c>
      <c r="R1282">
        <v>0.268247084172274</v>
      </c>
      <c r="S1282" t="s">
        <v>2966</v>
      </c>
      <c r="T1282" t="s">
        <v>3344</v>
      </c>
      <c r="U1282" t="s">
        <v>3344</v>
      </c>
      <c r="V1282" t="s">
        <v>3344</v>
      </c>
      <c r="W1282" t="s">
        <v>4624</v>
      </c>
      <c r="X1282">
        <v>5</v>
      </c>
      <c r="Y1282" t="s">
        <v>6281</v>
      </c>
      <c r="Z1282" t="s">
        <v>7939</v>
      </c>
      <c r="AA1282">
        <v>1.356054008999865</v>
      </c>
      <c r="AB1282">
        <f>HYPERLINK("Melting_Curves/meltCurve_P40191_pdxK.pdf", "Melting_Curves/meltCurve_P40191_pdxK.pdf")</f>
        <v>0</v>
      </c>
    </row>
    <row r="1283" spans="1:28">
      <c r="A1283" t="s">
        <v>1309</v>
      </c>
      <c r="B1283">
        <v>0.999998419929286</v>
      </c>
      <c r="C1283">
        <v>1.46508864514883</v>
      </c>
      <c r="D1283">
        <v>1.03905564017609</v>
      </c>
      <c r="E1283">
        <v>1.222894281746</v>
      </c>
      <c r="F1283">
        <v>1.48403555698093</v>
      </c>
      <c r="G1283">
        <v>1.74054291959971</v>
      </c>
      <c r="H1283">
        <v>1.46136983200659</v>
      </c>
      <c r="I1283">
        <v>1.04120049701282</v>
      </c>
      <c r="J1283">
        <v>1.1026275505195</v>
      </c>
      <c r="K1283">
        <v>1.25092450994432</v>
      </c>
      <c r="L1283">
        <v>9489.570437073389</v>
      </c>
      <c r="M1283">
        <v>250</v>
      </c>
      <c r="O1283">
        <v>37.9558574938387</v>
      </c>
      <c r="P1283">
        <v>0.513707102853632</v>
      </c>
      <c r="Q1283">
        <v>1.31197105749623</v>
      </c>
      <c r="R1283">
        <v>0.159282677769188</v>
      </c>
      <c r="S1283" t="s">
        <v>2967</v>
      </c>
      <c r="T1283" t="s">
        <v>3344</v>
      </c>
      <c r="U1283" t="s">
        <v>3344</v>
      </c>
      <c r="V1283" t="s">
        <v>3344</v>
      </c>
      <c r="W1283" t="s">
        <v>4625</v>
      </c>
      <c r="X1283">
        <v>4</v>
      </c>
      <c r="Y1283" t="s">
        <v>6282</v>
      </c>
      <c r="Z1283" t="s">
        <v>7940</v>
      </c>
      <c r="AA1283">
        <v>1.301982776247956</v>
      </c>
      <c r="AB1283">
        <f>HYPERLINK("Melting_Curves/meltCurve_P40710_nlpE.pdf", "Melting_Curves/meltCurve_P40710_nlpE.pdf")</f>
        <v>0</v>
      </c>
    </row>
    <row r="1284" spans="1:28">
      <c r="A1284" t="s">
        <v>1310</v>
      </c>
      <c r="B1284">
        <v>0.999998419929286</v>
      </c>
      <c r="C1284">
        <v>1.18067582427442</v>
      </c>
      <c r="D1284">
        <v>1.29265671478731</v>
      </c>
      <c r="E1284">
        <v>1.60293479858082</v>
      </c>
      <c r="F1284">
        <v>1.99863492660584</v>
      </c>
      <c r="G1284">
        <v>1.77291921545151</v>
      </c>
      <c r="H1284">
        <v>0.203718737845184</v>
      </c>
      <c r="I1284">
        <v>0.08390763915302681</v>
      </c>
      <c r="J1284">
        <v>0.07379451100260311</v>
      </c>
      <c r="K1284">
        <v>0.0600321084567593</v>
      </c>
      <c r="L1284">
        <v>14246.47022289</v>
      </c>
      <c r="M1284">
        <v>250</v>
      </c>
      <c r="N1284">
        <v>57.0216374427823</v>
      </c>
      <c r="O1284">
        <v>56.9822340343531</v>
      </c>
      <c r="P1284">
        <v>-1.01722774868676</v>
      </c>
      <c r="Q1284">
        <v>0.0725774445572555</v>
      </c>
      <c r="R1284">
        <v>0.603499401986351</v>
      </c>
      <c r="S1284" t="s">
        <v>2968</v>
      </c>
      <c r="T1284" t="s">
        <v>3344</v>
      </c>
      <c r="U1284" t="s">
        <v>3344</v>
      </c>
      <c r="V1284" t="s">
        <v>3344</v>
      </c>
      <c r="W1284" t="s">
        <v>4626</v>
      </c>
      <c r="X1284">
        <v>6</v>
      </c>
      <c r="Y1284" t="s">
        <v>6283</v>
      </c>
      <c r="Z1284" t="s">
        <v>7941</v>
      </c>
      <c r="AA1284">
        <v>0.6905154197769218</v>
      </c>
      <c r="AB1284">
        <f>HYPERLINK("Melting_Curves/meltCurve_P40874_solA.pdf", "Melting_Curves/meltCurve_P40874_solA.pdf")</f>
        <v>0</v>
      </c>
    </row>
    <row r="1285" spans="1:28">
      <c r="A1285" t="s">
        <v>1311</v>
      </c>
      <c r="B1285">
        <v>0.999998419929286</v>
      </c>
      <c r="C1285">
        <v>0.938630917240438</v>
      </c>
      <c r="D1285">
        <v>0.546413010785553</v>
      </c>
      <c r="E1285">
        <v>0.838575270279055</v>
      </c>
      <c r="F1285">
        <v>0.793778333265942</v>
      </c>
      <c r="G1285">
        <v>0.567083616078752</v>
      </c>
      <c r="H1285">
        <v>0.608876835398523</v>
      </c>
      <c r="I1285">
        <v>0.863411169702475</v>
      </c>
      <c r="J1285">
        <v>1.00487050375914</v>
      </c>
      <c r="K1285">
        <v>0.875644077119927</v>
      </c>
      <c r="L1285">
        <v>10017.1055171361</v>
      </c>
      <c r="M1285">
        <v>250</v>
      </c>
      <c r="O1285">
        <v>40.0658584759625</v>
      </c>
      <c r="P1285">
        <v>-0.370746455249555</v>
      </c>
      <c r="Q1285">
        <v>0.762331603262617</v>
      </c>
      <c r="R1285">
        <v>0.263383817863868</v>
      </c>
      <c r="S1285" t="s">
        <v>2969</v>
      </c>
      <c r="T1285" t="s">
        <v>3344</v>
      </c>
      <c r="U1285" t="s">
        <v>3344</v>
      </c>
      <c r="V1285" t="s">
        <v>3344</v>
      </c>
      <c r="W1285" t="s">
        <v>4627</v>
      </c>
      <c r="X1285">
        <v>1</v>
      </c>
      <c r="Y1285" t="s">
        <v>6284</v>
      </c>
      <c r="Z1285" t="s">
        <v>7942</v>
      </c>
      <c r="AA1285">
        <v>0.7866572144278019</v>
      </c>
      <c r="AB1285">
        <f>HYPERLINK("Melting_Curves/meltCurve_P41039_ybiI.pdf", "Melting_Curves/meltCurve_P41039_ybiI.pdf")</f>
        <v>0</v>
      </c>
    </row>
    <row r="1286" spans="1:28">
      <c r="A1286" t="s">
        <v>1312</v>
      </c>
      <c r="B1286">
        <v>0.999998419929286</v>
      </c>
      <c r="C1286">
        <v>0.890140187484442</v>
      </c>
      <c r="D1286">
        <v>1.04585071940501</v>
      </c>
      <c r="E1286">
        <v>1.11536870133503</v>
      </c>
      <c r="F1286">
        <v>1.40378309154991</v>
      </c>
      <c r="G1286">
        <v>1.44899275229982</v>
      </c>
      <c r="H1286">
        <v>1.0702802961192</v>
      </c>
      <c r="I1286">
        <v>0.613366772333391</v>
      </c>
      <c r="J1286">
        <v>0.254724872502564</v>
      </c>
      <c r="K1286">
        <v>0.144555854452404</v>
      </c>
      <c r="L1286">
        <v>3975.30471340666</v>
      </c>
      <c r="M1286">
        <v>64.98688763889091</v>
      </c>
      <c r="N1286">
        <v>61.5794067469507</v>
      </c>
      <c r="O1286">
        <v>61.1130287891434</v>
      </c>
      <c r="P1286">
        <v>-0.219293182721803</v>
      </c>
      <c r="Q1286">
        <v>0.175115655276342</v>
      </c>
      <c r="R1286">
        <v>0.767965642876474</v>
      </c>
      <c r="S1286" t="s">
        <v>2970</v>
      </c>
      <c r="T1286" t="s">
        <v>3344</v>
      </c>
      <c r="U1286" t="s">
        <v>3344</v>
      </c>
      <c r="V1286" t="s">
        <v>3344</v>
      </c>
      <c r="W1286" t="s">
        <v>4628</v>
      </c>
      <c r="X1286">
        <v>3</v>
      </c>
      <c r="Y1286" t="s">
        <v>6285</v>
      </c>
      <c r="Z1286" t="s">
        <v>7943</v>
      </c>
      <c r="AA1286">
        <v>0.8409235883196138</v>
      </c>
      <c r="AB1286">
        <f>HYPERLINK("Melting_Curves/meltCurve_P41407_azoR.pdf", "Melting_Curves/meltCurve_P41407_azoR.pdf")</f>
        <v>0</v>
      </c>
    </row>
    <row r="1287" spans="1:28">
      <c r="A1287" t="s">
        <v>1313</v>
      </c>
      <c r="B1287">
        <v>0.999998419929286</v>
      </c>
      <c r="C1287">
        <v>0.865963915983864</v>
      </c>
      <c r="D1287">
        <v>0.7147875578478839</v>
      </c>
      <c r="E1287">
        <v>0.555367701614754</v>
      </c>
      <c r="F1287">
        <v>0.415064365325511</v>
      </c>
      <c r="G1287">
        <v>0.31612324550392</v>
      </c>
      <c r="H1287">
        <v>0.220158354178194</v>
      </c>
      <c r="I1287">
        <v>0.153136112982841</v>
      </c>
      <c r="J1287">
        <v>0.115931736470637</v>
      </c>
      <c r="K1287">
        <v>0.0897305962946134</v>
      </c>
      <c r="L1287">
        <v>436.35678978404</v>
      </c>
      <c r="M1287">
        <v>9.13817619239479</v>
      </c>
      <c r="N1287">
        <v>48.1620606040525</v>
      </c>
      <c r="O1287">
        <v>45.6309816516396</v>
      </c>
      <c r="P1287">
        <v>-0.048220332724567</v>
      </c>
      <c r="Q1287">
        <v>0.0375174478377589</v>
      </c>
      <c r="R1287">
        <v>0.993647925720084</v>
      </c>
      <c r="S1287" t="s">
        <v>2971</v>
      </c>
      <c r="T1287" t="s">
        <v>3344</v>
      </c>
      <c r="U1287" t="s">
        <v>3344</v>
      </c>
      <c r="V1287" t="s">
        <v>3344</v>
      </c>
      <c r="W1287" t="s">
        <v>4629</v>
      </c>
      <c r="X1287">
        <v>3</v>
      </c>
      <c r="Y1287" t="s">
        <v>6286</v>
      </c>
      <c r="Z1287" t="s">
        <v>7944</v>
      </c>
      <c r="AA1287">
        <v>0.4265189118501997</v>
      </c>
      <c r="AB1287">
        <f>HYPERLINK("Melting_Curves/meltCurve_P41409_rihA.pdf", "Melting_Curves/meltCurve_P41409_rihA.pdf")</f>
        <v>0</v>
      </c>
    </row>
    <row r="1288" spans="1:28">
      <c r="A1288" t="s">
        <v>1314</v>
      </c>
      <c r="B1288">
        <v>0.999998419929286</v>
      </c>
      <c r="C1288">
        <v>1.13047890025225</v>
      </c>
      <c r="D1288">
        <v>0.729235444119506</v>
      </c>
      <c r="E1288">
        <v>0.982568032166509</v>
      </c>
      <c r="F1288">
        <v>0.961679637494157</v>
      </c>
      <c r="G1288">
        <v>1.18651495399856</v>
      </c>
      <c r="H1288">
        <v>0.913494236995307</v>
      </c>
      <c r="I1288">
        <v>0.784900030923857</v>
      </c>
      <c r="J1288">
        <v>0.644110501677434</v>
      </c>
      <c r="K1288">
        <v>0.6782547574275249</v>
      </c>
      <c r="L1288">
        <v>2498.78878623868</v>
      </c>
      <c r="M1288">
        <v>41.731525875495</v>
      </c>
      <c r="O1288">
        <v>59.740714099679</v>
      </c>
      <c r="P1288">
        <v>-0.0602769733137056</v>
      </c>
      <c r="Q1288">
        <v>0.654842873686914</v>
      </c>
      <c r="R1288">
        <v>0.580749545835327</v>
      </c>
      <c r="S1288" t="s">
        <v>2972</v>
      </c>
      <c r="T1288" t="s">
        <v>3344</v>
      </c>
      <c r="U1288" t="s">
        <v>3344</v>
      </c>
      <c r="V1288" t="s">
        <v>3344</v>
      </c>
      <c r="W1288" t="s">
        <v>4630</v>
      </c>
      <c r="X1288">
        <v>2</v>
      </c>
      <c r="Y1288" t="s">
        <v>6287</v>
      </c>
      <c r="Z1288" t="s">
        <v>7945</v>
      </c>
      <c r="AA1288">
        <v>0.9191108619158437</v>
      </c>
      <c r="AB1288">
        <f>HYPERLINK("Melting_Curves/meltCurve_P42589_ygjH.pdf", "Melting_Curves/meltCurve_P42589_ygjH.pdf")</f>
        <v>0</v>
      </c>
    </row>
    <row r="1289" spans="1:28">
      <c r="A1289" t="s">
        <v>1315</v>
      </c>
      <c r="B1289">
        <v>0.999998419929286</v>
      </c>
      <c r="C1289">
        <v>1.96897230961894</v>
      </c>
      <c r="D1289">
        <v>1.29173008681554</v>
      </c>
      <c r="E1289">
        <v>1.55915142205998</v>
      </c>
      <c r="F1289">
        <v>1.91809334454433</v>
      </c>
      <c r="G1289">
        <v>2.4125981974042</v>
      </c>
      <c r="H1289">
        <v>1.50910387960207</v>
      </c>
      <c r="I1289">
        <v>1.20730841573712</v>
      </c>
      <c r="J1289">
        <v>0.957893400509223</v>
      </c>
      <c r="K1289">
        <v>1.11866418695462</v>
      </c>
      <c r="L1289">
        <v>9481.370359611479</v>
      </c>
      <c r="M1289">
        <v>250</v>
      </c>
      <c r="O1289">
        <v>37.9230559026695</v>
      </c>
      <c r="P1289">
        <v>0.824037000225272</v>
      </c>
      <c r="Q1289">
        <v>1.5</v>
      </c>
      <c r="R1289">
        <v>0.121843775351499</v>
      </c>
      <c r="S1289" t="s">
        <v>2973</v>
      </c>
      <c r="T1289" t="s">
        <v>3344</v>
      </c>
      <c r="U1289" t="s">
        <v>3344</v>
      </c>
      <c r="V1289" t="s">
        <v>3344</v>
      </c>
      <c r="W1289" t="s">
        <v>4631</v>
      </c>
      <c r="X1289">
        <v>1</v>
      </c>
      <c r="Y1289" t="s">
        <v>6288</v>
      </c>
      <c r="Z1289" t="s">
        <v>7946</v>
      </c>
      <c r="AA1289">
        <v>1.484537439700409</v>
      </c>
      <c r="AB1289">
        <f>HYPERLINK("Melting_Curves/meltCurve_P42592_ygjK.pdf", "Melting_Curves/meltCurve_P42592_ygjK.pdf")</f>
        <v>0</v>
      </c>
    </row>
    <row r="1290" spans="1:28">
      <c r="A1290" t="s">
        <v>1316</v>
      </c>
      <c r="B1290">
        <v>0.999998419929286</v>
      </c>
      <c r="C1290">
        <v>1.37300769146572</v>
      </c>
      <c r="D1290">
        <v>1.39137852897007</v>
      </c>
      <c r="E1290">
        <v>0.958024618021924</v>
      </c>
      <c r="F1290">
        <v>0.274182617079813</v>
      </c>
      <c r="G1290">
        <v>0.184531772775317</v>
      </c>
      <c r="H1290">
        <v>0.109746471073147</v>
      </c>
      <c r="I1290">
        <v>0.0753811562904747</v>
      </c>
      <c r="J1290">
        <v>0.107278058091996</v>
      </c>
      <c r="K1290">
        <v>0.101380979979154</v>
      </c>
      <c r="L1290">
        <v>2907.79678072957</v>
      </c>
      <c r="M1290">
        <v>59.4147365850133</v>
      </c>
      <c r="N1290">
        <v>49.1553890488979</v>
      </c>
      <c r="O1290">
        <v>48.8853167622847</v>
      </c>
      <c r="P1290">
        <v>-0.269119080054227</v>
      </c>
      <c r="Q1290">
        <v>0.114296132022488</v>
      </c>
      <c r="R1290">
        <v>0.89256450336272</v>
      </c>
      <c r="S1290" t="s">
        <v>2974</v>
      </c>
      <c r="T1290" t="s">
        <v>3344</v>
      </c>
      <c r="U1290" t="s">
        <v>3344</v>
      </c>
      <c r="V1290" t="s">
        <v>3344</v>
      </c>
      <c r="W1290" t="s">
        <v>4632</v>
      </c>
      <c r="X1290">
        <v>7</v>
      </c>
      <c r="Y1290" t="s">
        <v>6289</v>
      </c>
      <c r="Z1290" t="s">
        <v>7947</v>
      </c>
      <c r="AA1290">
        <v>0.4681778128740186</v>
      </c>
      <c r="AB1290">
        <f>HYPERLINK("Melting_Curves/meltCurve_P42593_fadH.pdf", "Melting_Curves/meltCurve_P42593_fadH.pdf")</f>
        <v>0</v>
      </c>
    </row>
    <row r="1291" spans="1:28">
      <c r="A1291" t="s">
        <v>1317</v>
      </c>
      <c r="B1291">
        <v>0.999998419929286</v>
      </c>
      <c r="C1291">
        <v>0.863718255551759</v>
      </c>
      <c r="D1291">
        <v>0.652261613638215</v>
      </c>
      <c r="E1291">
        <v>0.255329417574896</v>
      </c>
      <c r="F1291">
        <v>0.0958983085264305</v>
      </c>
      <c r="G1291">
        <v>0.0751355200467958</v>
      </c>
      <c r="H1291">
        <v>0.0357417494869115</v>
      </c>
      <c r="I1291">
        <v>0.0293822851919151</v>
      </c>
      <c r="J1291">
        <v>0.0231932623440969</v>
      </c>
      <c r="K1291">
        <v>0.0263864074214633</v>
      </c>
      <c r="L1291">
        <v>890.8610544178219</v>
      </c>
      <c r="M1291">
        <v>20.2264056613142</v>
      </c>
      <c r="N1291">
        <v>44.1691452110427</v>
      </c>
      <c r="O1291">
        <v>43.6207057669401</v>
      </c>
      <c r="P1291">
        <v>-0.112708348526124</v>
      </c>
      <c r="Q1291">
        <v>0.0277531765362844</v>
      </c>
      <c r="R1291">
        <v>0.9980303844319079</v>
      </c>
      <c r="S1291" t="s">
        <v>2975</v>
      </c>
      <c r="T1291" t="s">
        <v>3344</v>
      </c>
      <c r="U1291" t="s">
        <v>3344</v>
      </c>
      <c r="V1291" t="s">
        <v>3344</v>
      </c>
      <c r="W1291" t="s">
        <v>4633</v>
      </c>
      <c r="X1291">
        <v>5</v>
      </c>
      <c r="Y1291" t="s">
        <v>6290</v>
      </c>
      <c r="Z1291" t="s">
        <v>7948</v>
      </c>
      <c r="AA1291">
        <v>0.2687305697782175</v>
      </c>
      <c r="AB1291">
        <f>HYPERLINK("Melting_Curves/meltCurve_P42599_ygjR.pdf", "Melting_Curves/meltCurve_P42599_ygjR.pdf")</f>
        <v>0</v>
      </c>
    </row>
    <row r="1292" spans="1:28">
      <c r="A1292" t="s">
        <v>1318</v>
      </c>
      <c r="B1292">
        <v>0.999998419929286</v>
      </c>
      <c r="C1292">
        <v>1.22502778354869</v>
      </c>
      <c r="D1292">
        <v>0.984650967009677</v>
      </c>
      <c r="E1292">
        <v>0.555626704467551</v>
      </c>
      <c r="F1292">
        <v>0.307408178995495</v>
      </c>
      <c r="G1292">
        <v>0.188274930617532</v>
      </c>
      <c r="H1292">
        <v>0.0916066293027997</v>
      </c>
      <c r="I1292">
        <v>0.0768919384941817</v>
      </c>
      <c r="J1292">
        <v>0.0744862688600503</v>
      </c>
      <c r="K1292">
        <v>0.0799065575590644</v>
      </c>
      <c r="L1292">
        <v>1178.72107610704</v>
      </c>
      <c r="M1292">
        <v>24.9709167885759</v>
      </c>
      <c r="N1292">
        <v>47.601765588229</v>
      </c>
      <c r="O1292">
        <v>46.9041476876965</v>
      </c>
      <c r="P1292">
        <v>-0.120557635193294</v>
      </c>
      <c r="Q1292">
        <v>0.0942140184591766</v>
      </c>
      <c r="R1292">
        <v>0.9626041215782341</v>
      </c>
      <c r="S1292" t="s">
        <v>2976</v>
      </c>
      <c r="T1292" t="s">
        <v>3344</v>
      </c>
      <c r="U1292" t="s">
        <v>3344</v>
      </c>
      <c r="V1292" t="s">
        <v>3344</v>
      </c>
      <c r="W1292" t="s">
        <v>4634</v>
      </c>
      <c r="X1292">
        <v>2</v>
      </c>
      <c r="Y1292" t="s">
        <v>6291</v>
      </c>
      <c r="Z1292" t="s">
        <v>7949</v>
      </c>
      <c r="AA1292">
        <v>0.4099419735634395</v>
      </c>
      <c r="AB1292">
        <f>HYPERLINK("Melting_Curves/meltCurve_P42604_uxaA.pdf", "Melting_Curves/meltCurve_P42604_uxaA.pdf")</f>
        <v>0</v>
      </c>
    </row>
    <row r="1293" spans="1:28">
      <c r="A1293" t="s">
        <v>1319</v>
      </c>
      <c r="B1293">
        <v>0.999998419929286</v>
      </c>
      <c r="C1293">
        <v>1.09268668013342</v>
      </c>
      <c r="D1293">
        <v>0.760340672422902</v>
      </c>
      <c r="E1293">
        <v>1.26780467457169</v>
      </c>
      <c r="F1293">
        <v>1.18006934712819</v>
      </c>
      <c r="G1293">
        <v>1.32289977486161</v>
      </c>
      <c r="H1293">
        <v>1.30633530586935</v>
      </c>
      <c r="I1293">
        <v>1.71814574713257</v>
      </c>
      <c r="J1293">
        <v>2.04228054501669</v>
      </c>
      <c r="K1293">
        <v>1.85119062583608</v>
      </c>
      <c r="L1293">
        <v>1061.54519069293</v>
      </c>
      <c r="M1293">
        <v>20.945049972463</v>
      </c>
      <c r="O1293">
        <v>50.227172690613</v>
      </c>
      <c r="P1293">
        <v>0.052127207605253</v>
      </c>
      <c r="Q1293">
        <v>1.5</v>
      </c>
      <c r="R1293">
        <v>0.569032864138338</v>
      </c>
      <c r="S1293" t="s">
        <v>2977</v>
      </c>
      <c r="T1293" t="s">
        <v>3344</v>
      </c>
      <c r="U1293" t="s">
        <v>3344</v>
      </c>
      <c r="V1293" t="s">
        <v>3344</v>
      </c>
      <c r="W1293" t="s">
        <v>4635</v>
      </c>
      <c r="X1293">
        <v>3</v>
      </c>
      <c r="Y1293" t="s">
        <v>6292</v>
      </c>
      <c r="Z1293" t="s">
        <v>7950</v>
      </c>
      <c r="AA1293">
        <v>1.265896994088077</v>
      </c>
      <c r="AB1293">
        <f>HYPERLINK("Melting_Curves/meltCurve_P42616_yqjC.pdf", "Melting_Curves/meltCurve_P42616_yqjC.pdf")</f>
        <v>0</v>
      </c>
    </row>
    <row r="1294" spans="1:28">
      <c r="A1294" t="s">
        <v>1320</v>
      </c>
      <c r="B1294">
        <v>0.999998419929286</v>
      </c>
      <c r="C1294">
        <v>0.774988331077636</v>
      </c>
      <c r="D1294">
        <v>0.604650518095303</v>
      </c>
      <c r="E1294">
        <v>0.648869259780445</v>
      </c>
      <c r="F1294">
        <v>0.758900377042979</v>
      </c>
      <c r="G1294">
        <v>0.780768351930217</v>
      </c>
      <c r="H1294">
        <v>0.6926665218436791</v>
      </c>
      <c r="I1294">
        <v>0.530801171139217</v>
      </c>
      <c r="J1294">
        <v>0.532855815661491</v>
      </c>
      <c r="K1294">
        <v>0.494476219840401</v>
      </c>
      <c r="L1294">
        <v>135.362227006935</v>
      </c>
      <c r="M1294">
        <v>1.89013665456417</v>
      </c>
      <c r="O1294">
        <v>41.0544231014312</v>
      </c>
      <c r="P1294">
        <v>-0.0126902831546254</v>
      </c>
      <c r="Q1294">
        <v>0</v>
      </c>
      <c r="R1294">
        <v>0.565918371566103</v>
      </c>
      <c r="S1294" t="s">
        <v>2978</v>
      </c>
      <c r="T1294" t="s">
        <v>3344</v>
      </c>
      <c r="U1294" t="s">
        <v>3344</v>
      </c>
      <c r="V1294" t="s">
        <v>3344</v>
      </c>
      <c r="W1294" t="s">
        <v>4636</v>
      </c>
      <c r="X1294">
        <v>10</v>
      </c>
      <c r="Y1294" t="s">
        <v>6293</v>
      </c>
      <c r="Z1294" t="s">
        <v>7951</v>
      </c>
      <c r="AA1294">
        <v>0.6790658786918324</v>
      </c>
      <c r="AB1294">
        <f>HYPERLINK("Melting_Curves/meltCurve_P42620_yqjG.pdf", "Melting_Curves/meltCurve_P42620_yqjG.pdf")</f>
        <v>0</v>
      </c>
    </row>
    <row r="1295" spans="1:28">
      <c r="A1295" t="s">
        <v>1321</v>
      </c>
      <c r="B1295">
        <v>0.999998419929286</v>
      </c>
      <c r="C1295">
        <v>1.29907886345219</v>
      </c>
      <c r="D1295">
        <v>0.833014884633281</v>
      </c>
      <c r="E1295">
        <v>0.328311456540809</v>
      </c>
      <c r="F1295">
        <v>0.08374126659144469</v>
      </c>
      <c r="G1295">
        <v>0.07284783760552691</v>
      </c>
      <c r="H1295">
        <v>0.0523105568665107</v>
      </c>
      <c r="I1295">
        <v>0.0374959492768055</v>
      </c>
      <c r="J1295">
        <v>0.041998789831027</v>
      </c>
      <c r="K1295">
        <v>0.0343266729278152</v>
      </c>
      <c r="L1295">
        <v>1579.41909520853</v>
      </c>
      <c r="M1295">
        <v>34.8231685398159</v>
      </c>
      <c r="N1295">
        <v>45.4883863311735</v>
      </c>
      <c r="O1295">
        <v>45.2066201590404</v>
      </c>
      <c r="P1295">
        <v>-0.183258801950099</v>
      </c>
      <c r="Q1295">
        <v>0.0483943166196164</v>
      </c>
      <c r="R1295">
        <v>0.9532170489669139</v>
      </c>
      <c r="S1295" t="s">
        <v>2979</v>
      </c>
      <c r="T1295" t="s">
        <v>3344</v>
      </c>
      <c r="U1295" t="s">
        <v>3344</v>
      </c>
      <c r="V1295" t="s">
        <v>3344</v>
      </c>
      <c r="W1295" t="s">
        <v>4637</v>
      </c>
      <c r="X1295">
        <v>2</v>
      </c>
      <c r="Y1295" t="s">
        <v>6294</v>
      </c>
      <c r="Z1295" t="s">
        <v>7952</v>
      </c>
      <c r="AA1295">
        <v>0.3173870782115327</v>
      </c>
      <c r="AB1295">
        <f>HYPERLINK("Melting_Curves/meltCurve_P42641_obgE.pdf", "Melting_Curves/meltCurve_P42641_obgE.pdf")</f>
        <v>0</v>
      </c>
    </row>
    <row r="1296" spans="1:28">
      <c r="A1296" t="s">
        <v>1322</v>
      </c>
      <c r="B1296">
        <v>0.999998419929286</v>
      </c>
      <c r="C1296">
        <v>0.981493766845921</v>
      </c>
      <c r="D1296">
        <v>1.12044851999115</v>
      </c>
      <c r="E1296">
        <v>1.14033828260624</v>
      </c>
      <c r="F1296">
        <v>0.616683431243119</v>
      </c>
      <c r="G1296">
        <v>0.0921214680680844</v>
      </c>
      <c r="H1296">
        <v>0</v>
      </c>
      <c r="I1296">
        <v>0</v>
      </c>
      <c r="J1296">
        <v>0</v>
      </c>
      <c r="K1296">
        <v>0</v>
      </c>
      <c r="L1296">
        <v>2680.77817467156</v>
      </c>
      <c r="M1296">
        <v>52.8828429644871</v>
      </c>
      <c r="N1296">
        <v>50.7082436766927</v>
      </c>
      <c r="O1296">
        <v>50.6204438720532</v>
      </c>
      <c r="P1296">
        <v>-0.25908469711663</v>
      </c>
      <c r="Q1296">
        <v>0.007997866557412799</v>
      </c>
      <c r="R1296">
        <v>0.983989417015887</v>
      </c>
      <c r="S1296" t="s">
        <v>2980</v>
      </c>
      <c r="T1296" t="s">
        <v>3344</v>
      </c>
      <c r="U1296" t="s">
        <v>3344</v>
      </c>
      <c r="V1296" t="s">
        <v>3344</v>
      </c>
      <c r="W1296" t="s">
        <v>4638</v>
      </c>
      <c r="X1296">
        <v>1</v>
      </c>
      <c r="Y1296" t="s">
        <v>6295</v>
      </c>
      <c r="Z1296" t="s">
        <v>7953</v>
      </c>
      <c r="AA1296">
        <v>0.4627549492637621</v>
      </c>
      <c r="AB1296">
        <f>HYPERLINK("Melting_Curves/meltCurve_P42904_agaV.pdf", "Melting_Curves/meltCurve_P42904_agaV.pdf")</f>
        <v>0</v>
      </c>
    </row>
    <row r="1297" spans="1:28">
      <c r="A1297" t="s">
        <v>1323</v>
      </c>
      <c r="B1297">
        <v>0.999998419929286</v>
      </c>
      <c r="C1297">
        <v>0.987082389549348</v>
      </c>
      <c r="D1297">
        <v>0.932188546836805</v>
      </c>
      <c r="E1297">
        <v>0.952859627807972</v>
      </c>
      <c r="F1297">
        <v>1.00842940947155</v>
      </c>
      <c r="G1297">
        <v>0.853066867362561</v>
      </c>
      <c r="H1297">
        <v>0.615341618635144</v>
      </c>
      <c r="I1297">
        <v>0.336770521897841</v>
      </c>
      <c r="J1297">
        <v>0.312718729742848</v>
      </c>
      <c r="K1297">
        <v>0.356521178571177</v>
      </c>
      <c r="L1297">
        <v>1715.9303725321</v>
      </c>
      <c r="M1297">
        <v>30.3173279352915</v>
      </c>
      <c r="N1297">
        <v>58.4658472915929</v>
      </c>
      <c r="O1297">
        <v>56.3544584986842</v>
      </c>
      <c r="P1297">
        <v>-0.0927895662637537</v>
      </c>
      <c r="Q1297">
        <v>0.310087890185042</v>
      </c>
      <c r="R1297">
        <v>0.983810270151487</v>
      </c>
      <c r="S1297" t="s">
        <v>2981</v>
      </c>
      <c r="T1297" t="s">
        <v>3344</v>
      </c>
      <c r="U1297" t="s">
        <v>3344</v>
      </c>
      <c r="V1297" t="s">
        <v>3344</v>
      </c>
      <c r="W1297" t="s">
        <v>4639</v>
      </c>
      <c r="X1297">
        <v>1</v>
      </c>
      <c r="Y1297" t="s">
        <v>6296</v>
      </c>
      <c r="Z1297" t="s">
        <v>7954</v>
      </c>
      <c r="AA1297">
        <v>0.7649492888480822</v>
      </c>
      <c r="AB1297">
        <f>HYPERLINK("Melting_Curves/meltCurve_P43341_lpxH.pdf", "Melting_Curves/meltCurve_P43341_lpxH.pdf")</f>
        <v>0</v>
      </c>
    </row>
    <row r="1298" spans="1:28">
      <c r="A1298" t="s">
        <v>1324</v>
      </c>
      <c r="B1298">
        <v>0.999998419929286</v>
      </c>
      <c r="C1298">
        <v>1.61397793194586</v>
      </c>
      <c r="D1298">
        <v>1.26630790088821</v>
      </c>
      <c r="E1298">
        <v>1.46164347491329</v>
      </c>
      <c r="F1298">
        <v>1.40843839285109</v>
      </c>
      <c r="G1298">
        <v>1.20827159029501</v>
      </c>
      <c r="H1298">
        <v>0.972475907968998</v>
      </c>
      <c r="I1298">
        <v>0.873329084725976</v>
      </c>
      <c r="J1298">
        <v>0.714803074774527</v>
      </c>
      <c r="K1298">
        <v>0.821749606469619</v>
      </c>
      <c r="L1298">
        <v>15000</v>
      </c>
      <c r="M1298">
        <v>246.088789501221</v>
      </c>
      <c r="O1298">
        <v>60.9495829816199</v>
      </c>
      <c r="P1298">
        <v>-0.233900841751245</v>
      </c>
      <c r="Q1298">
        <v>0.768276173589079</v>
      </c>
      <c r="R1298">
        <v>-0.0686600659090983</v>
      </c>
      <c r="S1298" t="s">
        <v>2982</v>
      </c>
      <c r="T1298" t="s">
        <v>3344</v>
      </c>
      <c r="U1298" t="s">
        <v>3344</v>
      </c>
      <c r="V1298" t="s">
        <v>3344</v>
      </c>
      <c r="W1298" t="s">
        <v>4640</v>
      </c>
      <c r="X1298">
        <v>4</v>
      </c>
      <c r="Y1298" t="s">
        <v>6297</v>
      </c>
      <c r="Z1298" t="s">
        <v>7955</v>
      </c>
      <c r="AA1298">
        <v>0.9533224917726174</v>
      </c>
      <c r="AB1298">
        <f>HYPERLINK("Melting_Curves/meltCurve_P43671_pqiB.pdf", "Melting_Curves/meltCurve_P43671_pqiB.pdf")</f>
        <v>0</v>
      </c>
    </row>
    <row r="1299" spans="1:28">
      <c r="A1299" t="s">
        <v>1325</v>
      </c>
      <c r="B1299">
        <v>0.999998419929286</v>
      </c>
      <c r="C1299">
        <v>1.08690062113431</v>
      </c>
      <c r="D1299">
        <v>0.846204060459653</v>
      </c>
      <c r="E1299">
        <v>0.356112805878243</v>
      </c>
      <c r="F1299">
        <v>0.185440608727707</v>
      </c>
      <c r="G1299">
        <v>0.230245791922032</v>
      </c>
      <c r="H1299">
        <v>0.200415242657475</v>
      </c>
      <c r="I1299">
        <v>0.1181942815518</v>
      </c>
      <c r="J1299">
        <v>0.109466311307251</v>
      </c>
      <c r="K1299">
        <v>0.105993970395616</v>
      </c>
      <c r="L1299">
        <v>1536.8685442338</v>
      </c>
      <c r="M1299">
        <v>34.1355197398753</v>
      </c>
      <c r="N1299">
        <v>45.5109507135604</v>
      </c>
      <c r="O1299">
        <v>44.8688872015481</v>
      </c>
      <c r="P1299">
        <v>-0.161028455790929</v>
      </c>
      <c r="Q1299">
        <v>0.15335819839124</v>
      </c>
      <c r="R1299">
        <v>0.983696137573685</v>
      </c>
      <c r="S1299" t="s">
        <v>2983</v>
      </c>
      <c r="T1299" t="s">
        <v>3344</v>
      </c>
      <c r="U1299" t="s">
        <v>3344</v>
      </c>
      <c r="V1299" t="s">
        <v>3344</v>
      </c>
      <c r="W1299" t="s">
        <v>4641</v>
      </c>
      <c r="X1299">
        <v>1</v>
      </c>
      <c r="Y1299" t="s">
        <v>6298</v>
      </c>
      <c r="Z1299" t="s">
        <v>7956</v>
      </c>
      <c r="AA1299">
        <v>0.3834105649785215</v>
      </c>
      <c r="AB1299">
        <f>HYPERLINK("Melting_Curves/meltCurve_P43672_uup.pdf", "Melting_Curves/meltCurve_P43672_uup.pdf")</f>
        <v>0</v>
      </c>
    </row>
    <row r="1300" spans="1:28">
      <c r="A1300" t="s">
        <v>1326</v>
      </c>
      <c r="B1300">
        <v>0.999998419929286</v>
      </c>
      <c r="C1300">
        <v>0.828739941342937</v>
      </c>
      <c r="D1300">
        <v>0.924206641423844</v>
      </c>
      <c r="E1300">
        <v>0.950620156182418</v>
      </c>
      <c r="F1300">
        <v>1.02319163401828</v>
      </c>
      <c r="G1300">
        <v>0.434892793378337</v>
      </c>
      <c r="H1300">
        <v>0.08664861872310189</v>
      </c>
      <c r="I1300">
        <v>0.0604015535765174</v>
      </c>
      <c r="J1300">
        <v>0.0536619102171737</v>
      </c>
      <c r="K1300">
        <v>0.051190388094193</v>
      </c>
      <c r="L1300">
        <v>5920.93442123851</v>
      </c>
      <c r="M1300">
        <v>110.471883614587</v>
      </c>
      <c r="N1300">
        <v>53.6619528142421</v>
      </c>
      <c r="O1300">
        <v>53.5791971774281</v>
      </c>
      <c r="P1300">
        <v>-0.483088982668999</v>
      </c>
      <c r="Q1300">
        <v>0.06280157174881359</v>
      </c>
      <c r="R1300">
        <v>0.978015829706287</v>
      </c>
      <c r="S1300" t="s">
        <v>2984</v>
      </c>
      <c r="T1300" t="s">
        <v>3344</v>
      </c>
      <c r="U1300" t="s">
        <v>3344</v>
      </c>
      <c r="V1300" t="s">
        <v>3344</v>
      </c>
      <c r="W1300" t="s">
        <v>4642</v>
      </c>
      <c r="X1300">
        <v>4</v>
      </c>
      <c r="Y1300" t="s">
        <v>6299</v>
      </c>
      <c r="Z1300" t="s">
        <v>7957</v>
      </c>
      <c r="AA1300">
        <v>0.5817351847241921</v>
      </c>
      <c r="AB1300">
        <f>HYPERLINK("Melting_Curves/meltCurve_P45395_kdsD.pdf", "Melting_Curves/meltCurve_P45395_kdsD.pdf")</f>
        <v>0</v>
      </c>
    </row>
    <row r="1301" spans="1:28">
      <c r="A1301" t="s">
        <v>1327</v>
      </c>
      <c r="B1301">
        <v>0.999998419929286</v>
      </c>
      <c r="C1301">
        <v>1.01742066290193</v>
      </c>
      <c r="D1301">
        <v>0.858945555659812</v>
      </c>
      <c r="E1301">
        <v>0.9921998434228551</v>
      </c>
      <c r="F1301">
        <v>1.03444990872215</v>
      </c>
      <c r="G1301">
        <v>1.27736727878574</v>
      </c>
      <c r="H1301">
        <v>1.10131247017176</v>
      </c>
      <c r="I1301">
        <v>1.10232251771528</v>
      </c>
      <c r="J1301">
        <v>1.0901169049402</v>
      </c>
      <c r="K1301">
        <v>0.9494093899441221</v>
      </c>
      <c r="L1301">
        <v>12585.3436246532</v>
      </c>
      <c r="M1301">
        <v>250</v>
      </c>
      <c r="O1301">
        <v>50.3381687788788</v>
      </c>
      <c r="P1301">
        <v>0.129257952827241</v>
      </c>
      <c r="Q1301">
        <v>1.10410570570014</v>
      </c>
      <c r="R1301">
        <v>0.334698121661888</v>
      </c>
      <c r="S1301" t="s">
        <v>2985</v>
      </c>
      <c r="T1301" t="s">
        <v>3344</v>
      </c>
      <c r="U1301" t="s">
        <v>3344</v>
      </c>
      <c r="V1301" t="s">
        <v>3344</v>
      </c>
      <c r="W1301" t="s">
        <v>4643</v>
      </c>
      <c r="X1301">
        <v>1</v>
      </c>
      <c r="Y1301" t="s">
        <v>6300</v>
      </c>
      <c r="Z1301" t="s">
        <v>7958</v>
      </c>
      <c r="AA1301">
        <v>1.057799401228763</v>
      </c>
      <c r="AB1301">
        <f>HYPERLINK("Melting_Curves/meltCurve_P45424_yhcH.pdf", "Melting_Curves/meltCurve_P45424_yhcH.pdf")</f>
        <v>0</v>
      </c>
    </row>
    <row r="1302" spans="1:28">
      <c r="A1302" t="s">
        <v>1328</v>
      </c>
      <c r="B1302">
        <v>0.999998419929286</v>
      </c>
      <c r="C1302">
        <v>0.873351711257799</v>
      </c>
      <c r="D1302">
        <v>0.940488403628435</v>
      </c>
      <c r="E1302">
        <v>0.963993526818501</v>
      </c>
      <c r="F1302">
        <v>1.00457703502182</v>
      </c>
      <c r="G1302">
        <v>1.18247423743803</v>
      </c>
      <c r="H1302">
        <v>0.937555157239638</v>
      </c>
      <c r="I1302">
        <v>0.757134630851773</v>
      </c>
      <c r="J1302">
        <v>0.640334931614426</v>
      </c>
      <c r="K1302">
        <v>0.495758397761775</v>
      </c>
      <c r="L1302">
        <v>1879.80686625057</v>
      </c>
      <c r="M1302">
        <v>30.4520658498022</v>
      </c>
      <c r="O1302">
        <v>61.4656471262193</v>
      </c>
      <c r="P1302">
        <v>-0.0653372353470585</v>
      </c>
      <c r="Q1302">
        <v>0.472486184374131</v>
      </c>
      <c r="R1302">
        <v>0.833514986058723</v>
      </c>
      <c r="S1302" t="s">
        <v>2986</v>
      </c>
      <c r="T1302" t="s">
        <v>3344</v>
      </c>
      <c r="U1302" t="s">
        <v>3344</v>
      </c>
      <c r="V1302" t="s">
        <v>3344</v>
      </c>
      <c r="W1302" t="s">
        <v>4644</v>
      </c>
      <c r="X1302">
        <v>8</v>
      </c>
      <c r="Y1302" t="s">
        <v>6301</v>
      </c>
      <c r="Z1302" t="s">
        <v>7959</v>
      </c>
      <c r="AA1302">
        <v>0.9072804538243001</v>
      </c>
      <c r="AB1302">
        <f>HYPERLINK("Melting_Curves/meltCurve_P45425_nanK.pdf", "Melting_Curves/meltCurve_P45425_nanK.pdf")</f>
        <v>0</v>
      </c>
    </row>
    <row r="1303" spans="1:28">
      <c r="A1303" t="s">
        <v>1329</v>
      </c>
      <c r="B1303">
        <v>0.999998419929286</v>
      </c>
      <c r="C1303">
        <v>1.18689047098183</v>
      </c>
      <c r="D1303">
        <v>1.18044804655946</v>
      </c>
      <c r="E1303">
        <v>1.30041688339291</v>
      </c>
      <c r="F1303">
        <v>1.41101547440233</v>
      </c>
      <c r="G1303">
        <v>1.48594796511276</v>
      </c>
      <c r="H1303">
        <v>1.12906265016866</v>
      </c>
      <c r="I1303">
        <v>1.0824153375354</v>
      </c>
      <c r="J1303">
        <v>1.22819032061458</v>
      </c>
      <c r="K1303">
        <v>1.06001271729089</v>
      </c>
      <c r="L1303">
        <v>2580.16666387601</v>
      </c>
      <c r="M1303">
        <v>65.9849698741988</v>
      </c>
      <c r="O1303">
        <v>39.0664711463269</v>
      </c>
      <c r="P1303">
        <v>0.0991957860554329</v>
      </c>
      <c r="Q1303">
        <v>1.23491581269585</v>
      </c>
      <c r="R1303">
        <v>0.229023171397183</v>
      </c>
      <c r="S1303" t="s">
        <v>2987</v>
      </c>
      <c r="T1303" t="s">
        <v>3344</v>
      </c>
      <c r="U1303" t="s">
        <v>3344</v>
      </c>
      <c r="V1303" t="s">
        <v>3344</v>
      </c>
      <c r="W1303" t="s">
        <v>4645</v>
      </c>
      <c r="X1303">
        <v>16</v>
      </c>
      <c r="Y1303" t="s">
        <v>6302</v>
      </c>
      <c r="Z1303" t="s">
        <v>7960</v>
      </c>
      <c r="AA1303">
        <v>1.218127318072127</v>
      </c>
      <c r="AB1303">
        <f>HYPERLINK("Melting_Curves/meltCurve_P45464_lpoA.pdf", "Melting_Curves/meltCurve_P45464_lpoA.pdf")</f>
        <v>0</v>
      </c>
    </row>
    <row r="1304" spans="1:28">
      <c r="A1304" t="s">
        <v>1330</v>
      </c>
      <c r="B1304">
        <v>0.999998419929286</v>
      </c>
      <c r="C1304">
        <v>0.976151824734002</v>
      </c>
      <c r="D1304">
        <v>0.962555180258716</v>
      </c>
      <c r="E1304">
        <v>1.19531672170148</v>
      </c>
      <c r="F1304">
        <v>1.27788839276706</v>
      </c>
      <c r="G1304">
        <v>1.79057897293639</v>
      </c>
      <c r="H1304">
        <v>1.68029950261732</v>
      </c>
      <c r="I1304">
        <v>1.53967729167315</v>
      </c>
      <c r="J1304">
        <v>1.77587399664972</v>
      </c>
      <c r="K1304">
        <v>1.67290157574043</v>
      </c>
      <c r="L1304">
        <v>1566.93827771588</v>
      </c>
      <c r="M1304">
        <v>32.6671516514746</v>
      </c>
      <c r="O1304">
        <v>47.7881077231171</v>
      </c>
      <c r="P1304">
        <v>0.08544830999709641</v>
      </c>
      <c r="Q1304">
        <v>1.5</v>
      </c>
      <c r="R1304">
        <v>0.756522709707601</v>
      </c>
      <c r="S1304" t="s">
        <v>2988</v>
      </c>
      <c r="T1304" t="s">
        <v>3344</v>
      </c>
      <c r="U1304" t="s">
        <v>3344</v>
      </c>
      <c r="V1304" t="s">
        <v>3344</v>
      </c>
      <c r="W1304" t="s">
        <v>4646</v>
      </c>
      <c r="X1304">
        <v>5</v>
      </c>
      <c r="Y1304" t="s">
        <v>6303</v>
      </c>
      <c r="Z1304" t="s">
        <v>7961</v>
      </c>
      <c r="AA1304">
        <v>1.314726763019517</v>
      </c>
      <c r="AB1304">
        <f>HYPERLINK("Melting_Curves/meltCurve_P45470_yhbO.pdf", "Melting_Curves/meltCurve_P45470_yhbO.pdf")</f>
        <v>0</v>
      </c>
    </row>
    <row r="1305" spans="1:28">
      <c r="A1305" t="s">
        <v>1331</v>
      </c>
      <c r="B1305">
        <v>0.999998419929286</v>
      </c>
      <c r="C1305">
        <v>1.18487442383763</v>
      </c>
      <c r="D1305">
        <v>1.10920264698817</v>
      </c>
      <c r="E1305">
        <v>1.40280312588676</v>
      </c>
      <c r="F1305">
        <v>1.65606438282397</v>
      </c>
      <c r="G1305">
        <v>2.23804092322621</v>
      </c>
      <c r="H1305">
        <v>1.93423121151172</v>
      </c>
      <c r="I1305">
        <v>1.6057440510892</v>
      </c>
      <c r="J1305">
        <v>1.84695980182433</v>
      </c>
      <c r="K1305">
        <v>1.83076864360742</v>
      </c>
      <c r="L1305">
        <v>1677.24532339501</v>
      </c>
      <c r="M1305">
        <v>37.8551125092215</v>
      </c>
      <c r="O1305">
        <v>44.183866854988</v>
      </c>
      <c r="P1305">
        <v>0.107095680465239</v>
      </c>
      <c r="Q1305">
        <v>1.5</v>
      </c>
      <c r="R1305">
        <v>0.284319872725333</v>
      </c>
      <c r="S1305" t="s">
        <v>2989</v>
      </c>
      <c r="T1305" t="s">
        <v>3344</v>
      </c>
      <c r="U1305" t="s">
        <v>3344</v>
      </c>
      <c r="V1305" t="s">
        <v>3344</v>
      </c>
      <c r="W1305" t="s">
        <v>4647</v>
      </c>
      <c r="X1305">
        <v>14</v>
      </c>
      <c r="Y1305" t="s">
        <v>6304</v>
      </c>
      <c r="Z1305" t="s">
        <v>7962</v>
      </c>
      <c r="AA1305">
        <v>1.376497884486131</v>
      </c>
      <c r="AB1305">
        <f>HYPERLINK("Melting_Curves/meltCurve_P45523_fkpA.pdf", "Melting_Curves/meltCurve_P45523_fkpA.pdf")</f>
        <v>0</v>
      </c>
    </row>
    <row r="1306" spans="1:28">
      <c r="A1306" t="s">
        <v>1332</v>
      </c>
      <c r="B1306">
        <v>0.999998419929286</v>
      </c>
      <c r="C1306">
        <v>0.958444765176705</v>
      </c>
      <c r="D1306">
        <v>0.629620756815121</v>
      </c>
      <c r="E1306">
        <v>0.602308471034783</v>
      </c>
      <c r="F1306">
        <v>0.552508353371044</v>
      </c>
      <c r="G1306">
        <v>0.44373570640196</v>
      </c>
      <c r="H1306">
        <v>0.243358546646417</v>
      </c>
      <c r="I1306">
        <v>0.236888036069646</v>
      </c>
      <c r="J1306">
        <v>0.115569109544231</v>
      </c>
      <c r="K1306">
        <v>0.0877918902373399</v>
      </c>
      <c r="L1306">
        <v>379.97401297193</v>
      </c>
      <c r="M1306">
        <v>7.59109730987908</v>
      </c>
      <c r="N1306">
        <v>50.0552146972943</v>
      </c>
      <c r="O1306">
        <v>46.9357058216264</v>
      </c>
      <c r="P1306">
        <v>-0.0404890796777769</v>
      </c>
      <c r="Q1306">
        <v>0</v>
      </c>
      <c r="R1306">
        <v>0.948762331610008</v>
      </c>
      <c r="S1306" t="s">
        <v>2990</v>
      </c>
      <c r="T1306" t="s">
        <v>3344</v>
      </c>
      <c r="U1306" t="s">
        <v>3344</v>
      </c>
      <c r="V1306" t="s">
        <v>3344</v>
      </c>
      <c r="W1306" t="s">
        <v>4648</v>
      </c>
      <c r="X1306">
        <v>2</v>
      </c>
      <c r="Y1306" t="s">
        <v>6305</v>
      </c>
      <c r="Z1306" t="s">
        <v>7963</v>
      </c>
      <c r="AA1306">
        <v>0.4770324037871946</v>
      </c>
      <c r="AB1306">
        <f>HYPERLINK("Melting_Curves/meltCurve_P45530_tusB.pdf", "Melting_Curves/meltCurve_P45530_tusB.pdf")</f>
        <v>0</v>
      </c>
    </row>
    <row r="1307" spans="1:28">
      <c r="A1307" t="s">
        <v>1333</v>
      </c>
      <c r="B1307">
        <v>0.999998419929286</v>
      </c>
      <c r="C1307">
        <v>1.16641348165672</v>
      </c>
      <c r="D1307">
        <v>1.12941107852136</v>
      </c>
      <c r="E1307">
        <v>1.30143690620198</v>
      </c>
      <c r="F1307">
        <v>1.51591730627277</v>
      </c>
      <c r="G1307">
        <v>1.13987925351274</v>
      </c>
      <c r="H1307">
        <v>0.193090197378664</v>
      </c>
      <c r="I1307">
        <v>0.108123014311392</v>
      </c>
      <c r="J1307">
        <v>0.223804672802973</v>
      </c>
      <c r="K1307">
        <v>0.0886036206779701</v>
      </c>
      <c r="L1307">
        <v>14193.6139720041</v>
      </c>
      <c r="M1307">
        <v>250</v>
      </c>
      <c r="N1307">
        <v>56.8492652379631</v>
      </c>
      <c r="O1307">
        <v>56.7708227097375</v>
      </c>
      <c r="P1307">
        <v>-0.946595032727514</v>
      </c>
      <c r="Q1307">
        <v>0.140176340669881</v>
      </c>
      <c r="R1307">
        <v>0.848284387916152</v>
      </c>
      <c r="S1307" t="s">
        <v>2991</v>
      </c>
      <c r="T1307" t="s">
        <v>3344</v>
      </c>
      <c r="U1307" t="s">
        <v>3344</v>
      </c>
      <c r="V1307" t="s">
        <v>3344</v>
      </c>
      <c r="W1307" t="s">
        <v>4649</v>
      </c>
      <c r="X1307">
        <v>4</v>
      </c>
      <c r="Y1307" t="s">
        <v>6306</v>
      </c>
      <c r="Z1307" t="s">
        <v>7964</v>
      </c>
      <c r="AA1307">
        <v>0.7070135127891788</v>
      </c>
      <c r="AB1307">
        <f>HYPERLINK("Melting_Curves/meltCurve_P45568_dxr.pdf", "Melting_Curves/meltCurve_P45568_dxr.pdf")</f>
        <v>0</v>
      </c>
    </row>
    <row r="1308" spans="1:28">
      <c r="A1308" t="s">
        <v>1334</v>
      </c>
      <c r="B1308">
        <v>0.999998419929286</v>
      </c>
      <c r="C1308">
        <v>0.894988005653876</v>
      </c>
      <c r="D1308">
        <v>0.939737401166138</v>
      </c>
      <c r="E1308">
        <v>0.8875982495108909</v>
      </c>
      <c r="F1308">
        <v>0.5694765415469391</v>
      </c>
      <c r="G1308">
        <v>0.324044200016142</v>
      </c>
      <c r="H1308">
        <v>0.173899670812223</v>
      </c>
      <c r="I1308">
        <v>0.116928845841523</v>
      </c>
      <c r="J1308">
        <v>0.103957159439923</v>
      </c>
      <c r="K1308">
        <v>0.107704515712944</v>
      </c>
      <c r="L1308">
        <v>963.650512114048</v>
      </c>
      <c r="M1308">
        <v>19.0178247863906</v>
      </c>
      <c r="N1308">
        <v>51.2004056234605</v>
      </c>
      <c r="O1308">
        <v>50.1206278579629</v>
      </c>
      <c r="P1308">
        <v>-0.08639556140213819</v>
      </c>
      <c r="Q1308">
        <v>0.0892695968350621</v>
      </c>
      <c r="R1308">
        <v>0.990769991653781</v>
      </c>
      <c r="S1308" t="s">
        <v>2992</v>
      </c>
      <c r="T1308" t="s">
        <v>3344</v>
      </c>
      <c r="U1308" t="s">
        <v>3344</v>
      </c>
      <c r="V1308" t="s">
        <v>3344</v>
      </c>
      <c r="W1308" t="s">
        <v>4650</v>
      </c>
      <c r="X1308">
        <v>6</v>
      </c>
      <c r="Y1308" t="s">
        <v>6307</v>
      </c>
      <c r="Z1308" t="s">
        <v>7965</v>
      </c>
      <c r="AA1308">
        <v>0.517290798039061</v>
      </c>
      <c r="AB1308">
        <f>HYPERLINK("Melting_Curves/meltCurve_P45577_proQ.pdf", "Melting_Curves/meltCurve_P45577_proQ.pdf")</f>
        <v>0</v>
      </c>
    </row>
    <row r="1309" spans="1:28">
      <c r="A1309" t="s">
        <v>1335</v>
      </c>
      <c r="B1309">
        <v>0.999998419929286</v>
      </c>
      <c r="C1309">
        <v>0.974242337326075</v>
      </c>
      <c r="D1309">
        <v>0.816922703125739</v>
      </c>
      <c r="E1309">
        <v>0.976205824027061</v>
      </c>
      <c r="F1309">
        <v>0.951094999745228</v>
      </c>
      <c r="G1309">
        <v>1.02102063629935</v>
      </c>
      <c r="H1309">
        <v>0.993762487202875</v>
      </c>
      <c r="I1309">
        <v>1.0855694422987</v>
      </c>
      <c r="J1309">
        <v>1.01339312649607</v>
      </c>
      <c r="K1309">
        <v>0.872723900296329</v>
      </c>
      <c r="L1309">
        <v>1e-05</v>
      </c>
      <c r="M1309">
        <v>1e-05</v>
      </c>
      <c r="Q1309">
        <v>0.940987064629622</v>
      </c>
      <c r="R1309">
        <v>-2.81973866478324e-09</v>
      </c>
      <c r="S1309" t="s">
        <v>2993</v>
      </c>
      <c r="T1309" t="s">
        <v>3344</v>
      </c>
      <c r="U1309" t="s">
        <v>3344</v>
      </c>
      <c r="V1309" t="s">
        <v>3344</v>
      </c>
      <c r="W1309" t="s">
        <v>4651</v>
      </c>
      <c r="X1309">
        <v>11</v>
      </c>
      <c r="Y1309" t="s">
        <v>6308</v>
      </c>
      <c r="Z1309" t="s">
        <v>7966</v>
      </c>
      <c r="AA1309">
        <v>0.9704933877025052</v>
      </c>
      <c r="AB1309">
        <f>HYPERLINK("Melting_Curves/meltCurve_P45578_luxS.pdf", "Melting_Curves/meltCurve_P45578_luxS.pdf")</f>
        <v>0</v>
      </c>
    </row>
    <row r="1310" spans="1:28">
      <c r="A1310" t="s">
        <v>1336</v>
      </c>
      <c r="B1310">
        <v>0.999998419929286</v>
      </c>
      <c r="C1310">
        <v>0.977160082947555</v>
      </c>
      <c r="D1310">
        <v>0.8084672631951449</v>
      </c>
      <c r="E1310">
        <v>0.947721243613859</v>
      </c>
      <c r="F1310">
        <v>0.764221899510733</v>
      </c>
      <c r="G1310">
        <v>0.558887491118509</v>
      </c>
      <c r="H1310">
        <v>0.415471554333092</v>
      </c>
      <c r="I1310">
        <v>0.346708976719298</v>
      </c>
      <c r="J1310">
        <v>0.36007913255989</v>
      </c>
      <c r="K1310">
        <v>0.372201790927476</v>
      </c>
      <c r="L1310">
        <v>817.7824607060591</v>
      </c>
      <c r="M1310">
        <v>15.8013952113637</v>
      </c>
      <c r="N1310">
        <v>55.3482583306458</v>
      </c>
      <c r="O1310">
        <v>50.9461825365573</v>
      </c>
      <c r="P1310">
        <v>-0.0526682394258496</v>
      </c>
      <c r="Q1310">
        <v>0.320813202589345</v>
      </c>
      <c r="R1310">
        <v>0.950674554017549</v>
      </c>
      <c r="S1310" t="s">
        <v>2994</v>
      </c>
      <c r="T1310" t="s">
        <v>3344</v>
      </c>
      <c r="U1310" t="s">
        <v>3344</v>
      </c>
      <c r="V1310" t="s">
        <v>3344</v>
      </c>
      <c r="W1310" t="s">
        <v>4652</v>
      </c>
      <c r="X1310">
        <v>4</v>
      </c>
      <c r="Y1310" t="s">
        <v>6309</v>
      </c>
      <c r="Z1310" t="s">
        <v>7967</v>
      </c>
      <c r="AA1310">
        <v>0.6671938490503561</v>
      </c>
      <c r="AB1310">
        <f>HYPERLINK("Melting_Curves/meltCurve_P45748_tsaC.pdf", "Melting_Curves/meltCurve_P45748_tsaC.pdf")</f>
        <v>0</v>
      </c>
    </row>
    <row r="1311" spans="1:28">
      <c r="A1311" t="s">
        <v>1337</v>
      </c>
      <c r="B1311">
        <v>0.999998419929286</v>
      </c>
      <c r="C1311">
        <v>1.10480872362938</v>
      </c>
      <c r="D1311">
        <v>1.1115594403798</v>
      </c>
      <c r="E1311">
        <v>1.17801490587076</v>
      </c>
      <c r="F1311">
        <v>1.33818382509519</v>
      </c>
      <c r="G1311">
        <v>1.41442842244145</v>
      </c>
      <c r="H1311">
        <v>1.29532276589631</v>
      </c>
      <c r="I1311">
        <v>1.20653699897467</v>
      </c>
      <c r="J1311">
        <v>1.45419554460496</v>
      </c>
      <c r="K1311">
        <v>1.46504608016811</v>
      </c>
      <c r="L1311">
        <v>513.602830507302</v>
      </c>
      <c r="M1311">
        <v>11.2064153987271</v>
      </c>
      <c r="O1311">
        <v>44.4444079617934</v>
      </c>
      <c r="P1311">
        <v>0.0251984272453827</v>
      </c>
      <c r="Q1311">
        <v>1.39962022940026</v>
      </c>
      <c r="R1311">
        <v>0.757020284375873</v>
      </c>
      <c r="S1311" t="s">
        <v>2995</v>
      </c>
      <c r="T1311" t="s">
        <v>3344</v>
      </c>
      <c r="U1311" t="s">
        <v>3344</v>
      </c>
      <c r="V1311" t="s">
        <v>3344</v>
      </c>
      <c r="W1311" t="s">
        <v>4653</v>
      </c>
      <c r="X1311">
        <v>3</v>
      </c>
      <c r="Y1311" t="s">
        <v>6310</v>
      </c>
      <c r="Z1311" t="s">
        <v>7968</v>
      </c>
      <c r="AA1311">
        <v>1.26638021760898</v>
      </c>
      <c r="AB1311">
        <f>HYPERLINK("Melting_Curves/meltCurve_P45771_yrdD.pdf", "Melting_Curves/meltCurve_P45771_yrdD.pdf")</f>
        <v>0</v>
      </c>
    </row>
    <row r="1312" spans="1:28">
      <c r="A1312" t="s">
        <v>1338</v>
      </c>
      <c r="B1312">
        <v>0.999998419929286</v>
      </c>
      <c r="C1312">
        <v>0.886532376606184</v>
      </c>
      <c r="D1312">
        <v>0.937566291383694</v>
      </c>
      <c r="E1312">
        <v>0.862810140093669</v>
      </c>
      <c r="F1312">
        <v>0.667962658674471</v>
      </c>
      <c r="G1312">
        <v>0.24445997406634</v>
      </c>
      <c r="H1312">
        <v>0.06764717486219179</v>
      </c>
      <c r="I1312">
        <v>0.0219378273489318</v>
      </c>
      <c r="J1312">
        <v>0.0340208152510744</v>
      </c>
      <c r="K1312">
        <v>0</v>
      </c>
      <c r="L1312">
        <v>1147.98442134642</v>
      </c>
      <c r="M1312">
        <v>22.3567633321175</v>
      </c>
      <c r="N1312">
        <v>51.3484176797784</v>
      </c>
      <c r="O1312">
        <v>50.9428896871506</v>
      </c>
      <c r="P1312">
        <v>-0.109717146018478</v>
      </c>
      <c r="Q1312">
        <v>0</v>
      </c>
      <c r="R1312">
        <v>0.988103928590836</v>
      </c>
      <c r="S1312" t="s">
        <v>2996</v>
      </c>
      <c r="T1312" t="s">
        <v>3344</v>
      </c>
      <c r="U1312" t="s">
        <v>3344</v>
      </c>
      <c r="V1312" t="s">
        <v>3344</v>
      </c>
      <c r="W1312" t="s">
        <v>4654</v>
      </c>
      <c r="X1312">
        <v>2</v>
      </c>
      <c r="Y1312" t="s">
        <v>6311</v>
      </c>
      <c r="Z1312" t="s">
        <v>7969</v>
      </c>
      <c r="AA1312">
        <v>0.4890842817160903</v>
      </c>
      <c r="AB1312">
        <f>HYPERLINK("Melting_Curves/meltCurve_P45799_nudE.pdf", "Melting_Curves/meltCurve_P45799_nudE.pdf")</f>
        <v>0</v>
      </c>
    </row>
    <row r="1313" spans="1:28">
      <c r="A1313" t="s">
        <v>1339</v>
      </c>
      <c r="B1313">
        <v>0.999998419929286</v>
      </c>
      <c r="C1313">
        <v>1.0278545269863</v>
      </c>
      <c r="D1313">
        <v>1.11297380370095</v>
      </c>
      <c r="E1313">
        <v>1.1317102909225</v>
      </c>
      <c r="F1313">
        <v>1.31903194569048</v>
      </c>
      <c r="G1313">
        <v>1.39253458183864</v>
      </c>
      <c r="H1313">
        <v>1.26395221656298</v>
      </c>
      <c r="I1313">
        <v>1.01913761505897</v>
      </c>
      <c r="J1313">
        <v>0.701111517527497</v>
      </c>
      <c r="K1313">
        <v>0.478446352207469</v>
      </c>
      <c r="L1313">
        <v>15000</v>
      </c>
      <c r="M1313">
        <v>234.303685423088</v>
      </c>
      <c r="N1313">
        <v>64.8900245944117</v>
      </c>
      <c r="O1313">
        <v>64.0148156178422</v>
      </c>
      <c r="P1313">
        <v>-0.47725526636422</v>
      </c>
      <c r="Q1313">
        <v>0.47843060634441</v>
      </c>
      <c r="R1313">
        <v>0.488975040760572</v>
      </c>
      <c r="S1313" t="s">
        <v>2997</v>
      </c>
      <c r="T1313" t="s">
        <v>3344</v>
      </c>
      <c r="U1313" t="s">
        <v>3344</v>
      </c>
      <c r="V1313" t="s">
        <v>3344</v>
      </c>
      <c r="W1313" t="s">
        <v>4655</v>
      </c>
      <c r="X1313">
        <v>10</v>
      </c>
      <c r="Y1313" t="s">
        <v>6312</v>
      </c>
      <c r="Z1313" t="s">
        <v>7970</v>
      </c>
      <c r="AA1313">
        <v>0.9482482856689974</v>
      </c>
      <c r="AB1313">
        <f>HYPERLINK("Melting_Curves/meltCurve_P45955_cpoB.pdf", "Melting_Curves/meltCurve_P45955_cpoB.pdf")</f>
        <v>0</v>
      </c>
    </row>
    <row r="1314" spans="1:28">
      <c r="A1314" t="s">
        <v>1340</v>
      </c>
      <c r="B1314">
        <v>0.999998419929286</v>
      </c>
      <c r="C1314">
        <v>1.00251377071756</v>
      </c>
      <c r="D1314">
        <v>0.9748509757299409</v>
      </c>
      <c r="E1314">
        <v>0.9511830811413789</v>
      </c>
      <c r="F1314">
        <v>1.15713395250893</v>
      </c>
      <c r="G1314">
        <v>1.24177333528585</v>
      </c>
      <c r="H1314">
        <v>1.11920068904764</v>
      </c>
      <c r="I1314">
        <v>0.928888972531177</v>
      </c>
      <c r="J1314">
        <v>0.941167599151319</v>
      </c>
      <c r="K1314">
        <v>1.0637209044</v>
      </c>
      <c r="S1314" t="s">
        <v>2998</v>
      </c>
      <c r="T1314" t="s">
        <v>3344</v>
      </c>
      <c r="U1314" t="s">
        <v>3345</v>
      </c>
      <c r="V1314" t="s">
        <v>3344</v>
      </c>
      <c r="W1314" t="s">
        <v>4656</v>
      </c>
      <c r="X1314">
        <v>2</v>
      </c>
      <c r="Y1314" t="s">
        <v>6313</v>
      </c>
      <c r="Z1314" t="s">
        <v>7971</v>
      </c>
      <c r="AB1314">
        <f>HYPERLINK("Melting_Curves/meltCurve_P46122_yajI.pdf", "Melting_Curves/meltCurve_P46122_yajI.pdf")</f>
        <v>0</v>
      </c>
    </row>
    <row r="1315" spans="1:28">
      <c r="A1315" t="s">
        <v>1341</v>
      </c>
      <c r="B1315">
        <v>0.999998419929286</v>
      </c>
      <c r="C1315">
        <v>0.987629810135386</v>
      </c>
      <c r="D1315">
        <v>0.684422114737487</v>
      </c>
      <c r="E1315">
        <v>0.57754770708881</v>
      </c>
      <c r="F1315">
        <v>0.404540734077714</v>
      </c>
      <c r="G1315">
        <v>0.293743156410917</v>
      </c>
      <c r="H1315">
        <v>0.139800785566379</v>
      </c>
      <c r="I1315">
        <v>0.0806551991203852</v>
      </c>
      <c r="J1315">
        <v>0.0655574943494517</v>
      </c>
      <c r="K1315">
        <v>0.0519199976617944</v>
      </c>
      <c r="L1315">
        <v>503.213238249219</v>
      </c>
      <c r="M1315">
        <v>10.4587176910006</v>
      </c>
      <c r="N1315">
        <v>48.1142386248878</v>
      </c>
      <c r="O1315">
        <v>46.455028897135</v>
      </c>
      <c r="P1315">
        <v>-0.0563071666354864</v>
      </c>
      <c r="Q1315">
        <v>0</v>
      </c>
      <c r="R1315">
        <v>0.982555082566301</v>
      </c>
      <c r="S1315" t="s">
        <v>2999</v>
      </c>
      <c r="T1315" t="s">
        <v>3344</v>
      </c>
      <c r="U1315" t="s">
        <v>3344</v>
      </c>
      <c r="V1315" t="s">
        <v>3344</v>
      </c>
      <c r="W1315" t="s">
        <v>4657</v>
      </c>
      <c r="X1315">
        <v>1</v>
      </c>
      <c r="Y1315" t="s">
        <v>6314</v>
      </c>
      <c r="Z1315" t="s">
        <v>7972</v>
      </c>
      <c r="AA1315">
        <v>0.4080795143378632</v>
      </c>
      <c r="AB1315">
        <f>HYPERLINK("Melting_Curves/meltCurve_P46125_yedI.pdf", "Melting_Curves/meltCurve_P46125_yedI.pdf")</f>
        <v>0</v>
      </c>
    </row>
    <row r="1316" spans="1:28">
      <c r="A1316" t="s">
        <v>1342</v>
      </c>
      <c r="B1316">
        <v>0.999998419929286</v>
      </c>
      <c r="C1316">
        <v>1.10905840790361</v>
      </c>
      <c r="D1316">
        <v>1.34378570762444</v>
      </c>
      <c r="E1316">
        <v>1.58529895263395</v>
      </c>
      <c r="F1316">
        <v>1.73061260157571</v>
      </c>
      <c r="G1316">
        <v>1.12151990979169</v>
      </c>
      <c r="H1316">
        <v>0.194965292005584</v>
      </c>
      <c r="I1316">
        <v>0.08927568748202989</v>
      </c>
      <c r="J1316">
        <v>0.0605843021259947</v>
      </c>
      <c r="K1316">
        <v>0.0578897700049712</v>
      </c>
      <c r="L1316">
        <v>14243.4162488129</v>
      </c>
      <c r="M1316">
        <v>250</v>
      </c>
      <c r="N1316">
        <v>57.0076597761746</v>
      </c>
      <c r="O1316">
        <v>56.9700188719925</v>
      </c>
      <c r="P1316">
        <v>-1.02109652833406</v>
      </c>
      <c r="Q1316">
        <v>0.0692497822131683</v>
      </c>
      <c r="R1316">
        <v>0.743092621750531</v>
      </c>
      <c r="S1316" t="s">
        <v>3000</v>
      </c>
      <c r="T1316" t="s">
        <v>3344</v>
      </c>
      <c r="U1316" t="s">
        <v>3344</v>
      </c>
      <c r="V1316" t="s">
        <v>3344</v>
      </c>
      <c r="W1316" t="s">
        <v>4658</v>
      </c>
      <c r="X1316">
        <v>5</v>
      </c>
      <c r="Y1316" t="s">
        <v>6315</v>
      </c>
      <c r="Z1316" t="s">
        <v>7973</v>
      </c>
      <c r="AA1316">
        <v>0.6890259474462727</v>
      </c>
      <c r="AB1316">
        <f>HYPERLINK("Melting_Curves/meltCurve_P46130_ybhC.pdf", "Melting_Curves/meltCurve_P46130_ybhC.pdf")</f>
        <v>0</v>
      </c>
    </row>
    <row r="1317" spans="1:28">
      <c r="A1317" t="s">
        <v>1343</v>
      </c>
      <c r="B1317">
        <v>0.999998419929286</v>
      </c>
      <c r="C1317">
        <v>1.13027644391643</v>
      </c>
      <c r="D1317">
        <v>1.07126235315814</v>
      </c>
      <c r="E1317">
        <v>1.16332598459621</v>
      </c>
      <c r="F1317">
        <v>1.28577221297557</v>
      </c>
      <c r="G1317">
        <v>1.4668451055089</v>
      </c>
      <c r="H1317">
        <v>1.36145193589677</v>
      </c>
      <c r="I1317">
        <v>1.40187492534787</v>
      </c>
      <c r="J1317">
        <v>1.52190002643227</v>
      </c>
      <c r="K1317">
        <v>1.35738611325615</v>
      </c>
      <c r="L1317">
        <v>636.858987027775</v>
      </c>
      <c r="M1317">
        <v>13.4557555670745</v>
      </c>
      <c r="O1317">
        <v>46.3211629059524</v>
      </c>
      <c r="P1317">
        <v>0.0323349319630866</v>
      </c>
      <c r="Q1317">
        <v>1.44518059710837</v>
      </c>
      <c r="R1317">
        <v>0.86568631172931</v>
      </c>
      <c r="S1317" t="s">
        <v>3001</v>
      </c>
      <c r="T1317" t="s">
        <v>3344</v>
      </c>
      <c r="U1317" t="s">
        <v>3344</v>
      </c>
      <c r="V1317" t="s">
        <v>3344</v>
      </c>
      <c r="W1317" t="s">
        <v>4659</v>
      </c>
      <c r="X1317">
        <v>1</v>
      </c>
      <c r="Y1317" t="s">
        <v>6316</v>
      </c>
      <c r="Z1317" t="s">
        <v>7974</v>
      </c>
      <c r="AA1317">
        <v>1.279912025626725</v>
      </c>
      <c r="AB1317">
        <f>HYPERLINK("Melting_Curves/meltCurve_P46474_yhdP.pdf", "Melting_Curves/meltCurve_P46474_yhdP.pdf")</f>
        <v>0</v>
      </c>
    </row>
    <row r="1318" spans="1:28">
      <c r="A1318" t="s">
        <v>1344</v>
      </c>
      <c r="B1318">
        <v>0.999998419929286</v>
      </c>
      <c r="C1318">
        <v>1.36245434128719</v>
      </c>
      <c r="D1318">
        <v>0.982516839722281</v>
      </c>
      <c r="E1318">
        <v>0.244051310847037</v>
      </c>
      <c r="F1318">
        <v>0.199623420573163</v>
      </c>
      <c r="G1318">
        <v>0.184366974113163</v>
      </c>
      <c r="H1318">
        <v>0.13344382534371</v>
      </c>
      <c r="I1318">
        <v>0.0922910557559848</v>
      </c>
      <c r="J1318">
        <v>0.0898295258726696</v>
      </c>
      <c r="K1318">
        <v>0.104986466539986</v>
      </c>
      <c r="L1318">
        <v>3207.34254532703</v>
      </c>
      <c r="M1318">
        <v>70.7424760272383</v>
      </c>
      <c r="N1318">
        <v>45.5387659909007</v>
      </c>
      <c r="O1318">
        <v>45.3020882803127</v>
      </c>
      <c r="P1318">
        <v>-0.338161200746798</v>
      </c>
      <c r="Q1318">
        <v>0.133792961124079</v>
      </c>
      <c r="R1318">
        <v>0.931080193045678</v>
      </c>
      <c r="S1318" t="s">
        <v>3002</v>
      </c>
      <c r="T1318" t="s">
        <v>3344</v>
      </c>
      <c r="U1318" t="s">
        <v>3344</v>
      </c>
      <c r="V1318" t="s">
        <v>3344</v>
      </c>
      <c r="W1318" t="s">
        <v>4660</v>
      </c>
      <c r="X1318">
        <v>10</v>
      </c>
      <c r="Y1318" t="s">
        <v>6317</v>
      </c>
      <c r="Z1318" t="s">
        <v>7975</v>
      </c>
      <c r="AA1318">
        <v>0.3754119591827289</v>
      </c>
      <c r="AB1318">
        <f>HYPERLINK("Melting_Curves/meltCurve_P46837_yhgF.pdf", "Melting_Curves/meltCurve_P46837_yhgF.pdf")</f>
        <v>0</v>
      </c>
    </row>
    <row r="1319" spans="1:28">
      <c r="A1319" t="s">
        <v>1345</v>
      </c>
      <c r="B1319">
        <v>0.999998419929286</v>
      </c>
      <c r="C1319">
        <v>1.11795529729507</v>
      </c>
      <c r="D1319">
        <v>0.999944603449477</v>
      </c>
      <c r="E1319">
        <v>1.116017303949</v>
      </c>
      <c r="F1319">
        <v>1.2784656791632</v>
      </c>
      <c r="G1319">
        <v>1.02516991028892</v>
      </c>
      <c r="H1319">
        <v>0.890257193173474</v>
      </c>
      <c r="I1319">
        <v>0.857037601507235</v>
      </c>
      <c r="J1319">
        <v>0.800891342719336</v>
      </c>
      <c r="K1319">
        <v>0.596297962359435</v>
      </c>
      <c r="L1319">
        <v>1081.38329668889</v>
      </c>
      <c r="M1319">
        <v>15.7016406200426</v>
      </c>
      <c r="Q1319">
        <v>0</v>
      </c>
      <c r="R1319">
        <v>0.652120323733827</v>
      </c>
      <c r="S1319" t="s">
        <v>3003</v>
      </c>
      <c r="T1319" t="s">
        <v>3344</v>
      </c>
      <c r="U1319" t="s">
        <v>3344</v>
      </c>
      <c r="V1319" t="s">
        <v>3344</v>
      </c>
      <c r="W1319" t="s">
        <v>4661</v>
      </c>
      <c r="X1319">
        <v>1</v>
      </c>
      <c r="Y1319" t="s">
        <v>6318</v>
      </c>
      <c r="Z1319" t="s">
        <v>7976</v>
      </c>
      <c r="AA1319">
        <v>0.939239292172638</v>
      </c>
      <c r="AB1319">
        <f>HYPERLINK("Melting_Curves/meltCurve_P46849_rtcA.pdf", "Melting_Curves/meltCurve_P46849_rtcA.pdf")</f>
        <v>0</v>
      </c>
    </row>
    <row r="1320" spans="1:28">
      <c r="A1320" t="s">
        <v>1346</v>
      </c>
      <c r="B1320">
        <v>0.999998419929286</v>
      </c>
      <c r="C1320">
        <v>1.03779910528923</v>
      </c>
      <c r="D1320">
        <v>1.09710570178201</v>
      </c>
      <c r="E1320">
        <v>1.27034746039494</v>
      </c>
      <c r="F1320">
        <v>1.42677775107639</v>
      </c>
      <c r="G1320">
        <v>1.2585540912021</v>
      </c>
      <c r="H1320">
        <v>0.468849384366296</v>
      </c>
      <c r="I1320">
        <v>0.264434613399572</v>
      </c>
      <c r="J1320">
        <v>0.156106042723661</v>
      </c>
      <c r="K1320">
        <v>0.140063101146139</v>
      </c>
      <c r="L1320">
        <v>14313.6541560521</v>
      </c>
      <c r="M1320">
        <v>250</v>
      </c>
      <c r="N1320">
        <v>57.3619762719998</v>
      </c>
      <c r="O1320">
        <v>57.2509527187077</v>
      </c>
      <c r="P1320">
        <v>-0.887684113323734</v>
      </c>
      <c r="Q1320">
        <v>0.186867821881276</v>
      </c>
      <c r="R1320">
        <v>0.84825275394396</v>
      </c>
      <c r="S1320" t="s">
        <v>3004</v>
      </c>
      <c r="T1320" t="s">
        <v>3344</v>
      </c>
      <c r="U1320" t="s">
        <v>3344</v>
      </c>
      <c r="V1320" t="s">
        <v>3344</v>
      </c>
      <c r="W1320" t="s">
        <v>4662</v>
      </c>
      <c r="X1320">
        <v>3</v>
      </c>
      <c r="Y1320" t="s">
        <v>6319</v>
      </c>
      <c r="Z1320" t="s">
        <v>7977</v>
      </c>
      <c r="AA1320">
        <v>0.7359388772707771</v>
      </c>
      <c r="AB1320">
        <f>HYPERLINK("Melting_Curves/meltCurve_P46852_yhhW.pdf", "Melting_Curves/meltCurve_P46852_yhhW.pdf")</f>
        <v>0</v>
      </c>
    </row>
    <row r="1321" spans="1:28">
      <c r="A1321" t="s">
        <v>1347</v>
      </c>
      <c r="B1321">
        <v>0.999998419929286</v>
      </c>
      <c r="C1321">
        <v>1.10041631366776</v>
      </c>
      <c r="D1321">
        <v>1.08415553637463</v>
      </c>
      <c r="E1321">
        <v>1.15823957907512</v>
      </c>
      <c r="F1321">
        <v>1.33090922097703</v>
      </c>
      <c r="G1321">
        <v>1.54327277894711</v>
      </c>
      <c r="H1321">
        <v>1.37071286070155</v>
      </c>
      <c r="I1321">
        <v>0.69195507894159</v>
      </c>
      <c r="J1321">
        <v>0.109712452006</v>
      </c>
      <c r="K1321">
        <v>0.0757652114173549</v>
      </c>
      <c r="L1321">
        <v>8774.24347074803</v>
      </c>
      <c r="M1321">
        <v>143.172042844316</v>
      </c>
      <c r="N1321">
        <v>61.3716234205657</v>
      </c>
      <c r="O1321">
        <v>61.2726583307577</v>
      </c>
      <c r="P1321">
        <v>-0.530503603284662</v>
      </c>
      <c r="Q1321">
        <v>0.0918515767699951</v>
      </c>
      <c r="R1321">
        <v>0.7454314850745281</v>
      </c>
      <c r="S1321" t="s">
        <v>3005</v>
      </c>
      <c r="T1321" t="s">
        <v>3344</v>
      </c>
      <c r="U1321" t="s">
        <v>3344</v>
      </c>
      <c r="V1321" t="s">
        <v>3344</v>
      </c>
      <c r="W1321" t="s">
        <v>4663</v>
      </c>
      <c r="X1321">
        <v>7</v>
      </c>
      <c r="Y1321" t="s">
        <v>6320</v>
      </c>
      <c r="Z1321" t="s">
        <v>7978</v>
      </c>
      <c r="AA1321">
        <v>0.8272839305253267</v>
      </c>
      <c r="AB1321">
        <f>HYPERLINK("Melting_Curves/meltCurve_P46853_yhhX.pdf", "Melting_Curves/meltCurve_P46853_yhhX.pdf")</f>
        <v>0</v>
      </c>
    </row>
    <row r="1322" spans="1:28">
      <c r="A1322" t="s">
        <v>1348</v>
      </c>
      <c r="B1322">
        <v>0.999998419929286</v>
      </c>
      <c r="C1322">
        <v>0.84076991608098</v>
      </c>
      <c r="D1322">
        <v>0.691909060474573</v>
      </c>
      <c r="E1322">
        <v>0.708289048239983</v>
      </c>
      <c r="F1322">
        <v>0.709933792311133</v>
      </c>
      <c r="G1322">
        <v>0.758419014931453</v>
      </c>
      <c r="H1322">
        <v>0.61135330985251</v>
      </c>
      <c r="I1322">
        <v>0.6540453554139209</v>
      </c>
      <c r="J1322">
        <v>0.664788528002155</v>
      </c>
      <c r="K1322">
        <v>0.558843011119215</v>
      </c>
      <c r="L1322">
        <v>1517.58968069944</v>
      </c>
      <c r="M1322">
        <v>37.8978736087148</v>
      </c>
      <c r="O1322">
        <v>39.9331836761161</v>
      </c>
      <c r="P1322">
        <v>-0.0791478300872232</v>
      </c>
      <c r="Q1322">
        <v>0.666406979566223</v>
      </c>
      <c r="R1322">
        <v>0.808453144996702</v>
      </c>
      <c r="S1322" t="s">
        <v>3006</v>
      </c>
      <c r="T1322" t="s">
        <v>3344</v>
      </c>
      <c r="U1322" t="s">
        <v>3344</v>
      </c>
      <c r="V1322" t="s">
        <v>3344</v>
      </c>
      <c r="W1322" t="s">
        <v>4664</v>
      </c>
      <c r="X1322">
        <v>2</v>
      </c>
      <c r="Y1322" t="s">
        <v>6321</v>
      </c>
      <c r="Z1322" t="s">
        <v>7979</v>
      </c>
      <c r="AA1322">
        <v>0.7017019545333468</v>
      </c>
      <c r="AB1322">
        <f>HYPERLINK("Melting_Curves/meltCurve_P50466_aer.pdf", "Melting_Curves/meltCurve_P50466_aer.pdf")</f>
        <v>0</v>
      </c>
    </row>
    <row r="1323" spans="1:28">
      <c r="A1323" t="s">
        <v>1349</v>
      </c>
      <c r="B1323">
        <v>0.999998419929286</v>
      </c>
      <c r="C1323">
        <v>0.942386269764405</v>
      </c>
      <c r="D1323">
        <v>0.934376298128443</v>
      </c>
      <c r="E1323">
        <v>1.1056194540258</v>
      </c>
      <c r="F1323">
        <v>1.14465751417294</v>
      </c>
      <c r="G1323">
        <v>1.35015893081432</v>
      </c>
      <c r="H1323">
        <v>1.28023235533194</v>
      </c>
      <c r="I1323">
        <v>1.22957244766984</v>
      </c>
      <c r="J1323">
        <v>1.39981532902428</v>
      </c>
      <c r="K1323">
        <v>1.16624311129382</v>
      </c>
      <c r="L1323">
        <v>1402.17836399377</v>
      </c>
      <c r="M1323">
        <v>28.7594836712744</v>
      </c>
      <c r="O1323">
        <v>48.5214379233692</v>
      </c>
      <c r="P1323">
        <v>0.0419435298031068</v>
      </c>
      <c r="Q1323">
        <v>1.28305717511477</v>
      </c>
      <c r="R1323">
        <v>0.788645461357241</v>
      </c>
      <c r="S1323" t="s">
        <v>3007</v>
      </c>
      <c r="T1323" t="s">
        <v>3344</v>
      </c>
      <c r="U1323" t="s">
        <v>3344</v>
      </c>
      <c r="V1323" t="s">
        <v>3344</v>
      </c>
      <c r="W1323" t="s">
        <v>4665</v>
      </c>
      <c r="X1323">
        <v>3</v>
      </c>
      <c r="Y1323" t="s">
        <v>6322</v>
      </c>
      <c r="Z1323" t="s">
        <v>7980</v>
      </c>
      <c r="AA1323">
        <v>1.170293586208472</v>
      </c>
      <c r="AB1323">
        <f>HYPERLINK("Melting_Curves/meltCurve_P51024_yaiL.pdf", "Melting_Curves/meltCurve_P51024_yaiL.pdf")</f>
        <v>0</v>
      </c>
    </row>
    <row r="1324" spans="1:28">
      <c r="A1324" t="s">
        <v>1350</v>
      </c>
      <c r="B1324">
        <v>0.999998419929286</v>
      </c>
      <c r="C1324">
        <v>1.04854174603136</v>
      </c>
      <c r="D1324">
        <v>0.953888937703039</v>
      </c>
      <c r="E1324">
        <v>0.813011493848851</v>
      </c>
      <c r="F1324">
        <v>0.379587462511936</v>
      </c>
      <c r="G1324">
        <v>0.115839870443106</v>
      </c>
      <c r="H1324">
        <v>0.07411809789358351</v>
      </c>
      <c r="I1324">
        <v>0.06646529836426431</v>
      </c>
      <c r="J1324">
        <v>0.0428316499467248</v>
      </c>
      <c r="K1324">
        <v>0.0457330659463472</v>
      </c>
      <c r="L1324">
        <v>1323.31247024634</v>
      </c>
      <c r="M1324">
        <v>27.0054670798118</v>
      </c>
      <c r="N1324">
        <v>49.1891536281473</v>
      </c>
      <c r="O1324">
        <v>48.735321013604</v>
      </c>
      <c r="P1324">
        <v>-0.131757034493194</v>
      </c>
      <c r="Q1324">
        <v>0.0489099513818097</v>
      </c>
      <c r="R1324">
        <v>0.997974319450701</v>
      </c>
      <c r="S1324" t="s">
        <v>3008</v>
      </c>
      <c r="T1324" t="s">
        <v>3344</v>
      </c>
      <c r="U1324" t="s">
        <v>3344</v>
      </c>
      <c r="V1324" t="s">
        <v>3344</v>
      </c>
      <c r="W1324" t="s">
        <v>4666</v>
      </c>
      <c r="X1324">
        <v>3</v>
      </c>
      <c r="Y1324" t="s">
        <v>6323</v>
      </c>
      <c r="Z1324" t="s">
        <v>7981</v>
      </c>
      <c r="AA1324">
        <v>0.4364648326522379</v>
      </c>
      <c r="AB1324">
        <f>HYPERLINK("Melting_Curves/meltCurve_P51981_ycjG.pdf", "Melting_Curves/meltCurve_P51981_ycjG.pdf")</f>
        <v>0</v>
      </c>
    </row>
    <row r="1325" spans="1:28">
      <c r="A1325" t="s">
        <v>1351</v>
      </c>
      <c r="B1325">
        <v>0.999998419929286</v>
      </c>
      <c r="C1325">
        <v>0.792662994111309</v>
      </c>
      <c r="D1325">
        <v>0.837807537145874</v>
      </c>
      <c r="E1325">
        <v>1.01945261043302</v>
      </c>
      <c r="F1325">
        <v>0.949298206439671</v>
      </c>
      <c r="G1325">
        <v>0.994484397589812</v>
      </c>
      <c r="H1325">
        <v>0.626680688755617</v>
      </c>
      <c r="I1325">
        <v>0.457002571590491</v>
      </c>
      <c r="J1325">
        <v>0.483517764651739</v>
      </c>
      <c r="K1325">
        <v>0.439976320104338</v>
      </c>
      <c r="L1325">
        <v>4786.32740548655</v>
      </c>
      <c r="M1325">
        <v>84.1902617762656</v>
      </c>
      <c r="N1325">
        <v>58.6023121935213</v>
      </c>
      <c r="O1325">
        <v>56.8192670541981</v>
      </c>
      <c r="P1325">
        <v>-0.200183934947511</v>
      </c>
      <c r="Q1325">
        <v>0.459590563156001</v>
      </c>
      <c r="R1325">
        <v>0.856796787184782</v>
      </c>
      <c r="S1325" t="s">
        <v>3009</v>
      </c>
      <c r="T1325" t="s">
        <v>3344</v>
      </c>
      <c r="U1325" t="s">
        <v>3344</v>
      </c>
      <c r="V1325" t="s">
        <v>3344</v>
      </c>
      <c r="W1325" t="s">
        <v>4667</v>
      </c>
      <c r="X1325">
        <v>3</v>
      </c>
      <c r="Y1325" t="s">
        <v>6324</v>
      </c>
      <c r="Z1325" t="s">
        <v>7982</v>
      </c>
      <c r="AA1325">
        <v>0.8176614411699848</v>
      </c>
      <c r="AB1325">
        <f>HYPERLINK("Melting_Curves/meltCurve_P52007_yecM.pdf", "Melting_Curves/meltCurve_P52007_yecM.pdf")</f>
        <v>0</v>
      </c>
    </row>
    <row r="1326" spans="1:28">
      <c r="A1326" t="s">
        <v>1352</v>
      </c>
      <c r="B1326">
        <v>0.999998419929286</v>
      </c>
      <c r="C1326">
        <v>0.992504551713885</v>
      </c>
      <c r="D1326">
        <v>1.03227987445045</v>
      </c>
      <c r="E1326">
        <v>0.957961404260638</v>
      </c>
      <c r="F1326">
        <v>0.9068399899353941</v>
      </c>
      <c r="G1326">
        <v>0.769377838620926</v>
      </c>
      <c r="H1326">
        <v>0.589073831686147</v>
      </c>
      <c r="I1326">
        <v>0.830717533150695</v>
      </c>
      <c r="J1326">
        <v>0.6460850208060041</v>
      </c>
      <c r="K1326">
        <v>0.42583474982734</v>
      </c>
      <c r="L1326">
        <v>404.463901264325</v>
      </c>
      <c r="M1326">
        <v>5.97785952049957</v>
      </c>
      <c r="O1326">
        <v>61.2523695264329</v>
      </c>
      <c r="P1326">
        <v>-0.0244785469773926</v>
      </c>
      <c r="Q1326">
        <v>0</v>
      </c>
      <c r="R1326">
        <v>0.803037207555418</v>
      </c>
      <c r="S1326" t="s">
        <v>3010</v>
      </c>
      <c r="T1326" t="s">
        <v>3344</v>
      </c>
      <c r="U1326" t="s">
        <v>3344</v>
      </c>
      <c r="V1326" t="s">
        <v>3344</v>
      </c>
      <c r="W1326" t="s">
        <v>4668</v>
      </c>
      <c r="X1326">
        <v>1</v>
      </c>
      <c r="Y1326" t="s">
        <v>6325</v>
      </c>
      <c r="Z1326" t="s">
        <v>7983</v>
      </c>
      <c r="AA1326">
        <v>0.8191175054628083</v>
      </c>
      <c r="AB1326">
        <f>HYPERLINK("Melting_Curves/meltCurve_P52060_yggU.pdf", "Melting_Curves/meltCurve_P52060_yggU.pdf")</f>
        <v>0</v>
      </c>
    </row>
    <row r="1327" spans="1:28">
      <c r="A1327" t="s">
        <v>1353</v>
      </c>
      <c r="B1327">
        <v>0.999998419929286</v>
      </c>
      <c r="C1327">
        <v>0.955398499080475</v>
      </c>
      <c r="D1327">
        <v>0.770614010008346</v>
      </c>
      <c r="E1327">
        <v>0.793667983602221</v>
      </c>
      <c r="F1327">
        <v>0.599823448376373</v>
      </c>
      <c r="G1327">
        <v>0.389294036886244</v>
      </c>
      <c r="H1327">
        <v>0.228012956486603</v>
      </c>
      <c r="I1327">
        <v>0.215216806663493</v>
      </c>
      <c r="J1327">
        <v>0.199739965093069</v>
      </c>
      <c r="K1327">
        <v>0.197426247487616</v>
      </c>
      <c r="L1327">
        <v>548.870547759826</v>
      </c>
      <c r="M1327">
        <v>10.9274727405575</v>
      </c>
      <c r="N1327">
        <v>51.4115318559219</v>
      </c>
      <c r="O1327">
        <v>48.6342215856205</v>
      </c>
      <c r="P1327">
        <v>-0.0499446856970191</v>
      </c>
      <c r="Q1327">
        <v>0.111164822016536</v>
      </c>
      <c r="R1327">
        <v>0.976432025421081</v>
      </c>
      <c r="S1327" t="s">
        <v>3011</v>
      </c>
      <c r="T1327" t="s">
        <v>3344</v>
      </c>
      <c r="U1327" t="s">
        <v>3344</v>
      </c>
      <c r="V1327" t="s">
        <v>3344</v>
      </c>
      <c r="W1327" t="s">
        <v>4669</v>
      </c>
      <c r="X1327">
        <v>3</v>
      </c>
      <c r="Y1327" t="s">
        <v>6326</v>
      </c>
      <c r="Z1327" t="s">
        <v>7984</v>
      </c>
      <c r="AA1327">
        <v>0.5301846858783896</v>
      </c>
      <c r="AB1327">
        <f>HYPERLINK("Melting_Curves/meltCurve_P52061_rdgB.pdf", "Melting_Curves/meltCurve_P52061_rdgB.pdf")</f>
        <v>0</v>
      </c>
    </row>
    <row r="1328" spans="1:28">
      <c r="A1328" t="s">
        <v>1354</v>
      </c>
      <c r="B1328">
        <v>0.999998419929286</v>
      </c>
      <c r="C1328">
        <v>1.09102074722631</v>
      </c>
      <c r="D1328">
        <v>0.850069447727697</v>
      </c>
      <c r="E1328">
        <v>1.13373574746121</v>
      </c>
      <c r="F1328">
        <v>1.24679734841267</v>
      </c>
      <c r="G1328">
        <v>1.09785779299112</v>
      </c>
      <c r="H1328">
        <v>1.01827827077814</v>
      </c>
      <c r="I1328">
        <v>1.34498878736869</v>
      </c>
      <c r="J1328">
        <v>1.0830544938901</v>
      </c>
      <c r="K1328">
        <v>0.830894105395901</v>
      </c>
      <c r="L1328">
        <v>15000</v>
      </c>
      <c r="M1328">
        <v>222.288585594033</v>
      </c>
      <c r="Q1328">
        <v>0</v>
      </c>
      <c r="R1328">
        <v>-0.0884615743522854</v>
      </c>
      <c r="S1328" t="s">
        <v>3012</v>
      </c>
      <c r="T1328" t="s">
        <v>3344</v>
      </c>
      <c r="U1328" t="s">
        <v>3344</v>
      </c>
      <c r="V1328" t="s">
        <v>3344</v>
      </c>
      <c r="W1328" t="s">
        <v>4670</v>
      </c>
      <c r="X1328">
        <v>1</v>
      </c>
      <c r="Y1328" t="s">
        <v>6327</v>
      </c>
      <c r="Z1328" t="s">
        <v>7985</v>
      </c>
      <c r="AA1328">
        <v>0.9981691123936345</v>
      </c>
      <c r="AB1328">
        <f>HYPERLINK("Melting_Curves/meltCurve_P52073_glcE.pdf", "Melting_Curves/meltCurve_P52073_glcE.pdf")</f>
        <v>0</v>
      </c>
    </row>
    <row r="1329" spans="1:28">
      <c r="A1329" t="s">
        <v>1355</v>
      </c>
      <c r="B1329">
        <v>0.999998419929286</v>
      </c>
      <c r="C1329">
        <v>0.912574361968265</v>
      </c>
      <c r="D1329">
        <v>1.13090024638546</v>
      </c>
      <c r="E1329">
        <v>1.06551386690714</v>
      </c>
      <c r="F1329">
        <v>0.944432951821793</v>
      </c>
      <c r="G1329">
        <v>0.885120375080654</v>
      </c>
      <c r="H1329">
        <v>0.549563052680735</v>
      </c>
      <c r="I1329">
        <v>0.452472504923525</v>
      </c>
      <c r="J1329">
        <v>0.352711306296186</v>
      </c>
      <c r="K1329">
        <v>0.347817256250091</v>
      </c>
      <c r="L1329">
        <v>1674.22258158151</v>
      </c>
      <c r="M1329">
        <v>29.813183122707</v>
      </c>
      <c r="N1329">
        <v>58.5674891082157</v>
      </c>
      <c r="O1329">
        <v>55.9062920249178</v>
      </c>
      <c r="P1329">
        <v>-0.0862023239464156</v>
      </c>
      <c r="Q1329">
        <v>0.353411033249782</v>
      </c>
      <c r="R1329">
        <v>0.959121365848624</v>
      </c>
      <c r="S1329" t="s">
        <v>3013</v>
      </c>
      <c r="T1329" t="s">
        <v>3344</v>
      </c>
      <c r="U1329" t="s">
        <v>3344</v>
      </c>
      <c r="V1329" t="s">
        <v>3344</v>
      </c>
      <c r="W1329" t="s">
        <v>4671</v>
      </c>
      <c r="X1329">
        <v>1</v>
      </c>
      <c r="Y1329" t="s">
        <v>6328</v>
      </c>
      <c r="Z1329" t="s">
        <v>7986</v>
      </c>
      <c r="AA1329">
        <v>0.770351553621757</v>
      </c>
      <c r="AB1329">
        <f>HYPERLINK("Melting_Curves/meltCurve_P52096_yaeR.pdf", "Melting_Curves/meltCurve_P52096_yaeR.pdf")</f>
        <v>0</v>
      </c>
    </row>
    <row r="1330" spans="1:28">
      <c r="A1330" t="s">
        <v>1356</v>
      </c>
      <c r="B1330">
        <v>0.999998419929286</v>
      </c>
      <c r="C1330">
        <v>0.891118086293831</v>
      </c>
      <c r="D1330">
        <v>0.655731158326719</v>
      </c>
      <c r="E1330">
        <v>0.448454608743816</v>
      </c>
      <c r="F1330">
        <v>0.308687923497077</v>
      </c>
      <c r="G1330">
        <v>0.24423814359906</v>
      </c>
      <c r="H1330">
        <v>0.203858219140667</v>
      </c>
      <c r="I1330">
        <v>0.0998599629805076</v>
      </c>
      <c r="J1330">
        <v>0.131164224162028</v>
      </c>
      <c r="K1330">
        <v>0.123445786897923</v>
      </c>
      <c r="L1330">
        <v>600.767376825718</v>
      </c>
      <c r="M1330">
        <v>13.3564169685762</v>
      </c>
      <c r="N1330">
        <v>45.9376311792516</v>
      </c>
      <c r="O1330">
        <v>44.007288521546</v>
      </c>
      <c r="P1330">
        <v>-0.0666638398469843</v>
      </c>
      <c r="Q1330">
        <v>0.121552627589358</v>
      </c>
      <c r="R1330">
        <v>0.990486800190379</v>
      </c>
      <c r="S1330" t="s">
        <v>3014</v>
      </c>
      <c r="T1330" t="s">
        <v>3344</v>
      </c>
      <c r="U1330" t="s">
        <v>3344</v>
      </c>
      <c r="V1330" t="s">
        <v>3344</v>
      </c>
      <c r="W1330" t="s">
        <v>4672</v>
      </c>
      <c r="X1330">
        <v>1</v>
      </c>
      <c r="Y1330" t="s">
        <v>6329</v>
      </c>
      <c r="Z1330" t="s">
        <v>7987</v>
      </c>
      <c r="AA1330">
        <v>0.3814347009251237</v>
      </c>
      <c r="AB1330">
        <f>HYPERLINK("Melting_Curves/meltCurve_P52097_tilS.pdf", "Melting_Curves/meltCurve_P52097_tilS.pdf")</f>
        <v>0</v>
      </c>
    </row>
    <row r="1331" spans="1:28">
      <c r="A1331" t="s">
        <v>1357</v>
      </c>
      <c r="B1331">
        <v>0.999998419929286</v>
      </c>
      <c r="C1331">
        <v>0.844368951089521</v>
      </c>
      <c r="D1331">
        <v>0.765442189467485</v>
      </c>
      <c r="E1331">
        <v>0.456290506620094</v>
      </c>
      <c r="F1331">
        <v>0.231833432570894</v>
      </c>
      <c r="G1331">
        <v>0.160684429932656</v>
      </c>
      <c r="H1331">
        <v>0.113381521467866</v>
      </c>
      <c r="I1331">
        <v>0.09844821019552009</v>
      </c>
      <c r="J1331">
        <v>0.0757092265896801</v>
      </c>
      <c r="K1331">
        <v>0.0817306213776712</v>
      </c>
      <c r="L1331">
        <v>692.698981577765</v>
      </c>
      <c r="M1331">
        <v>15.2145532959346</v>
      </c>
      <c r="N1331">
        <v>45.9984801287092</v>
      </c>
      <c r="O1331">
        <v>44.7639093702569</v>
      </c>
      <c r="P1331">
        <v>-0.0788644454325137</v>
      </c>
      <c r="Q1331">
        <v>0.0719560412589752</v>
      </c>
      <c r="R1331">
        <v>0.994819915145288</v>
      </c>
      <c r="S1331" t="s">
        <v>3015</v>
      </c>
      <c r="T1331" t="s">
        <v>3344</v>
      </c>
      <c r="U1331" t="s">
        <v>3344</v>
      </c>
      <c r="V1331" t="s">
        <v>3344</v>
      </c>
      <c r="W1331" t="s">
        <v>4673</v>
      </c>
      <c r="X1331">
        <v>5</v>
      </c>
      <c r="Y1331" t="s">
        <v>6330</v>
      </c>
      <c r="Z1331" t="s">
        <v>7988</v>
      </c>
      <c r="AA1331">
        <v>0.3568900513748814</v>
      </c>
      <c r="AB1331">
        <f>HYPERLINK("Melting_Curves/meltCurve_P52108_rstA.pdf", "Melting_Curves/meltCurve_P52108_rstA.pdf")</f>
        <v>0</v>
      </c>
    </row>
    <row r="1332" spans="1:28">
      <c r="A1332" t="s">
        <v>1358</v>
      </c>
      <c r="B1332">
        <v>0.999998419929286</v>
      </c>
      <c r="C1332">
        <v>1.15284728173933</v>
      </c>
      <c r="D1332">
        <v>0.975505357080752</v>
      </c>
      <c r="E1332">
        <v>1.27913198058824</v>
      </c>
      <c r="F1332">
        <v>1.14090383549154</v>
      </c>
      <c r="G1332">
        <v>1.58519133541743</v>
      </c>
      <c r="H1332">
        <v>1.11071975307707</v>
      </c>
      <c r="I1332">
        <v>1.16441677603316</v>
      </c>
      <c r="J1332">
        <v>1.03224246173774</v>
      </c>
      <c r="K1332">
        <v>1.26366528585879</v>
      </c>
      <c r="L1332">
        <v>11165.5344889448</v>
      </c>
      <c r="M1332">
        <v>250</v>
      </c>
      <c r="O1332">
        <v>44.6592796148848</v>
      </c>
      <c r="P1332">
        <v>0.315139099665384</v>
      </c>
      <c r="Q1332">
        <v>1.22518216376132</v>
      </c>
      <c r="R1332">
        <v>0.227096976413662</v>
      </c>
      <c r="S1332" t="s">
        <v>3016</v>
      </c>
      <c r="T1332" t="s">
        <v>3344</v>
      </c>
      <c r="U1332" t="s">
        <v>3344</v>
      </c>
      <c r="V1332" t="s">
        <v>3344</v>
      </c>
      <c r="W1332" t="s">
        <v>4674</v>
      </c>
      <c r="X1332">
        <v>2</v>
      </c>
      <c r="Y1332" t="s">
        <v>6331</v>
      </c>
      <c r="Z1332" t="s">
        <v>7989</v>
      </c>
      <c r="AA1332">
        <v>1.167651953547076</v>
      </c>
      <c r="AB1332">
        <f>HYPERLINK("Melting_Curves/meltCurve_P52119_ratB.pdf", "Melting_Curves/meltCurve_P52119_ratB.pdf")</f>
        <v>0</v>
      </c>
    </row>
    <row r="1333" spans="1:28">
      <c r="A1333" t="s">
        <v>1359</v>
      </c>
      <c r="B1333">
        <v>0.999998419929286</v>
      </c>
      <c r="C1333">
        <v>1.03321125385998</v>
      </c>
      <c r="D1333">
        <v>0.9567618829300421</v>
      </c>
      <c r="E1333">
        <v>0.890279396786778</v>
      </c>
      <c r="F1333">
        <v>0.64118268136253</v>
      </c>
      <c r="G1333">
        <v>0.518949897750527</v>
      </c>
      <c r="H1333">
        <v>0.611515909646712</v>
      </c>
      <c r="I1333">
        <v>0.644537689130673</v>
      </c>
      <c r="J1333">
        <v>0.491372626771415</v>
      </c>
      <c r="K1333">
        <v>0.381142786413402</v>
      </c>
      <c r="L1333">
        <v>1372.27301249438</v>
      </c>
      <c r="M1333">
        <v>28.3732057741687</v>
      </c>
      <c r="O1333">
        <v>48.1267620674548</v>
      </c>
      <c r="P1333">
        <v>-0.07038103544257029</v>
      </c>
      <c r="Q1333">
        <v>0.522481339451191</v>
      </c>
      <c r="R1333">
        <v>0.907257973503692</v>
      </c>
      <c r="S1333" t="s">
        <v>3017</v>
      </c>
      <c r="T1333" t="s">
        <v>3344</v>
      </c>
      <c r="U1333" t="s">
        <v>3344</v>
      </c>
      <c r="V1333" t="s">
        <v>3344</v>
      </c>
      <c r="W1333" t="s">
        <v>4675</v>
      </c>
      <c r="X1333">
        <v>1</v>
      </c>
      <c r="Y1333" t="s">
        <v>6332</v>
      </c>
      <c r="Z1333" t="s">
        <v>7990</v>
      </c>
      <c r="AA1333">
        <v>0.7065660065556398</v>
      </c>
      <c r="AB1333">
        <f>HYPERLINK("Melting_Curves/meltCurve_P52612_fliI.pdf", "Melting_Curves/meltCurve_P52612_fliI.pdf")</f>
        <v>0</v>
      </c>
    </row>
    <row r="1334" spans="1:28">
      <c r="A1334" t="s">
        <v>1360</v>
      </c>
      <c r="B1334">
        <v>0.999998419929286</v>
      </c>
      <c r="C1334">
        <v>1.07920391051647</v>
      </c>
      <c r="D1334">
        <v>1.10466411400629</v>
      </c>
      <c r="E1334">
        <v>1.40279334810333</v>
      </c>
      <c r="F1334">
        <v>1.64732040514565</v>
      </c>
      <c r="G1334">
        <v>1.64804042978802</v>
      </c>
      <c r="H1334">
        <v>0.975962738635292</v>
      </c>
      <c r="I1334">
        <v>0.420027644828147</v>
      </c>
      <c r="J1334">
        <v>0.122470192151616</v>
      </c>
      <c r="K1334">
        <v>0.07137866026738091</v>
      </c>
      <c r="L1334">
        <v>4113.08742157127</v>
      </c>
      <c r="M1334">
        <v>67.9694178237585</v>
      </c>
      <c r="N1334">
        <v>60.6814490014824</v>
      </c>
      <c r="O1334">
        <v>60.4614865498648</v>
      </c>
      <c r="P1334">
        <v>-0.256988260672293</v>
      </c>
      <c r="Q1334">
        <v>0.0855954843114354</v>
      </c>
      <c r="R1334">
        <v>0.655654034548187</v>
      </c>
      <c r="S1334" t="s">
        <v>3018</v>
      </c>
      <c r="T1334" t="s">
        <v>3344</v>
      </c>
      <c r="U1334" t="s">
        <v>3344</v>
      </c>
      <c r="V1334" t="s">
        <v>3344</v>
      </c>
      <c r="W1334" t="s">
        <v>3422</v>
      </c>
      <c r="X1334">
        <v>9</v>
      </c>
      <c r="Y1334" t="s">
        <v>6333</v>
      </c>
      <c r="Z1334" t="s">
        <v>7991</v>
      </c>
      <c r="AA1334">
        <v>0.8035692154322179</v>
      </c>
      <c r="AB1334">
        <f>HYPERLINK("Melting_Curves/meltCurve_P52643_ldhA.pdf", "Melting_Curves/meltCurve_P52643_ldhA.pdf")</f>
        <v>0</v>
      </c>
    </row>
    <row r="1335" spans="1:28">
      <c r="A1335" t="s">
        <v>1361</v>
      </c>
      <c r="B1335">
        <v>0.999998419929286</v>
      </c>
      <c r="C1335">
        <v>0.864476087052676</v>
      </c>
      <c r="D1335">
        <v>0.411164344964146</v>
      </c>
      <c r="E1335">
        <v>0.189250014819013</v>
      </c>
      <c r="F1335">
        <v>0.113080667133492</v>
      </c>
      <c r="G1335">
        <v>0.100483900411812</v>
      </c>
      <c r="H1335">
        <v>0.06888458407329801</v>
      </c>
      <c r="I1335">
        <v>0.0629962795607495</v>
      </c>
      <c r="J1335">
        <v>0.0524427155359044</v>
      </c>
      <c r="K1335">
        <v>0.052730413012238</v>
      </c>
      <c r="L1335">
        <v>1126.44449627355</v>
      </c>
      <c r="M1335">
        <v>26.6337120437759</v>
      </c>
      <c r="N1335">
        <v>42.5577237371231</v>
      </c>
      <c r="O1335">
        <v>42.0576401426929</v>
      </c>
      <c r="P1335">
        <v>-0.146270922032883</v>
      </c>
      <c r="Q1335">
        <v>0.07609597766312121</v>
      </c>
      <c r="R1335">
        <v>0.995135100957302</v>
      </c>
      <c r="S1335" t="s">
        <v>3019</v>
      </c>
      <c r="T1335" t="s">
        <v>3344</v>
      </c>
      <c r="U1335" t="s">
        <v>3344</v>
      </c>
      <c r="V1335" t="s">
        <v>3344</v>
      </c>
      <c r="W1335" t="s">
        <v>4676</v>
      </c>
      <c r="X1335">
        <v>8</v>
      </c>
      <c r="Y1335" t="s">
        <v>6334</v>
      </c>
      <c r="Z1335" t="s">
        <v>7992</v>
      </c>
      <c r="AA1335">
        <v>0.2460587383291591</v>
      </c>
      <c r="AB1335">
        <f>HYPERLINK("Melting_Curves/meltCurve_P52647_ydbK.pdf", "Melting_Curves/meltCurve_P52647_ydbK.pdf")</f>
        <v>0</v>
      </c>
    </row>
    <row r="1336" spans="1:28">
      <c r="A1336" t="s">
        <v>1362</v>
      </c>
      <c r="B1336">
        <v>0.999998419929286</v>
      </c>
      <c r="C1336">
        <v>1.10898803954206</v>
      </c>
      <c r="D1336">
        <v>1.17089549400409</v>
      </c>
      <c r="E1336">
        <v>1.39628533945978</v>
      </c>
      <c r="F1336">
        <v>1.5789666610487</v>
      </c>
      <c r="G1336">
        <v>1.63244884228922</v>
      </c>
      <c r="H1336">
        <v>1.01074421805075</v>
      </c>
      <c r="I1336">
        <v>0.730934245685913</v>
      </c>
      <c r="J1336">
        <v>0.779552137835871</v>
      </c>
      <c r="K1336">
        <v>0.810212885485879</v>
      </c>
      <c r="L1336">
        <v>14024.625760635</v>
      </c>
      <c r="M1336">
        <v>237.779647669665</v>
      </c>
      <c r="O1336">
        <v>58.9774348302775</v>
      </c>
      <c r="P1336">
        <v>-0.228246501757634</v>
      </c>
      <c r="Q1336">
        <v>0.773548437987876</v>
      </c>
      <c r="R1336">
        <v>0.00552059834409391</v>
      </c>
      <c r="S1336" t="s">
        <v>3020</v>
      </c>
      <c r="T1336" t="s">
        <v>3344</v>
      </c>
      <c r="U1336" t="s">
        <v>3344</v>
      </c>
      <c r="V1336" t="s">
        <v>3344</v>
      </c>
      <c r="W1336" t="s">
        <v>4677</v>
      </c>
      <c r="X1336">
        <v>8</v>
      </c>
      <c r="Y1336" t="s">
        <v>6335</v>
      </c>
      <c r="Z1336" t="s">
        <v>7993</v>
      </c>
      <c r="AA1336">
        <v>0.9394999925716849</v>
      </c>
      <c r="AB1336">
        <f>HYPERLINK("Melting_Curves/meltCurve_P52697_pgl.pdf", "Melting_Curves/meltCurve_P52697_pgl.pdf")</f>
        <v>0</v>
      </c>
    </row>
    <row r="1337" spans="1:28">
      <c r="A1337" t="s">
        <v>1363</v>
      </c>
      <c r="B1337">
        <v>0.999998419929286</v>
      </c>
      <c r="C1337">
        <v>0.926450591987525</v>
      </c>
      <c r="D1337">
        <v>0.946834809647414</v>
      </c>
      <c r="E1337">
        <v>0.996999431895781</v>
      </c>
      <c r="F1337">
        <v>0.952697465574737</v>
      </c>
      <c r="G1337">
        <v>0.918384656777234</v>
      </c>
      <c r="H1337">
        <v>0.704894527020454</v>
      </c>
      <c r="I1337">
        <v>0.444920819418793</v>
      </c>
      <c r="J1337">
        <v>0.34240482174829</v>
      </c>
      <c r="K1337">
        <v>0.317297906782689</v>
      </c>
      <c r="L1337">
        <v>1464.72039862862</v>
      </c>
      <c r="M1337">
        <v>25.2077419658817</v>
      </c>
      <c r="N1337">
        <v>60.1265786275179</v>
      </c>
      <c r="O1337">
        <v>57.7439918745283</v>
      </c>
      <c r="P1337">
        <v>-0.07795912642565039</v>
      </c>
      <c r="Q1337">
        <v>0.285677776450157</v>
      </c>
      <c r="R1337">
        <v>0.986546096368372</v>
      </c>
      <c r="S1337" t="s">
        <v>3021</v>
      </c>
      <c r="T1337" t="s">
        <v>3344</v>
      </c>
      <c r="U1337" t="s">
        <v>3344</v>
      </c>
      <c r="V1337" t="s">
        <v>3344</v>
      </c>
      <c r="W1337" t="s">
        <v>4678</v>
      </c>
      <c r="X1337">
        <v>2</v>
      </c>
      <c r="Y1337" t="s">
        <v>6336</v>
      </c>
      <c r="Z1337" t="s">
        <v>7994</v>
      </c>
      <c r="AA1337">
        <v>0.792755381790294</v>
      </c>
      <c r="AB1337">
        <f>HYPERLINK("Melting_Curves/meltCurve_P55734_ygaP.pdf", "Melting_Curves/meltCurve_P55734_ygaP.pdf")</f>
        <v>0</v>
      </c>
    </row>
    <row r="1338" spans="1:28">
      <c r="A1338" t="s">
        <v>1364</v>
      </c>
      <c r="B1338">
        <v>0.999998419929286</v>
      </c>
      <c r="C1338">
        <v>1.11663670736428</v>
      </c>
      <c r="D1338">
        <v>1.12756823587367</v>
      </c>
      <c r="E1338">
        <v>1.3879474369152</v>
      </c>
      <c r="F1338">
        <v>1.79986231244347</v>
      </c>
      <c r="G1338">
        <v>1.72848304159009</v>
      </c>
      <c r="H1338">
        <v>0.986727282808835</v>
      </c>
      <c r="I1338">
        <v>0.456609544097208</v>
      </c>
      <c r="J1338">
        <v>0.328478463512736</v>
      </c>
      <c r="K1338">
        <v>0.291975290386682</v>
      </c>
      <c r="L1338">
        <v>5146.82762837138</v>
      </c>
      <c r="M1338">
        <v>85.66818653626601</v>
      </c>
      <c r="N1338">
        <v>60.7586959235501</v>
      </c>
      <c r="O1338">
        <v>60.0459197432702</v>
      </c>
      <c r="P1338">
        <v>-0.246701833478624</v>
      </c>
      <c r="Q1338">
        <v>0.308334285505517</v>
      </c>
      <c r="R1338">
        <v>0.478908955821921</v>
      </c>
      <c r="S1338" t="s">
        <v>3022</v>
      </c>
      <c r="T1338" t="s">
        <v>3344</v>
      </c>
      <c r="U1338" t="s">
        <v>3344</v>
      </c>
      <c r="V1338" t="s">
        <v>3344</v>
      </c>
      <c r="W1338" t="s">
        <v>4679</v>
      </c>
      <c r="X1338">
        <v>1</v>
      </c>
      <c r="Y1338" t="s">
        <v>6337</v>
      </c>
      <c r="Z1338" t="s">
        <v>7995</v>
      </c>
      <c r="AA1338">
        <v>0.8410434130737962</v>
      </c>
      <c r="AB1338">
        <f>HYPERLINK("Melting_Curves/meltCurve_P56262_ysgA.pdf", "Melting_Curves/meltCurve_P56262_ysgA.pdf")</f>
        <v>0</v>
      </c>
    </row>
    <row r="1339" spans="1:28">
      <c r="A1339" t="s">
        <v>1365</v>
      </c>
      <c r="B1339">
        <v>0.999998419929286</v>
      </c>
      <c r="C1339">
        <v>0.981032561350208</v>
      </c>
      <c r="D1339">
        <v>0.712594850815175</v>
      </c>
      <c r="E1339">
        <v>0.591417333090005</v>
      </c>
      <c r="F1339">
        <v>0.559766407807512</v>
      </c>
      <c r="G1339">
        <v>0.462265919032639</v>
      </c>
      <c r="H1339">
        <v>0.252655725998608</v>
      </c>
      <c r="I1339">
        <v>0.192423077661269</v>
      </c>
      <c r="J1339">
        <v>0.125089844956616</v>
      </c>
      <c r="K1339">
        <v>0.103722186974959</v>
      </c>
      <c r="L1339">
        <v>407.452750783575</v>
      </c>
      <c r="M1339">
        <v>8.06568386750018</v>
      </c>
      <c r="N1339">
        <v>50.5168256636173</v>
      </c>
      <c r="O1339">
        <v>47.6956597166836</v>
      </c>
      <c r="P1339">
        <v>-0.0423231989231847</v>
      </c>
      <c r="Q1339">
        <v>0</v>
      </c>
      <c r="R1339">
        <v>0.965707133259428</v>
      </c>
      <c r="S1339" t="s">
        <v>3023</v>
      </c>
      <c r="T1339" t="s">
        <v>3344</v>
      </c>
      <c r="U1339" t="s">
        <v>3344</v>
      </c>
      <c r="V1339" t="s">
        <v>3344</v>
      </c>
      <c r="W1339" t="s">
        <v>4680</v>
      </c>
      <c r="X1339">
        <v>2</v>
      </c>
      <c r="Y1339" t="s">
        <v>6338</v>
      </c>
      <c r="Z1339" t="s">
        <v>7996</v>
      </c>
      <c r="AA1339">
        <v>0.4881050476073605</v>
      </c>
      <c r="AB1339">
        <f>HYPERLINK("Melting_Curves/meltCurve_P56580_srlE.pdf", "Melting_Curves/meltCurve_P56580_srlE.pdf")</f>
        <v>0</v>
      </c>
    </row>
    <row r="1340" spans="1:28">
      <c r="A1340" t="s">
        <v>1366</v>
      </c>
      <c r="B1340">
        <v>0.999998419929286</v>
      </c>
      <c r="C1340">
        <v>0.740212910934687</v>
      </c>
      <c r="D1340">
        <v>0.247508702134613</v>
      </c>
      <c r="E1340">
        <v>0.161912370769252</v>
      </c>
      <c r="F1340">
        <v>0.13223317615389</v>
      </c>
      <c r="G1340">
        <v>0.144748310393059</v>
      </c>
      <c r="H1340">
        <v>0.09384159080975719</v>
      </c>
      <c r="I1340">
        <v>0.117683941769649</v>
      </c>
      <c r="J1340">
        <v>0.116259857190297</v>
      </c>
      <c r="K1340">
        <v>0.0633842507941577</v>
      </c>
      <c r="L1340">
        <v>1441.63190910364</v>
      </c>
      <c r="M1340">
        <v>35.2412922100317</v>
      </c>
      <c r="N1340">
        <v>41.2166776544788</v>
      </c>
      <c r="O1340">
        <v>40.7764347953817</v>
      </c>
      <c r="P1340">
        <v>-0.190966673576961</v>
      </c>
      <c r="Q1340">
        <v>0.116160719580913</v>
      </c>
      <c r="R1340">
        <v>0.993564817890044</v>
      </c>
      <c r="S1340" t="s">
        <v>3024</v>
      </c>
      <c r="T1340" t="s">
        <v>3344</v>
      </c>
      <c r="U1340" t="s">
        <v>3344</v>
      </c>
      <c r="V1340" t="s">
        <v>3344</v>
      </c>
      <c r="W1340" t="s">
        <v>4681</v>
      </c>
      <c r="X1340">
        <v>8</v>
      </c>
      <c r="Y1340" t="s">
        <v>6339</v>
      </c>
      <c r="Z1340" t="s">
        <v>7997</v>
      </c>
      <c r="AA1340">
        <v>0.2351452249230596</v>
      </c>
      <c r="AB1340">
        <f>HYPERLINK("Melting_Curves/meltCurve_P60240_rapA.pdf", "Melting_Curves/meltCurve_P60240_rapA.pdf")</f>
        <v>0</v>
      </c>
    </row>
    <row r="1341" spans="1:28">
      <c r="A1341" t="s">
        <v>1367</v>
      </c>
      <c r="B1341">
        <v>0.999998419929286</v>
      </c>
      <c r="C1341">
        <v>0.7005875947303219</v>
      </c>
      <c r="D1341">
        <v>0.491425854981596</v>
      </c>
      <c r="E1341">
        <v>0.587642274656626</v>
      </c>
      <c r="F1341">
        <v>0.463895931651275</v>
      </c>
      <c r="G1341">
        <v>0.453229651084683</v>
      </c>
      <c r="H1341">
        <v>0.391425559967036</v>
      </c>
      <c r="I1341">
        <v>0.475154226613485</v>
      </c>
      <c r="J1341">
        <v>0.345859582426201</v>
      </c>
      <c r="K1341">
        <v>0.384669276178256</v>
      </c>
      <c r="L1341">
        <v>1370.70073573713</v>
      </c>
      <c r="M1341">
        <v>34.3946273582949</v>
      </c>
      <c r="N1341">
        <v>42.5281025052856</v>
      </c>
      <c r="O1341">
        <v>39.7181803701282</v>
      </c>
      <c r="P1341">
        <v>-0.120678008559591</v>
      </c>
      <c r="Q1341">
        <v>0.442576579940273</v>
      </c>
      <c r="R1341">
        <v>0.88748627853968</v>
      </c>
      <c r="S1341" t="s">
        <v>3025</v>
      </c>
      <c r="T1341" t="s">
        <v>3344</v>
      </c>
      <c r="U1341" t="s">
        <v>3344</v>
      </c>
      <c r="V1341" t="s">
        <v>3344</v>
      </c>
      <c r="W1341" t="s">
        <v>4682</v>
      </c>
      <c r="X1341">
        <v>1</v>
      </c>
      <c r="Y1341" t="s">
        <v>6340</v>
      </c>
      <c r="Z1341" t="s">
        <v>7998</v>
      </c>
      <c r="AA1341">
        <v>0.4988570579128488</v>
      </c>
      <c r="AB1341">
        <f>HYPERLINK("Melting_Curves/meltCurve_P60293_mukF.pdf", "Melting_Curves/meltCurve_P60293_mukF.pdf")</f>
        <v>0</v>
      </c>
    </row>
    <row r="1342" spans="1:28">
      <c r="A1342" t="s">
        <v>1368</v>
      </c>
      <c r="B1342">
        <v>0.999998419929286</v>
      </c>
      <c r="C1342">
        <v>1.0980827212747</v>
      </c>
      <c r="D1342">
        <v>1.05642015747751</v>
      </c>
      <c r="E1342">
        <v>0.923889962944477</v>
      </c>
      <c r="F1342">
        <v>0.179552818900452</v>
      </c>
      <c r="G1342">
        <v>0.126923239166674</v>
      </c>
      <c r="H1342">
        <v>0.0653437992264178</v>
      </c>
      <c r="I1342">
        <v>0.0456971191252917</v>
      </c>
      <c r="J1342">
        <v>0.0539692349667815</v>
      </c>
      <c r="K1342">
        <v>0.0513804251293548</v>
      </c>
      <c r="L1342">
        <v>2838.67847909327</v>
      </c>
      <c r="M1342">
        <v>58.5112935034187</v>
      </c>
      <c r="N1342">
        <v>48.6357112622328</v>
      </c>
      <c r="O1342">
        <v>48.4584799154911</v>
      </c>
      <c r="P1342">
        <v>-0.281470464136753</v>
      </c>
      <c r="Q1342">
        <v>0.0675561174746367</v>
      </c>
      <c r="R1342">
        <v>0.991983930036222</v>
      </c>
      <c r="S1342" t="s">
        <v>3026</v>
      </c>
      <c r="T1342" t="s">
        <v>3344</v>
      </c>
      <c r="U1342" t="s">
        <v>3344</v>
      </c>
      <c r="V1342" t="s">
        <v>3344</v>
      </c>
      <c r="W1342" t="s">
        <v>4683</v>
      </c>
      <c r="X1342">
        <v>4</v>
      </c>
      <c r="Y1342" t="s">
        <v>6341</v>
      </c>
      <c r="Z1342" t="s">
        <v>7999</v>
      </c>
      <c r="AA1342">
        <v>0.4269157209092358</v>
      </c>
      <c r="AB1342">
        <f>HYPERLINK("Melting_Curves/meltCurve_P60340_truB.pdf", "Melting_Curves/meltCurve_P60340_truB.pdf")</f>
        <v>0</v>
      </c>
    </row>
    <row r="1343" spans="1:28">
      <c r="A1343" t="s">
        <v>1369</v>
      </c>
      <c r="B1343">
        <v>0.999998419929286</v>
      </c>
      <c r="C1343">
        <v>0.797592459091419</v>
      </c>
      <c r="D1343">
        <v>0.368011945199723</v>
      </c>
      <c r="E1343">
        <v>0.111553196242848</v>
      </c>
      <c r="F1343">
        <v>0.103777235108494</v>
      </c>
      <c r="G1343">
        <v>0.0582845223466317</v>
      </c>
      <c r="H1343">
        <v>0.0595105903046357</v>
      </c>
      <c r="I1343">
        <v>0.0401067566070097</v>
      </c>
      <c r="J1343">
        <v>0.0303508344500994</v>
      </c>
      <c r="K1343">
        <v>0.0492346076043213</v>
      </c>
      <c r="L1343">
        <v>1120.74563405478</v>
      </c>
      <c r="M1343">
        <v>26.7566879230089</v>
      </c>
      <c r="N1343">
        <v>42.0659701702925</v>
      </c>
      <c r="O1343">
        <v>41.6546877611939</v>
      </c>
      <c r="P1343">
        <v>-0.15192965788566</v>
      </c>
      <c r="Q1343">
        <v>0.0539161652333366</v>
      </c>
      <c r="R1343">
        <v>0.997275370709703</v>
      </c>
      <c r="S1343" t="s">
        <v>3027</v>
      </c>
      <c r="T1343" t="s">
        <v>3344</v>
      </c>
      <c r="U1343" t="s">
        <v>3344</v>
      </c>
      <c r="V1343" t="s">
        <v>3344</v>
      </c>
      <c r="W1343" t="s">
        <v>4684</v>
      </c>
      <c r="X1343">
        <v>2</v>
      </c>
      <c r="Y1343" t="s">
        <v>6342</v>
      </c>
      <c r="Z1343" t="s">
        <v>8000</v>
      </c>
      <c r="AA1343">
        <v>0.2152471468977011</v>
      </c>
      <c r="AB1343">
        <f>HYPERLINK("Melting_Curves/meltCurve_P60390_rsmH.pdf", "Melting_Curves/meltCurve_P60390_rsmH.pdf")</f>
        <v>0</v>
      </c>
    </row>
    <row r="1344" spans="1:28">
      <c r="A1344" t="s">
        <v>1370</v>
      </c>
      <c r="B1344">
        <v>0.999998419929286</v>
      </c>
      <c r="C1344">
        <v>0.80785848827387</v>
      </c>
      <c r="D1344">
        <v>0.556545688175369</v>
      </c>
      <c r="E1344">
        <v>0.330319414372552</v>
      </c>
      <c r="F1344">
        <v>0.234118309815689</v>
      </c>
      <c r="G1344">
        <v>0.187645647249495</v>
      </c>
      <c r="H1344">
        <v>0.120646671492569</v>
      </c>
      <c r="I1344">
        <v>0.114048541434448</v>
      </c>
      <c r="J1344">
        <v>0.09799467379560479</v>
      </c>
      <c r="K1344">
        <v>0.147021541854767</v>
      </c>
      <c r="L1344">
        <v>697.374641103658</v>
      </c>
      <c r="M1344">
        <v>16.1510202172618</v>
      </c>
      <c r="N1344">
        <v>43.9529818455363</v>
      </c>
      <c r="O1344">
        <v>42.5326993655684</v>
      </c>
      <c r="P1344">
        <v>-0.08318100494122201</v>
      </c>
      <c r="Q1344">
        <v>0.123858386450687</v>
      </c>
      <c r="R1344">
        <v>0.992300799930344</v>
      </c>
      <c r="S1344" t="s">
        <v>3028</v>
      </c>
      <c r="T1344" t="s">
        <v>3344</v>
      </c>
      <c r="U1344" t="s">
        <v>3344</v>
      </c>
      <c r="V1344" t="s">
        <v>3344</v>
      </c>
      <c r="W1344" t="s">
        <v>4685</v>
      </c>
      <c r="X1344">
        <v>9</v>
      </c>
      <c r="Y1344" t="s">
        <v>6343</v>
      </c>
      <c r="Z1344" t="s">
        <v>8001</v>
      </c>
      <c r="AA1344">
        <v>0.3237899964346763</v>
      </c>
      <c r="AB1344">
        <f>HYPERLINK("Melting_Curves/meltCurve_P60422_rplB.pdf", "Melting_Curves/meltCurve_P60422_rplB.pdf")</f>
        <v>0</v>
      </c>
    </row>
    <row r="1345" spans="1:28">
      <c r="A1345" t="s">
        <v>1371</v>
      </c>
      <c r="B1345">
        <v>0.999998419929286</v>
      </c>
      <c r="C1345">
        <v>0.520923514609716</v>
      </c>
      <c r="D1345">
        <v>0.328337708088657</v>
      </c>
      <c r="E1345">
        <v>0.132193993278713</v>
      </c>
      <c r="F1345">
        <v>0.055614760571827</v>
      </c>
      <c r="G1345">
        <v>0.0437862561843863</v>
      </c>
      <c r="H1345">
        <v>0.0321134204076845</v>
      </c>
      <c r="I1345">
        <v>0.028129985058854</v>
      </c>
      <c r="J1345">
        <v>0.0360409328394102</v>
      </c>
      <c r="K1345">
        <v>0.0319955688597785</v>
      </c>
      <c r="L1345">
        <v>832.350641361415</v>
      </c>
      <c r="M1345">
        <v>20.4629742512268</v>
      </c>
      <c r="N1345">
        <v>40.8391362769243</v>
      </c>
      <c r="O1345">
        <v>40.2934506293319</v>
      </c>
      <c r="P1345">
        <v>-0.121981684576663</v>
      </c>
      <c r="Q1345">
        <v>0.0392566246978206</v>
      </c>
      <c r="R1345">
        <v>0.973211972724913</v>
      </c>
      <c r="S1345" t="s">
        <v>3029</v>
      </c>
      <c r="T1345" t="s">
        <v>3344</v>
      </c>
      <c r="U1345" t="s">
        <v>3344</v>
      </c>
      <c r="V1345" t="s">
        <v>3344</v>
      </c>
      <c r="W1345" t="s">
        <v>4686</v>
      </c>
      <c r="X1345">
        <v>10</v>
      </c>
      <c r="Y1345" t="s">
        <v>6344</v>
      </c>
      <c r="Z1345" t="s">
        <v>8002</v>
      </c>
      <c r="AA1345">
        <v>0.1734673646093522</v>
      </c>
      <c r="AB1345">
        <f>HYPERLINK("Melting_Curves/meltCurve_P60438_rplC.pdf", "Melting_Curves/meltCurve_P60438_rplC.pdf")</f>
        <v>0</v>
      </c>
    </row>
    <row r="1346" spans="1:28">
      <c r="A1346" t="s">
        <v>1372</v>
      </c>
      <c r="B1346">
        <v>0.999998419929286</v>
      </c>
      <c r="C1346">
        <v>0.943079071684313</v>
      </c>
      <c r="D1346">
        <v>1.09111201741331</v>
      </c>
      <c r="E1346">
        <v>1.12917281086629</v>
      </c>
      <c r="F1346">
        <v>0.981959067003267</v>
      </c>
      <c r="G1346">
        <v>0.259634125105762</v>
      </c>
      <c r="H1346">
        <v>0.103746924211133</v>
      </c>
      <c r="I1346">
        <v>0.0663241429074168</v>
      </c>
      <c r="J1346">
        <v>0.0487504088306351</v>
      </c>
      <c r="K1346">
        <v>0.043860867070206</v>
      </c>
      <c r="L1346">
        <v>3805.0632299152</v>
      </c>
      <c r="M1346">
        <v>72.0525784087274</v>
      </c>
      <c r="N1346">
        <v>52.9112557446058</v>
      </c>
      <c r="O1346">
        <v>52.7688897905357</v>
      </c>
      <c r="P1346">
        <v>-0.319281349308083</v>
      </c>
      <c r="Q1346">
        <v>0.06467624223578219</v>
      </c>
      <c r="R1346">
        <v>0.986210122742175</v>
      </c>
      <c r="S1346" t="s">
        <v>3030</v>
      </c>
      <c r="T1346" t="s">
        <v>3344</v>
      </c>
      <c r="U1346" t="s">
        <v>3344</v>
      </c>
      <c r="V1346" t="s">
        <v>3344</v>
      </c>
      <c r="W1346" t="s">
        <v>4687</v>
      </c>
      <c r="X1346">
        <v>6</v>
      </c>
      <c r="Y1346" t="s">
        <v>6345</v>
      </c>
      <c r="Z1346" t="s">
        <v>8003</v>
      </c>
      <c r="AA1346">
        <v>0.5586235354964754</v>
      </c>
      <c r="AB1346">
        <f>HYPERLINK("Melting_Curves/meltCurve_P60546_gmk.pdf", "Melting_Curves/meltCurve_P60546_gmk.pdf")</f>
        <v>0</v>
      </c>
    </row>
    <row r="1347" spans="1:28">
      <c r="A1347" t="s">
        <v>1373</v>
      </c>
      <c r="B1347">
        <v>0.999998419929286</v>
      </c>
      <c r="C1347">
        <v>1.74195103548228</v>
      </c>
      <c r="D1347">
        <v>1.63025089482467</v>
      </c>
      <c r="E1347">
        <v>1.45901658063135</v>
      </c>
      <c r="F1347">
        <v>1.70283438388055</v>
      </c>
      <c r="G1347">
        <v>1.43938051937999</v>
      </c>
      <c r="H1347">
        <v>0.9910761117153</v>
      </c>
      <c r="I1347">
        <v>0.524795282654591</v>
      </c>
      <c r="J1347">
        <v>0.223839377884987</v>
      </c>
      <c r="K1347">
        <v>0.116618089970384</v>
      </c>
      <c r="L1347">
        <v>3467.28411173813</v>
      </c>
      <c r="M1347">
        <v>57.0119386370932</v>
      </c>
      <c r="N1347">
        <v>61.1780882938521</v>
      </c>
      <c r="O1347">
        <v>60.742118045373</v>
      </c>
      <c r="P1347">
        <v>-0.201109967521371</v>
      </c>
      <c r="Q1347">
        <v>0.142927641242586</v>
      </c>
      <c r="R1347">
        <v>0.453909974482034</v>
      </c>
      <c r="S1347" t="s">
        <v>3031</v>
      </c>
      <c r="T1347" t="s">
        <v>3344</v>
      </c>
      <c r="U1347" t="s">
        <v>3344</v>
      </c>
      <c r="V1347" t="s">
        <v>3344</v>
      </c>
      <c r="W1347" t="s">
        <v>4688</v>
      </c>
      <c r="X1347">
        <v>4</v>
      </c>
      <c r="Y1347" t="s">
        <v>6346</v>
      </c>
      <c r="Z1347" t="s">
        <v>8004</v>
      </c>
      <c r="AA1347">
        <v>0.824918777960756</v>
      </c>
      <c r="AB1347">
        <f>HYPERLINK("Melting_Curves/meltCurve_P60560_guaC.pdf", "Melting_Curves/meltCurve_P60560_guaC.pdf")</f>
        <v>0</v>
      </c>
    </row>
    <row r="1348" spans="1:28">
      <c r="A1348" t="s">
        <v>1374</v>
      </c>
      <c r="B1348">
        <v>0.999998419929286</v>
      </c>
      <c r="C1348">
        <v>1.3211635670517</v>
      </c>
      <c r="D1348">
        <v>1.47129601505414</v>
      </c>
      <c r="E1348">
        <v>1.60991297525638</v>
      </c>
      <c r="F1348">
        <v>1.94659081967345</v>
      </c>
      <c r="G1348">
        <v>2.03664711888072</v>
      </c>
      <c r="H1348">
        <v>1.68804597102224</v>
      </c>
      <c r="I1348">
        <v>0.879555058098892</v>
      </c>
      <c r="J1348">
        <v>0.189396922315941</v>
      </c>
      <c r="K1348">
        <v>0.0589554945677031</v>
      </c>
      <c r="L1348">
        <v>4958.77775911475</v>
      </c>
      <c r="M1348">
        <v>79.24659799455949</v>
      </c>
      <c r="N1348">
        <v>62.6730773999351</v>
      </c>
      <c r="O1348">
        <v>62.5341760920807</v>
      </c>
      <c r="P1348">
        <v>-0.298163743098622</v>
      </c>
      <c r="Q1348">
        <v>0.0588653995895591</v>
      </c>
      <c r="R1348">
        <v>0.254213851628764</v>
      </c>
      <c r="S1348" t="s">
        <v>3032</v>
      </c>
      <c r="T1348" t="s">
        <v>3344</v>
      </c>
      <c r="U1348" t="s">
        <v>3344</v>
      </c>
      <c r="V1348" t="s">
        <v>3344</v>
      </c>
      <c r="W1348" t="s">
        <v>4689</v>
      </c>
      <c r="X1348">
        <v>1</v>
      </c>
      <c r="Y1348" t="s">
        <v>6347</v>
      </c>
      <c r="Z1348" t="s">
        <v>8005</v>
      </c>
      <c r="AA1348">
        <v>0.8620272157449652</v>
      </c>
      <c r="AB1348">
        <f>HYPERLINK("Melting_Curves/meltCurve_P60566_fixA.pdf", "Melting_Curves/meltCurve_P60566_fixA.pdf")</f>
        <v>0</v>
      </c>
    </row>
    <row r="1349" spans="1:28">
      <c r="A1349" t="s">
        <v>1375</v>
      </c>
      <c r="B1349">
        <v>0.999998419929286</v>
      </c>
      <c r="C1349">
        <v>0.6835077971716</v>
      </c>
      <c r="D1349">
        <v>0.459194660410098</v>
      </c>
      <c r="E1349">
        <v>0.301152127157088</v>
      </c>
      <c r="F1349">
        <v>0.160916254881642</v>
      </c>
      <c r="G1349">
        <v>0.121706935450586</v>
      </c>
      <c r="H1349">
        <v>0.0750123699182869</v>
      </c>
      <c r="I1349">
        <v>0.0432788166441955</v>
      </c>
      <c r="J1349">
        <v>0.0356229234318316</v>
      </c>
      <c r="K1349">
        <v>0.044656744795134</v>
      </c>
      <c r="L1349">
        <v>600.410598924131</v>
      </c>
      <c r="M1349">
        <v>14.1014746264673</v>
      </c>
      <c r="N1349">
        <v>42.8836539405887</v>
      </c>
      <c r="O1349">
        <v>41.7490329127269</v>
      </c>
      <c r="P1349">
        <v>-0.0804132189486001</v>
      </c>
      <c r="Q1349">
        <v>0.0478322678356445</v>
      </c>
      <c r="R1349">
        <v>0.982586245512961</v>
      </c>
      <c r="S1349" t="s">
        <v>3033</v>
      </c>
      <c r="T1349" t="s">
        <v>3344</v>
      </c>
      <c r="U1349" t="s">
        <v>3344</v>
      </c>
      <c r="V1349" t="s">
        <v>3344</v>
      </c>
      <c r="W1349" t="s">
        <v>4690</v>
      </c>
      <c r="X1349">
        <v>2</v>
      </c>
      <c r="Y1349" t="s">
        <v>6348</v>
      </c>
      <c r="Z1349" t="s">
        <v>8006</v>
      </c>
      <c r="AA1349">
        <v>0.2545178757516505</v>
      </c>
      <c r="AB1349">
        <f>HYPERLINK("Melting_Curves/meltCurve_P60595_hisH.pdf", "Melting_Curves/meltCurve_P60595_hisH.pdf")</f>
        <v>0</v>
      </c>
    </row>
    <row r="1350" spans="1:28">
      <c r="A1350" t="s">
        <v>1376</v>
      </c>
      <c r="B1350">
        <v>0.999998419929286</v>
      </c>
      <c r="C1350">
        <v>0.668775546019402</v>
      </c>
      <c r="D1350">
        <v>0.786174019110956</v>
      </c>
      <c r="E1350">
        <v>0.83562540221099</v>
      </c>
      <c r="F1350">
        <v>1.01609933697378</v>
      </c>
      <c r="G1350">
        <v>0.820261970248359</v>
      </c>
      <c r="H1350">
        <v>0.795826223996843</v>
      </c>
      <c r="I1350">
        <v>0.63087528116304</v>
      </c>
      <c r="J1350">
        <v>0.966468953465312</v>
      </c>
      <c r="K1350">
        <v>0.958640538820794</v>
      </c>
      <c r="L1350">
        <v>9481.00571999282</v>
      </c>
      <c r="M1350">
        <v>250</v>
      </c>
      <c r="O1350">
        <v>37.921598354584</v>
      </c>
      <c r="P1350">
        <v>-0.278581388468354</v>
      </c>
      <c r="Q1350">
        <v>0.830971986348611</v>
      </c>
      <c r="R1350">
        <v>0.156432706786137</v>
      </c>
      <c r="S1350" t="s">
        <v>3034</v>
      </c>
      <c r="T1350" t="s">
        <v>3344</v>
      </c>
      <c r="U1350" t="s">
        <v>3344</v>
      </c>
      <c r="V1350" t="s">
        <v>3344</v>
      </c>
      <c r="W1350" t="s">
        <v>4691</v>
      </c>
      <c r="X1350">
        <v>8</v>
      </c>
      <c r="Y1350" t="s">
        <v>6349</v>
      </c>
      <c r="Z1350" t="s">
        <v>8007</v>
      </c>
      <c r="AA1350">
        <v>0.8361909951282595</v>
      </c>
      <c r="AB1350">
        <f>HYPERLINK("Melting_Curves/meltCurve_P60624_rplX.pdf", "Melting_Curves/meltCurve_P60624_rplX.pdf")</f>
        <v>0</v>
      </c>
    </row>
    <row r="1351" spans="1:28">
      <c r="A1351" t="s">
        <v>1377</v>
      </c>
      <c r="B1351">
        <v>0.999998419929286</v>
      </c>
      <c r="C1351">
        <v>0.890028280385963</v>
      </c>
      <c r="D1351">
        <v>1.21030745032296</v>
      </c>
      <c r="E1351">
        <v>1.1201049105226</v>
      </c>
      <c r="F1351">
        <v>1.455231949107</v>
      </c>
      <c r="G1351">
        <v>1.37091757699923</v>
      </c>
      <c r="H1351">
        <v>1.28651958925528</v>
      </c>
      <c r="I1351">
        <v>0.978002084027352</v>
      </c>
      <c r="J1351">
        <v>1.23606035871201</v>
      </c>
      <c r="K1351">
        <v>1.07268688870849</v>
      </c>
      <c r="L1351">
        <v>10602.236293435</v>
      </c>
      <c r="M1351">
        <v>250</v>
      </c>
      <c r="O1351">
        <v>42.406228021039</v>
      </c>
      <c r="P1351">
        <v>0.319933588763462</v>
      </c>
      <c r="Q1351">
        <v>1.21707484392824</v>
      </c>
      <c r="R1351">
        <v>0.37635535890433</v>
      </c>
      <c r="S1351" t="s">
        <v>3035</v>
      </c>
      <c r="T1351" t="s">
        <v>3344</v>
      </c>
      <c r="U1351" t="s">
        <v>3344</v>
      </c>
      <c r="V1351" t="s">
        <v>3344</v>
      </c>
      <c r="W1351" t="s">
        <v>4692</v>
      </c>
      <c r="X1351">
        <v>5</v>
      </c>
      <c r="Y1351" t="s">
        <v>6350</v>
      </c>
      <c r="Z1351" t="s">
        <v>8008</v>
      </c>
      <c r="AA1351">
        <v>1.177920490043552</v>
      </c>
      <c r="AB1351">
        <f>HYPERLINK("Melting_Curves/meltCurve_P60651_speB.pdf", "Melting_Curves/meltCurve_P60651_speB.pdf")</f>
        <v>0</v>
      </c>
    </row>
    <row r="1352" spans="1:28">
      <c r="A1352" t="s">
        <v>1378</v>
      </c>
      <c r="B1352">
        <v>0.999998419929286</v>
      </c>
      <c r="C1352">
        <v>0.924927149214576</v>
      </c>
      <c r="D1352">
        <v>0.88555594882851</v>
      </c>
      <c r="E1352">
        <v>0.8458382425350049</v>
      </c>
      <c r="F1352">
        <v>0.693043159663474</v>
      </c>
      <c r="G1352">
        <v>0.490880672838538</v>
      </c>
      <c r="H1352">
        <v>0.382979667073978</v>
      </c>
      <c r="I1352">
        <v>0.329665850759781</v>
      </c>
      <c r="J1352">
        <v>0.323482466297098</v>
      </c>
      <c r="K1352">
        <v>0.341288120997626</v>
      </c>
      <c r="L1352">
        <v>648.118922255865</v>
      </c>
      <c r="M1352">
        <v>12.799434648909</v>
      </c>
      <c r="N1352">
        <v>54.0358451641545</v>
      </c>
      <c r="O1352">
        <v>49.4482402843184</v>
      </c>
      <c r="P1352">
        <v>-0.0468274308226272</v>
      </c>
      <c r="Q1352">
        <v>0.276499435188962</v>
      </c>
      <c r="R1352">
        <v>0.986350611915999</v>
      </c>
      <c r="S1352" t="s">
        <v>3036</v>
      </c>
      <c r="T1352" t="s">
        <v>3344</v>
      </c>
      <c r="U1352" t="s">
        <v>3344</v>
      </c>
      <c r="V1352" t="s">
        <v>3344</v>
      </c>
      <c r="W1352" t="s">
        <v>4693</v>
      </c>
      <c r="X1352">
        <v>8</v>
      </c>
      <c r="Y1352" t="s">
        <v>6351</v>
      </c>
      <c r="Z1352" t="s">
        <v>8009</v>
      </c>
      <c r="AA1352">
        <v>0.6234094859818897</v>
      </c>
      <c r="AB1352">
        <f>HYPERLINK("Melting_Curves/meltCurve_P60664_hisF.pdf", "Melting_Curves/meltCurve_P60664_hisF.pdf")</f>
        <v>0</v>
      </c>
    </row>
    <row r="1353" spans="1:28">
      <c r="A1353" t="s">
        <v>1379</v>
      </c>
      <c r="B1353">
        <v>0.999998419929286</v>
      </c>
      <c r="C1353">
        <v>1.63460715015073</v>
      </c>
      <c r="D1353">
        <v>0.738586407208086</v>
      </c>
      <c r="E1353">
        <v>1.11976675487054</v>
      </c>
      <c r="F1353">
        <v>0.828174780656655</v>
      </c>
      <c r="G1353">
        <v>0.595687572596049</v>
      </c>
      <c r="H1353">
        <v>0.505610109904438</v>
      </c>
      <c r="I1353">
        <v>0.262247772415632</v>
      </c>
      <c r="J1353">
        <v>0.229130980081255</v>
      </c>
      <c r="K1353">
        <v>0.316507604078111</v>
      </c>
      <c r="L1353">
        <v>1090.55492941186</v>
      </c>
      <c r="M1353">
        <v>20.2274957476716</v>
      </c>
      <c r="N1353">
        <v>55.8330159450206</v>
      </c>
      <c r="O1353">
        <v>53.3958251183261</v>
      </c>
      <c r="P1353">
        <v>-0.0709860868577831</v>
      </c>
      <c r="Q1353">
        <v>0.250477120874485</v>
      </c>
      <c r="R1353">
        <v>0.710446579443738</v>
      </c>
      <c r="S1353" t="s">
        <v>3037</v>
      </c>
      <c r="T1353" t="s">
        <v>3344</v>
      </c>
      <c r="U1353" t="s">
        <v>3344</v>
      </c>
      <c r="V1353" t="s">
        <v>3344</v>
      </c>
      <c r="W1353" t="s">
        <v>4694</v>
      </c>
      <c r="X1353">
        <v>2</v>
      </c>
      <c r="Y1353" t="s">
        <v>6352</v>
      </c>
      <c r="Z1353" t="s">
        <v>8010</v>
      </c>
      <c r="AA1353">
        <v>0.6820389051315178</v>
      </c>
      <c r="AB1353">
        <f>HYPERLINK("Melting_Curves/meltCurve_P60716_lipA.pdf", "Melting_Curves/meltCurve_P60716_lipA.pdf")</f>
        <v>0</v>
      </c>
    </row>
    <row r="1354" spans="1:28">
      <c r="A1354" t="s">
        <v>1380</v>
      </c>
      <c r="B1354">
        <v>0.999998419929286</v>
      </c>
      <c r="C1354">
        <v>0.726898310616192</v>
      </c>
      <c r="D1354">
        <v>0.432444841783186</v>
      </c>
      <c r="E1354">
        <v>0.321452240616794</v>
      </c>
      <c r="F1354">
        <v>0.333651472710772</v>
      </c>
      <c r="G1354">
        <v>0.552710028240491</v>
      </c>
      <c r="H1354">
        <v>0.365949054950541</v>
      </c>
      <c r="I1354">
        <v>0.276432641129483</v>
      </c>
      <c r="J1354">
        <v>0.33069294592122</v>
      </c>
      <c r="K1354">
        <v>0.327956739511277</v>
      </c>
      <c r="L1354">
        <v>1499.28335034553</v>
      </c>
      <c r="M1354">
        <v>37.2296122289303</v>
      </c>
      <c r="N1354">
        <v>41.6948664576888</v>
      </c>
      <c r="O1354">
        <v>40.1555967043718</v>
      </c>
      <c r="P1354">
        <v>-0.148400601531899</v>
      </c>
      <c r="Q1354">
        <v>0.359746423672727</v>
      </c>
      <c r="R1354">
        <v>0.897757558143895</v>
      </c>
      <c r="S1354" t="s">
        <v>3038</v>
      </c>
      <c r="T1354" t="s">
        <v>3344</v>
      </c>
      <c r="U1354" t="s">
        <v>3344</v>
      </c>
      <c r="V1354" t="s">
        <v>3344</v>
      </c>
      <c r="W1354" t="s">
        <v>4695</v>
      </c>
      <c r="X1354">
        <v>3</v>
      </c>
      <c r="Y1354" t="s">
        <v>6353</v>
      </c>
      <c r="Z1354" t="s">
        <v>8011</v>
      </c>
      <c r="AA1354">
        <v>0.4323003495395735</v>
      </c>
      <c r="AB1354">
        <f>HYPERLINK("Melting_Curves/meltCurve_P60723_rplD.pdf", "Melting_Curves/meltCurve_P60723_rplD.pdf")</f>
        <v>0</v>
      </c>
    </row>
    <row r="1355" spans="1:28">
      <c r="A1355" t="s">
        <v>1381</v>
      </c>
      <c r="B1355">
        <v>0.999998419929286</v>
      </c>
      <c r="C1355">
        <v>1.28006988457304</v>
      </c>
      <c r="D1355">
        <v>0.547494944938382</v>
      </c>
      <c r="E1355">
        <v>0.153493703072033</v>
      </c>
      <c r="F1355">
        <v>0.107670801134414</v>
      </c>
      <c r="G1355">
        <v>0.0932271772073634</v>
      </c>
      <c r="H1355">
        <v>0.0685047844974386</v>
      </c>
      <c r="I1355">
        <v>0.051993354228673</v>
      </c>
      <c r="J1355">
        <v>0.053854347344931</v>
      </c>
      <c r="K1355">
        <v>0.0489450134625282</v>
      </c>
      <c r="L1355">
        <v>10751.1682886309</v>
      </c>
      <c r="M1355">
        <v>250</v>
      </c>
      <c r="N1355">
        <v>43.0357266927436</v>
      </c>
      <c r="O1355">
        <v>43.0019210427141</v>
      </c>
      <c r="P1355">
        <v>-1.33347672589206</v>
      </c>
      <c r="Q1355">
        <v>0.0825270249193267</v>
      </c>
      <c r="R1355">
        <v>0.952432055360576</v>
      </c>
      <c r="S1355" t="s">
        <v>3039</v>
      </c>
      <c r="T1355" t="s">
        <v>3344</v>
      </c>
      <c r="U1355" t="s">
        <v>3344</v>
      </c>
      <c r="V1355" t="s">
        <v>3344</v>
      </c>
      <c r="W1355" t="s">
        <v>4696</v>
      </c>
      <c r="X1355">
        <v>5</v>
      </c>
      <c r="Y1355" t="s">
        <v>6354</v>
      </c>
      <c r="Z1355" t="s">
        <v>8012</v>
      </c>
      <c r="AA1355">
        <v>0.2662337803768036</v>
      </c>
      <c r="AB1355">
        <f>HYPERLINK("Melting_Curves/meltCurve_P60752_msbA.pdf", "Melting_Curves/meltCurve_P60752_msbA.pdf")</f>
        <v>0</v>
      </c>
    </row>
    <row r="1356" spans="1:28">
      <c r="A1356" t="s">
        <v>1382</v>
      </c>
      <c r="B1356">
        <v>0.999998419929286</v>
      </c>
      <c r="C1356">
        <v>0.442920427378919</v>
      </c>
      <c r="D1356">
        <v>0.166389511099089</v>
      </c>
      <c r="E1356">
        <v>0.0951579435971231</v>
      </c>
      <c r="F1356">
        <v>0.07785853495695839</v>
      </c>
      <c r="G1356">
        <v>0.0959452018437633</v>
      </c>
      <c r="H1356">
        <v>0.0666607333352041</v>
      </c>
      <c r="I1356">
        <v>0.0444911903036003</v>
      </c>
      <c r="J1356">
        <v>0.0528766757325164</v>
      </c>
      <c r="K1356">
        <v>0.0520200521440475</v>
      </c>
      <c r="L1356">
        <v>1760.24584580511</v>
      </c>
      <c r="M1356">
        <v>44.4734824493191</v>
      </c>
      <c r="N1356">
        <v>39.7290202516619</v>
      </c>
      <c r="O1356">
        <v>39.4998985265071</v>
      </c>
      <c r="P1356">
        <v>-0.259814238910264</v>
      </c>
      <c r="Q1356">
        <v>0.0769671222992844</v>
      </c>
      <c r="R1356">
        <v>0.989282566683063</v>
      </c>
      <c r="S1356" t="s">
        <v>3040</v>
      </c>
      <c r="T1356" t="s">
        <v>3344</v>
      </c>
      <c r="U1356" t="s">
        <v>3344</v>
      </c>
      <c r="V1356" t="s">
        <v>3344</v>
      </c>
      <c r="W1356" t="s">
        <v>4697</v>
      </c>
      <c r="X1356">
        <v>4</v>
      </c>
      <c r="Y1356" t="s">
        <v>6355</v>
      </c>
      <c r="Z1356" t="s">
        <v>8013</v>
      </c>
      <c r="AA1356">
        <v>0.1593892875654051</v>
      </c>
      <c r="AB1356">
        <f>HYPERLINK("Melting_Curves/meltCurve_P60757_hisG.pdf", "Melting_Curves/meltCurve_P60757_hisG.pdf")</f>
        <v>0</v>
      </c>
    </row>
    <row r="1357" spans="1:28">
      <c r="A1357" t="s">
        <v>1383</v>
      </c>
      <c r="B1357">
        <v>0.999998419929286</v>
      </c>
      <c r="C1357">
        <v>1.04359637830261</v>
      </c>
      <c r="D1357">
        <v>0.526128152989062</v>
      </c>
      <c r="E1357">
        <v>0.26386358952811</v>
      </c>
      <c r="F1357">
        <v>0.123511013483299</v>
      </c>
      <c r="G1357">
        <v>0.10701305883952</v>
      </c>
      <c r="H1357">
        <v>0.0716479945941651</v>
      </c>
      <c r="I1357">
        <v>0.0556210492207545</v>
      </c>
      <c r="J1357">
        <v>0.0477142312646705</v>
      </c>
      <c r="K1357">
        <v>0.0474568588662537</v>
      </c>
      <c r="L1357">
        <v>1210.92339003594</v>
      </c>
      <c r="M1357">
        <v>27.9137545331218</v>
      </c>
      <c r="N1357">
        <v>43.6447484314053</v>
      </c>
      <c r="O1357">
        <v>43.1600714927997</v>
      </c>
      <c r="P1357">
        <v>-0.149134937684343</v>
      </c>
      <c r="Q1357">
        <v>0.0776419970956499</v>
      </c>
      <c r="R1357">
        <v>0.980499853054034</v>
      </c>
      <c r="S1357" t="s">
        <v>3041</v>
      </c>
      <c r="T1357" t="s">
        <v>3344</v>
      </c>
      <c r="U1357" t="s">
        <v>3344</v>
      </c>
      <c r="V1357" t="s">
        <v>3344</v>
      </c>
      <c r="W1357" t="s">
        <v>4698</v>
      </c>
      <c r="X1357">
        <v>8</v>
      </c>
      <c r="Y1357" t="s">
        <v>6356</v>
      </c>
      <c r="Z1357" t="s">
        <v>8014</v>
      </c>
      <c r="AA1357">
        <v>0.2798179364201006</v>
      </c>
      <c r="AB1357">
        <f>HYPERLINK("Melting_Curves/meltCurve_P60785_lepA.pdf", "Melting_Curves/meltCurve_P60785_lepA.pdf")</f>
        <v>0</v>
      </c>
    </row>
    <row r="1358" spans="1:28">
      <c r="A1358" t="s">
        <v>1384</v>
      </c>
      <c r="B1358">
        <v>0.999998419929286</v>
      </c>
      <c r="C1358">
        <v>0.248141532818187</v>
      </c>
      <c r="D1358">
        <v>0.872972234067266</v>
      </c>
      <c r="E1358">
        <v>0.7296551174221571</v>
      </c>
      <c r="F1358">
        <v>1.20468851843286</v>
      </c>
      <c r="G1358">
        <v>0.598511701013951</v>
      </c>
      <c r="H1358">
        <v>0.961440644386335</v>
      </c>
      <c r="I1358">
        <v>1.20127821864183</v>
      </c>
      <c r="J1358">
        <v>0.654020340460906</v>
      </c>
      <c r="K1358">
        <v>0.234650662952682</v>
      </c>
      <c r="L1358">
        <v>15000</v>
      </c>
      <c r="M1358">
        <v>233.816872814209</v>
      </c>
      <c r="N1358">
        <v>64.3270282570671</v>
      </c>
      <c r="O1358">
        <v>64.14807624562749</v>
      </c>
      <c r="P1358">
        <v>-0.697450634654009</v>
      </c>
      <c r="Q1358">
        <v>0.234612694032935</v>
      </c>
      <c r="R1358">
        <v>0.165894211761148</v>
      </c>
      <c r="S1358" t="s">
        <v>3042</v>
      </c>
      <c r="T1358" t="s">
        <v>3344</v>
      </c>
      <c r="U1358" t="s">
        <v>3344</v>
      </c>
      <c r="V1358" t="s">
        <v>3344</v>
      </c>
      <c r="W1358" t="s">
        <v>4699</v>
      </c>
      <c r="X1358">
        <v>1</v>
      </c>
      <c r="Y1358" t="s">
        <v>6357</v>
      </c>
      <c r="Z1358" t="s">
        <v>8015</v>
      </c>
      <c r="AA1358">
        <v>0.9274570141466904</v>
      </c>
      <c r="AB1358">
        <f>HYPERLINK("Melting_Curves/meltCurve_P60872_yidE.pdf", "Melting_Curves/meltCurve_P60872_yidE.pdf")</f>
        <v>0</v>
      </c>
    </row>
    <row r="1359" spans="1:28">
      <c r="A1359" t="s">
        <v>1385</v>
      </c>
      <c r="B1359">
        <v>0.999998419929286</v>
      </c>
      <c r="C1359">
        <v>1.2057337467224</v>
      </c>
      <c r="D1359">
        <v>0.7629824372319099</v>
      </c>
      <c r="E1359">
        <v>0.192195438216799</v>
      </c>
      <c r="F1359">
        <v>0.101421129679029</v>
      </c>
      <c r="G1359">
        <v>0.0864240754937939</v>
      </c>
      <c r="H1359">
        <v>0.0574274436475811</v>
      </c>
      <c r="I1359">
        <v>0.0437470928242891</v>
      </c>
      <c r="J1359">
        <v>0.036595609462874</v>
      </c>
      <c r="K1359">
        <v>0.0372906782632105</v>
      </c>
      <c r="L1359">
        <v>1791.942017977</v>
      </c>
      <c r="M1359">
        <v>40.4337106117179</v>
      </c>
      <c r="N1359">
        <v>44.4608392974989</v>
      </c>
      <c r="O1359">
        <v>44.2100312635961</v>
      </c>
      <c r="P1359">
        <v>-0.214721335972245</v>
      </c>
      <c r="Q1359">
        <v>0.0609006524122337</v>
      </c>
      <c r="R1359">
        <v>0.97259723172949</v>
      </c>
      <c r="S1359" t="s">
        <v>3043</v>
      </c>
      <c r="T1359" t="s">
        <v>3344</v>
      </c>
      <c r="U1359" t="s">
        <v>3344</v>
      </c>
      <c r="V1359" t="s">
        <v>3344</v>
      </c>
      <c r="W1359" t="s">
        <v>4700</v>
      </c>
      <c r="X1359">
        <v>14</v>
      </c>
      <c r="Y1359" t="s">
        <v>6358</v>
      </c>
      <c r="Z1359" t="s">
        <v>8016</v>
      </c>
      <c r="AA1359">
        <v>0.2928022816685336</v>
      </c>
      <c r="AB1359">
        <f>HYPERLINK("Melting_Curves/meltCurve_P60906_hisS.pdf", "Melting_Curves/meltCurve_P60906_hisS.pdf")</f>
        <v>0</v>
      </c>
    </row>
    <row r="1360" spans="1:28">
      <c r="A1360" t="s">
        <v>1386</v>
      </c>
      <c r="B1360">
        <v>0.999998419929286</v>
      </c>
      <c r="C1360">
        <v>0.760826794717734</v>
      </c>
      <c r="D1360">
        <v>0.416696018690935</v>
      </c>
      <c r="E1360">
        <v>0.272853029556486</v>
      </c>
      <c r="F1360">
        <v>0.199929345819745</v>
      </c>
      <c r="G1360">
        <v>0.199647715271507</v>
      </c>
      <c r="H1360">
        <v>0.163370494978337</v>
      </c>
      <c r="I1360">
        <v>0.168185484787421</v>
      </c>
      <c r="J1360">
        <v>0.164183951954293</v>
      </c>
      <c r="K1360">
        <v>0.173259910129807</v>
      </c>
      <c r="L1360">
        <v>979.432484620642</v>
      </c>
      <c r="M1360">
        <v>23.5988516517538</v>
      </c>
      <c r="N1360">
        <v>42.2971354343023</v>
      </c>
      <c r="O1360">
        <v>41.2088299042715</v>
      </c>
      <c r="P1360">
        <v>-0.117556030306977</v>
      </c>
      <c r="Q1360">
        <v>0.178898530925852</v>
      </c>
      <c r="R1360">
        <v>0.994215647574055</v>
      </c>
      <c r="S1360" t="s">
        <v>3044</v>
      </c>
      <c r="T1360" t="s">
        <v>3344</v>
      </c>
      <c r="U1360" t="s">
        <v>3344</v>
      </c>
      <c r="V1360" t="s">
        <v>3344</v>
      </c>
      <c r="W1360" t="s">
        <v>4701</v>
      </c>
      <c r="X1360">
        <v>4</v>
      </c>
      <c r="Y1360" t="s">
        <v>6359</v>
      </c>
      <c r="Z1360" t="s">
        <v>8017</v>
      </c>
      <c r="AA1360">
        <v>0.3109855364184514</v>
      </c>
      <c r="AB1360">
        <f>HYPERLINK("Melting_Curves/meltCurve_P61175_rplV.pdf", "Melting_Curves/meltCurve_P61175_rplV.pdf")</f>
        <v>0</v>
      </c>
    </row>
    <row r="1361" spans="1:28">
      <c r="A1361" t="s">
        <v>1387</v>
      </c>
      <c r="B1361">
        <v>0.999998419929286</v>
      </c>
      <c r="C1361">
        <v>0.842321727834151</v>
      </c>
      <c r="D1361">
        <v>0.950621564460431</v>
      </c>
      <c r="E1361">
        <v>1.09437055676718</v>
      </c>
      <c r="F1361">
        <v>1.29427682794245</v>
      </c>
      <c r="G1361">
        <v>1.3156140742218</v>
      </c>
      <c r="H1361">
        <v>1.23587189136611</v>
      </c>
      <c r="I1361">
        <v>1.43081294027787</v>
      </c>
      <c r="J1361">
        <v>1.55316861331047</v>
      </c>
      <c r="K1361">
        <v>1.50070633166244</v>
      </c>
      <c r="L1361">
        <v>679.816171022974</v>
      </c>
      <c r="M1361">
        <v>13.0820140142683</v>
      </c>
      <c r="O1361">
        <v>50.7964151203226</v>
      </c>
      <c r="P1361">
        <v>0.0321978166347068</v>
      </c>
      <c r="Q1361">
        <v>1.5</v>
      </c>
      <c r="R1361">
        <v>0.854653028356157</v>
      </c>
      <c r="S1361" t="s">
        <v>3045</v>
      </c>
      <c r="T1361" t="s">
        <v>3344</v>
      </c>
      <c r="U1361" t="s">
        <v>3344</v>
      </c>
      <c r="V1361" t="s">
        <v>3344</v>
      </c>
      <c r="W1361" t="s">
        <v>4702</v>
      </c>
      <c r="X1361">
        <v>8</v>
      </c>
      <c r="Y1361" t="s">
        <v>6360</v>
      </c>
      <c r="Z1361" t="s">
        <v>8018</v>
      </c>
      <c r="AA1361">
        <v>1.239507860512658</v>
      </c>
      <c r="AB1361">
        <f>HYPERLINK("Melting_Curves/meltCurve_P61316_lolA.pdf", "Melting_Curves/meltCurve_P61316_lolA.pdf")</f>
        <v>0</v>
      </c>
    </row>
    <row r="1362" spans="1:28">
      <c r="A1362" t="s">
        <v>1388</v>
      </c>
      <c r="B1362">
        <v>0.999998419929286</v>
      </c>
      <c r="C1362">
        <v>0.888910629279147</v>
      </c>
      <c r="D1362">
        <v>1.02301294400819</v>
      </c>
      <c r="E1362">
        <v>1.10373968092606</v>
      </c>
      <c r="F1362">
        <v>1.33334374453001</v>
      </c>
      <c r="G1362">
        <v>1.42993788498441</v>
      </c>
      <c r="H1362">
        <v>1.30946724746678</v>
      </c>
      <c r="I1362">
        <v>0.892662766213954</v>
      </c>
      <c r="J1362">
        <v>0.587518923243297</v>
      </c>
      <c r="K1362">
        <v>0.403378906758844</v>
      </c>
      <c r="L1362">
        <v>3420.81954349681</v>
      </c>
      <c r="M1362">
        <v>54.1286092730945</v>
      </c>
      <c r="N1362">
        <v>64.91403170360159</v>
      </c>
      <c r="O1362">
        <v>63.1118950218079</v>
      </c>
      <c r="P1362">
        <v>-0.132839996225058</v>
      </c>
      <c r="Q1362">
        <v>0.380454746951099</v>
      </c>
      <c r="R1362">
        <v>0.56128184772527</v>
      </c>
      <c r="S1362" t="s">
        <v>3046</v>
      </c>
      <c r="T1362" t="s">
        <v>3344</v>
      </c>
      <c r="U1362" t="s">
        <v>3344</v>
      </c>
      <c r="V1362" t="s">
        <v>3344</v>
      </c>
      <c r="W1362" t="s">
        <v>4703</v>
      </c>
      <c r="X1362">
        <v>8</v>
      </c>
      <c r="Y1362" t="s">
        <v>6361</v>
      </c>
      <c r="Z1362" t="s">
        <v>8019</v>
      </c>
      <c r="AA1362">
        <v>0.9216757782263219</v>
      </c>
      <c r="AB1362">
        <f>HYPERLINK("Melting_Curves/meltCurve_P61320_lolB.pdf", "Melting_Curves/meltCurve_P61320_lolB.pdf")</f>
        <v>0</v>
      </c>
    </row>
    <row r="1363" spans="1:28">
      <c r="A1363" t="s">
        <v>1389</v>
      </c>
      <c r="B1363">
        <v>0.999998419929286</v>
      </c>
      <c r="C1363">
        <v>0.780935739383578</v>
      </c>
      <c r="D1363">
        <v>0.897277094215344</v>
      </c>
      <c r="E1363">
        <v>0.952469764339787</v>
      </c>
      <c r="F1363">
        <v>1.06563283101527</v>
      </c>
      <c r="G1363">
        <v>1.25450439759347</v>
      </c>
      <c r="H1363">
        <v>1.14336587701087</v>
      </c>
      <c r="I1363">
        <v>0.884884986427633</v>
      </c>
      <c r="J1363">
        <v>0.506540005323264</v>
      </c>
      <c r="K1363">
        <v>0.445493931254813</v>
      </c>
      <c r="L1363">
        <v>4555.0054252263</v>
      </c>
      <c r="M1363">
        <v>73.2809341043167</v>
      </c>
      <c r="N1363">
        <v>64.1214085784887</v>
      </c>
      <c r="O1363">
        <v>62.1118957719439</v>
      </c>
      <c r="P1363">
        <v>-0.163119509507942</v>
      </c>
      <c r="Q1363">
        <v>0.4469689530358</v>
      </c>
      <c r="R1363">
        <v>0.74871479574813</v>
      </c>
      <c r="S1363" t="s">
        <v>3047</v>
      </c>
      <c r="T1363" t="s">
        <v>3344</v>
      </c>
      <c r="U1363" t="s">
        <v>3344</v>
      </c>
      <c r="V1363" t="s">
        <v>3344</v>
      </c>
      <c r="W1363" t="s">
        <v>4704</v>
      </c>
      <c r="X1363">
        <v>6</v>
      </c>
      <c r="Y1363" t="s">
        <v>6362</v>
      </c>
      <c r="Z1363" t="s">
        <v>8020</v>
      </c>
      <c r="AA1363">
        <v>0.9113532365137177</v>
      </c>
      <c r="AB1363">
        <f>HYPERLINK("Melting_Curves/meltCurve_P61517_can.pdf", "Melting_Curves/meltCurve_P61517_can.pdf")</f>
        <v>0</v>
      </c>
    </row>
    <row r="1364" spans="1:28">
      <c r="A1364" t="s">
        <v>1390</v>
      </c>
      <c r="B1364">
        <v>0.999998419929286</v>
      </c>
      <c r="C1364">
        <v>0.9471649204414569</v>
      </c>
      <c r="D1364">
        <v>0.773289950741281</v>
      </c>
      <c r="E1364">
        <v>1.02281450719559</v>
      </c>
      <c r="F1364">
        <v>0.955146238882034</v>
      </c>
      <c r="G1364">
        <v>1.10241355664869</v>
      </c>
      <c r="H1364">
        <v>0.747941337177781</v>
      </c>
      <c r="I1364">
        <v>0.484937507076387</v>
      </c>
      <c r="J1364">
        <v>0.167085261848585</v>
      </c>
      <c r="K1364">
        <v>0.12716468886924</v>
      </c>
      <c r="L1364">
        <v>1739.6741658987</v>
      </c>
      <c r="M1364">
        <v>28.9157108274654</v>
      </c>
      <c r="N1364">
        <v>60.4632959987549</v>
      </c>
      <c r="O1364">
        <v>59.8780903614599</v>
      </c>
      <c r="P1364">
        <v>-0.112668836314036</v>
      </c>
      <c r="Q1364">
        <v>0.06675745094037749</v>
      </c>
      <c r="R1364">
        <v>0.928338903917346</v>
      </c>
      <c r="S1364" t="s">
        <v>3048</v>
      </c>
      <c r="T1364" t="s">
        <v>3344</v>
      </c>
      <c r="U1364" t="s">
        <v>3344</v>
      </c>
      <c r="V1364" t="s">
        <v>3344</v>
      </c>
      <c r="W1364" t="s">
        <v>4705</v>
      </c>
      <c r="X1364">
        <v>4</v>
      </c>
      <c r="Y1364" t="s">
        <v>6363</v>
      </c>
      <c r="Z1364" t="s">
        <v>8021</v>
      </c>
      <c r="AA1364">
        <v>0.7903672748960283</v>
      </c>
      <c r="AB1364">
        <f>HYPERLINK("Melting_Curves/meltCurve_P61714_ribE.pdf", "Melting_Curves/meltCurve_P61714_ribE.pdf")</f>
        <v>0</v>
      </c>
    </row>
    <row r="1365" spans="1:28">
      <c r="A1365" t="s">
        <v>1391</v>
      </c>
      <c r="B1365">
        <v>0.999998419929286</v>
      </c>
      <c r="C1365">
        <v>0.880619892376735</v>
      </c>
      <c r="D1365">
        <v>1.14361857938806</v>
      </c>
      <c r="E1365">
        <v>1.12767673228023</v>
      </c>
      <c r="F1365">
        <v>1.1749985912647</v>
      </c>
      <c r="G1365">
        <v>0.457197541437613</v>
      </c>
      <c r="H1365">
        <v>0.112199564318987</v>
      </c>
      <c r="I1365">
        <v>0.0348385359421081</v>
      </c>
      <c r="J1365">
        <v>0.0224369058819311</v>
      </c>
      <c r="K1365">
        <v>0.0176073309518975</v>
      </c>
      <c r="L1365">
        <v>9999.78262646081</v>
      </c>
      <c r="M1365">
        <v>186.149093999665</v>
      </c>
      <c r="N1365">
        <v>53.7475652438103</v>
      </c>
      <c r="O1365">
        <v>53.7130100893124</v>
      </c>
      <c r="P1365">
        <v>-0.825885415101841</v>
      </c>
      <c r="Q1365">
        <v>0.0467685429620997</v>
      </c>
      <c r="R1365">
        <v>0.963375775187357</v>
      </c>
      <c r="S1365" t="s">
        <v>3049</v>
      </c>
      <c r="T1365" t="s">
        <v>3344</v>
      </c>
      <c r="U1365" t="s">
        <v>3344</v>
      </c>
      <c r="V1365" t="s">
        <v>3344</v>
      </c>
      <c r="W1365" t="s">
        <v>4706</v>
      </c>
      <c r="X1365">
        <v>11</v>
      </c>
      <c r="Y1365" t="s">
        <v>6364</v>
      </c>
      <c r="Z1365" t="s">
        <v>8022</v>
      </c>
      <c r="AA1365">
        <v>0.5781732871459524</v>
      </c>
      <c r="AB1365">
        <f>HYPERLINK("Melting_Curves/meltCurve_P61889_mdh.pdf", "Melting_Curves/meltCurve_P61889_mdh.pdf")</f>
        <v>0</v>
      </c>
    </row>
    <row r="1366" spans="1:28">
      <c r="A1366" t="s">
        <v>1392</v>
      </c>
      <c r="B1366">
        <v>0.999998419929286</v>
      </c>
      <c r="C1366">
        <v>0.953748119349362</v>
      </c>
      <c r="D1366">
        <v>0.8053237236326209</v>
      </c>
      <c r="E1366">
        <v>1.01869215032778</v>
      </c>
      <c r="F1366">
        <v>0.955472778740084</v>
      </c>
      <c r="G1366">
        <v>1.17457993141536</v>
      </c>
      <c r="H1366">
        <v>1.14024068071168</v>
      </c>
      <c r="I1366">
        <v>1.14038353159662</v>
      </c>
      <c r="J1366">
        <v>1.14364530390277</v>
      </c>
      <c r="K1366">
        <v>0.967405735049183</v>
      </c>
      <c r="L1366">
        <v>3747.93907535504</v>
      </c>
      <c r="M1366">
        <v>72.278537404475</v>
      </c>
      <c r="O1366">
        <v>51.8144554343993</v>
      </c>
      <c r="P1366">
        <v>0.0395051565802013</v>
      </c>
      <c r="Q1366">
        <v>1.11328053092119</v>
      </c>
      <c r="R1366">
        <v>0.425789876230234</v>
      </c>
      <c r="S1366" t="s">
        <v>3050</v>
      </c>
      <c r="T1366" t="s">
        <v>3344</v>
      </c>
      <c r="U1366" t="s">
        <v>3344</v>
      </c>
      <c r="V1366" t="s">
        <v>3344</v>
      </c>
      <c r="W1366" t="s">
        <v>4707</v>
      </c>
      <c r="X1366">
        <v>3</v>
      </c>
      <c r="Y1366" t="s">
        <v>6365</v>
      </c>
      <c r="Z1366" t="s">
        <v>8023</v>
      </c>
      <c r="AA1366">
        <v>1.057067525055994</v>
      </c>
      <c r="AB1366">
        <f>HYPERLINK("Melting_Curves/meltCurve_P61949_fldA.pdf", "Melting_Curves/meltCurve_P61949_fldA.pdf")</f>
        <v>0</v>
      </c>
    </row>
    <row r="1367" spans="1:28">
      <c r="A1367" t="s">
        <v>1393</v>
      </c>
      <c r="B1367">
        <v>0.999998419929286</v>
      </c>
      <c r="C1367">
        <v>0.624048898216068</v>
      </c>
      <c r="D1367">
        <v>0.387698969797422</v>
      </c>
      <c r="E1367">
        <v>0.349558318229869</v>
      </c>
      <c r="F1367">
        <v>0.319331199178336</v>
      </c>
      <c r="G1367">
        <v>0.350908498735747</v>
      </c>
      <c r="H1367">
        <v>0.305438979898518</v>
      </c>
      <c r="I1367">
        <v>0.329431424088128</v>
      </c>
      <c r="J1367">
        <v>0.29032423287346</v>
      </c>
      <c r="K1367">
        <v>0.307792328555101</v>
      </c>
      <c r="L1367">
        <v>1628.10575935181</v>
      </c>
      <c r="M1367">
        <v>40.9681287265669</v>
      </c>
      <c r="N1367">
        <v>40.7886259114514</v>
      </c>
      <c r="O1367">
        <v>39.6464512967582</v>
      </c>
      <c r="P1367">
        <v>-0.174257135169162</v>
      </c>
      <c r="Q1367">
        <v>0.325459639516752</v>
      </c>
      <c r="R1367">
        <v>0.988099027451921</v>
      </c>
      <c r="S1367" t="s">
        <v>3051</v>
      </c>
      <c r="T1367" t="s">
        <v>3344</v>
      </c>
      <c r="U1367" t="s">
        <v>3344</v>
      </c>
      <c r="V1367" t="s">
        <v>3344</v>
      </c>
      <c r="W1367" t="s">
        <v>4708</v>
      </c>
      <c r="X1367">
        <v>10</v>
      </c>
      <c r="Y1367" t="s">
        <v>6366</v>
      </c>
      <c r="Z1367" t="s">
        <v>8024</v>
      </c>
      <c r="AA1367">
        <v>0.3897013027015296</v>
      </c>
      <c r="AB1367">
        <f>HYPERLINK("Melting_Curves/meltCurve_P62399_rplE.pdf", "Melting_Curves/meltCurve_P62399_rplE.pdf")</f>
        <v>0</v>
      </c>
    </row>
    <row r="1368" spans="1:28">
      <c r="A1368" t="s">
        <v>1394</v>
      </c>
      <c r="B1368">
        <v>0.999998419929286</v>
      </c>
      <c r="C1368">
        <v>0.9055632901141411</v>
      </c>
      <c r="D1368">
        <v>0.458172084454427</v>
      </c>
      <c r="E1368">
        <v>0.269361256035095</v>
      </c>
      <c r="F1368">
        <v>0.242755817771913</v>
      </c>
      <c r="G1368">
        <v>0.236927026235638</v>
      </c>
      <c r="H1368">
        <v>0.122226785772544</v>
      </c>
      <c r="I1368">
        <v>0.0977925365704658</v>
      </c>
      <c r="J1368">
        <v>0.0920705036167712</v>
      </c>
      <c r="K1368">
        <v>0.0731519953301948</v>
      </c>
      <c r="L1368">
        <v>1038.53182535953</v>
      </c>
      <c r="M1368">
        <v>24.4248186106337</v>
      </c>
      <c r="N1368">
        <v>43.1049234902226</v>
      </c>
      <c r="O1368">
        <v>42.237600886342</v>
      </c>
      <c r="P1368">
        <v>-0.124164145358834</v>
      </c>
      <c r="Q1368">
        <v>0.141149628033007</v>
      </c>
      <c r="R1368">
        <v>0.969413297600084</v>
      </c>
      <c r="S1368" t="s">
        <v>3052</v>
      </c>
      <c r="T1368" t="s">
        <v>3344</v>
      </c>
      <c r="U1368" t="s">
        <v>3344</v>
      </c>
      <c r="V1368" t="s">
        <v>3344</v>
      </c>
      <c r="W1368" t="s">
        <v>4709</v>
      </c>
      <c r="X1368">
        <v>2</v>
      </c>
      <c r="Y1368" t="s">
        <v>6367</v>
      </c>
      <c r="Z1368" t="s">
        <v>8025</v>
      </c>
      <c r="AA1368">
        <v>0.3069339323835678</v>
      </c>
      <c r="AB1368">
        <f>HYPERLINK("Melting_Curves/meltCurve_P62517_mdoH.pdf", "Melting_Curves/meltCurve_P62517_mdoH.pdf")</f>
        <v>0</v>
      </c>
    </row>
    <row r="1369" spans="1:28">
      <c r="A1369" t="s">
        <v>1395</v>
      </c>
      <c r="B1369">
        <v>0.999998419929286</v>
      </c>
      <c r="C1369">
        <v>0.8909032295823039</v>
      </c>
      <c r="D1369">
        <v>0.488172459235158</v>
      </c>
      <c r="E1369">
        <v>0.140418186460876</v>
      </c>
      <c r="F1369">
        <v>0.110805808010398</v>
      </c>
      <c r="G1369">
        <v>0.106367182874566</v>
      </c>
      <c r="H1369">
        <v>0.0546320818988627</v>
      </c>
      <c r="I1369">
        <v>0.035823257813999</v>
      </c>
      <c r="J1369">
        <v>0.0324409623948489</v>
      </c>
      <c r="K1369">
        <v>0.0214175211909376</v>
      </c>
      <c r="L1369">
        <v>1167.74355712784</v>
      </c>
      <c r="M1369">
        <v>27.3026666260827</v>
      </c>
      <c r="N1369">
        <v>42.9552632251236</v>
      </c>
      <c r="O1369">
        <v>42.542838829001</v>
      </c>
      <c r="P1369">
        <v>-0.151546334093832</v>
      </c>
      <c r="Q1369">
        <v>0.0554548902126438</v>
      </c>
      <c r="R1369">
        <v>0.995084173590387</v>
      </c>
      <c r="S1369" t="s">
        <v>3053</v>
      </c>
      <c r="T1369" t="s">
        <v>3344</v>
      </c>
      <c r="U1369" t="s">
        <v>3344</v>
      </c>
      <c r="V1369" t="s">
        <v>3344</v>
      </c>
      <c r="W1369" t="s">
        <v>4710</v>
      </c>
      <c r="X1369">
        <v>1</v>
      </c>
      <c r="Y1369" t="s">
        <v>6368</v>
      </c>
      <c r="Z1369" t="s">
        <v>8026</v>
      </c>
      <c r="AA1369">
        <v>0.2436718407170909</v>
      </c>
      <c r="AB1369">
        <f>HYPERLINK("Melting_Curves/meltCurve_P62615_ispE.pdf", "Melting_Curves/meltCurve_P62615_ispE.pdf")</f>
        <v>0</v>
      </c>
    </row>
    <row r="1370" spans="1:28">
      <c r="A1370" t="s">
        <v>1396</v>
      </c>
      <c r="B1370">
        <v>0.999998419929286</v>
      </c>
      <c r="C1370">
        <v>0.834543553889012</v>
      </c>
      <c r="D1370">
        <v>0.884607995526599</v>
      </c>
      <c r="E1370">
        <v>1.38346704471107</v>
      </c>
      <c r="F1370">
        <v>1.72147310468885</v>
      </c>
      <c r="G1370">
        <v>3.04665581265343</v>
      </c>
      <c r="H1370">
        <v>2.81253625706984</v>
      </c>
      <c r="I1370">
        <v>1.88252472410934</v>
      </c>
      <c r="J1370">
        <v>1.86466883911087</v>
      </c>
      <c r="K1370">
        <v>2.20784586888394</v>
      </c>
      <c r="S1370" t="s">
        <v>3054</v>
      </c>
      <c r="T1370" t="s">
        <v>3344</v>
      </c>
      <c r="U1370" t="s">
        <v>3345</v>
      </c>
      <c r="V1370" t="s">
        <v>3344</v>
      </c>
      <c r="W1370" t="s">
        <v>4711</v>
      </c>
      <c r="X1370">
        <v>2</v>
      </c>
      <c r="Y1370" t="s">
        <v>6369</v>
      </c>
      <c r="Z1370" t="s">
        <v>8027</v>
      </c>
      <c r="AB1370">
        <f>HYPERLINK("Melting_Curves/meltCurve_P62617_ispF.pdf", "Melting_Curves/meltCurve_P62617_ispF.pdf")</f>
        <v>0</v>
      </c>
    </row>
    <row r="1371" spans="1:28">
      <c r="A1371" t="s">
        <v>1397</v>
      </c>
      <c r="B1371">
        <v>0.999998419929286</v>
      </c>
      <c r="C1371">
        <v>0.695874880765217</v>
      </c>
      <c r="D1371">
        <v>0.428300732990249</v>
      </c>
      <c r="E1371">
        <v>0.379746474575854</v>
      </c>
      <c r="F1371">
        <v>0.345882984176313</v>
      </c>
      <c r="G1371">
        <v>0.398201740600539</v>
      </c>
      <c r="H1371">
        <v>0.281833864198819</v>
      </c>
      <c r="I1371">
        <v>0.324486260161881</v>
      </c>
      <c r="J1371">
        <v>0.356741553777025</v>
      </c>
      <c r="K1371">
        <v>0.324079279473348</v>
      </c>
      <c r="L1371">
        <v>1322.26475097389</v>
      </c>
      <c r="M1371">
        <v>32.9035994714346</v>
      </c>
      <c r="N1371">
        <v>41.6655083832373</v>
      </c>
      <c r="O1371">
        <v>40.038474038195</v>
      </c>
      <c r="P1371">
        <v>-0.134660492081821</v>
      </c>
      <c r="Q1371">
        <v>0.344561209209404</v>
      </c>
      <c r="R1371">
        <v>0.97700863241873</v>
      </c>
      <c r="S1371" t="s">
        <v>3055</v>
      </c>
      <c r="T1371" t="s">
        <v>3344</v>
      </c>
      <c r="U1371" t="s">
        <v>3344</v>
      </c>
      <c r="V1371" t="s">
        <v>3344</v>
      </c>
      <c r="W1371" t="s">
        <v>4712</v>
      </c>
      <c r="X1371">
        <v>1</v>
      </c>
      <c r="Y1371" t="s">
        <v>6370</v>
      </c>
      <c r="Z1371" t="s">
        <v>8028</v>
      </c>
      <c r="AA1371">
        <v>0.4180971949449791</v>
      </c>
      <c r="AB1371">
        <f>HYPERLINK("Melting_Curves/meltCurve_P62620_ispG.pdf", "Melting_Curves/meltCurve_P62620_ispG.pdf")</f>
        <v>0</v>
      </c>
    </row>
    <row r="1372" spans="1:28">
      <c r="A1372" t="s">
        <v>1398</v>
      </c>
      <c r="B1372">
        <v>0.999998419929286</v>
      </c>
      <c r="C1372">
        <v>1.05444418034169</v>
      </c>
      <c r="D1372">
        <v>1.0020104162331</v>
      </c>
      <c r="E1372">
        <v>1.06280099316064</v>
      </c>
      <c r="F1372">
        <v>0.856306323980367</v>
      </c>
      <c r="G1372">
        <v>0.737494204403751</v>
      </c>
      <c r="H1372">
        <v>0.43115233878793</v>
      </c>
      <c r="I1372">
        <v>0.243228712644919</v>
      </c>
      <c r="J1372">
        <v>0.18900488269122</v>
      </c>
      <c r="K1372">
        <v>0.167926242446106</v>
      </c>
      <c r="L1372">
        <v>1149.92813580285</v>
      </c>
      <c r="M1372">
        <v>20.6769389939965</v>
      </c>
      <c r="N1372">
        <v>56.4774931911704</v>
      </c>
      <c r="O1372">
        <v>55.1017079167828</v>
      </c>
      <c r="P1372">
        <v>-0.08110180377191099</v>
      </c>
      <c r="Q1372">
        <v>0.135516350092362</v>
      </c>
      <c r="R1372">
        <v>0.989439607682993</v>
      </c>
      <c r="S1372" t="s">
        <v>3056</v>
      </c>
      <c r="T1372" t="s">
        <v>3344</v>
      </c>
      <c r="U1372" t="s">
        <v>3344</v>
      </c>
      <c r="V1372" t="s">
        <v>3344</v>
      </c>
      <c r="W1372" t="s">
        <v>4713</v>
      </c>
      <c r="X1372">
        <v>7</v>
      </c>
      <c r="Y1372" t="s">
        <v>6371</v>
      </c>
      <c r="Z1372" t="s">
        <v>8029</v>
      </c>
      <c r="AA1372">
        <v>0.6808859978987449</v>
      </c>
      <c r="AB1372">
        <f>HYPERLINK("Melting_Curves/meltCurve_P62623_ispH.pdf", "Melting_Curves/meltCurve_P62623_ispH.pdf")</f>
        <v>0</v>
      </c>
    </row>
    <row r="1373" spans="1:28">
      <c r="A1373" t="s">
        <v>1399</v>
      </c>
      <c r="B1373">
        <v>0.999998419929286</v>
      </c>
      <c r="C1373">
        <v>0.7799140905292981</v>
      </c>
      <c r="D1373">
        <v>0.65807530792318</v>
      </c>
      <c r="E1373">
        <v>0.461791010926108</v>
      </c>
      <c r="F1373">
        <v>0.244470847467201</v>
      </c>
      <c r="G1373">
        <v>0.182285814742809</v>
      </c>
      <c r="H1373">
        <v>0.109651106525551</v>
      </c>
      <c r="I1373">
        <v>0.104610301836236</v>
      </c>
      <c r="J1373">
        <v>0.09474829516934111</v>
      </c>
      <c r="K1373">
        <v>0.08955478662213889</v>
      </c>
      <c r="L1373">
        <v>551.83474359229</v>
      </c>
      <c r="M1373">
        <v>12.2926690941928</v>
      </c>
      <c r="N1373">
        <v>45.4248058323162</v>
      </c>
      <c r="O1373">
        <v>43.7529556857239</v>
      </c>
      <c r="P1373">
        <v>-0.0655325763391444</v>
      </c>
      <c r="Q1373">
        <v>0.0672116978128685</v>
      </c>
      <c r="R1373">
        <v>0.9910350277760011</v>
      </c>
      <c r="S1373" t="s">
        <v>3057</v>
      </c>
      <c r="T1373" t="s">
        <v>3344</v>
      </c>
      <c r="U1373" t="s">
        <v>3344</v>
      </c>
      <c r="V1373" t="s">
        <v>3344</v>
      </c>
      <c r="W1373" t="s">
        <v>4714</v>
      </c>
      <c r="X1373">
        <v>3</v>
      </c>
      <c r="Y1373" t="s">
        <v>6372</v>
      </c>
      <c r="Z1373" t="s">
        <v>8030</v>
      </c>
      <c r="AA1373">
        <v>0.34524450726605</v>
      </c>
      <c r="AB1373">
        <f>HYPERLINK("Melting_Curves/meltCurve_P62672_apaG.pdf", "Melting_Curves/meltCurve_P62672_apaG.pdf")</f>
        <v>0</v>
      </c>
    </row>
    <row r="1374" spans="1:28">
      <c r="A1374" t="s">
        <v>1400</v>
      </c>
      <c r="B1374">
        <v>0.999998419929286</v>
      </c>
      <c r="C1374">
        <v>0.880050644903776</v>
      </c>
      <c r="D1374">
        <v>0.989806963056747</v>
      </c>
      <c r="E1374">
        <v>1.06896381613898</v>
      </c>
      <c r="F1374">
        <v>1.16382106088449</v>
      </c>
      <c r="G1374">
        <v>0.909232897621015</v>
      </c>
      <c r="H1374">
        <v>0.207569969771877</v>
      </c>
      <c r="I1374">
        <v>0.102315183743639</v>
      </c>
      <c r="J1374">
        <v>0.0933811767133798</v>
      </c>
      <c r="K1374">
        <v>0.0605461659848707</v>
      </c>
      <c r="L1374">
        <v>3528.24623748115</v>
      </c>
      <c r="M1374">
        <v>63.3327223790384</v>
      </c>
      <c r="N1374">
        <v>55.8723185357477</v>
      </c>
      <c r="O1374">
        <v>55.6542179141588</v>
      </c>
      <c r="P1374">
        <v>-0.260546193678432</v>
      </c>
      <c r="Q1374">
        <v>0.0841706497860413</v>
      </c>
      <c r="R1374">
        <v>0.975785698062596</v>
      </c>
      <c r="S1374" t="s">
        <v>3058</v>
      </c>
      <c r="T1374" t="s">
        <v>3344</v>
      </c>
      <c r="U1374" t="s">
        <v>3344</v>
      </c>
      <c r="V1374" t="s">
        <v>3344</v>
      </c>
      <c r="W1374" t="s">
        <v>4715</v>
      </c>
      <c r="X1374">
        <v>9</v>
      </c>
      <c r="Y1374" t="s">
        <v>6373</v>
      </c>
      <c r="Z1374" t="s">
        <v>8031</v>
      </c>
      <c r="AA1374">
        <v>0.6567321961891953</v>
      </c>
      <c r="AB1374">
        <f>HYPERLINK("Melting_Curves/meltCurve_P62707_gpmA.pdf", "Melting_Curves/meltCurve_P62707_gpmA.pdf")</f>
        <v>0</v>
      </c>
    </row>
    <row r="1375" spans="1:28">
      <c r="A1375" t="s">
        <v>1401</v>
      </c>
      <c r="B1375">
        <v>0.999998419929286</v>
      </c>
      <c r="C1375">
        <v>0.845639683735403</v>
      </c>
      <c r="D1375">
        <v>1.07329900354172</v>
      </c>
      <c r="E1375">
        <v>1.15595300300414</v>
      </c>
      <c r="F1375">
        <v>1.26577356587807</v>
      </c>
      <c r="G1375">
        <v>1.24621078441241</v>
      </c>
      <c r="H1375">
        <v>1.08062664330692</v>
      </c>
      <c r="I1375">
        <v>0.640563336611584</v>
      </c>
      <c r="J1375">
        <v>0.717462229393561</v>
      </c>
      <c r="K1375">
        <v>0.739658968480097</v>
      </c>
      <c r="L1375">
        <v>5961.31330934464</v>
      </c>
      <c r="M1375">
        <v>100.63542091025</v>
      </c>
      <c r="O1375">
        <v>59.2133446314842</v>
      </c>
      <c r="P1375">
        <v>-0.129021014820255</v>
      </c>
      <c r="Q1375">
        <v>0.696338884386829</v>
      </c>
      <c r="R1375">
        <v>0.566058267088924</v>
      </c>
      <c r="S1375" t="s">
        <v>3059</v>
      </c>
      <c r="T1375" t="s">
        <v>3344</v>
      </c>
      <c r="U1375" t="s">
        <v>3344</v>
      </c>
      <c r="V1375" t="s">
        <v>3344</v>
      </c>
      <c r="W1375" t="s">
        <v>4716</v>
      </c>
      <c r="X1375">
        <v>12</v>
      </c>
      <c r="Y1375" t="s">
        <v>6374</v>
      </c>
      <c r="Z1375" t="s">
        <v>8032</v>
      </c>
      <c r="AA1375">
        <v>0.9216148730657083</v>
      </c>
      <c r="AB1375">
        <f>HYPERLINK("Melting_Curves/meltCurve_P62768_yaeH.pdf", "Melting_Curves/meltCurve_P62768_yaeH.pdf")</f>
        <v>0</v>
      </c>
    </row>
    <row r="1376" spans="1:28">
      <c r="A1376" t="s">
        <v>1402</v>
      </c>
      <c r="B1376">
        <v>0.999998419929286</v>
      </c>
      <c r="C1376">
        <v>0.880111276725248</v>
      </c>
      <c r="D1376">
        <v>0.8387067190990251</v>
      </c>
      <c r="E1376">
        <v>1.01254660505972</v>
      </c>
      <c r="F1376">
        <v>0.9833962036309341</v>
      </c>
      <c r="G1376">
        <v>1.39546482846169</v>
      </c>
      <c r="H1376">
        <v>1.19751840558163</v>
      </c>
      <c r="I1376">
        <v>1.21847182600955</v>
      </c>
      <c r="J1376">
        <v>1.15711188883774</v>
      </c>
      <c r="K1376">
        <v>1.29963733916145</v>
      </c>
      <c r="L1376">
        <v>12930.6571855782</v>
      </c>
      <c r="M1376">
        <v>250</v>
      </c>
      <c r="O1376">
        <v>51.7193187982293</v>
      </c>
      <c r="P1376">
        <v>0.306510938744952</v>
      </c>
      <c r="Q1376">
        <v>1.25364059119105</v>
      </c>
      <c r="R1376">
        <v>0.745645142539631</v>
      </c>
      <c r="S1376" t="s">
        <v>3060</v>
      </c>
      <c r="T1376" t="s">
        <v>3344</v>
      </c>
      <c r="U1376" t="s">
        <v>3344</v>
      </c>
      <c r="V1376" t="s">
        <v>3344</v>
      </c>
      <c r="W1376" t="s">
        <v>4717</v>
      </c>
      <c r="X1376">
        <v>6</v>
      </c>
      <c r="Y1376" t="s">
        <v>6375</v>
      </c>
      <c r="Z1376" t="s">
        <v>8033</v>
      </c>
      <c r="AA1376">
        <v>1.12914235902082</v>
      </c>
      <c r="AB1376">
        <f>HYPERLINK("Melting_Curves/meltCurve_P63020_nfuA.pdf", "Melting_Curves/meltCurve_P63020_nfuA.pdf")</f>
        <v>0</v>
      </c>
    </row>
    <row r="1377" spans="1:28">
      <c r="A1377" t="s">
        <v>1403</v>
      </c>
      <c r="B1377">
        <v>0.999998419929286</v>
      </c>
      <c r="C1377">
        <v>0.936995710209789</v>
      </c>
      <c r="D1377">
        <v>0.713177163188071</v>
      </c>
      <c r="E1377">
        <v>0.263884569431762</v>
      </c>
      <c r="F1377">
        <v>0.141139474589107</v>
      </c>
      <c r="G1377">
        <v>0.092609630799606</v>
      </c>
      <c r="H1377">
        <v>0.0434955222661418</v>
      </c>
      <c r="I1377">
        <v>0.0285367717615858</v>
      </c>
      <c r="J1377">
        <v>0.0307240897723101</v>
      </c>
      <c r="K1377">
        <v>0.0202539202826339</v>
      </c>
      <c r="L1377">
        <v>1023.52678004174</v>
      </c>
      <c r="M1377">
        <v>23.0057857070818</v>
      </c>
      <c r="N1377">
        <v>44.6559470174187</v>
      </c>
      <c r="O1377">
        <v>44.1579091324245</v>
      </c>
      <c r="P1377">
        <v>-0.12491253196954</v>
      </c>
      <c r="Q1377">
        <v>0.0409763701016262</v>
      </c>
      <c r="R1377">
        <v>0.997105728266992</v>
      </c>
      <c r="S1377" t="s">
        <v>3061</v>
      </c>
      <c r="T1377" t="s">
        <v>3344</v>
      </c>
      <c r="U1377" t="s">
        <v>3344</v>
      </c>
      <c r="V1377" t="s">
        <v>3344</v>
      </c>
      <c r="W1377" t="s">
        <v>4718</v>
      </c>
      <c r="X1377">
        <v>2</v>
      </c>
      <c r="Y1377" t="s">
        <v>6376</v>
      </c>
      <c r="Z1377" t="s">
        <v>8034</v>
      </c>
      <c r="AA1377">
        <v>0.2898039724299082</v>
      </c>
      <c r="AB1377">
        <f>HYPERLINK("Melting_Curves/meltCurve_P63177_rlmB.pdf", "Melting_Curves/meltCurve_P63177_rlmB.pdf")</f>
        <v>0</v>
      </c>
    </row>
    <row r="1378" spans="1:28">
      <c r="A1378" t="s">
        <v>1404</v>
      </c>
      <c r="B1378">
        <v>0.999998419929286</v>
      </c>
      <c r="C1378">
        <v>0.821509435445914</v>
      </c>
      <c r="D1378">
        <v>0.81036779487679</v>
      </c>
      <c r="E1378">
        <v>0.742363162105959</v>
      </c>
      <c r="F1378">
        <v>0.600079118756799</v>
      </c>
      <c r="G1378">
        <v>0.476129406815417</v>
      </c>
      <c r="H1378">
        <v>0.321138878495235</v>
      </c>
      <c r="I1378">
        <v>0.204756667388687</v>
      </c>
      <c r="J1378">
        <v>0.158827811108161</v>
      </c>
      <c r="K1378">
        <v>0.163391147092701</v>
      </c>
      <c r="L1378">
        <v>404.302501803057</v>
      </c>
      <c r="M1378">
        <v>7.75942898200839</v>
      </c>
      <c r="N1378">
        <v>52.1046719386017</v>
      </c>
      <c r="O1378">
        <v>48.983322157967</v>
      </c>
      <c r="P1378">
        <v>-0.0396526008675748</v>
      </c>
      <c r="Q1378">
        <v>0</v>
      </c>
      <c r="R1378">
        <v>0.980611573380379</v>
      </c>
      <c r="S1378" t="s">
        <v>3062</v>
      </c>
      <c r="T1378" t="s">
        <v>3344</v>
      </c>
      <c r="U1378" t="s">
        <v>3344</v>
      </c>
      <c r="V1378" t="s">
        <v>3344</v>
      </c>
      <c r="W1378" t="s">
        <v>4719</v>
      </c>
      <c r="X1378">
        <v>8</v>
      </c>
      <c r="Y1378" t="s">
        <v>6377</v>
      </c>
      <c r="Z1378" t="s">
        <v>8035</v>
      </c>
      <c r="AA1378">
        <v>0.5314246373832355</v>
      </c>
      <c r="AB1378">
        <f>HYPERLINK("Melting_Curves/meltCurve_P63224_gmhA.pdf", "Melting_Curves/meltCurve_P63224_gmhA.pdf")</f>
        <v>0</v>
      </c>
    </row>
    <row r="1379" spans="1:28">
      <c r="A1379" t="s">
        <v>1405</v>
      </c>
      <c r="B1379">
        <v>0.999998419929286</v>
      </c>
      <c r="C1379">
        <v>0.8256349435835461</v>
      </c>
      <c r="D1379">
        <v>0.937312877135235</v>
      </c>
      <c r="E1379">
        <v>0.830736056584736</v>
      </c>
      <c r="F1379">
        <v>0.388409266815527</v>
      </c>
      <c r="G1379">
        <v>0.174718814196548</v>
      </c>
      <c r="H1379">
        <v>0.07278947854924089</v>
      </c>
      <c r="I1379">
        <v>0.0492775886628531</v>
      </c>
      <c r="J1379">
        <v>0.0498638632877383</v>
      </c>
      <c r="K1379">
        <v>0.0366998838638007</v>
      </c>
      <c r="L1379">
        <v>1138.28639031396</v>
      </c>
      <c r="M1379">
        <v>23.1262419634804</v>
      </c>
      <c r="N1379">
        <v>49.401036057436</v>
      </c>
      <c r="O1379">
        <v>48.8569498943039</v>
      </c>
      <c r="P1379">
        <v>-0.113545122822639</v>
      </c>
      <c r="Q1379">
        <v>0.040507011313736</v>
      </c>
      <c r="R1379">
        <v>0.9791115206458459</v>
      </c>
      <c r="S1379" t="s">
        <v>3063</v>
      </c>
      <c r="T1379" t="s">
        <v>3344</v>
      </c>
      <c r="U1379" t="s">
        <v>3344</v>
      </c>
      <c r="V1379" t="s">
        <v>3344</v>
      </c>
      <c r="W1379" t="s">
        <v>4720</v>
      </c>
      <c r="X1379">
        <v>1</v>
      </c>
      <c r="Y1379" t="s">
        <v>6378</v>
      </c>
      <c r="Z1379" t="s">
        <v>8036</v>
      </c>
      <c r="AA1379">
        <v>0.4410137391180063</v>
      </c>
      <c r="AB1379">
        <f>HYPERLINK("Melting_Curves/meltCurve_P63229_gmhB.pdf", "Melting_Curves/meltCurve_P63229_gmhB.pdf")</f>
        <v>0</v>
      </c>
    </row>
    <row r="1380" spans="1:28">
      <c r="A1380" t="s">
        <v>1406</v>
      </c>
      <c r="B1380">
        <v>0.999998419929286</v>
      </c>
      <c r="C1380">
        <v>0.956057678632802</v>
      </c>
      <c r="D1380">
        <v>0.814381248922233</v>
      </c>
      <c r="E1380">
        <v>0.59190479324588</v>
      </c>
      <c r="F1380">
        <v>0.301457772628944</v>
      </c>
      <c r="G1380">
        <v>0.162464044708655</v>
      </c>
      <c r="H1380">
        <v>0.07257542084495371</v>
      </c>
      <c r="I1380">
        <v>0.0335076450688772</v>
      </c>
      <c r="J1380">
        <v>0.028217648080515</v>
      </c>
      <c r="K1380">
        <v>0.0236442626385936</v>
      </c>
      <c r="L1380">
        <v>718.261942510073</v>
      </c>
      <c r="M1380">
        <v>15.1136873921721</v>
      </c>
      <c r="N1380">
        <v>47.56840702883</v>
      </c>
      <c r="O1380">
        <v>46.7152425633537</v>
      </c>
      <c r="P1380">
        <v>-0.0803226772486291</v>
      </c>
      <c r="Q1380">
        <v>0.00701283435765535</v>
      </c>
      <c r="R1380">
        <v>0.999246656240231</v>
      </c>
      <c r="S1380" t="s">
        <v>3064</v>
      </c>
      <c r="T1380" t="s">
        <v>3344</v>
      </c>
      <c r="U1380" t="s">
        <v>3344</v>
      </c>
      <c r="V1380" t="s">
        <v>3344</v>
      </c>
      <c r="W1380" t="s">
        <v>4721</v>
      </c>
      <c r="X1380">
        <v>7</v>
      </c>
      <c r="Y1380" t="s">
        <v>6379</v>
      </c>
      <c r="Z1380" t="s">
        <v>8037</v>
      </c>
      <c r="AA1380">
        <v>0.3771614719906589</v>
      </c>
      <c r="AB1380">
        <f>HYPERLINK("Melting_Curves/meltCurve_P63235_gadC.pdf", "Melting_Curves/meltCurve_P63235_gadC.pdf")</f>
        <v>0</v>
      </c>
    </row>
    <row r="1381" spans="1:28">
      <c r="A1381" t="s">
        <v>1407</v>
      </c>
      <c r="B1381">
        <v>0.999998419929286</v>
      </c>
      <c r="C1381">
        <v>1.20404835440444</v>
      </c>
      <c r="D1381">
        <v>1.28041420326839</v>
      </c>
      <c r="E1381">
        <v>1.54639274061698</v>
      </c>
      <c r="F1381">
        <v>1.48075295579651</v>
      </c>
      <c r="G1381">
        <v>1.49883087139002</v>
      </c>
      <c r="H1381">
        <v>0.746083098385498</v>
      </c>
      <c r="I1381">
        <v>0.133960724068261</v>
      </c>
      <c r="J1381">
        <v>0.0565442263564157</v>
      </c>
      <c r="K1381">
        <v>0.0443719098320732</v>
      </c>
      <c r="L1381">
        <v>4560.94157653655</v>
      </c>
      <c r="M1381">
        <v>78.4255949979654</v>
      </c>
      <c r="N1381">
        <v>58.26724025749</v>
      </c>
      <c r="O1381">
        <v>58.118508732482</v>
      </c>
      <c r="P1381">
        <v>-0.313954246588681</v>
      </c>
      <c r="Q1381">
        <v>0.06935739862011971</v>
      </c>
      <c r="R1381">
        <v>0.735571803812832</v>
      </c>
      <c r="S1381" t="s">
        <v>3065</v>
      </c>
      <c r="T1381" t="s">
        <v>3344</v>
      </c>
      <c r="U1381" t="s">
        <v>3344</v>
      </c>
      <c r="V1381" t="s">
        <v>3344</v>
      </c>
      <c r="W1381" t="s">
        <v>4722</v>
      </c>
      <c r="X1381">
        <v>40</v>
      </c>
      <c r="Y1381" t="s">
        <v>6380</v>
      </c>
      <c r="Z1381" t="s">
        <v>8038</v>
      </c>
      <c r="AA1381">
        <v>0.7266216902254414</v>
      </c>
      <c r="AB1381">
        <f>HYPERLINK("Melting_Curves/meltCurve_P63284_clpB.pdf", "Melting_Curves/meltCurve_P63284_clpB.pdf")</f>
        <v>0</v>
      </c>
    </row>
    <row r="1382" spans="1:28">
      <c r="A1382" t="s">
        <v>1408</v>
      </c>
      <c r="B1382">
        <v>0.999998419929286</v>
      </c>
      <c r="C1382">
        <v>0.9526896951938501</v>
      </c>
      <c r="D1382">
        <v>0.7607343943221631</v>
      </c>
      <c r="E1382">
        <v>0.299355372617054</v>
      </c>
      <c r="F1382">
        <v>0.09683323690057841</v>
      </c>
      <c r="G1382">
        <v>0.0612200433219676</v>
      </c>
      <c r="H1382">
        <v>0.0430720940281244</v>
      </c>
      <c r="I1382">
        <v>0.0233118828256587</v>
      </c>
      <c r="J1382">
        <v>0.0219278780873541</v>
      </c>
      <c r="K1382">
        <v>0.0259959399397893</v>
      </c>
      <c r="L1382">
        <v>1122.53434262962</v>
      </c>
      <c r="M1382">
        <v>25.018220330513</v>
      </c>
      <c r="N1382">
        <v>44.9826228742029</v>
      </c>
      <c r="O1382">
        <v>44.5849454214102</v>
      </c>
      <c r="P1382">
        <v>-0.135979133324827</v>
      </c>
      <c r="Q1382">
        <v>0.0306998180238394</v>
      </c>
      <c r="R1382">
        <v>0.999589476472725</v>
      </c>
      <c r="S1382" t="s">
        <v>3066</v>
      </c>
      <c r="T1382" t="s">
        <v>3344</v>
      </c>
      <c r="U1382" t="s">
        <v>3344</v>
      </c>
      <c r="V1382" t="s">
        <v>3344</v>
      </c>
      <c r="W1382" t="s">
        <v>4723</v>
      </c>
      <c r="X1382">
        <v>3</v>
      </c>
      <c r="Y1382" t="s">
        <v>6381</v>
      </c>
      <c r="Z1382" t="s">
        <v>8039</v>
      </c>
      <c r="AA1382">
        <v>0.2928764543902875</v>
      </c>
      <c r="AB1382">
        <f>HYPERLINK("Melting_Curves/meltCurve_P63386_mlaF.pdf", "Melting_Curves/meltCurve_P63386_mlaF.pdf")</f>
        <v>0</v>
      </c>
    </row>
    <row r="1383" spans="1:28">
      <c r="A1383" t="s">
        <v>1409</v>
      </c>
      <c r="B1383">
        <v>0.999998419929286</v>
      </c>
      <c r="C1383">
        <v>1.26495384263001</v>
      </c>
      <c r="D1383">
        <v>0.866483010434553</v>
      </c>
      <c r="E1383">
        <v>0.474303185178633</v>
      </c>
      <c r="F1383">
        <v>0.389764487227891</v>
      </c>
      <c r="G1383">
        <v>0.418656228425592</v>
      </c>
      <c r="H1383">
        <v>0.297583638902275</v>
      </c>
      <c r="I1383">
        <v>0.255288924773646</v>
      </c>
      <c r="J1383">
        <v>0.287045365825667</v>
      </c>
      <c r="K1383">
        <v>0.325268656815317</v>
      </c>
      <c r="L1383">
        <v>1646.10133583705</v>
      </c>
      <c r="M1383">
        <v>36.5873093860287</v>
      </c>
      <c r="N1383">
        <v>46.324617356574</v>
      </c>
      <c r="O1383">
        <v>44.8572743913396</v>
      </c>
      <c r="P1383">
        <v>-0.137516989809517</v>
      </c>
      <c r="Q1383">
        <v>0.325600154110705</v>
      </c>
      <c r="R1383">
        <v>0.918364981577069</v>
      </c>
      <c r="S1383" t="s">
        <v>3067</v>
      </c>
      <c r="T1383" t="s">
        <v>3344</v>
      </c>
      <c r="U1383" t="s">
        <v>3344</v>
      </c>
      <c r="V1383" t="s">
        <v>3344</v>
      </c>
      <c r="W1383" t="s">
        <v>4724</v>
      </c>
      <c r="X1383">
        <v>3</v>
      </c>
      <c r="Y1383" t="s">
        <v>6382</v>
      </c>
      <c r="Z1383" t="s">
        <v>8040</v>
      </c>
      <c r="AA1383">
        <v>0.5077569898570665</v>
      </c>
      <c r="AB1383">
        <f>HYPERLINK("Melting_Curves/meltCurve_P63389_yheS.pdf", "Melting_Curves/meltCurve_P63389_yheS.pdf")</f>
        <v>0</v>
      </c>
    </row>
    <row r="1384" spans="1:28">
      <c r="A1384" t="s">
        <v>1410</v>
      </c>
      <c r="B1384">
        <v>0.999998419929286</v>
      </c>
      <c r="C1384">
        <v>0.32804854990859</v>
      </c>
      <c r="D1384">
        <v>0.34808105776251</v>
      </c>
      <c r="E1384">
        <v>0.199911652861907</v>
      </c>
      <c r="F1384">
        <v>0.06530698623220391</v>
      </c>
      <c r="G1384">
        <v>0.106651114746779</v>
      </c>
      <c r="H1384">
        <v>0</v>
      </c>
      <c r="I1384">
        <v>0.102373959411368</v>
      </c>
      <c r="J1384">
        <v>0.179922815855131</v>
      </c>
      <c r="K1384">
        <v>0</v>
      </c>
      <c r="L1384">
        <v>2190.06279657179</v>
      </c>
      <c r="M1384">
        <v>55.9880583765399</v>
      </c>
      <c r="N1384">
        <v>39.3153335214886</v>
      </c>
      <c r="O1384">
        <v>39.0667965952021</v>
      </c>
      <c r="P1384">
        <v>-0.314133613037038</v>
      </c>
      <c r="Q1384">
        <v>0.123228226282107</v>
      </c>
      <c r="R1384">
        <v>0.881428773228772</v>
      </c>
      <c r="S1384" t="s">
        <v>3068</v>
      </c>
      <c r="T1384" t="s">
        <v>3344</v>
      </c>
      <c r="U1384" t="s">
        <v>3344</v>
      </c>
      <c r="V1384" t="s">
        <v>3344</v>
      </c>
      <c r="W1384" t="s">
        <v>4725</v>
      </c>
      <c r="X1384">
        <v>1</v>
      </c>
      <c r="Y1384" t="s">
        <v>6383</v>
      </c>
      <c r="Z1384" t="s">
        <v>8041</v>
      </c>
      <c r="AA1384">
        <v>0.1869969455416724</v>
      </c>
      <c r="AB1384">
        <f>HYPERLINK("Melting_Curves/meltCurve_P63417_yhbS.pdf", "Melting_Curves/meltCurve_P63417_yhbS.pdf")</f>
        <v>0</v>
      </c>
    </row>
    <row r="1385" spans="1:28">
      <c r="A1385" t="s">
        <v>1411</v>
      </c>
      <c r="B1385">
        <v>0.999998419929286</v>
      </c>
      <c r="C1385">
        <v>1.14726088907177</v>
      </c>
      <c r="D1385">
        <v>1.20492167228482</v>
      </c>
      <c r="E1385">
        <v>1.29571531908515</v>
      </c>
      <c r="F1385">
        <v>0.814515621468081</v>
      </c>
      <c r="G1385">
        <v>0.164154886357365</v>
      </c>
      <c r="H1385">
        <v>0.0859609683803486</v>
      </c>
      <c r="I1385">
        <v>0.0343898394775624</v>
      </c>
      <c r="J1385">
        <v>0.0368067767815353</v>
      </c>
      <c r="K1385">
        <v>0</v>
      </c>
      <c r="L1385">
        <v>2629.6525618953</v>
      </c>
      <c r="M1385">
        <v>50.8482214274597</v>
      </c>
      <c r="N1385">
        <v>51.7981093172863</v>
      </c>
      <c r="O1385">
        <v>51.635936984252</v>
      </c>
      <c r="P1385">
        <v>-0.236623357103349</v>
      </c>
      <c r="Q1385">
        <v>0.0388450116147041</v>
      </c>
      <c r="R1385">
        <v>0.9440473894370111</v>
      </c>
      <c r="S1385" t="s">
        <v>3069</v>
      </c>
      <c r="T1385" t="s">
        <v>3344</v>
      </c>
      <c r="U1385" t="s">
        <v>3344</v>
      </c>
      <c r="V1385" t="s">
        <v>3344</v>
      </c>
      <c r="W1385" t="s">
        <v>4726</v>
      </c>
      <c r="X1385">
        <v>2</v>
      </c>
      <c r="Y1385" t="s">
        <v>6384</v>
      </c>
      <c r="Z1385" t="s">
        <v>8042</v>
      </c>
      <c r="AA1385">
        <v>0.5124338394404385</v>
      </c>
      <c r="AB1385">
        <f>HYPERLINK("Melting_Curves/meltCurve_P63883_amiC.pdf", "Melting_Curves/meltCurve_P63883_amiC.pdf")</f>
        <v>0</v>
      </c>
    </row>
    <row r="1386" spans="1:28">
      <c r="A1386" t="s">
        <v>1412</v>
      </c>
      <c r="B1386">
        <v>0.999998419929286</v>
      </c>
      <c r="C1386">
        <v>0.854639440266194</v>
      </c>
      <c r="D1386">
        <v>0.420880983984745</v>
      </c>
      <c r="E1386">
        <v>0.220361396354958</v>
      </c>
      <c r="F1386">
        <v>0.200304091424443</v>
      </c>
      <c r="G1386">
        <v>0.114575290253549</v>
      </c>
      <c r="H1386">
        <v>0.101537237629636</v>
      </c>
      <c r="I1386">
        <v>0.08170835997941189</v>
      </c>
      <c r="J1386">
        <v>0.0487700050537239</v>
      </c>
      <c r="K1386">
        <v>0.0844789792338911</v>
      </c>
      <c r="L1386">
        <v>1026.70531632757</v>
      </c>
      <c r="M1386">
        <v>24.2905297167954</v>
      </c>
      <c r="N1386">
        <v>42.6712532108623</v>
      </c>
      <c r="O1386">
        <v>41.9843813972691</v>
      </c>
      <c r="P1386">
        <v>-0.129799555946149</v>
      </c>
      <c r="Q1386">
        <v>0.102618097026898</v>
      </c>
      <c r="R1386">
        <v>0.986753364699284</v>
      </c>
      <c r="S1386" t="s">
        <v>3070</v>
      </c>
      <c r="T1386" t="s">
        <v>3344</v>
      </c>
      <c r="U1386" t="s">
        <v>3344</v>
      </c>
      <c r="V1386" t="s">
        <v>3344</v>
      </c>
      <c r="W1386" t="s">
        <v>4727</v>
      </c>
      <c r="X1386">
        <v>1</v>
      </c>
      <c r="Y1386" t="s">
        <v>6385</v>
      </c>
      <c r="Z1386" t="s">
        <v>8043</v>
      </c>
      <c r="AA1386">
        <v>0.2685501872287325</v>
      </c>
      <c r="AB1386">
        <f>HYPERLINK("Melting_Curves/meltCurve_P64423_zntB.pdf", "Melting_Curves/meltCurve_P64423_zntB.pdf")</f>
        <v>0</v>
      </c>
    </row>
    <row r="1387" spans="1:28">
      <c r="A1387" t="s">
        <v>1413</v>
      </c>
      <c r="B1387">
        <v>0.999998419929286</v>
      </c>
      <c r="C1387">
        <v>0.886901725555328</v>
      </c>
      <c r="D1387">
        <v>0.956909625359271</v>
      </c>
      <c r="E1387">
        <v>1.05670213336957</v>
      </c>
      <c r="F1387">
        <v>1.00324307063921</v>
      </c>
      <c r="G1387">
        <v>0.9911585571157699</v>
      </c>
      <c r="H1387">
        <v>0.8400852447264689</v>
      </c>
      <c r="I1387">
        <v>0.78365663024442</v>
      </c>
      <c r="J1387">
        <v>0.540935796918811</v>
      </c>
      <c r="K1387">
        <v>0.568647772900243</v>
      </c>
      <c r="L1387">
        <v>1344.89554075772</v>
      </c>
      <c r="M1387">
        <v>22.194857048843</v>
      </c>
      <c r="O1387">
        <v>60.1094639001376</v>
      </c>
      <c r="P1387">
        <v>-0.0474680649779774</v>
      </c>
      <c r="Q1387">
        <v>0.485787628723665</v>
      </c>
      <c r="R1387">
        <v>0.904242725543754</v>
      </c>
      <c r="S1387" t="s">
        <v>3071</v>
      </c>
      <c r="T1387" t="s">
        <v>3344</v>
      </c>
      <c r="U1387" t="s">
        <v>3344</v>
      </c>
      <c r="V1387" t="s">
        <v>3344</v>
      </c>
      <c r="W1387" t="s">
        <v>4728</v>
      </c>
      <c r="X1387">
        <v>2</v>
      </c>
      <c r="Y1387" t="s">
        <v>6386</v>
      </c>
      <c r="Z1387" t="s">
        <v>8044</v>
      </c>
      <c r="AA1387">
        <v>0.8900931010668072</v>
      </c>
      <c r="AB1387">
        <f>HYPERLINK("Melting_Curves/meltCurve_P64429_ypfJ.pdf", "Melting_Curves/meltCurve_P64429_ypfJ.pdf")</f>
        <v>0</v>
      </c>
    </row>
    <row r="1388" spans="1:28">
      <c r="A1388" t="s">
        <v>1414</v>
      </c>
      <c r="B1388">
        <v>0.999998419929286</v>
      </c>
      <c r="C1388">
        <v>0.782747180585432</v>
      </c>
      <c r="D1388">
        <v>0.939860403268726</v>
      </c>
      <c r="E1388">
        <v>1.10255921886154</v>
      </c>
      <c r="F1388">
        <v>1.52451539099749</v>
      </c>
      <c r="G1388">
        <v>1.73401888985461</v>
      </c>
      <c r="H1388">
        <v>1.18724432446955</v>
      </c>
      <c r="I1388">
        <v>0.66886145770802</v>
      </c>
      <c r="J1388">
        <v>0.76081994149498</v>
      </c>
      <c r="K1388">
        <v>0.870983166055424</v>
      </c>
      <c r="L1388">
        <v>4945.414146584</v>
      </c>
      <c r="M1388">
        <v>83.25868733141201</v>
      </c>
      <c r="O1388">
        <v>59.3639340157907</v>
      </c>
      <c r="P1388">
        <v>-0.0826704027232813</v>
      </c>
      <c r="Q1388">
        <v>0.764222091696385</v>
      </c>
      <c r="R1388">
        <v>0.113461396505722</v>
      </c>
      <c r="S1388" t="s">
        <v>3072</v>
      </c>
      <c r="T1388" t="s">
        <v>3344</v>
      </c>
      <c r="U1388" t="s">
        <v>3344</v>
      </c>
      <c r="V1388" t="s">
        <v>3344</v>
      </c>
      <c r="W1388" t="s">
        <v>4729</v>
      </c>
      <c r="X1388">
        <v>9</v>
      </c>
      <c r="Y1388" t="s">
        <v>6387</v>
      </c>
      <c r="Z1388" t="s">
        <v>8045</v>
      </c>
      <c r="AA1388">
        <v>0.9404766753810899</v>
      </c>
      <c r="AB1388">
        <f>HYPERLINK("Melting_Curves/meltCurve_P64451_ydcL.pdf", "Melting_Curves/meltCurve_P64451_ydcL.pdf")</f>
        <v>0</v>
      </c>
    </row>
    <row r="1389" spans="1:28">
      <c r="A1389" t="s">
        <v>1415</v>
      </c>
      <c r="B1389">
        <v>0.999998419929286</v>
      </c>
      <c r="C1389">
        <v>1.08213032674198</v>
      </c>
      <c r="D1389">
        <v>0.759442898781397</v>
      </c>
      <c r="E1389">
        <v>1.04200639873938</v>
      </c>
      <c r="F1389">
        <v>1.09424806969505</v>
      </c>
      <c r="G1389">
        <v>1.35207957009749</v>
      </c>
      <c r="H1389">
        <v>1.26077863574126</v>
      </c>
      <c r="I1389">
        <v>1.31062707075818</v>
      </c>
      <c r="J1389">
        <v>1.34403105066371</v>
      </c>
      <c r="K1389">
        <v>1.34919721807308</v>
      </c>
      <c r="L1389">
        <v>12594.587872224</v>
      </c>
      <c r="M1389">
        <v>250</v>
      </c>
      <c r="O1389">
        <v>50.3751230001462</v>
      </c>
      <c r="P1389">
        <v>0.401168606319367</v>
      </c>
      <c r="Q1389">
        <v>1.3233427154376</v>
      </c>
      <c r="R1389">
        <v>0.793067201324302</v>
      </c>
      <c r="S1389" t="s">
        <v>3073</v>
      </c>
      <c r="T1389" t="s">
        <v>3344</v>
      </c>
      <c r="U1389" t="s">
        <v>3344</v>
      </c>
      <c r="V1389" t="s">
        <v>3344</v>
      </c>
      <c r="W1389" t="s">
        <v>4730</v>
      </c>
      <c r="X1389">
        <v>1</v>
      </c>
      <c r="Y1389" t="s">
        <v>6388</v>
      </c>
      <c r="Z1389" t="s">
        <v>8046</v>
      </c>
      <c r="AA1389">
        <v>1.179121044382783</v>
      </c>
      <c r="AB1389">
        <f>HYPERLINK("Melting_Curves/meltCurve_P64455_ydcY.pdf", "Melting_Curves/meltCurve_P64455_ydcY.pdf")</f>
        <v>0</v>
      </c>
    </row>
    <row r="1390" spans="1:28">
      <c r="A1390" t="s">
        <v>1416</v>
      </c>
      <c r="B1390">
        <v>0.999998419929286</v>
      </c>
      <c r="C1390">
        <v>0.914822229743629</v>
      </c>
      <c r="D1390">
        <v>0.80694855697199</v>
      </c>
      <c r="E1390">
        <v>0.7969736158899841</v>
      </c>
      <c r="F1390">
        <v>0.585454474349305</v>
      </c>
      <c r="G1390">
        <v>0.554558409032652</v>
      </c>
      <c r="H1390">
        <v>0.508073352993878</v>
      </c>
      <c r="I1390">
        <v>0.5232537894554919</v>
      </c>
      <c r="J1390">
        <v>0.675461311423996</v>
      </c>
      <c r="K1390">
        <v>0.618284532222076</v>
      </c>
      <c r="L1390">
        <v>694.493026925259</v>
      </c>
      <c r="M1390">
        <v>15.6191359263702</v>
      </c>
      <c r="O1390">
        <v>43.7544862715888</v>
      </c>
      <c r="P1390">
        <v>-0.0385866950726577</v>
      </c>
      <c r="Q1390">
        <v>0.5676594858634481</v>
      </c>
      <c r="R1390">
        <v>0.872105353289073</v>
      </c>
      <c r="S1390" t="s">
        <v>3074</v>
      </c>
      <c r="T1390" t="s">
        <v>3344</v>
      </c>
      <c r="U1390" t="s">
        <v>3344</v>
      </c>
      <c r="V1390" t="s">
        <v>3344</v>
      </c>
      <c r="W1390" t="s">
        <v>4731</v>
      </c>
      <c r="X1390">
        <v>1</v>
      </c>
      <c r="Y1390" t="s">
        <v>6389</v>
      </c>
      <c r="Z1390" t="s">
        <v>8047</v>
      </c>
      <c r="AA1390">
        <v>0.6848969927311886</v>
      </c>
      <c r="AB1390">
        <f>HYPERLINK("Melting_Curves/meltCurve_P64461_lsrG.pdf", "Melting_Curves/meltCurve_P64461_lsrG.pdf")</f>
        <v>0</v>
      </c>
    </row>
    <row r="1391" spans="1:28">
      <c r="A1391" t="s">
        <v>1417</v>
      </c>
      <c r="B1391">
        <v>0.999998419929286</v>
      </c>
      <c r="C1391">
        <v>0.565284938182664</v>
      </c>
      <c r="D1391">
        <v>0.814857156057779</v>
      </c>
      <c r="E1391">
        <v>0.751208044509748</v>
      </c>
      <c r="F1391">
        <v>0.892147909199513</v>
      </c>
      <c r="G1391">
        <v>0.781092624842544</v>
      </c>
      <c r="H1391">
        <v>0.814502096426337</v>
      </c>
      <c r="I1391">
        <v>1.20771733265266</v>
      </c>
      <c r="J1391">
        <v>1.24990806941495</v>
      </c>
      <c r="K1391">
        <v>1.1176581571915</v>
      </c>
      <c r="S1391" t="s">
        <v>3075</v>
      </c>
      <c r="T1391" t="s">
        <v>3344</v>
      </c>
      <c r="U1391" t="s">
        <v>3345</v>
      </c>
      <c r="V1391" t="s">
        <v>3344</v>
      </c>
      <c r="W1391" t="s">
        <v>4732</v>
      </c>
      <c r="X1391">
        <v>2</v>
      </c>
      <c r="Y1391" t="s">
        <v>6390</v>
      </c>
      <c r="Z1391" t="s">
        <v>8048</v>
      </c>
      <c r="AB1391">
        <f>HYPERLINK("Melting_Curves/meltCurve_P64463_ydfZ.pdf", "Melting_Curves/meltCurve_P64463_ydfZ.pdf")</f>
        <v>0</v>
      </c>
    </row>
    <row r="1392" spans="1:28">
      <c r="A1392" t="s">
        <v>1418</v>
      </c>
      <c r="B1392">
        <v>0.999998419929286</v>
      </c>
      <c r="C1392">
        <v>1.15991069172778</v>
      </c>
      <c r="D1392">
        <v>0.562062186574611</v>
      </c>
      <c r="E1392">
        <v>0.746569651378264</v>
      </c>
      <c r="F1392">
        <v>0.855425597556553</v>
      </c>
      <c r="G1392">
        <v>0.977607655029274</v>
      </c>
      <c r="H1392">
        <v>0.712015039638215</v>
      </c>
      <c r="I1392">
        <v>0.765114253515625</v>
      </c>
      <c r="J1392">
        <v>0.638145623898501</v>
      </c>
      <c r="K1392">
        <v>0.65518543620619</v>
      </c>
      <c r="L1392">
        <v>168.538016988444</v>
      </c>
      <c r="M1392">
        <v>1.81937284479371</v>
      </c>
      <c r="O1392">
        <v>51.8136887310689</v>
      </c>
      <c r="P1392">
        <v>-0.00976117741455686</v>
      </c>
      <c r="Q1392">
        <v>0</v>
      </c>
      <c r="R1392">
        <v>0.289107826524743</v>
      </c>
      <c r="S1392" t="s">
        <v>3076</v>
      </c>
      <c r="T1392" t="s">
        <v>3344</v>
      </c>
      <c r="U1392" t="s">
        <v>3344</v>
      </c>
      <c r="V1392" t="s">
        <v>3344</v>
      </c>
      <c r="W1392" t="s">
        <v>4733</v>
      </c>
      <c r="X1392">
        <v>1</v>
      </c>
      <c r="Y1392" t="s">
        <v>6391</v>
      </c>
      <c r="Z1392" t="s">
        <v>8049</v>
      </c>
      <c r="AA1392">
        <v>0.805165934583955</v>
      </c>
      <c r="AB1392">
        <f>HYPERLINK("Melting_Curves/meltCurve_P64467_cnu.pdf", "Melting_Curves/meltCurve_P64467_cnu.pdf")</f>
        <v>0</v>
      </c>
    </row>
    <row r="1393" spans="1:28">
      <c r="A1393" t="s">
        <v>1419</v>
      </c>
      <c r="B1393">
        <v>0.999998419929286</v>
      </c>
      <c r="C1393">
        <v>0.934800914934769</v>
      </c>
      <c r="D1393">
        <v>0.689838273199429</v>
      </c>
      <c r="E1393">
        <v>0.870956161178588</v>
      </c>
      <c r="F1393">
        <v>0.964257060590225</v>
      </c>
      <c r="G1393">
        <v>1.26419254360402</v>
      </c>
      <c r="H1393">
        <v>1.33788256173427</v>
      </c>
      <c r="I1393">
        <v>1.29716766134893</v>
      </c>
      <c r="J1393">
        <v>1.41296292486726</v>
      </c>
      <c r="K1393">
        <v>1.24880960541564</v>
      </c>
      <c r="L1393">
        <v>13370.2622611238</v>
      </c>
      <c r="M1393">
        <v>250</v>
      </c>
      <c r="O1393">
        <v>53.4776267964888</v>
      </c>
      <c r="P1393">
        <v>0.378903425436415</v>
      </c>
      <c r="Q1393">
        <v>1.32420569414052</v>
      </c>
      <c r="R1393">
        <v>0.743945319530201</v>
      </c>
      <c r="S1393" t="s">
        <v>3077</v>
      </c>
      <c r="T1393" t="s">
        <v>3344</v>
      </c>
      <c r="U1393" t="s">
        <v>3344</v>
      </c>
      <c r="V1393" t="s">
        <v>3344</v>
      </c>
      <c r="W1393" t="s">
        <v>4734</v>
      </c>
      <c r="X1393">
        <v>1</v>
      </c>
      <c r="Y1393" t="s">
        <v>6392</v>
      </c>
      <c r="Z1393" t="s">
        <v>8050</v>
      </c>
      <c r="AA1393">
        <v>1.146066933188814</v>
      </c>
      <c r="AB1393">
        <f>HYPERLINK("Melting_Curves/meltCurve_P64479_ydiZ.pdf", "Melting_Curves/meltCurve_P64479_ydiZ.pdf")</f>
        <v>0</v>
      </c>
    </row>
    <row r="1394" spans="1:28">
      <c r="A1394" t="s">
        <v>1420</v>
      </c>
      <c r="B1394">
        <v>0.999998419929286</v>
      </c>
      <c r="C1394">
        <v>1.11962747276992</v>
      </c>
      <c r="D1394">
        <v>1.03052109148731</v>
      </c>
      <c r="E1394">
        <v>1.38834630157644</v>
      </c>
      <c r="F1394">
        <v>1.22385818810267</v>
      </c>
      <c r="G1394">
        <v>1.23449264284863</v>
      </c>
      <c r="H1394">
        <v>0.771320814164181</v>
      </c>
      <c r="I1394">
        <v>0.508139973567145</v>
      </c>
      <c r="J1394">
        <v>0.441531481441061</v>
      </c>
      <c r="K1394">
        <v>0.404670373363412</v>
      </c>
      <c r="L1394">
        <v>6363.52861822172</v>
      </c>
      <c r="M1394">
        <v>110.51911614996</v>
      </c>
      <c r="N1394">
        <v>58.8140586292033</v>
      </c>
      <c r="O1394">
        <v>57.5596881743363</v>
      </c>
      <c r="P1394">
        <v>-0.263555876991775</v>
      </c>
      <c r="Q1394">
        <v>0.450947709626944</v>
      </c>
      <c r="R1394">
        <v>0.760418392908881</v>
      </c>
      <c r="S1394" t="s">
        <v>3078</v>
      </c>
      <c r="T1394" t="s">
        <v>3344</v>
      </c>
      <c r="U1394" t="s">
        <v>3344</v>
      </c>
      <c r="V1394" t="s">
        <v>3344</v>
      </c>
      <c r="W1394" t="s">
        <v>4735</v>
      </c>
      <c r="X1394">
        <v>3</v>
      </c>
      <c r="Y1394" t="s">
        <v>6393</v>
      </c>
      <c r="Z1394" t="s">
        <v>8051</v>
      </c>
      <c r="AA1394">
        <v>0.8278548876286241</v>
      </c>
      <c r="AB1394">
        <f>HYPERLINK("Melting_Curves/meltCurve_P64483_yeaK.pdf", "Melting_Curves/meltCurve_P64483_yeaK.pdf")</f>
        <v>0</v>
      </c>
    </row>
    <row r="1395" spans="1:28">
      <c r="A1395" t="s">
        <v>1421</v>
      </c>
      <c r="B1395">
        <v>0.999998419929286</v>
      </c>
      <c r="C1395">
        <v>1.13167554739894</v>
      </c>
      <c r="D1395">
        <v>0.649840584805172</v>
      </c>
      <c r="E1395">
        <v>1.55402307439058</v>
      </c>
      <c r="F1395">
        <v>2.30092997084427</v>
      </c>
      <c r="G1395">
        <v>1.61235536733521</v>
      </c>
      <c r="H1395">
        <v>1.37934361516642</v>
      </c>
      <c r="I1395">
        <v>2.72001535003628</v>
      </c>
      <c r="J1395">
        <v>0.901492871704718</v>
      </c>
      <c r="K1395">
        <v>2.32095936294621</v>
      </c>
      <c r="L1395">
        <v>11225.472989247</v>
      </c>
      <c r="M1395">
        <v>250</v>
      </c>
      <c r="O1395">
        <v>44.8990182150507</v>
      </c>
      <c r="P1395">
        <v>0.696006306087217</v>
      </c>
      <c r="Q1395">
        <v>1.5</v>
      </c>
      <c r="R1395">
        <v>0.219281406972446</v>
      </c>
      <c r="S1395" t="s">
        <v>3079</v>
      </c>
      <c r="T1395" t="s">
        <v>3344</v>
      </c>
      <c r="U1395" t="s">
        <v>3344</v>
      </c>
      <c r="V1395" t="s">
        <v>3344</v>
      </c>
      <c r="W1395" t="s">
        <v>4736</v>
      </c>
      <c r="X1395">
        <v>2</v>
      </c>
      <c r="Y1395" t="s">
        <v>6394</v>
      </c>
      <c r="Z1395" t="s">
        <v>8052</v>
      </c>
      <c r="AA1395">
        <v>1.368262399656083</v>
      </c>
      <c r="AB1395">
        <f>HYPERLINK("Melting_Curves/meltCurve_P64503_yebV.pdf", "Melting_Curves/meltCurve_P64503_yebV.pdf")</f>
        <v>0</v>
      </c>
    </row>
    <row r="1396" spans="1:28">
      <c r="A1396" t="s">
        <v>1422</v>
      </c>
      <c r="B1396">
        <v>0.999998419929286</v>
      </c>
      <c r="C1396">
        <v>1.0497979917941</v>
      </c>
      <c r="D1396">
        <v>1.04415786035528</v>
      </c>
      <c r="E1396">
        <v>1.19331259537562</v>
      </c>
      <c r="F1396">
        <v>1.29847066848969</v>
      </c>
      <c r="G1396">
        <v>1.43521618062959</v>
      </c>
      <c r="H1396">
        <v>1.45926181804509</v>
      </c>
      <c r="I1396">
        <v>1.52552327958356</v>
      </c>
      <c r="J1396">
        <v>1.44301092435943</v>
      </c>
      <c r="K1396">
        <v>1.27248952528747</v>
      </c>
      <c r="L1396">
        <v>1007.6778103259</v>
      </c>
      <c r="M1396">
        <v>21.3331216284338</v>
      </c>
      <c r="O1396">
        <v>46.8261832403986</v>
      </c>
      <c r="P1396">
        <v>0.0490337328172907</v>
      </c>
      <c r="Q1396">
        <v>1.43050515327462</v>
      </c>
      <c r="R1396">
        <v>0.8801302990397361</v>
      </c>
      <c r="S1396" t="s">
        <v>3080</v>
      </c>
      <c r="T1396" t="s">
        <v>3344</v>
      </c>
      <c r="U1396" t="s">
        <v>3344</v>
      </c>
      <c r="V1396" t="s">
        <v>3344</v>
      </c>
      <c r="W1396" t="s">
        <v>4737</v>
      </c>
      <c r="X1396">
        <v>2</v>
      </c>
      <c r="Y1396" t="s">
        <v>6395</v>
      </c>
      <c r="Z1396" t="s">
        <v>8053</v>
      </c>
      <c r="AA1396">
        <v>1.278653843597524</v>
      </c>
      <c r="AB1396">
        <f>HYPERLINK("Melting_Curves/meltCurve_P64506_yebY.pdf", "Melting_Curves/meltCurve_P64506_yebY.pdf")</f>
        <v>0</v>
      </c>
    </row>
    <row r="1397" spans="1:28">
      <c r="A1397" t="s">
        <v>1423</v>
      </c>
      <c r="B1397">
        <v>0.999998419929286</v>
      </c>
      <c r="C1397">
        <v>0.788217107092543</v>
      </c>
      <c r="D1397">
        <v>0.942662349007475</v>
      </c>
      <c r="E1397">
        <v>0.931823059451009</v>
      </c>
      <c r="F1397">
        <v>1.02981184393744</v>
      </c>
      <c r="G1397">
        <v>1.06332329221226</v>
      </c>
      <c r="H1397">
        <v>0.943489012292907</v>
      </c>
      <c r="I1397">
        <v>0.59399722211202</v>
      </c>
      <c r="J1397">
        <v>0.554668531011254</v>
      </c>
      <c r="K1397">
        <v>0.339353630701042</v>
      </c>
      <c r="L1397">
        <v>2077.16646108196</v>
      </c>
      <c r="M1397">
        <v>34.3311902803446</v>
      </c>
      <c r="N1397">
        <v>63.1138469451576</v>
      </c>
      <c r="O1397">
        <v>60.2995887145766</v>
      </c>
      <c r="P1397">
        <v>-0.088374583954106</v>
      </c>
      <c r="Q1397">
        <v>0.379114941589031</v>
      </c>
      <c r="R1397">
        <v>0.858157478984196</v>
      </c>
      <c r="S1397" t="s">
        <v>3081</v>
      </c>
      <c r="T1397" t="s">
        <v>3344</v>
      </c>
      <c r="U1397" t="s">
        <v>3344</v>
      </c>
      <c r="V1397" t="s">
        <v>3344</v>
      </c>
      <c r="W1397" t="s">
        <v>4738</v>
      </c>
      <c r="X1397">
        <v>2</v>
      </c>
      <c r="Y1397" t="s">
        <v>6396</v>
      </c>
      <c r="Z1397" t="s">
        <v>8054</v>
      </c>
      <c r="AA1397">
        <v>0.8674013289719479</v>
      </c>
      <c r="AB1397">
        <f>HYPERLINK("Melting_Curves/meltCurve_P64515_yecN.pdf", "Melting_Curves/meltCurve_P64515_yecN.pdf")</f>
        <v>0</v>
      </c>
    </row>
    <row r="1398" spans="1:28">
      <c r="A1398" t="s">
        <v>1424</v>
      </c>
      <c r="B1398">
        <v>0.999998419929286</v>
      </c>
      <c r="C1398">
        <v>1.2023950538636</v>
      </c>
      <c r="D1398">
        <v>0.834514484365703</v>
      </c>
      <c r="E1398">
        <v>1.35627843058203</v>
      </c>
      <c r="F1398">
        <v>1.37495115744281</v>
      </c>
      <c r="G1398">
        <v>2.34530427007207</v>
      </c>
      <c r="H1398">
        <v>2.15468928142656</v>
      </c>
      <c r="I1398">
        <v>1.88704372790904</v>
      </c>
      <c r="J1398">
        <v>1.8110332267864</v>
      </c>
      <c r="K1398">
        <v>1.5171413004073</v>
      </c>
      <c r="L1398">
        <v>8708.4449976289</v>
      </c>
      <c r="M1398">
        <v>187.784329499661</v>
      </c>
      <c r="O1398">
        <v>46.3694566678919</v>
      </c>
      <c r="P1398">
        <v>0.506217732672319</v>
      </c>
      <c r="Q1398">
        <v>1.5</v>
      </c>
      <c r="R1398">
        <v>0.325213277506093</v>
      </c>
      <c r="S1398" t="s">
        <v>3082</v>
      </c>
      <c r="T1398" t="s">
        <v>3344</v>
      </c>
      <c r="U1398" t="s">
        <v>3344</v>
      </c>
      <c r="V1398" t="s">
        <v>3344</v>
      </c>
      <c r="W1398" t="s">
        <v>4739</v>
      </c>
      <c r="X1398">
        <v>1</v>
      </c>
      <c r="Y1398" t="s">
        <v>6397</v>
      </c>
      <c r="Z1398" t="s">
        <v>8055</v>
      </c>
      <c r="AA1398">
        <v>1.343682591751786</v>
      </c>
      <c r="AB1398">
        <f>HYPERLINK("Melting_Curves/meltCurve_P64519_yodD.pdf", "Melting_Curves/meltCurve_P64519_yodD.pdf")</f>
        <v>0</v>
      </c>
    </row>
    <row r="1399" spans="1:28">
      <c r="A1399" t="s">
        <v>1425</v>
      </c>
      <c r="B1399">
        <v>0.999998419929286</v>
      </c>
      <c r="C1399">
        <v>0.94672621486335</v>
      </c>
      <c r="D1399">
        <v>0.776771669997063</v>
      </c>
      <c r="E1399">
        <v>0.832563779136077</v>
      </c>
      <c r="F1399">
        <v>0.672679181521125</v>
      </c>
      <c r="G1399">
        <v>0.847384811026806</v>
      </c>
      <c r="H1399">
        <v>0.871216657610365</v>
      </c>
      <c r="I1399">
        <v>0.647962748469574</v>
      </c>
      <c r="J1399">
        <v>0.611889235750586</v>
      </c>
      <c r="K1399">
        <v>0.612686622110856</v>
      </c>
      <c r="L1399">
        <v>174.07766538531</v>
      </c>
      <c r="M1399">
        <v>2.07787431710891</v>
      </c>
      <c r="O1399">
        <v>50.9262273411345</v>
      </c>
      <c r="P1399">
        <v>-0.0110357549765613</v>
      </c>
      <c r="Q1399">
        <v>0</v>
      </c>
      <c r="R1399">
        <v>0.628591475377219</v>
      </c>
      <c r="S1399" t="s">
        <v>3083</v>
      </c>
      <c r="T1399" t="s">
        <v>3344</v>
      </c>
      <c r="U1399" t="s">
        <v>3344</v>
      </c>
      <c r="V1399" t="s">
        <v>3344</v>
      </c>
      <c r="W1399" t="s">
        <v>4740</v>
      </c>
      <c r="X1399">
        <v>1</v>
      </c>
      <c r="Y1399" t="s">
        <v>6398</v>
      </c>
      <c r="Z1399" t="s">
        <v>8056</v>
      </c>
      <c r="AA1399">
        <v>0.7808988407949851</v>
      </c>
      <c r="AB1399">
        <f>HYPERLINK("Melting_Curves/meltCurve_P64530_rcnR.pdf", "Melting_Curves/meltCurve_P64530_rcnR.pdf")</f>
        <v>0</v>
      </c>
    </row>
    <row r="1400" spans="1:28">
      <c r="A1400" t="s">
        <v>1426</v>
      </c>
      <c r="B1400">
        <v>0.999998419929286</v>
      </c>
      <c r="C1400">
        <v>0.821825562610233</v>
      </c>
      <c r="D1400">
        <v>0.674373845997033</v>
      </c>
      <c r="E1400">
        <v>0.59817662631068</v>
      </c>
      <c r="F1400">
        <v>0.596597663996389</v>
      </c>
      <c r="G1400">
        <v>0.41995502644833</v>
      </c>
      <c r="H1400">
        <v>0.291899431632511</v>
      </c>
      <c r="I1400">
        <v>0.745424045146475</v>
      </c>
      <c r="J1400">
        <v>0.594242133000764</v>
      </c>
      <c r="K1400">
        <v>0.509351079095356</v>
      </c>
      <c r="L1400">
        <v>833.491181991811</v>
      </c>
      <c r="M1400">
        <v>20.1578008746017</v>
      </c>
      <c r="O1400">
        <v>40.9478610840259</v>
      </c>
      <c r="P1400">
        <v>-0.0583230871807819</v>
      </c>
      <c r="Q1400">
        <v>0.526113186663871</v>
      </c>
      <c r="R1400">
        <v>0.652672972749392</v>
      </c>
      <c r="S1400" t="s">
        <v>3084</v>
      </c>
      <c r="T1400" t="s">
        <v>3344</v>
      </c>
      <c r="U1400" t="s">
        <v>3344</v>
      </c>
      <c r="V1400" t="s">
        <v>3344</v>
      </c>
      <c r="W1400" t="s">
        <v>4741</v>
      </c>
      <c r="X1400">
        <v>3</v>
      </c>
      <c r="Y1400" t="s">
        <v>6399</v>
      </c>
      <c r="Z1400" t="s">
        <v>8057</v>
      </c>
      <c r="AA1400">
        <v>0.6023726928944477</v>
      </c>
      <c r="AB1400">
        <f>HYPERLINK("Melting_Curves/meltCurve_P64534_rcnB.pdf", "Melting_Curves/meltCurve_P64534_rcnB.pdf")</f>
        <v>0</v>
      </c>
    </row>
    <row r="1401" spans="1:28">
      <c r="A1401" t="s">
        <v>1427</v>
      </c>
      <c r="B1401">
        <v>0.999998419929286</v>
      </c>
      <c r="C1401">
        <v>0.55338778952413</v>
      </c>
      <c r="D1401">
        <v>0.512107316632392</v>
      </c>
      <c r="E1401">
        <v>0.37895337873658</v>
      </c>
      <c r="F1401">
        <v>0.423168857098433</v>
      </c>
      <c r="G1401">
        <v>0.518932122901018</v>
      </c>
      <c r="H1401">
        <v>0.36366284819524</v>
      </c>
      <c r="I1401">
        <v>0.255026901546649</v>
      </c>
      <c r="J1401">
        <v>0.351796182860459</v>
      </c>
      <c r="K1401">
        <v>0.408869061762497</v>
      </c>
      <c r="L1401">
        <v>2245.51228234306</v>
      </c>
      <c r="M1401">
        <v>57.2938128129807</v>
      </c>
      <c r="N1401">
        <v>40.3292608567466</v>
      </c>
      <c r="O1401">
        <v>39.1452663872798</v>
      </c>
      <c r="P1401">
        <v>-0.219365727404538</v>
      </c>
      <c r="Q1401">
        <v>0.400484965535516</v>
      </c>
      <c r="R1401">
        <v>0.862108531538304</v>
      </c>
      <c r="S1401" t="s">
        <v>3085</v>
      </c>
      <c r="T1401" t="s">
        <v>3344</v>
      </c>
      <c r="U1401" t="s">
        <v>3344</v>
      </c>
      <c r="V1401" t="s">
        <v>3344</v>
      </c>
      <c r="W1401" t="s">
        <v>4742</v>
      </c>
      <c r="X1401">
        <v>1</v>
      </c>
      <c r="Y1401" t="s">
        <v>6400</v>
      </c>
      <c r="Z1401" t="s">
        <v>8058</v>
      </c>
      <c r="AA1401">
        <v>0.4454853053974115</v>
      </c>
      <c r="AB1401">
        <f>HYPERLINK("Melting_Curves/meltCurve_P64554_queE.pdf", "Melting_Curves/meltCurve_P64554_queE.pdf")</f>
        <v>0</v>
      </c>
    </row>
    <row r="1402" spans="1:28">
      <c r="A1402" t="s">
        <v>1428</v>
      </c>
      <c r="B1402">
        <v>0.999998419929286</v>
      </c>
      <c r="C1402">
        <v>0.629457315645732</v>
      </c>
      <c r="D1402">
        <v>0.728363691544902</v>
      </c>
      <c r="E1402">
        <v>0.6648548968156029</v>
      </c>
      <c r="F1402">
        <v>0.563576432891804</v>
      </c>
      <c r="G1402">
        <v>0.516307549225461</v>
      </c>
      <c r="H1402">
        <v>0.465840944942425</v>
      </c>
      <c r="I1402">
        <v>0.285962891338477</v>
      </c>
      <c r="J1402">
        <v>0.274086803693758</v>
      </c>
      <c r="K1402">
        <v>0.287867362102178</v>
      </c>
      <c r="L1402">
        <v>234.514185294409</v>
      </c>
      <c r="M1402">
        <v>4.45948365414435</v>
      </c>
      <c r="N1402">
        <v>52.587744106556</v>
      </c>
      <c r="O1402">
        <v>44.5834578596815</v>
      </c>
      <c r="P1402">
        <v>-0.0252317641814772</v>
      </c>
      <c r="Q1402">
        <v>0</v>
      </c>
      <c r="R1402">
        <v>0.874230280390935</v>
      </c>
      <c r="S1402" t="s">
        <v>3086</v>
      </c>
      <c r="T1402" t="s">
        <v>3344</v>
      </c>
      <c r="U1402" t="s">
        <v>3344</v>
      </c>
      <c r="V1402" t="s">
        <v>3344</v>
      </c>
      <c r="W1402" t="s">
        <v>4743</v>
      </c>
      <c r="X1402">
        <v>1</v>
      </c>
      <c r="Y1402" t="s">
        <v>6401</v>
      </c>
      <c r="Z1402" t="s">
        <v>8059</v>
      </c>
      <c r="AA1402">
        <v>0.5361226809125832</v>
      </c>
      <c r="AB1402">
        <f>HYPERLINK("Melting_Curves/meltCurve_P64564_yggT.pdf", "Melting_Curves/meltCurve_P64564_yggT.pdf")</f>
        <v>0</v>
      </c>
    </row>
    <row r="1403" spans="1:28">
      <c r="A1403" t="s">
        <v>1429</v>
      </c>
      <c r="B1403">
        <v>0.999998419929286</v>
      </c>
      <c r="C1403">
        <v>1.0088996522024</v>
      </c>
      <c r="D1403">
        <v>0.894347811249658</v>
      </c>
      <c r="E1403">
        <v>1.12150493080623</v>
      </c>
      <c r="F1403">
        <v>0.9486147721895219</v>
      </c>
      <c r="G1403">
        <v>1.1515326864374</v>
      </c>
      <c r="H1403">
        <v>0.9507136156903579</v>
      </c>
      <c r="I1403">
        <v>0.7180692040961461</v>
      </c>
      <c r="J1403">
        <v>0.601649340971773</v>
      </c>
      <c r="K1403">
        <v>0.601740226327944</v>
      </c>
      <c r="L1403">
        <v>3092.50982412072</v>
      </c>
      <c r="M1403">
        <v>51.5735952493933</v>
      </c>
      <c r="O1403">
        <v>59.8731019494477</v>
      </c>
      <c r="P1403">
        <v>-0.08721869781601919</v>
      </c>
      <c r="Q1403">
        <v>0.594982708911067</v>
      </c>
      <c r="R1403">
        <v>0.850981515792734</v>
      </c>
      <c r="S1403" t="s">
        <v>3087</v>
      </c>
      <c r="T1403" t="s">
        <v>3344</v>
      </c>
      <c r="U1403" t="s">
        <v>3344</v>
      </c>
      <c r="V1403" t="s">
        <v>3344</v>
      </c>
      <c r="W1403" t="s">
        <v>4744</v>
      </c>
      <c r="X1403">
        <v>3</v>
      </c>
      <c r="Y1403" t="s">
        <v>6402</v>
      </c>
      <c r="Z1403" t="s">
        <v>8060</v>
      </c>
      <c r="AA1403">
        <v>0.9059127214335663</v>
      </c>
      <c r="AB1403">
        <f>HYPERLINK("Melting_Curves/meltCurve_P64581_yqjD.pdf", "Melting_Curves/meltCurve_P64581_yqjD.pdf")</f>
        <v>0</v>
      </c>
    </row>
    <row r="1404" spans="1:28">
      <c r="A1404" t="s">
        <v>1430</v>
      </c>
      <c r="B1404">
        <v>0.999998419929286</v>
      </c>
      <c r="C1404">
        <v>0.673261849616088</v>
      </c>
      <c r="D1404">
        <v>0.907987533829589</v>
      </c>
      <c r="E1404">
        <v>0.917827925817806</v>
      </c>
      <c r="F1404">
        <v>1.05893324391839</v>
      </c>
      <c r="G1404">
        <v>1.0595203936518</v>
      </c>
      <c r="H1404">
        <v>0.825693600402874</v>
      </c>
      <c r="I1404">
        <v>0.517416058091079</v>
      </c>
      <c r="J1404">
        <v>0.403382127324653</v>
      </c>
      <c r="K1404">
        <v>0.355674509862436</v>
      </c>
      <c r="L1404">
        <v>2276.81049586628</v>
      </c>
      <c r="M1404">
        <v>38.5356602503063</v>
      </c>
      <c r="N1404">
        <v>61.135939753476</v>
      </c>
      <c r="O1404">
        <v>58.9247800401366</v>
      </c>
      <c r="P1404">
        <v>-0.104163103687257</v>
      </c>
      <c r="Q1404">
        <v>0.362899454379473</v>
      </c>
      <c r="R1404">
        <v>0.795327980865505</v>
      </c>
      <c r="S1404" t="s">
        <v>3088</v>
      </c>
      <c r="T1404" t="s">
        <v>3344</v>
      </c>
      <c r="U1404" t="s">
        <v>3344</v>
      </c>
      <c r="V1404" t="s">
        <v>3344</v>
      </c>
      <c r="W1404" t="s">
        <v>4745</v>
      </c>
      <c r="X1404">
        <v>2</v>
      </c>
      <c r="Y1404" t="s">
        <v>6403</v>
      </c>
      <c r="Z1404" t="s">
        <v>8061</v>
      </c>
      <c r="AA1404">
        <v>0.8342126553527329</v>
      </c>
      <c r="AB1404">
        <f>HYPERLINK("Melting_Curves/meltCurve_P64585_yqjE.pdf", "Melting_Curves/meltCurve_P64585_yqjE.pdf")</f>
        <v>0</v>
      </c>
    </row>
    <row r="1405" spans="1:28">
      <c r="A1405" t="s">
        <v>1431</v>
      </c>
      <c r="B1405">
        <v>0.999998419929286</v>
      </c>
      <c r="C1405">
        <v>1.01119958801139</v>
      </c>
      <c r="D1405">
        <v>1.02810198513057</v>
      </c>
      <c r="E1405">
        <v>1.0407676491801</v>
      </c>
      <c r="F1405">
        <v>1.18075263701307</v>
      </c>
      <c r="G1405">
        <v>1.24660390771245</v>
      </c>
      <c r="H1405">
        <v>1.18866931395655</v>
      </c>
      <c r="I1405">
        <v>1.06058590968726</v>
      </c>
      <c r="J1405">
        <v>1.19450498966943</v>
      </c>
      <c r="K1405">
        <v>1.13398589456896</v>
      </c>
      <c r="L1405">
        <v>11702.8594718035</v>
      </c>
      <c r="M1405">
        <v>250</v>
      </c>
      <c r="O1405">
        <v>46.8084421774513</v>
      </c>
      <c r="P1405">
        <v>0.223673740680415</v>
      </c>
      <c r="Q1405">
        <v>1.16751710983547</v>
      </c>
      <c r="R1405">
        <v>0.712633597006345</v>
      </c>
      <c r="S1405" t="s">
        <v>3089</v>
      </c>
      <c r="T1405" t="s">
        <v>3344</v>
      </c>
      <c r="U1405" t="s">
        <v>3344</v>
      </c>
      <c r="V1405" t="s">
        <v>3344</v>
      </c>
      <c r="W1405" t="s">
        <v>4746</v>
      </c>
      <c r="X1405">
        <v>2</v>
      </c>
      <c r="Y1405" t="s">
        <v>6404</v>
      </c>
      <c r="Z1405" t="s">
        <v>8062</v>
      </c>
      <c r="AA1405">
        <v>1.112717223804709</v>
      </c>
      <c r="AB1405">
        <f>HYPERLINK("Melting_Curves/meltCurve_P64588_yqjI.pdf", "Melting_Curves/meltCurve_P64588_yqjI.pdf")</f>
        <v>0</v>
      </c>
    </row>
    <row r="1406" spans="1:28">
      <c r="A1406" t="s">
        <v>1432</v>
      </c>
      <c r="B1406">
        <v>0.999998419929286</v>
      </c>
      <c r="C1406">
        <v>0.840392658367811</v>
      </c>
      <c r="D1406">
        <v>0.979241550265777</v>
      </c>
      <c r="E1406">
        <v>0.990429235748837</v>
      </c>
      <c r="F1406">
        <v>1.20966455219379</v>
      </c>
      <c r="G1406">
        <v>1.30602019904819</v>
      </c>
      <c r="H1406">
        <v>0.938379172254089</v>
      </c>
      <c r="I1406">
        <v>0.406027879404028</v>
      </c>
      <c r="J1406">
        <v>0.297688144984024</v>
      </c>
      <c r="K1406">
        <v>0.278209830740241</v>
      </c>
      <c r="L1406">
        <v>3983.66656646878</v>
      </c>
      <c r="M1406">
        <v>66.91167750199661</v>
      </c>
      <c r="N1406">
        <v>60.2972656507452</v>
      </c>
      <c r="O1406">
        <v>59.4830823600207</v>
      </c>
      <c r="P1406">
        <v>-0.201037801066031</v>
      </c>
      <c r="Q1406">
        <v>0.28512659222426</v>
      </c>
      <c r="R1406">
        <v>0.866236423622833</v>
      </c>
      <c r="S1406" t="s">
        <v>3090</v>
      </c>
      <c r="T1406" t="s">
        <v>3344</v>
      </c>
      <c r="U1406" t="s">
        <v>3344</v>
      </c>
      <c r="V1406" t="s">
        <v>3344</v>
      </c>
      <c r="W1406" t="s">
        <v>4747</v>
      </c>
      <c r="X1406">
        <v>8</v>
      </c>
      <c r="Y1406" t="s">
        <v>6405</v>
      </c>
      <c r="Z1406" t="s">
        <v>8063</v>
      </c>
      <c r="AA1406">
        <v>0.8231737148234799</v>
      </c>
      <c r="AB1406">
        <f>HYPERLINK("Melting_Curves/meltCurve_P64596_yraP.pdf", "Melting_Curves/meltCurve_P64596_yraP.pdf")</f>
        <v>0</v>
      </c>
    </row>
    <row r="1407" spans="1:28">
      <c r="A1407" t="s">
        <v>1433</v>
      </c>
      <c r="B1407">
        <v>0.999998419929286</v>
      </c>
      <c r="C1407">
        <v>0.864245866384738</v>
      </c>
      <c r="D1407">
        <v>0.823134194686444</v>
      </c>
      <c r="E1407">
        <v>0.855745033560658</v>
      </c>
      <c r="F1407">
        <v>0.869935336799904</v>
      </c>
      <c r="G1407">
        <v>0.844097878614023</v>
      </c>
      <c r="H1407">
        <v>0.762734477743792</v>
      </c>
      <c r="I1407">
        <v>0.893288225353761</v>
      </c>
      <c r="J1407">
        <v>0.98339417276156</v>
      </c>
      <c r="K1407">
        <v>0.75651033200259</v>
      </c>
      <c r="L1407">
        <v>9888.77787415336</v>
      </c>
      <c r="M1407">
        <v>250</v>
      </c>
      <c r="O1407">
        <v>39.5525695366144</v>
      </c>
      <c r="P1407">
        <v>-0.23923066879127</v>
      </c>
      <c r="Q1407">
        <v>0.8486049564636809</v>
      </c>
      <c r="R1407">
        <v>0.353912609372805</v>
      </c>
      <c r="S1407" t="s">
        <v>3091</v>
      </c>
      <c r="T1407" t="s">
        <v>3344</v>
      </c>
      <c r="U1407" t="s">
        <v>3344</v>
      </c>
      <c r="V1407" t="s">
        <v>3344</v>
      </c>
      <c r="W1407" t="s">
        <v>4748</v>
      </c>
      <c r="X1407">
        <v>3</v>
      </c>
      <c r="Y1407" t="s">
        <v>6406</v>
      </c>
      <c r="Z1407" t="s">
        <v>8064</v>
      </c>
      <c r="AA1407">
        <v>0.8615098399941233</v>
      </c>
      <c r="AB1407">
        <f>HYPERLINK("Melting_Curves/meltCurve_P64602_mlaB.pdf", "Melting_Curves/meltCurve_P64602_mlaB.pdf")</f>
        <v>0</v>
      </c>
    </row>
    <row r="1408" spans="1:28">
      <c r="A1408" t="s">
        <v>1434</v>
      </c>
      <c r="B1408">
        <v>0.999998419929286</v>
      </c>
      <c r="C1408">
        <v>1.04976188676681</v>
      </c>
      <c r="D1408">
        <v>0.95208988990412</v>
      </c>
      <c r="E1408">
        <v>1.0320085463525</v>
      </c>
      <c r="F1408">
        <v>1.10981848095747</v>
      </c>
      <c r="G1408">
        <v>1.04916378657933</v>
      </c>
      <c r="H1408">
        <v>0.889124638392721</v>
      </c>
      <c r="I1408">
        <v>0.733011901975118</v>
      </c>
      <c r="J1408">
        <v>0.610718370131369</v>
      </c>
      <c r="K1408">
        <v>0.504157999785587</v>
      </c>
      <c r="L1408">
        <v>1614.57588053684</v>
      </c>
      <c r="M1408">
        <v>26.4589669703664</v>
      </c>
      <c r="O1408">
        <v>60.6765056914719</v>
      </c>
      <c r="P1408">
        <v>-0.0574666929114734</v>
      </c>
      <c r="Q1408">
        <v>0.472868210461585</v>
      </c>
      <c r="R1408">
        <v>0.938463068281036</v>
      </c>
      <c r="S1408" t="s">
        <v>3092</v>
      </c>
      <c r="T1408" t="s">
        <v>3344</v>
      </c>
      <c r="U1408" t="s">
        <v>3344</v>
      </c>
      <c r="V1408" t="s">
        <v>3344</v>
      </c>
      <c r="W1408" t="s">
        <v>4749</v>
      </c>
      <c r="X1408">
        <v>4</v>
      </c>
      <c r="Y1408" t="s">
        <v>6407</v>
      </c>
      <c r="Z1408" t="s">
        <v>8065</v>
      </c>
      <c r="AA1408">
        <v>0.8952657708801998</v>
      </c>
      <c r="AB1408">
        <f>HYPERLINK("Melting_Curves/meltCurve_P64604_mlaD.pdf", "Melting_Curves/meltCurve_P64604_mlaD.pdf")</f>
        <v>0</v>
      </c>
    </row>
    <row r="1409" spans="1:28">
      <c r="A1409" t="s">
        <v>1435</v>
      </c>
      <c r="B1409">
        <v>0.999998419929286</v>
      </c>
      <c r="C1409">
        <v>1.61909965226895</v>
      </c>
      <c r="D1409">
        <v>0.811118487595973</v>
      </c>
      <c r="E1409">
        <v>1.51241526636356</v>
      </c>
      <c r="F1409">
        <v>1.31742556824778</v>
      </c>
      <c r="G1409">
        <v>1.71276791025558</v>
      </c>
      <c r="H1409">
        <v>1.39234153056084</v>
      </c>
      <c r="I1409">
        <v>0.955727805318071</v>
      </c>
      <c r="J1409">
        <v>0.492239365217756</v>
      </c>
      <c r="K1409">
        <v>0.500947374488769</v>
      </c>
      <c r="L1409">
        <v>15000</v>
      </c>
      <c r="M1409">
        <v>243.5627083446</v>
      </c>
      <c r="N1409">
        <v>62.8722711479453</v>
      </c>
      <c r="O1409">
        <v>61.5816167210022</v>
      </c>
      <c r="P1409">
        <v>-0.497775685136301</v>
      </c>
      <c r="Q1409">
        <v>0.49657583500684</v>
      </c>
      <c r="R1409">
        <v>0.188785020559559</v>
      </c>
      <c r="S1409" t="s">
        <v>3093</v>
      </c>
      <c r="T1409" t="s">
        <v>3344</v>
      </c>
      <c r="U1409" t="s">
        <v>3344</v>
      </c>
      <c r="V1409" t="s">
        <v>3344</v>
      </c>
      <c r="W1409" t="s">
        <v>4750</v>
      </c>
      <c r="X1409">
        <v>1</v>
      </c>
      <c r="Y1409" t="s">
        <v>6408</v>
      </c>
      <c r="Z1409" t="s">
        <v>8066</v>
      </c>
      <c r="AA1409">
        <v>0.9092023964424895</v>
      </c>
      <c r="AB1409">
        <f>HYPERLINK("Melting_Curves/meltCurve_P64606_mlaE.pdf", "Melting_Curves/meltCurve_P64606_mlaE.pdf")</f>
        <v>0</v>
      </c>
    </row>
    <row r="1410" spans="1:28">
      <c r="A1410" t="s">
        <v>1436</v>
      </c>
      <c r="B1410">
        <v>0.999998419929286</v>
      </c>
      <c r="C1410">
        <v>0.755104352059683</v>
      </c>
      <c r="D1410">
        <v>0.903684621130362</v>
      </c>
      <c r="E1410">
        <v>1.44500286598619</v>
      </c>
      <c r="F1410">
        <v>1.22037204651227</v>
      </c>
      <c r="G1410">
        <v>1.75157219888506</v>
      </c>
      <c r="H1410">
        <v>1.42607940014594</v>
      </c>
      <c r="I1410">
        <v>0.497431190762358</v>
      </c>
      <c r="J1410">
        <v>0.450057472197938</v>
      </c>
      <c r="K1410">
        <v>0.298662888138775</v>
      </c>
      <c r="L1410">
        <v>15000</v>
      </c>
      <c r="M1410">
        <v>247.308566723001</v>
      </c>
      <c r="N1410">
        <v>60.9936124848769</v>
      </c>
      <c r="O1410">
        <v>60.6490083889129</v>
      </c>
      <c r="P1410">
        <v>-0.637794814845327</v>
      </c>
      <c r="Q1410">
        <v>0.37435855271559</v>
      </c>
      <c r="R1410">
        <v>0.489387044043828</v>
      </c>
      <c r="S1410" t="s">
        <v>3094</v>
      </c>
      <c r="T1410" t="s">
        <v>3344</v>
      </c>
      <c r="U1410" t="s">
        <v>3344</v>
      </c>
      <c r="V1410" t="s">
        <v>3344</v>
      </c>
      <c r="W1410" t="s">
        <v>4751</v>
      </c>
      <c r="X1410">
        <v>1</v>
      </c>
      <c r="Y1410" t="s">
        <v>6409</v>
      </c>
      <c r="Z1410" t="s">
        <v>8067</v>
      </c>
      <c r="AA1410">
        <v>0.867702630720796</v>
      </c>
      <c r="AB1410">
        <f>HYPERLINK("Melting_Curves/meltCurve_P64616_yhcO.pdf", "Melting_Curves/meltCurve_P64616_yhcO.pdf")</f>
        <v>0</v>
      </c>
    </row>
    <row r="1411" spans="1:28">
      <c r="A1411" t="s">
        <v>1437</v>
      </c>
      <c r="B1411">
        <v>0.999998419929286</v>
      </c>
      <c r="C1411">
        <v>0.825379822063079</v>
      </c>
      <c r="D1411">
        <v>0.754045724001677</v>
      </c>
      <c r="E1411">
        <v>0.618871998531092</v>
      </c>
      <c r="F1411">
        <v>0.554873538128467</v>
      </c>
      <c r="G1411">
        <v>0.375705877003031</v>
      </c>
      <c r="H1411">
        <v>0.270206809311132</v>
      </c>
      <c r="I1411">
        <v>0.238992241934939</v>
      </c>
      <c r="J1411">
        <v>0.224085789137208</v>
      </c>
      <c r="K1411">
        <v>0.195777850569291</v>
      </c>
      <c r="L1411">
        <v>392.010858816369</v>
      </c>
      <c r="M1411">
        <v>8.040895567761959</v>
      </c>
      <c r="N1411">
        <v>50.0945931394613</v>
      </c>
      <c r="O1411">
        <v>46.0142429893879</v>
      </c>
      <c r="P1411">
        <v>-0.0394964556268223</v>
      </c>
      <c r="Q1411">
        <v>0.09692399262300649</v>
      </c>
      <c r="R1411">
        <v>0.984343669676884</v>
      </c>
      <c r="S1411" t="s">
        <v>3095</v>
      </c>
      <c r="T1411" t="s">
        <v>3344</v>
      </c>
      <c r="U1411" t="s">
        <v>3344</v>
      </c>
      <c r="V1411" t="s">
        <v>3344</v>
      </c>
      <c r="W1411" t="s">
        <v>4752</v>
      </c>
      <c r="X1411">
        <v>3</v>
      </c>
      <c r="Y1411" t="s">
        <v>6410</v>
      </c>
      <c r="Z1411" t="s">
        <v>8068</v>
      </c>
      <c r="AA1411">
        <v>0.4936353225223636</v>
      </c>
      <c r="AB1411">
        <f>HYPERLINK("Melting_Curves/meltCurve_P64624_yheO.pdf", "Melting_Curves/meltCurve_P64624_yheO.pdf")</f>
        <v>0</v>
      </c>
    </row>
    <row r="1412" spans="1:28">
      <c r="A1412" t="s">
        <v>1438</v>
      </c>
      <c r="B1412">
        <v>0.999998419929286</v>
      </c>
      <c r="C1412">
        <v>0.786133576932642</v>
      </c>
      <c r="D1412">
        <v>0.78419751867232</v>
      </c>
      <c r="E1412">
        <v>0.691696206210931</v>
      </c>
      <c r="F1412">
        <v>0.81935648146434</v>
      </c>
      <c r="G1412">
        <v>0.954531082154081</v>
      </c>
      <c r="H1412">
        <v>0.813267075116531</v>
      </c>
      <c r="I1412">
        <v>1.11337816220009</v>
      </c>
      <c r="J1412">
        <v>1.39084264839918</v>
      </c>
      <c r="K1412">
        <v>0.825910025256079</v>
      </c>
      <c r="L1412">
        <v>9476.61658469237</v>
      </c>
      <c r="M1412">
        <v>250</v>
      </c>
      <c r="O1412">
        <v>37.9040405829636</v>
      </c>
      <c r="P1412">
        <v>-0.15035898373106</v>
      </c>
      <c r="Q1412">
        <v>0.908812591781106</v>
      </c>
      <c r="R1412">
        <v>0.0194120029022448</v>
      </c>
      <c r="S1412" t="s">
        <v>3096</v>
      </c>
      <c r="T1412" t="s">
        <v>3344</v>
      </c>
      <c r="U1412" t="s">
        <v>3344</v>
      </c>
      <c r="V1412" t="s">
        <v>3344</v>
      </c>
      <c r="W1412" t="s">
        <v>4753</v>
      </c>
      <c r="X1412">
        <v>1</v>
      </c>
      <c r="Y1412" t="s">
        <v>6411</v>
      </c>
      <c r="Z1412" t="s">
        <v>8069</v>
      </c>
      <c r="AA1412">
        <v>0.9115748875347914</v>
      </c>
      <c r="AB1412">
        <f>HYPERLINK("Melting_Curves/meltCurve_P65292_ygdI.pdf", "Melting_Curves/meltCurve_P65292_ygdI.pdf")</f>
        <v>0</v>
      </c>
    </row>
    <row r="1413" spans="1:28">
      <c r="A1413" t="s">
        <v>1439</v>
      </c>
      <c r="B1413">
        <v>0.999998419929286</v>
      </c>
      <c r="C1413">
        <v>0.724538167314223</v>
      </c>
      <c r="D1413">
        <v>0.856125741566608</v>
      </c>
      <c r="E1413">
        <v>0.92144630051397</v>
      </c>
      <c r="F1413">
        <v>0.73851376211411</v>
      </c>
      <c r="G1413">
        <v>0.506137019329252</v>
      </c>
      <c r="H1413">
        <v>0.365795851075984</v>
      </c>
      <c r="I1413">
        <v>0.333527090703565</v>
      </c>
      <c r="J1413">
        <v>0.456858434591042</v>
      </c>
      <c r="K1413">
        <v>0.433526419685323</v>
      </c>
      <c r="L1413">
        <v>501.870671333622</v>
      </c>
      <c r="M1413">
        <v>9.957870833695511</v>
      </c>
      <c r="N1413">
        <v>55.9292897784001</v>
      </c>
      <c r="O1413">
        <v>48.4932332578966</v>
      </c>
      <c r="P1413">
        <v>-0.0352753137305838</v>
      </c>
      <c r="Q1413">
        <v>0.313199006845507</v>
      </c>
      <c r="R1413">
        <v>0.800377783593028</v>
      </c>
      <c r="S1413" t="s">
        <v>3097</v>
      </c>
      <c r="T1413" t="s">
        <v>3344</v>
      </c>
      <c r="U1413" t="s">
        <v>3344</v>
      </c>
      <c r="V1413" t="s">
        <v>3344</v>
      </c>
      <c r="W1413" t="s">
        <v>4754</v>
      </c>
      <c r="X1413">
        <v>1</v>
      </c>
      <c r="Y1413" t="s">
        <v>6412</v>
      </c>
      <c r="Z1413" t="s">
        <v>8070</v>
      </c>
      <c r="AA1413">
        <v>0.6424229084166542</v>
      </c>
      <c r="AB1413">
        <f>HYPERLINK("Melting_Curves/meltCurve_P65367_yqcA.pdf", "Melting_Curves/meltCurve_P65367_yqcA.pdf")</f>
        <v>0</v>
      </c>
    </row>
    <row r="1414" spans="1:28">
      <c r="A1414" t="s">
        <v>1440</v>
      </c>
      <c r="B1414">
        <v>0.999998419929286</v>
      </c>
      <c r="C1414">
        <v>1.04419609938836</v>
      </c>
      <c r="D1414">
        <v>0.9662061108151691</v>
      </c>
      <c r="E1414">
        <v>1.05846706344735</v>
      </c>
      <c r="F1414">
        <v>0.900903431180453</v>
      </c>
      <c r="G1414">
        <v>0.813836502278406</v>
      </c>
      <c r="H1414">
        <v>0.682600172303244</v>
      </c>
      <c r="I1414">
        <v>0.706162226349012</v>
      </c>
      <c r="J1414">
        <v>0.786938399299711</v>
      </c>
      <c r="K1414">
        <v>0.824910048538681</v>
      </c>
      <c r="L1414">
        <v>2079.78483094747</v>
      </c>
      <c r="M1414">
        <v>40.7766478073765</v>
      </c>
      <c r="O1414">
        <v>50.8820987446436</v>
      </c>
      <c r="P1414">
        <v>-0.0489364705241937</v>
      </c>
      <c r="Q1414">
        <v>0.755743956924933</v>
      </c>
      <c r="R1414">
        <v>0.865588615419234</v>
      </c>
      <c r="S1414" t="s">
        <v>3098</v>
      </c>
      <c r="T1414" t="s">
        <v>3344</v>
      </c>
      <c r="U1414" t="s">
        <v>3344</v>
      </c>
      <c r="V1414" t="s">
        <v>3344</v>
      </c>
      <c r="W1414" t="s">
        <v>4755</v>
      </c>
      <c r="X1414">
        <v>2</v>
      </c>
      <c r="Y1414" t="s">
        <v>6413</v>
      </c>
      <c r="Z1414" t="s">
        <v>8071</v>
      </c>
      <c r="AA1414">
        <v>0.8705927075537704</v>
      </c>
      <c r="AB1414">
        <f>HYPERLINK("Melting_Curves/meltCurve_P65556_yfcD.pdf", "Melting_Curves/meltCurve_P65556_yfcD.pdf")</f>
        <v>0</v>
      </c>
    </row>
    <row r="1415" spans="1:28">
      <c r="A1415" t="s">
        <v>1441</v>
      </c>
      <c r="B1415">
        <v>0.999998419929286</v>
      </c>
      <c r="C1415">
        <v>1.28761823192912</v>
      </c>
      <c r="D1415">
        <v>1.20617842168614</v>
      </c>
      <c r="E1415">
        <v>1.59831125104492</v>
      </c>
      <c r="F1415">
        <v>1.85926129402067</v>
      </c>
      <c r="G1415">
        <v>2.18052947482383</v>
      </c>
      <c r="H1415">
        <v>1.88518705954691</v>
      </c>
      <c r="I1415">
        <v>1.51191377657435</v>
      </c>
      <c r="J1415">
        <v>1.49855659314138</v>
      </c>
      <c r="K1415">
        <v>1.52082929411856</v>
      </c>
      <c r="L1415">
        <v>993.071513615702</v>
      </c>
      <c r="M1415">
        <v>24.3784336130069</v>
      </c>
      <c r="O1415">
        <v>40.4645221059511</v>
      </c>
      <c r="P1415">
        <v>0.07530916894592241</v>
      </c>
      <c r="Q1415">
        <v>1.5</v>
      </c>
      <c r="R1415">
        <v>0.267482655079006</v>
      </c>
      <c r="S1415" t="s">
        <v>3099</v>
      </c>
      <c r="T1415" t="s">
        <v>3344</v>
      </c>
      <c r="U1415" t="s">
        <v>3344</v>
      </c>
      <c r="V1415" t="s">
        <v>3344</v>
      </c>
      <c r="W1415" t="s">
        <v>4756</v>
      </c>
      <c r="X1415">
        <v>10</v>
      </c>
      <c r="Y1415" t="s">
        <v>6414</v>
      </c>
      <c r="Z1415" t="s">
        <v>8072</v>
      </c>
      <c r="AA1415">
        <v>1.432142321297893</v>
      </c>
      <c r="AB1415">
        <f>HYPERLINK("Melting_Curves/meltCurve_P65807_ygeY.pdf", "Melting_Curves/meltCurve_P65807_ygeY.pdf")</f>
        <v>0</v>
      </c>
    </row>
    <row r="1416" spans="1:28">
      <c r="A1416" t="s">
        <v>1442</v>
      </c>
      <c r="B1416">
        <v>0.999998419929286</v>
      </c>
      <c r="C1416">
        <v>1.06521000811847</v>
      </c>
      <c r="D1416">
        <v>0.969202614187061</v>
      </c>
      <c r="E1416">
        <v>1.16072824791581</v>
      </c>
      <c r="F1416">
        <v>1.29406966787282</v>
      </c>
      <c r="G1416">
        <v>2.02781427185214</v>
      </c>
      <c r="H1416">
        <v>1.93983289662643</v>
      </c>
      <c r="I1416">
        <v>1.15918946970334</v>
      </c>
      <c r="J1416">
        <v>1.53528963137474</v>
      </c>
      <c r="K1416">
        <v>1.68109822480256</v>
      </c>
      <c r="L1416">
        <v>1889.8983620062</v>
      </c>
      <c r="M1416">
        <v>39.3028915404743</v>
      </c>
      <c r="O1416">
        <v>47.9614997342263</v>
      </c>
      <c r="P1416">
        <v>0.102433672666963</v>
      </c>
      <c r="Q1416">
        <v>1.5</v>
      </c>
      <c r="R1416">
        <v>0.520071830581075</v>
      </c>
      <c r="S1416" t="s">
        <v>3100</v>
      </c>
      <c r="T1416" t="s">
        <v>3344</v>
      </c>
      <c r="U1416" t="s">
        <v>3344</v>
      </c>
      <c r="V1416" t="s">
        <v>3344</v>
      </c>
      <c r="W1416" t="s">
        <v>4757</v>
      </c>
      <c r="X1416">
        <v>1</v>
      </c>
      <c r="Y1416" t="s">
        <v>6415</v>
      </c>
      <c r="Z1416" t="s">
        <v>8073</v>
      </c>
      <c r="AA1416">
        <v>1.313520152050158</v>
      </c>
      <c r="AB1416">
        <f>HYPERLINK("Melting_Curves/meltCurve_P65870_queD.pdf", "Melting_Curves/meltCurve_P65870_queD.pdf")</f>
        <v>0</v>
      </c>
    </row>
    <row r="1417" spans="1:28">
      <c r="A1417" t="s">
        <v>1443</v>
      </c>
      <c r="B1417">
        <v>0.999998419929286</v>
      </c>
      <c r="C1417">
        <v>1.09714014727798</v>
      </c>
      <c r="D1417">
        <v>1.16347218706995</v>
      </c>
      <c r="E1417">
        <v>1.34970297434851</v>
      </c>
      <c r="F1417">
        <v>1.62911985585211</v>
      </c>
      <c r="G1417">
        <v>1.33413390517133</v>
      </c>
      <c r="H1417">
        <v>0.308271855189961</v>
      </c>
      <c r="I1417">
        <v>0.156414215415388</v>
      </c>
      <c r="J1417">
        <v>0.113337490384617</v>
      </c>
      <c r="K1417">
        <v>0.112604916253784</v>
      </c>
      <c r="L1417">
        <v>14272.9870769509</v>
      </c>
      <c r="M1417">
        <v>250</v>
      </c>
      <c r="N1417">
        <v>57.1592205888113</v>
      </c>
      <c r="O1417">
        <v>57.0882948150599</v>
      </c>
      <c r="P1417">
        <v>-0.955261427856863</v>
      </c>
      <c r="Q1417">
        <v>0.127452064922336</v>
      </c>
      <c r="R1417">
        <v>0.786741618163361</v>
      </c>
      <c r="S1417" t="s">
        <v>3101</v>
      </c>
      <c r="T1417" t="s">
        <v>3344</v>
      </c>
      <c r="U1417" t="s">
        <v>3344</v>
      </c>
      <c r="V1417" t="s">
        <v>3344</v>
      </c>
      <c r="W1417" t="s">
        <v>4758</v>
      </c>
      <c r="X1417">
        <v>4</v>
      </c>
      <c r="Y1417" t="s">
        <v>6416</v>
      </c>
      <c r="Z1417" t="s">
        <v>8074</v>
      </c>
      <c r="AA1417">
        <v>0.7119124238708605</v>
      </c>
      <c r="AB1417">
        <f>HYPERLINK("Melting_Curves/meltCurve_P66899_ygeX.pdf", "Melting_Curves/meltCurve_P66899_ygeX.pdf")</f>
        <v>0</v>
      </c>
    </row>
    <row r="1418" spans="1:28">
      <c r="A1418" t="s">
        <v>1444</v>
      </c>
      <c r="B1418">
        <v>0.999998419929286</v>
      </c>
      <c r="C1418">
        <v>1.16483320068075</v>
      </c>
      <c r="D1418">
        <v>1.13892559341992</v>
      </c>
      <c r="E1418">
        <v>1.27101268213459</v>
      </c>
      <c r="F1418">
        <v>1.35819413179086</v>
      </c>
      <c r="G1418">
        <v>1.56265107430976</v>
      </c>
      <c r="H1418">
        <v>1.20389734851874</v>
      </c>
      <c r="I1418">
        <v>0.27226815278261</v>
      </c>
      <c r="J1418">
        <v>0.0751895572872143</v>
      </c>
      <c r="K1418">
        <v>0.07082476414706131</v>
      </c>
      <c r="L1418">
        <v>15000</v>
      </c>
      <c r="M1418">
        <v>247.196944894046</v>
      </c>
      <c r="N1418">
        <v>60.7191211477271</v>
      </c>
      <c r="O1418">
        <v>60.6764033518605</v>
      </c>
      <c r="P1418">
        <v>-0.944148472400085</v>
      </c>
      <c r="Q1418">
        <v>0.0730060061745068</v>
      </c>
      <c r="R1418">
        <v>0.781624078467573</v>
      </c>
      <c r="S1418" t="s">
        <v>3102</v>
      </c>
      <c r="T1418" t="s">
        <v>3344</v>
      </c>
      <c r="U1418" t="s">
        <v>3344</v>
      </c>
      <c r="V1418" t="s">
        <v>3344</v>
      </c>
      <c r="W1418" t="s">
        <v>4759</v>
      </c>
      <c r="X1418">
        <v>5</v>
      </c>
      <c r="Y1418" t="s">
        <v>6417</v>
      </c>
      <c r="Z1418" t="s">
        <v>8075</v>
      </c>
      <c r="AA1418">
        <v>0.8048254088104201</v>
      </c>
      <c r="AB1418">
        <f>HYPERLINK("Melting_Curves/meltCurve_P66948_bepA.pdf", "Melting_Curves/meltCurve_P66948_bepA.pdf")</f>
        <v>0</v>
      </c>
    </row>
    <row r="1419" spans="1:28">
      <c r="A1419" t="s">
        <v>1445</v>
      </c>
      <c r="B1419">
        <v>0.999998419929286</v>
      </c>
      <c r="C1419">
        <v>0.925139796538789</v>
      </c>
      <c r="D1419">
        <v>0.9342085553896819</v>
      </c>
      <c r="E1419">
        <v>0.995625153763104</v>
      </c>
      <c r="F1419">
        <v>1.12416591848112</v>
      </c>
      <c r="G1419">
        <v>1.27024545133464</v>
      </c>
      <c r="H1419">
        <v>1.18532912868539</v>
      </c>
      <c r="I1419">
        <v>1.05965880417383</v>
      </c>
      <c r="J1419">
        <v>1.01392890646979</v>
      </c>
      <c r="K1419">
        <v>0.956884699657038</v>
      </c>
      <c r="L1419">
        <v>6359.6454404773</v>
      </c>
      <c r="M1419">
        <v>132.243002886189</v>
      </c>
      <c r="O1419">
        <v>48.0796032555441</v>
      </c>
      <c r="P1419">
        <v>0.0699582900674563</v>
      </c>
      <c r="Q1419">
        <v>1.10173897571831</v>
      </c>
      <c r="R1419">
        <v>0.346019186669723</v>
      </c>
      <c r="S1419" t="s">
        <v>3103</v>
      </c>
      <c r="T1419" t="s">
        <v>3344</v>
      </c>
      <c r="U1419" t="s">
        <v>3344</v>
      </c>
      <c r="V1419" t="s">
        <v>3344</v>
      </c>
      <c r="W1419" t="s">
        <v>4760</v>
      </c>
      <c r="X1419">
        <v>8</v>
      </c>
      <c r="Y1419" t="s">
        <v>6418</v>
      </c>
      <c r="Z1419" t="s">
        <v>8076</v>
      </c>
      <c r="AA1419">
        <v>1.064096726143404</v>
      </c>
      <c r="AB1419">
        <f>HYPERLINK("Melting_Curves/meltCurve_P67080_yggS.pdf", "Melting_Curves/meltCurve_P67080_yggS.pdf")</f>
        <v>0</v>
      </c>
    </row>
    <row r="1420" spans="1:28">
      <c r="A1420" t="s">
        <v>1446</v>
      </c>
      <c r="B1420">
        <v>0.999998419929286</v>
      </c>
      <c r="C1420">
        <v>0.97708068175207</v>
      </c>
      <c r="D1420">
        <v>0.647666758451954</v>
      </c>
      <c r="E1420">
        <v>0.773852475140414</v>
      </c>
      <c r="F1420">
        <v>0.767037247446764</v>
      </c>
      <c r="G1420">
        <v>0.596068532821357</v>
      </c>
      <c r="H1420">
        <v>0.326915462104419</v>
      </c>
      <c r="I1420">
        <v>0.333661568306887</v>
      </c>
      <c r="J1420">
        <v>0.203943770076964</v>
      </c>
      <c r="K1420">
        <v>0.29291715688051</v>
      </c>
      <c r="L1420">
        <v>359.234545301323</v>
      </c>
      <c r="M1420">
        <v>6.56421242801578</v>
      </c>
      <c r="N1420">
        <v>54.7262197828722</v>
      </c>
      <c r="O1420">
        <v>50.3141445357248</v>
      </c>
      <c r="P1420">
        <v>-0.0326925879116673</v>
      </c>
      <c r="Q1420">
        <v>0</v>
      </c>
      <c r="R1420">
        <v>0.884750212226784</v>
      </c>
      <c r="S1420" t="s">
        <v>3104</v>
      </c>
      <c r="T1420" t="s">
        <v>3344</v>
      </c>
      <c r="U1420" t="s">
        <v>3344</v>
      </c>
      <c r="V1420" t="s">
        <v>3344</v>
      </c>
      <c r="W1420" t="s">
        <v>4761</v>
      </c>
      <c r="X1420">
        <v>1</v>
      </c>
      <c r="Y1420" t="s">
        <v>6419</v>
      </c>
      <c r="Z1420" t="s">
        <v>8077</v>
      </c>
      <c r="AA1420">
        <v>0.5931668069809386</v>
      </c>
      <c r="AB1420">
        <f>HYPERLINK("Melting_Curves/meltCurve_P67087_rsmI.pdf", "Melting_Curves/meltCurve_P67087_rsmI.pdf")</f>
        <v>0</v>
      </c>
    </row>
    <row r="1421" spans="1:28">
      <c r="A1421" t="s">
        <v>1447</v>
      </c>
      <c r="B1421">
        <v>0.999998419929286</v>
      </c>
      <c r="C1421">
        <v>0.915964660323717</v>
      </c>
      <c r="D1421">
        <v>0.755630072373588</v>
      </c>
      <c r="E1421">
        <v>0.75060875442903</v>
      </c>
      <c r="F1421">
        <v>0.691151721477833</v>
      </c>
      <c r="G1421">
        <v>0.628169755010356</v>
      </c>
      <c r="H1421">
        <v>0.540336748068122</v>
      </c>
      <c r="I1421">
        <v>0.476143667825684</v>
      </c>
      <c r="J1421">
        <v>0.47858596553781</v>
      </c>
      <c r="K1421">
        <v>0.42872137818094</v>
      </c>
      <c r="L1421">
        <v>316.035034298816</v>
      </c>
      <c r="M1421">
        <v>6.19541400563439</v>
      </c>
      <c r="N1421">
        <v>60.5763091689557</v>
      </c>
      <c r="O1421">
        <v>46.4660660975927</v>
      </c>
      <c r="P1421">
        <v>-0.0229986417343399</v>
      </c>
      <c r="Q1421">
        <v>0.312020406032486</v>
      </c>
      <c r="R1421">
        <v>0.963843039794484</v>
      </c>
      <c r="S1421" t="s">
        <v>3105</v>
      </c>
      <c r="T1421" t="s">
        <v>3344</v>
      </c>
      <c r="U1421" t="s">
        <v>3344</v>
      </c>
      <c r="V1421" t="s">
        <v>3344</v>
      </c>
      <c r="W1421" t="s">
        <v>4762</v>
      </c>
      <c r="X1421">
        <v>3</v>
      </c>
      <c r="Y1421" t="s">
        <v>6420</v>
      </c>
      <c r="Z1421" t="s">
        <v>8078</v>
      </c>
      <c r="AA1421">
        <v>0.6593650874181197</v>
      </c>
      <c r="AB1421">
        <f>HYPERLINK("Melting_Curves/meltCurve_P67095_yfcE.pdf", "Melting_Curves/meltCurve_P67095_yfcE.pdf")</f>
        <v>0</v>
      </c>
    </row>
    <row r="1422" spans="1:28">
      <c r="A1422" t="s">
        <v>1448</v>
      </c>
      <c r="B1422">
        <v>0.999998419929286</v>
      </c>
      <c r="C1422">
        <v>0.792737859642179</v>
      </c>
      <c r="D1422">
        <v>0.9731203564704231</v>
      </c>
      <c r="E1422">
        <v>0.861512696445037</v>
      </c>
      <c r="F1422">
        <v>1.21397255239769</v>
      </c>
      <c r="G1422">
        <v>1.10160949114777</v>
      </c>
      <c r="H1422">
        <v>1.16455611670667</v>
      </c>
      <c r="I1422">
        <v>0.868308648221745</v>
      </c>
      <c r="J1422">
        <v>1.34082852595393</v>
      </c>
      <c r="K1422">
        <v>1.12305631339474</v>
      </c>
      <c r="L1422">
        <v>4271.10400889877</v>
      </c>
      <c r="M1422">
        <v>88.071785924273</v>
      </c>
      <c r="O1422">
        <v>48.4707243226654</v>
      </c>
      <c r="P1422">
        <v>0.0613979032606322</v>
      </c>
      <c r="Q1422">
        <v>1.13516249777552</v>
      </c>
      <c r="R1422">
        <v>0.321613280852649</v>
      </c>
      <c r="S1422" t="s">
        <v>3106</v>
      </c>
      <c r="T1422" t="s">
        <v>3344</v>
      </c>
      <c r="U1422" t="s">
        <v>3344</v>
      </c>
      <c r="V1422" t="s">
        <v>3344</v>
      </c>
      <c r="W1422" t="s">
        <v>4763</v>
      </c>
      <c r="X1422">
        <v>1</v>
      </c>
      <c r="Y1422" t="s">
        <v>6421</v>
      </c>
      <c r="Z1422" t="s">
        <v>8079</v>
      </c>
      <c r="AA1422">
        <v>1.083276687360173</v>
      </c>
      <c r="AB1422">
        <f>HYPERLINK("Melting_Curves/meltCurve_P67244_yqhA.pdf", "Melting_Curves/meltCurve_P67244_yqhA.pdf")</f>
        <v>0</v>
      </c>
    </row>
    <row r="1423" spans="1:28">
      <c r="A1423" t="s">
        <v>1449</v>
      </c>
      <c r="B1423">
        <v>0.999998419929286</v>
      </c>
      <c r="C1423">
        <v>0.743472496000707</v>
      </c>
      <c r="D1423">
        <v>0.835947553631759</v>
      </c>
      <c r="E1423">
        <v>0.908240380255576</v>
      </c>
      <c r="F1423">
        <v>1.07028483025535</v>
      </c>
      <c r="G1423">
        <v>0.964180879789982</v>
      </c>
      <c r="H1423">
        <v>0.829585150027952</v>
      </c>
      <c r="I1423">
        <v>0.892314080926317</v>
      </c>
      <c r="J1423">
        <v>0.710525652350268</v>
      </c>
      <c r="K1423">
        <v>0.583954554567199</v>
      </c>
      <c r="L1423">
        <v>763.437796491163</v>
      </c>
      <c r="M1423">
        <v>10.9915949430065</v>
      </c>
      <c r="Q1423">
        <v>0</v>
      </c>
      <c r="R1423">
        <v>0.379284348739897</v>
      </c>
      <c r="S1423" t="s">
        <v>3107</v>
      </c>
      <c r="T1423" t="s">
        <v>3344</v>
      </c>
      <c r="U1423" t="s">
        <v>3344</v>
      </c>
      <c r="V1423" t="s">
        <v>3344</v>
      </c>
      <c r="W1423" t="s">
        <v>4764</v>
      </c>
      <c r="X1423">
        <v>4</v>
      </c>
      <c r="Y1423" t="s">
        <v>6422</v>
      </c>
      <c r="Z1423" t="s">
        <v>8080</v>
      </c>
      <c r="AA1423">
        <v>0.9154881992096873</v>
      </c>
      <c r="AB1423">
        <f>HYPERLINK("Melting_Curves/meltCurve_P67603_yqfB.pdf", "Melting_Curves/meltCurve_P67603_yqfB.pdf")</f>
        <v>0</v>
      </c>
    </row>
    <row r="1424" spans="1:28">
      <c r="A1424" t="s">
        <v>1450</v>
      </c>
      <c r="B1424">
        <v>0.999998419929286</v>
      </c>
      <c r="C1424">
        <v>0.832230392536964</v>
      </c>
      <c r="D1424">
        <v>0.565062632165643</v>
      </c>
      <c r="E1424">
        <v>0.327829544264409</v>
      </c>
      <c r="F1424">
        <v>0.229223393062616</v>
      </c>
      <c r="G1424">
        <v>0.196623777688248</v>
      </c>
      <c r="H1424">
        <v>0.16417654042968</v>
      </c>
      <c r="I1424">
        <v>0.139083652654127</v>
      </c>
      <c r="J1424">
        <v>0.152772140054784</v>
      </c>
      <c r="K1424">
        <v>0.138441287477833</v>
      </c>
      <c r="L1424">
        <v>776.610119654106</v>
      </c>
      <c r="M1424">
        <v>18.0429517703472</v>
      </c>
      <c r="N1424">
        <v>43.9303460230857</v>
      </c>
      <c r="O1424">
        <v>42.5240084688517</v>
      </c>
      <c r="P1424">
        <v>-0.0898701056680192</v>
      </c>
      <c r="Q1424">
        <v>0.152810151047688</v>
      </c>
      <c r="R1424">
        <v>0.996267161053938</v>
      </c>
      <c r="S1424" t="s">
        <v>3108</v>
      </c>
      <c r="T1424" t="s">
        <v>3344</v>
      </c>
      <c r="U1424" t="s">
        <v>3344</v>
      </c>
      <c r="V1424" t="s">
        <v>3344</v>
      </c>
      <c r="W1424" t="s">
        <v>4765</v>
      </c>
      <c r="X1424">
        <v>2</v>
      </c>
      <c r="Y1424" t="s">
        <v>6423</v>
      </c>
      <c r="Z1424" t="s">
        <v>8081</v>
      </c>
      <c r="AA1424">
        <v>0.3383213103831124</v>
      </c>
      <c r="AB1424">
        <f>HYPERLINK("Melting_Curves/meltCurve_P67660_yhaJ.pdf", "Melting_Curves/meltCurve_P67660_yhaJ.pdf")</f>
        <v>0</v>
      </c>
    </row>
    <row r="1425" spans="1:28">
      <c r="A1425" t="s">
        <v>1451</v>
      </c>
      <c r="B1425">
        <v>0.999998419929286</v>
      </c>
      <c r="C1425">
        <v>0.954477602651599</v>
      </c>
      <c r="D1425">
        <v>0.906504451866018</v>
      </c>
      <c r="E1425">
        <v>1.0054735908758</v>
      </c>
      <c r="F1425">
        <v>1.13946887013933</v>
      </c>
      <c r="G1425">
        <v>1.26918216926532</v>
      </c>
      <c r="H1425">
        <v>1.1018954482694</v>
      </c>
      <c r="I1425">
        <v>0.771588156380955</v>
      </c>
      <c r="J1425">
        <v>0.166365201141851</v>
      </c>
      <c r="K1425">
        <v>0.0899113854809114</v>
      </c>
      <c r="L1425">
        <v>4575.88127460123</v>
      </c>
      <c r="M1425">
        <v>73.9005419277139</v>
      </c>
      <c r="N1425">
        <v>62.090098270362</v>
      </c>
      <c r="O1425">
        <v>61.8741664675693</v>
      </c>
      <c r="P1425">
        <v>-0.271150832319513</v>
      </c>
      <c r="Q1425">
        <v>0.09190237614334371</v>
      </c>
      <c r="R1425">
        <v>0.920655696678767</v>
      </c>
      <c r="S1425" t="s">
        <v>3109</v>
      </c>
      <c r="T1425" t="s">
        <v>3344</v>
      </c>
      <c r="U1425" t="s">
        <v>3344</v>
      </c>
      <c r="V1425" t="s">
        <v>3344</v>
      </c>
      <c r="W1425" t="s">
        <v>4766</v>
      </c>
      <c r="X1425">
        <v>5</v>
      </c>
      <c r="Y1425" t="s">
        <v>6424</v>
      </c>
      <c r="Z1425" t="s">
        <v>8082</v>
      </c>
      <c r="AA1425">
        <v>0.8472317074534447</v>
      </c>
      <c r="AB1425">
        <f>HYPERLINK("Melting_Curves/meltCurve_P67826_cutC.pdf", "Melting_Curves/meltCurve_P67826_cutC.pdf")</f>
        <v>0</v>
      </c>
    </row>
    <row r="1426" spans="1:28">
      <c r="A1426" t="s">
        <v>1452</v>
      </c>
      <c r="B1426">
        <v>0.999998419929286</v>
      </c>
      <c r="C1426">
        <v>0.905621269872286</v>
      </c>
      <c r="D1426">
        <v>0.8544769212819739</v>
      </c>
      <c r="E1426">
        <v>0.81674349727903</v>
      </c>
      <c r="F1426">
        <v>0.860200710439135</v>
      </c>
      <c r="G1426">
        <v>0.6950293617704431</v>
      </c>
      <c r="H1426">
        <v>0.336154172998597</v>
      </c>
      <c r="I1426">
        <v>0.159433124325266</v>
      </c>
      <c r="J1426">
        <v>0.0709708840434663</v>
      </c>
      <c r="K1426">
        <v>0.0472937742064716</v>
      </c>
      <c r="L1426">
        <v>925.019803947221</v>
      </c>
      <c r="M1426">
        <v>16.6859434840208</v>
      </c>
      <c r="N1426">
        <v>55.4370704944194</v>
      </c>
      <c r="O1426">
        <v>54.659178667663</v>
      </c>
      <c r="P1426">
        <v>-0.0763231977154689</v>
      </c>
      <c r="Q1426">
        <v>0</v>
      </c>
      <c r="R1426">
        <v>0.9574639985918501</v>
      </c>
      <c r="S1426" t="s">
        <v>3110</v>
      </c>
      <c r="T1426" t="s">
        <v>3344</v>
      </c>
      <c r="U1426" t="s">
        <v>3344</v>
      </c>
      <c r="V1426" t="s">
        <v>3344</v>
      </c>
      <c r="W1426" t="s">
        <v>4767</v>
      </c>
      <c r="X1426">
        <v>14</v>
      </c>
      <c r="Y1426" t="s">
        <v>6425</v>
      </c>
      <c r="Z1426" t="s">
        <v>8083</v>
      </c>
      <c r="AA1426">
        <v>0.6270975554365236</v>
      </c>
      <c r="AB1426">
        <f>HYPERLINK("Melting_Curves/meltCurve_P67910_hldD.pdf", "Melting_Curves/meltCurve_P67910_hldD.pdf")</f>
        <v>0</v>
      </c>
    </row>
    <row r="1427" spans="1:28">
      <c r="A1427" t="s">
        <v>1453</v>
      </c>
      <c r="B1427">
        <v>0.999998419929286</v>
      </c>
      <c r="C1427">
        <v>0.989530004461422</v>
      </c>
      <c r="D1427">
        <v>0.9086876784239351</v>
      </c>
      <c r="E1427">
        <v>1.08618038911526</v>
      </c>
      <c r="F1427">
        <v>1.06870046705045</v>
      </c>
      <c r="G1427">
        <v>1.33325753404694</v>
      </c>
      <c r="H1427">
        <v>1.26273651977668</v>
      </c>
      <c r="I1427">
        <v>1.28215368022791</v>
      </c>
      <c r="J1427">
        <v>1.28798693664658</v>
      </c>
      <c r="K1427">
        <v>1.22922327670832</v>
      </c>
      <c r="L1427">
        <v>12606.1796444365</v>
      </c>
      <c r="M1427">
        <v>250</v>
      </c>
      <c r="O1427">
        <v>50.4214920335826</v>
      </c>
      <c r="P1427">
        <v>0.345923416166259</v>
      </c>
      <c r="Q1427">
        <v>1.27907159435328</v>
      </c>
      <c r="R1427">
        <v>0.894882664200036</v>
      </c>
      <c r="S1427" t="s">
        <v>3111</v>
      </c>
      <c r="T1427" t="s">
        <v>3344</v>
      </c>
      <c r="U1427" t="s">
        <v>3344</v>
      </c>
      <c r="V1427" t="s">
        <v>3344</v>
      </c>
      <c r="W1427" t="s">
        <v>4768</v>
      </c>
      <c r="X1427">
        <v>10</v>
      </c>
      <c r="Y1427" t="s">
        <v>6426</v>
      </c>
      <c r="Z1427" t="s">
        <v>8084</v>
      </c>
      <c r="AA1427">
        <v>1.154164977450667</v>
      </c>
      <c r="AB1427">
        <f>HYPERLINK("Melting_Curves/meltCurve_P68066_grcA.pdf", "Melting_Curves/meltCurve_P68066_grcA.pdf")</f>
        <v>0</v>
      </c>
    </row>
    <row r="1428" spans="1:28">
      <c r="A1428" t="s">
        <v>1454</v>
      </c>
      <c r="B1428">
        <v>0.999998419929286</v>
      </c>
      <c r="C1428">
        <v>0.935195751043626</v>
      </c>
      <c r="D1428">
        <v>0.548601071101772</v>
      </c>
      <c r="E1428">
        <v>0.29515314678702</v>
      </c>
      <c r="F1428">
        <v>0.364767912622097</v>
      </c>
      <c r="G1428">
        <v>0.238924345461537</v>
      </c>
      <c r="H1428">
        <v>0.142027788280101</v>
      </c>
      <c r="I1428">
        <v>0.115396820404663</v>
      </c>
      <c r="J1428">
        <v>0.0687294578854734</v>
      </c>
      <c r="K1428">
        <v>0.0931743150436951</v>
      </c>
      <c r="L1428">
        <v>713.483037554767</v>
      </c>
      <c r="M1428">
        <v>16.332675280992</v>
      </c>
      <c r="N1428">
        <v>44.5030892386869</v>
      </c>
      <c r="O1428">
        <v>43.0452634547444</v>
      </c>
      <c r="P1428">
        <v>-0.0825546450038469</v>
      </c>
      <c r="Q1428">
        <v>0.129761840888994</v>
      </c>
      <c r="R1428">
        <v>0.9520614650656281</v>
      </c>
      <c r="S1428" t="s">
        <v>3112</v>
      </c>
      <c r="T1428" t="s">
        <v>3344</v>
      </c>
      <c r="U1428" t="s">
        <v>3344</v>
      </c>
      <c r="V1428" t="s">
        <v>3344</v>
      </c>
      <c r="W1428" t="s">
        <v>4769</v>
      </c>
      <c r="X1428">
        <v>1</v>
      </c>
      <c r="Y1428" t="s">
        <v>6427</v>
      </c>
      <c r="Z1428" t="s">
        <v>8085</v>
      </c>
      <c r="AA1428">
        <v>0.3420104599568118</v>
      </c>
      <c r="AB1428">
        <f>HYPERLINK("Melting_Curves/meltCurve_P68187_malK.pdf", "Melting_Curves/meltCurve_P68187_malK.pdf")</f>
        <v>0</v>
      </c>
    </row>
    <row r="1429" spans="1:28">
      <c r="A1429" t="s">
        <v>1455</v>
      </c>
      <c r="B1429">
        <v>0.999998419929286</v>
      </c>
      <c r="C1429">
        <v>0.897553141139709</v>
      </c>
      <c r="D1429">
        <v>0.854100676363613</v>
      </c>
      <c r="E1429">
        <v>0.936431375427267</v>
      </c>
      <c r="F1429">
        <v>0.860046236658649</v>
      </c>
      <c r="G1429">
        <v>1.14464569884724</v>
      </c>
      <c r="H1429">
        <v>1.20387737769193</v>
      </c>
      <c r="I1429">
        <v>1.47348220775374</v>
      </c>
      <c r="J1429">
        <v>2.32566045514594</v>
      </c>
      <c r="K1429">
        <v>2.36103921729178</v>
      </c>
      <c r="L1429">
        <v>4097.56651216351</v>
      </c>
      <c r="M1429">
        <v>71.0543630385458</v>
      </c>
      <c r="O1429">
        <v>57.6224214484731</v>
      </c>
      <c r="P1429">
        <v>0.154137871723453</v>
      </c>
      <c r="Q1429">
        <v>1.5</v>
      </c>
      <c r="R1429">
        <v>0.503033388365035</v>
      </c>
      <c r="S1429" t="s">
        <v>3113</v>
      </c>
      <c r="T1429" t="s">
        <v>3344</v>
      </c>
      <c r="U1429" t="s">
        <v>3344</v>
      </c>
      <c r="V1429" t="s">
        <v>3344</v>
      </c>
      <c r="W1429" t="s">
        <v>4770</v>
      </c>
      <c r="X1429">
        <v>4</v>
      </c>
      <c r="Y1429" t="s">
        <v>6428</v>
      </c>
      <c r="Z1429" t="s">
        <v>8086</v>
      </c>
      <c r="AA1429">
        <v>1.154905439386862</v>
      </c>
      <c r="AB1429">
        <f>HYPERLINK("Melting_Curves/meltCurve_P68191_sra.pdf", "Melting_Curves/meltCurve_P68191_sra.pdf")</f>
        <v>0</v>
      </c>
    </row>
    <row r="1430" spans="1:28">
      <c r="A1430" t="s">
        <v>1456</v>
      </c>
      <c r="B1430">
        <v>0.999998419929286</v>
      </c>
      <c r="C1430">
        <v>0.766739862245102</v>
      </c>
      <c r="D1430">
        <v>0.58942882211428</v>
      </c>
      <c r="E1430">
        <v>0.655355050445405</v>
      </c>
      <c r="F1430">
        <v>0.74647541766754</v>
      </c>
      <c r="G1430">
        <v>0.835528388578748</v>
      </c>
      <c r="H1430">
        <v>0.817383483797173</v>
      </c>
      <c r="I1430">
        <v>1.14422846802197</v>
      </c>
      <c r="J1430">
        <v>1.21705924280342</v>
      </c>
      <c r="K1430">
        <v>0.908411781270774</v>
      </c>
      <c r="L1430">
        <v>9487.08174922113</v>
      </c>
      <c r="M1430">
        <v>250</v>
      </c>
      <c r="O1430">
        <v>37.9458985943028</v>
      </c>
      <c r="P1430">
        <v>-0.241460253096495</v>
      </c>
      <c r="Q1430">
        <v>0.853401179864245</v>
      </c>
      <c r="R1430">
        <v>0.0524644314233936</v>
      </c>
      <c r="S1430" t="s">
        <v>3114</v>
      </c>
      <c r="T1430" t="s">
        <v>3344</v>
      </c>
      <c r="U1430" t="s">
        <v>3344</v>
      </c>
      <c r="V1430" t="s">
        <v>3344</v>
      </c>
      <c r="W1430" t="s">
        <v>4771</v>
      </c>
      <c r="X1430">
        <v>4</v>
      </c>
      <c r="Y1430" t="s">
        <v>6429</v>
      </c>
      <c r="Z1430" t="s">
        <v>8087</v>
      </c>
      <c r="AA1430">
        <v>0.8580462166228252</v>
      </c>
      <c r="AB1430">
        <f>HYPERLINK("Melting_Curves/meltCurve_P68206_yjbJ.pdf", "Melting_Curves/meltCurve_P68206_yjbJ.pdf")</f>
        <v>0</v>
      </c>
    </row>
    <row r="1431" spans="1:28">
      <c r="A1431" t="s">
        <v>1457</v>
      </c>
      <c r="B1431">
        <v>0.999998419929286</v>
      </c>
      <c r="C1431">
        <v>0.813223149505375</v>
      </c>
      <c r="D1431">
        <v>0.756817118205049</v>
      </c>
      <c r="E1431">
        <v>2.31981359851731</v>
      </c>
      <c r="F1431">
        <v>4.30656444027022</v>
      </c>
      <c r="G1431">
        <v>5.26419913157382</v>
      </c>
      <c r="H1431">
        <v>5.82993311319408</v>
      </c>
      <c r="I1431">
        <v>5.16441965989211</v>
      </c>
      <c r="J1431">
        <v>7.77676166337978</v>
      </c>
      <c r="K1431">
        <v>8.088497114633221</v>
      </c>
      <c r="L1431">
        <v>11156.2840939738</v>
      </c>
      <c r="M1431">
        <v>250</v>
      </c>
      <c r="O1431">
        <v>44.622280685052</v>
      </c>
      <c r="P1431">
        <v>0.700322788799761</v>
      </c>
      <c r="Q1431">
        <v>1.5</v>
      </c>
      <c r="R1431">
        <v>-0.976994650038683</v>
      </c>
      <c r="S1431" t="s">
        <v>3115</v>
      </c>
      <c r="T1431" t="s">
        <v>3344</v>
      </c>
      <c r="U1431" t="s">
        <v>3344</v>
      </c>
      <c r="V1431" t="s">
        <v>3344</v>
      </c>
      <c r="W1431" t="s">
        <v>4772</v>
      </c>
      <c r="X1431">
        <v>2</v>
      </c>
      <c r="Y1431" t="s">
        <v>6430</v>
      </c>
      <c r="Z1431" t="s">
        <v>8088</v>
      </c>
      <c r="AA1431">
        <v>1.372875235525166</v>
      </c>
      <c r="AB1431">
        <f>HYPERLINK("Melting_Curves/meltCurve_P68679_rpsU.pdf", "Melting_Curves/meltCurve_P68679_rpsU.pdf")</f>
        <v>0</v>
      </c>
    </row>
    <row r="1432" spans="1:28">
      <c r="A1432" t="s">
        <v>1458</v>
      </c>
      <c r="B1432">
        <v>0.999998419929286</v>
      </c>
      <c r="C1432">
        <v>0.823713240722472</v>
      </c>
      <c r="D1432">
        <v>0.706218286547126</v>
      </c>
      <c r="E1432">
        <v>0.754909881880064</v>
      </c>
      <c r="F1432">
        <v>0.815026339816996</v>
      </c>
      <c r="G1432">
        <v>0.8872450705931409</v>
      </c>
      <c r="H1432">
        <v>0.8201601865268821</v>
      </c>
      <c r="I1432">
        <v>0.836020402141626</v>
      </c>
      <c r="J1432">
        <v>0.829247529255639</v>
      </c>
      <c r="K1432">
        <v>0.634620509030968</v>
      </c>
      <c r="L1432">
        <v>9914.06764795536</v>
      </c>
      <c r="M1432">
        <v>250</v>
      </c>
      <c r="O1432">
        <v>39.653714185126</v>
      </c>
      <c r="P1432">
        <v>-0.338191637583119</v>
      </c>
      <c r="Q1432">
        <v>0.785431025907379</v>
      </c>
      <c r="R1432">
        <v>0.467235124805448</v>
      </c>
      <c r="S1432" t="s">
        <v>3116</v>
      </c>
      <c r="T1432" t="s">
        <v>3344</v>
      </c>
      <c r="U1432" t="s">
        <v>3344</v>
      </c>
      <c r="V1432" t="s">
        <v>3344</v>
      </c>
      <c r="W1432" t="s">
        <v>4773</v>
      </c>
      <c r="X1432">
        <v>3</v>
      </c>
      <c r="Y1432" t="s">
        <v>6431</v>
      </c>
      <c r="Z1432" t="s">
        <v>8089</v>
      </c>
      <c r="AA1432">
        <v>0.8044444009549616</v>
      </c>
      <c r="AB1432">
        <f>HYPERLINK("Melting_Curves/meltCurve_P68688_grxA.pdf", "Melting_Curves/meltCurve_P68688_grxA.pdf")</f>
        <v>0</v>
      </c>
    </row>
    <row r="1433" spans="1:28">
      <c r="A1433" t="s">
        <v>1459</v>
      </c>
      <c r="B1433">
        <v>0.999998419929286</v>
      </c>
      <c r="C1433">
        <v>0.70265299606085</v>
      </c>
      <c r="D1433">
        <v>0.712814896624</v>
      </c>
      <c r="E1433">
        <v>0.732062330955078</v>
      </c>
      <c r="F1433">
        <v>0.832880434788093</v>
      </c>
      <c r="G1433">
        <v>0.7876872722789739</v>
      </c>
      <c r="H1433">
        <v>0.805962923133366</v>
      </c>
      <c r="I1433">
        <v>0.621642207974428</v>
      </c>
      <c r="J1433">
        <v>0.553699408130406</v>
      </c>
      <c r="K1433">
        <v>0.46744377632857</v>
      </c>
      <c r="L1433">
        <v>143.937669808667</v>
      </c>
      <c r="M1433">
        <v>1.83900624110915</v>
      </c>
      <c r="O1433">
        <v>44.0849149791189</v>
      </c>
      <c r="P1433">
        <v>-0.0115680059375194</v>
      </c>
      <c r="Q1433">
        <v>0</v>
      </c>
      <c r="R1433">
        <v>0.50309862774692</v>
      </c>
      <c r="S1433" t="s">
        <v>3117</v>
      </c>
      <c r="T1433" t="s">
        <v>3344</v>
      </c>
      <c r="U1433" t="s">
        <v>3344</v>
      </c>
      <c r="V1433" t="s">
        <v>3344</v>
      </c>
      <c r="W1433" t="s">
        <v>4774</v>
      </c>
      <c r="X1433">
        <v>2</v>
      </c>
      <c r="Y1433" t="s">
        <v>6432</v>
      </c>
      <c r="Z1433" t="s">
        <v>8090</v>
      </c>
      <c r="AA1433">
        <v>0.7222674750794996</v>
      </c>
      <c r="AB1433">
        <f>HYPERLINK("Melting_Curves/meltCurve_P68699_atpE.pdf", "Melting_Curves/meltCurve_P68699_atpE.pdf")</f>
        <v>0</v>
      </c>
    </row>
    <row r="1434" spans="1:28">
      <c r="A1434" t="s">
        <v>1460</v>
      </c>
      <c r="B1434">
        <v>0.999998419929286</v>
      </c>
      <c r="C1434">
        <v>1.88158986893197</v>
      </c>
      <c r="D1434">
        <v>1.47544389827075</v>
      </c>
      <c r="E1434">
        <v>1.4801598656668</v>
      </c>
      <c r="F1434">
        <v>2.29440046069712</v>
      </c>
      <c r="G1434">
        <v>1.70970766256153</v>
      </c>
      <c r="H1434">
        <v>2.0003821145522</v>
      </c>
      <c r="I1434">
        <v>1.33416825996822</v>
      </c>
      <c r="J1434">
        <v>0.897219669121743</v>
      </c>
      <c r="K1434">
        <v>0.669167015979265</v>
      </c>
      <c r="L1434">
        <v>15000</v>
      </c>
      <c r="M1434">
        <v>233.212179390938</v>
      </c>
      <c r="O1434">
        <v>64.31438096431449</v>
      </c>
      <c r="P1434">
        <v>-0.299937676954793</v>
      </c>
      <c r="Q1434">
        <v>0.669137246013226</v>
      </c>
      <c r="R1434">
        <v>-0.88831473368418</v>
      </c>
      <c r="S1434" t="s">
        <v>3118</v>
      </c>
      <c r="T1434" t="s">
        <v>3344</v>
      </c>
      <c r="U1434" t="s">
        <v>3344</v>
      </c>
      <c r="V1434" t="s">
        <v>3344</v>
      </c>
      <c r="W1434" t="s">
        <v>4775</v>
      </c>
      <c r="X1434">
        <v>9</v>
      </c>
      <c r="Y1434" t="s">
        <v>6433</v>
      </c>
      <c r="Z1434" t="s">
        <v>8091</v>
      </c>
      <c r="AA1434">
        <v>0.9704757445887687</v>
      </c>
      <c r="AB1434">
        <f>HYPERLINK("Melting_Curves/meltCurve_P68767_pepA.pdf", "Melting_Curves/meltCurve_P68767_pepA.pdf")</f>
        <v>0</v>
      </c>
    </row>
    <row r="1435" spans="1:28">
      <c r="A1435" t="s">
        <v>1461</v>
      </c>
      <c r="B1435">
        <v>0.999998419929286</v>
      </c>
      <c r="C1435">
        <v>0.67819287155363</v>
      </c>
      <c r="D1435">
        <v>1.08297435261514</v>
      </c>
      <c r="E1435">
        <v>1.12722004410829</v>
      </c>
      <c r="F1435">
        <v>1.12121437824524</v>
      </c>
      <c r="G1435">
        <v>0.878316676943902</v>
      </c>
      <c r="H1435">
        <v>0.66137449563975</v>
      </c>
      <c r="I1435">
        <v>0.375142409093438</v>
      </c>
      <c r="J1435">
        <v>0.373545074428945</v>
      </c>
      <c r="K1435">
        <v>0.281733535339529</v>
      </c>
      <c r="L1435">
        <v>1772.71287508073</v>
      </c>
      <c r="M1435">
        <v>30.9152965229593</v>
      </c>
      <c r="N1435">
        <v>59.1213555775234</v>
      </c>
      <c r="O1435">
        <v>57.1026438250083</v>
      </c>
      <c r="P1435">
        <v>-0.0943503265281079</v>
      </c>
      <c r="Q1435">
        <v>0.302918312341329</v>
      </c>
      <c r="R1435">
        <v>0.848675692027055</v>
      </c>
      <c r="S1435" t="s">
        <v>3119</v>
      </c>
      <c r="T1435" t="s">
        <v>3344</v>
      </c>
      <c r="U1435" t="s">
        <v>3344</v>
      </c>
      <c r="V1435" t="s">
        <v>3344</v>
      </c>
      <c r="W1435" t="s">
        <v>4776</v>
      </c>
      <c r="X1435">
        <v>3</v>
      </c>
      <c r="Y1435" t="s">
        <v>6434</v>
      </c>
      <c r="Z1435" t="s">
        <v>8092</v>
      </c>
      <c r="AA1435">
        <v>0.7794800501383724</v>
      </c>
      <c r="AB1435">
        <f>HYPERLINK("Melting_Curves/meltCurve_P68919_rplY.pdf", "Melting_Curves/meltCurve_P68919_rplY.pdf")</f>
        <v>0</v>
      </c>
    </row>
    <row r="1436" spans="1:28">
      <c r="A1436" t="s">
        <v>1462</v>
      </c>
      <c r="B1436">
        <v>0.999998419929286</v>
      </c>
      <c r="C1436">
        <v>0.533372194065602</v>
      </c>
      <c r="D1436">
        <v>0.817527395825952</v>
      </c>
      <c r="E1436">
        <v>0.962137066495575</v>
      </c>
      <c r="F1436">
        <v>0.785861456030131</v>
      </c>
      <c r="G1436">
        <v>1.07252270432471</v>
      </c>
      <c r="H1436">
        <v>0.999354050949338</v>
      </c>
      <c r="I1436">
        <v>0.622452227060538</v>
      </c>
      <c r="J1436">
        <v>0.6715615386147989</v>
      </c>
      <c r="K1436">
        <v>0.599175563709783</v>
      </c>
      <c r="L1436">
        <v>100.654117601748</v>
      </c>
      <c r="M1436">
        <v>0.51484062122384</v>
      </c>
      <c r="O1436">
        <v>39.0055800679993</v>
      </c>
      <c r="P1436">
        <v>-0.0066043240555743</v>
      </c>
      <c r="Q1436">
        <v>0</v>
      </c>
      <c r="R1436">
        <v>0.0696274145468008</v>
      </c>
      <c r="S1436" t="s">
        <v>3120</v>
      </c>
      <c r="T1436" t="s">
        <v>3344</v>
      </c>
      <c r="U1436" t="s">
        <v>3344</v>
      </c>
      <c r="V1436" t="s">
        <v>3344</v>
      </c>
      <c r="W1436" t="s">
        <v>4777</v>
      </c>
      <c r="X1436">
        <v>1</v>
      </c>
      <c r="Y1436" t="s">
        <v>6435</v>
      </c>
      <c r="Z1436" t="s">
        <v>8093</v>
      </c>
      <c r="AA1436">
        <v>0.8086852039958359</v>
      </c>
      <c r="AB1436">
        <f>HYPERLINK("Melting_Curves/meltCurve_P69054_sdhC.pdf", "Melting_Curves/meltCurve_P69054_sdhC.pdf")</f>
        <v>0</v>
      </c>
    </row>
    <row r="1437" spans="1:28">
      <c r="A1437" t="s">
        <v>1463</v>
      </c>
      <c r="B1437">
        <v>0.999998419929286</v>
      </c>
      <c r="C1437">
        <v>1.10764881303084</v>
      </c>
      <c r="D1437">
        <v>0.377652729754038</v>
      </c>
      <c r="E1437">
        <v>1.00747356612195</v>
      </c>
      <c r="F1437">
        <v>0.888441436337067</v>
      </c>
      <c r="G1437">
        <v>1.08822616538984</v>
      </c>
      <c r="H1437">
        <v>1.19428539521307</v>
      </c>
      <c r="I1437">
        <v>0.815464911653748</v>
      </c>
      <c r="J1437">
        <v>0.732566482302367</v>
      </c>
      <c r="K1437">
        <v>0.643773271538802</v>
      </c>
      <c r="L1437">
        <v>10539.7121907622</v>
      </c>
      <c r="M1437">
        <v>173.152483573874</v>
      </c>
      <c r="O1437">
        <v>60.8614219041541</v>
      </c>
      <c r="P1437">
        <v>-0.221821048286409</v>
      </c>
      <c r="Q1437">
        <v>0.688128196704849</v>
      </c>
      <c r="R1437">
        <v>0.174686122630284</v>
      </c>
      <c r="S1437" t="s">
        <v>3121</v>
      </c>
      <c r="T1437" t="s">
        <v>3344</v>
      </c>
      <c r="U1437" t="s">
        <v>3344</v>
      </c>
      <c r="V1437" t="s">
        <v>3344</v>
      </c>
      <c r="W1437" t="s">
        <v>4778</v>
      </c>
      <c r="X1437">
        <v>2</v>
      </c>
      <c r="Y1437" t="s">
        <v>6436</v>
      </c>
      <c r="Z1437" t="s">
        <v>8094</v>
      </c>
      <c r="AA1437">
        <v>0.9363388888182848</v>
      </c>
      <c r="AB1437">
        <f>HYPERLINK("Melting_Curves/meltCurve_P69222_infA.pdf", "Melting_Curves/meltCurve_P69222_infA.pdf")</f>
        <v>0</v>
      </c>
    </row>
    <row r="1438" spans="1:28">
      <c r="A1438" t="s">
        <v>1464</v>
      </c>
      <c r="B1438">
        <v>0.999998419929286</v>
      </c>
      <c r="C1438">
        <v>0.992194034990622</v>
      </c>
      <c r="D1438">
        <v>1.02907323611347</v>
      </c>
      <c r="E1438">
        <v>1.11312899118058</v>
      </c>
      <c r="F1438">
        <v>1.36703855416562</v>
      </c>
      <c r="G1438">
        <v>1.46286218890957</v>
      </c>
      <c r="H1438">
        <v>1.19451737895797</v>
      </c>
      <c r="I1438">
        <v>0.761040796238882</v>
      </c>
      <c r="J1438">
        <v>0.518601933405151</v>
      </c>
      <c r="K1438">
        <v>0.426929261406741</v>
      </c>
      <c r="L1438">
        <v>5803.51198876441</v>
      </c>
      <c r="M1438">
        <v>94.9086798445977</v>
      </c>
      <c r="N1438">
        <v>62.9826805133593</v>
      </c>
      <c r="O1438">
        <v>61.1212443725824</v>
      </c>
      <c r="P1438">
        <v>-0.206333574965461</v>
      </c>
      <c r="Q1438">
        <v>0.468484259050343</v>
      </c>
      <c r="R1438">
        <v>0.601784522277573</v>
      </c>
      <c r="S1438" t="s">
        <v>3122</v>
      </c>
      <c r="T1438" t="s">
        <v>3344</v>
      </c>
      <c r="U1438" t="s">
        <v>3344</v>
      </c>
      <c r="V1438" t="s">
        <v>3344</v>
      </c>
      <c r="W1438" t="s">
        <v>4779</v>
      </c>
      <c r="X1438">
        <v>6</v>
      </c>
      <c r="Y1438" t="s">
        <v>6437</v>
      </c>
      <c r="Z1438" t="s">
        <v>8095</v>
      </c>
      <c r="AA1438">
        <v>0.8967184889740268</v>
      </c>
      <c r="AB1438">
        <f>HYPERLINK("Melting_Curves/meltCurve_P69228_baeR.pdf", "Melting_Curves/meltCurve_P69228_baeR.pdf")</f>
        <v>0</v>
      </c>
    </row>
    <row r="1439" spans="1:28">
      <c r="A1439" t="s">
        <v>1465</v>
      </c>
      <c r="B1439">
        <v>0.999998419929286</v>
      </c>
      <c r="C1439">
        <v>0.956164655635598</v>
      </c>
      <c r="D1439">
        <v>0.969778752996148</v>
      </c>
      <c r="E1439">
        <v>0.858390088992232</v>
      </c>
      <c r="F1439">
        <v>1.00423018949011</v>
      </c>
      <c r="G1439">
        <v>0.939605698413722</v>
      </c>
      <c r="H1439">
        <v>0.691518505523148</v>
      </c>
      <c r="I1439">
        <v>0.618194423887436</v>
      </c>
      <c r="J1439">
        <v>0.62459204454185</v>
      </c>
      <c r="K1439">
        <v>0.564442500049975</v>
      </c>
      <c r="L1439">
        <v>2425.5417952547</v>
      </c>
      <c r="M1439">
        <v>43.3946162978311</v>
      </c>
      <c r="O1439">
        <v>55.7766772569801</v>
      </c>
      <c r="P1439">
        <v>-0.0783003768437678</v>
      </c>
      <c r="Q1439">
        <v>0.597431289820231</v>
      </c>
      <c r="R1439">
        <v>0.91256425918752</v>
      </c>
      <c r="S1439" t="s">
        <v>3123</v>
      </c>
      <c r="T1439" t="s">
        <v>3344</v>
      </c>
      <c r="U1439" t="s">
        <v>3344</v>
      </c>
      <c r="V1439" t="s">
        <v>3344</v>
      </c>
      <c r="W1439" t="s">
        <v>4780</v>
      </c>
      <c r="X1439">
        <v>2</v>
      </c>
      <c r="Y1439" t="s">
        <v>6438</v>
      </c>
      <c r="Z1439" t="s">
        <v>8096</v>
      </c>
      <c r="AA1439">
        <v>0.8522827560161531</v>
      </c>
      <c r="AB1439">
        <f>HYPERLINK("Melting_Curves/meltCurve_P69346_yefM.pdf", "Melting_Curves/meltCurve_P69346_yefM.pdf")</f>
        <v>0</v>
      </c>
    </row>
    <row r="1440" spans="1:28">
      <c r="A1440" t="s">
        <v>1466</v>
      </c>
      <c r="B1440">
        <v>0.999998419929286</v>
      </c>
      <c r="C1440">
        <v>0.8050298113805791</v>
      </c>
      <c r="D1440">
        <v>0.918800333916922</v>
      </c>
      <c r="E1440">
        <v>1.06423531254282</v>
      </c>
      <c r="F1440">
        <v>1.23109517163848</v>
      </c>
      <c r="G1440">
        <v>1.3544509679792</v>
      </c>
      <c r="H1440">
        <v>1.27860061719924</v>
      </c>
      <c r="I1440">
        <v>0.907882208595463</v>
      </c>
      <c r="J1440">
        <v>0.600106086164876</v>
      </c>
      <c r="K1440">
        <v>0.397333858730293</v>
      </c>
      <c r="L1440">
        <v>3439.21768520102</v>
      </c>
      <c r="M1440">
        <v>54.2421340805779</v>
      </c>
      <c r="N1440">
        <v>64.9960634302179</v>
      </c>
      <c r="O1440">
        <v>63.3189221434315</v>
      </c>
      <c r="P1440">
        <v>-0.135461943666944</v>
      </c>
      <c r="Q1440">
        <v>0.367480879739015</v>
      </c>
      <c r="R1440">
        <v>0.624023441451983</v>
      </c>
      <c r="S1440" t="s">
        <v>3124</v>
      </c>
      <c r="T1440" t="s">
        <v>3344</v>
      </c>
      <c r="U1440" t="s">
        <v>3344</v>
      </c>
      <c r="V1440" t="s">
        <v>3344</v>
      </c>
      <c r="W1440" t="s">
        <v>4781</v>
      </c>
      <c r="X1440">
        <v>3</v>
      </c>
      <c r="Y1440" t="s">
        <v>6439</v>
      </c>
      <c r="Z1440" t="s">
        <v>8097</v>
      </c>
      <c r="AA1440">
        <v>0.9241828550760272</v>
      </c>
      <c r="AB1440">
        <f>HYPERLINK("Melting_Curves/meltCurve_P69411_rcsF.pdf", "Melting_Curves/meltCurve_P69411_rcsF.pdf")</f>
        <v>0</v>
      </c>
    </row>
    <row r="1441" spans="1:28">
      <c r="A1441" t="s">
        <v>1467</v>
      </c>
      <c r="B1441">
        <v>0.999998419929286</v>
      </c>
      <c r="C1441">
        <v>1.03066587039274</v>
      </c>
      <c r="D1441">
        <v>0.974189979015347</v>
      </c>
      <c r="E1441">
        <v>1.20437370513052</v>
      </c>
      <c r="F1441">
        <v>1.29368850260281</v>
      </c>
      <c r="G1441">
        <v>1.34472694348146</v>
      </c>
      <c r="H1441">
        <v>1.24536536179659</v>
      </c>
      <c r="I1441">
        <v>1.17227785608263</v>
      </c>
      <c r="J1441">
        <v>1.23291967292884</v>
      </c>
      <c r="K1441">
        <v>1.10043099998953</v>
      </c>
      <c r="L1441">
        <v>11556.0108391757</v>
      </c>
      <c r="M1441">
        <v>250</v>
      </c>
      <c r="O1441">
        <v>46.2210857489844</v>
      </c>
      <c r="P1441">
        <v>0.313125792026549</v>
      </c>
      <c r="Q1441">
        <v>1.23156822293796</v>
      </c>
      <c r="R1441">
        <v>0.733725939838664</v>
      </c>
      <c r="S1441" t="s">
        <v>3125</v>
      </c>
      <c r="T1441" t="s">
        <v>3344</v>
      </c>
      <c r="U1441" t="s">
        <v>3344</v>
      </c>
      <c r="V1441" t="s">
        <v>3344</v>
      </c>
      <c r="W1441" t="s">
        <v>4782</v>
      </c>
      <c r="X1441">
        <v>5</v>
      </c>
      <c r="Y1441" t="s">
        <v>6440</v>
      </c>
      <c r="Z1441" t="s">
        <v>8098</v>
      </c>
      <c r="AA1441">
        <v>1.160349593269716</v>
      </c>
      <c r="AB1441">
        <f>HYPERLINK("Melting_Curves/meltCurve_P69425_tatB.pdf", "Melting_Curves/meltCurve_P69425_tatB.pdf")</f>
        <v>0</v>
      </c>
    </row>
    <row r="1442" spans="1:28">
      <c r="A1442" t="s">
        <v>1468</v>
      </c>
      <c r="B1442">
        <v>0.999998419929286</v>
      </c>
      <c r="C1442">
        <v>1.22746441121017</v>
      </c>
      <c r="D1442">
        <v>1.34739841422504</v>
      </c>
      <c r="E1442">
        <v>1.72430119137968</v>
      </c>
      <c r="F1442">
        <v>1.71101339777874</v>
      </c>
      <c r="G1442">
        <v>2.26531144497847</v>
      </c>
      <c r="H1442">
        <v>2.48264503428486</v>
      </c>
      <c r="I1442">
        <v>2.38263472821718</v>
      </c>
      <c r="J1442">
        <v>2.33305976372515</v>
      </c>
      <c r="K1442">
        <v>2.31400436361479</v>
      </c>
      <c r="L1442">
        <v>1304.24029555695</v>
      </c>
      <c r="M1442">
        <v>32.2634611619004</v>
      </c>
      <c r="O1442">
        <v>40.2703527293701</v>
      </c>
      <c r="P1442">
        <v>0.100146981111644</v>
      </c>
      <c r="Q1442">
        <v>1.5</v>
      </c>
      <c r="R1442">
        <v>-0.408418642274767</v>
      </c>
      <c r="S1442" t="s">
        <v>3126</v>
      </c>
      <c r="T1442" t="s">
        <v>3344</v>
      </c>
      <c r="U1442" t="s">
        <v>3344</v>
      </c>
      <c r="V1442" t="s">
        <v>3344</v>
      </c>
      <c r="W1442" t="s">
        <v>4783</v>
      </c>
      <c r="X1442">
        <v>2</v>
      </c>
      <c r="Y1442" t="s">
        <v>6441</v>
      </c>
      <c r="Z1442" t="s">
        <v>8099</v>
      </c>
      <c r="AA1442">
        <v>1.439947745575897</v>
      </c>
      <c r="AB1442">
        <f>HYPERLINK("Melting_Curves/meltCurve_P69428_tatA.pdf", "Melting_Curves/meltCurve_P69428_tatA.pdf")</f>
        <v>0</v>
      </c>
    </row>
    <row r="1443" spans="1:28">
      <c r="A1443" t="s">
        <v>1469</v>
      </c>
      <c r="B1443">
        <v>0.999998419929286</v>
      </c>
      <c r="C1443">
        <v>0.948937652397563</v>
      </c>
      <c r="D1443">
        <v>1.01604944856322</v>
      </c>
      <c r="E1443">
        <v>1.16906939329729</v>
      </c>
      <c r="F1443">
        <v>1.27109113586742</v>
      </c>
      <c r="G1443">
        <v>1.50244355891125</v>
      </c>
      <c r="H1443">
        <v>1.35216538669974</v>
      </c>
      <c r="I1443">
        <v>1.20392005739786</v>
      </c>
      <c r="J1443">
        <v>1.35784397214244</v>
      </c>
      <c r="K1443">
        <v>1.22036867575077</v>
      </c>
      <c r="L1443">
        <v>1829.92605593877</v>
      </c>
      <c r="M1443">
        <v>39.3361451978257</v>
      </c>
      <c r="O1443">
        <v>46.4004766495511</v>
      </c>
      <c r="P1443">
        <v>0.06814152818358959</v>
      </c>
      <c r="Q1443">
        <v>1.32151521006433</v>
      </c>
      <c r="R1443">
        <v>0.775650883477051</v>
      </c>
      <c r="S1443" t="s">
        <v>3127</v>
      </c>
      <c r="T1443" t="s">
        <v>3344</v>
      </c>
      <c r="U1443" t="s">
        <v>3344</v>
      </c>
      <c r="V1443" t="s">
        <v>3344</v>
      </c>
      <c r="W1443" t="s">
        <v>4784</v>
      </c>
      <c r="X1443">
        <v>12</v>
      </c>
      <c r="Y1443" t="s">
        <v>6442</v>
      </c>
      <c r="Z1443" t="s">
        <v>8100</v>
      </c>
      <c r="AA1443">
        <v>1.218415548165143</v>
      </c>
      <c r="AB1443">
        <f>HYPERLINK("Melting_Curves/meltCurve_P69441_adk.pdf", "Melting_Curves/meltCurve_P69441_adk.pdf")</f>
        <v>0</v>
      </c>
    </row>
    <row r="1444" spans="1:28">
      <c r="A1444" t="s">
        <v>1470</v>
      </c>
      <c r="B1444">
        <v>0.999998419929286</v>
      </c>
      <c r="C1444">
        <v>0.672481908789947</v>
      </c>
      <c r="D1444">
        <v>0.331219300881255</v>
      </c>
      <c r="E1444">
        <v>0.222069321894911</v>
      </c>
      <c r="F1444">
        <v>0.201627872759451</v>
      </c>
      <c r="G1444">
        <v>0.184757994643349</v>
      </c>
      <c r="H1444">
        <v>0.148606458949039</v>
      </c>
      <c r="I1444">
        <v>0.123906810411411</v>
      </c>
      <c r="J1444">
        <v>0.132932380000353</v>
      </c>
      <c r="K1444">
        <v>0.132939573169046</v>
      </c>
      <c r="L1444">
        <v>1069.96050591385</v>
      </c>
      <c r="M1444">
        <v>26.2501422569164</v>
      </c>
      <c r="N1444">
        <v>41.3574428378154</v>
      </c>
      <c r="O1444">
        <v>40.5258338396193</v>
      </c>
      <c r="P1444">
        <v>-0.136389560591444</v>
      </c>
      <c r="Q1444">
        <v>0.157758562079058</v>
      </c>
      <c r="R1444">
        <v>0.987955652149758</v>
      </c>
      <c r="S1444" t="s">
        <v>3128</v>
      </c>
      <c r="T1444" t="s">
        <v>3344</v>
      </c>
      <c r="U1444" t="s">
        <v>3344</v>
      </c>
      <c r="V1444" t="s">
        <v>3344</v>
      </c>
      <c r="W1444" t="s">
        <v>4785</v>
      </c>
      <c r="X1444">
        <v>3</v>
      </c>
      <c r="Y1444" t="s">
        <v>6443</v>
      </c>
      <c r="Z1444" t="s">
        <v>8101</v>
      </c>
      <c r="AA1444">
        <v>0.2711549800847649</v>
      </c>
      <c r="AB1444">
        <f>HYPERLINK("Melting_Curves/meltCurve_P69451_fadD.pdf", "Melting_Curves/meltCurve_P69451_fadD.pdf")</f>
        <v>0</v>
      </c>
    </row>
    <row r="1445" spans="1:28">
      <c r="A1445" t="s">
        <v>1471</v>
      </c>
      <c r="B1445">
        <v>0.999998419929286</v>
      </c>
      <c r="C1445">
        <v>1.05262678765864</v>
      </c>
      <c r="D1445">
        <v>1.0096784607893</v>
      </c>
      <c r="E1445">
        <v>1.06942282956775</v>
      </c>
      <c r="F1445">
        <v>1.16302085732748</v>
      </c>
      <c r="G1445">
        <v>1.40633837122078</v>
      </c>
      <c r="H1445">
        <v>1.31747405705461</v>
      </c>
      <c r="I1445">
        <v>1.14028298238669</v>
      </c>
      <c r="J1445">
        <v>0.801414114634032</v>
      </c>
      <c r="K1445">
        <v>0.794949086039569</v>
      </c>
      <c r="L1445">
        <v>15000</v>
      </c>
      <c r="M1445">
        <v>237.247808375804</v>
      </c>
      <c r="O1445">
        <v>63.2205241187276</v>
      </c>
      <c r="P1445">
        <v>-0.19295933407769</v>
      </c>
      <c r="Q1445">
        <v>0.794324878472175</v>
      </c>
      <c r="R1445">
        <v>0.0709806177922538</v>
      </c>
      <c r="S1445" t="s">
        <v>3129</v>
      </c>
      <c r="T1445" t="s">
        <v>3344</v>
      </c>
      <c r="U1445" t="s">
        <v>3344</v>
      </c>
      <c r="V1445" t="s">
        <v>3344</v>
      </c>
      <c r="W1445" t="s">
        <v>4786</v>
      </c>
      <c r="X1445">
        <v>1</v>
      </c>
      <c r="Y1445" t="s">
        <v>6444</v>
      </c>
      <c r="Z1445" t="s">
        <v>8102</v>
      </c>
      <c r="AA1445">
        <v>0.9741447634115954</v>
      </c>
      <c r="AB1445">
        <f>HYPERLINK("Melting_Curves/meltCurve_P69488_cutA.pdf", "Melting_Curves/meltCurve_P69488_cutA.pdf")</f>
        <v>0</v>
      </c>
    </row>
    <row r="1446" spans="1:28">
      <c r="A1446" t="s">
        <v>1472</v>
      </c>
      <c r="B1446">
        <v>0.999998419929286</v>
      </c>
      <c r="C1446">
        <v>0.855561530984328</v>
      </c>
      <c r="D1446">
        <v>1.04860993988558</v>
      </c>
      <c r="E1446">
        <v>1.11224045342662</v>
      </c>
      <c r="F1446">
        <v>1.17516983973026</v>
      </c>
      <c r="G1446">
        <v>0.899906806794295</v>
      </c>
      <c r="H1446">
        <v>0.362386789946534</v>
      </c>
      <c r="I1446">
        <v>0.115516918323974</v>
      </c>
      <c r="J1446">
        <v>0.0852577493858835</v>
      </c>
      <c r="K1446">
        <v>0.0598754766491906</v>
      </c>
      <c r="L1446">
        <v>2606.93924374117</v>
      </c>
      <c r="M1446">
        <v>46.2178997579971</v>
      </c>
      <c r="N1446">
        <v>56.6074169773363</v>
      </c>
      <c r="O1446">
        <v>56.3001080153997</v>
      </c>
      <c r="P1446">
        <v>-0.189627628195376</v>
      </c>
      <c r="Q1446">
        <v>0.0760252185559696</v>
      </c>
      <c r="R1446">
        <v>0.96424312287642</v>
      </c>
      <c r="S1446" t="s">
        <v>3130</v>
      </c>
      <c r="T1446" t="s">
        <v>3344</v>
      </c>
      <c r="U1446" t="s">
        <v>3344</v>
      </c>
      <c r="V1446" t="s">
        <v>3344</v>
      </c>
      <c r="W1446" t="s">
        <v>4787</v>
      </c>
      <c r="X1446">
        <v>4</v>
      </c>
      <c r="Y1446" t="s">
        <v>6445</v>
      </c>
      <c r="Z1446" t="s">
        <v>8103</v>
      </c>
      <c r="AA1446">
        <v>0.6763509516780017</v>
      </c>
      <c r="AB1446">
        <f>HYPERLINK("Melting_Curves/meltCurve_P69503_apt.pdf", "Melting_Curves/meltCurve_P69503_apt.pdf")</f>
        <v>0</v>
      </c>
    </row>
    <row r="1447" spans="1:28">
      <c r="A1447" t="s">
        <v>1473</v>
      </c>
      <c r="B1447">
        <v>0.999998419929286</v>
      </c>
      <c r="C1447">
        <v>0.8547387091620851</v>
      </c>
      <c r="D1447">
        <v>0.84380061151177</v>
      </c>
      <c r="E1447">
        <v>0.971352264003437</v>
      </c>
      <c r="F1447">
        <v>1.06799763409193</v>
      </c>
      <c r="G1447">
        <v>1.14252224412507</v>
      </c>
      <c r="H1447">
        <v>1.1189408090862</v>
      </c>
      <c r="I1447">
        <v>0.816589000921405</v>
      </c>
      <c r="J1447">
        <v>0.886791619294532</v>
      </c>
      <c r="K1447">
        <v>0.809881366364697</v>
      </c>
      <c r="L1447">
        <v>14839.0148176919</v>
      </c>
      <c r="M1447">
        <v>250</v>
      </c>
      <c r="O1447">
        <v>59.3522682492906</v>
      </c>
      <c r="P1447">
        <v>-0.170900973243049</v>
      </c>
      <c r="Q1447">
        <v>0.837706253783235</v>
      </c>
      <c r="R1447">
        <v>0.382676716447808</v>
      </c>
      <c r="S1447" t="s">
        <v>3131</v>
      </c>
      <c r="T1447" t="s">
        <v>3344</v>
      </c>
      <c r="U1447" t="s">
        <v>3344</v>
      </c>
      <c r="V1447" t="s">
        <v>3344</v>
      </c>
      <c r="W1447" t="s">
        <v>4788</v>
      </c>
      <c r="X1447">
        <v>4</v>
      </c>
      <c r="Y1447" t="s">
        <v>6446</v>
      </c>
      <c r="Z1447" t="s">
        <v>8104</v>
      </c>
      <c r="AA1447">
        <v>0.9586647800772531</v>
      </c>
      <c r="AB1447">
        <f>HYPERLINK("Melting_Curves/meltCurve_P69506_ytfE.pdf", "Melting_Curves/meltCurve_P69506_ytfE.pdf")</f>
        <v>0</v>
      </c>
    </row>
    <row r="1448" spans="1:28">
      <c r="A1448" t="s">
        <v>1474</v>
      </c>
      <c r="B1448">
        <v>0.999998419929286</v>
      </c>
      <c r="C1448">
        <v>0.934075328495052</v>
      </c>
      <c r="D1448">
        <v>0.869695260632682</v>
      </c>
      <c r="E1448">
        <v>0.848074407189314</v>
      </c>
      <c r="F1448">
        <v>0.651503413181643</v>
      </c>
      <c r="G1448">
        <v>0.590528647925927</v>
      </c>
      <c r="H1448">
        <v>0.459826527947648</v>
      </c>
      <c r="I1448">
        <v>0.235606542441289</v>
      </c>
      <c r="J1448">
        <v>0.274612830416476</v>
      </c>
      <c r="K1448">
        <v>0.168263232842798</v>
      </c>
      <c r="L1448">
        <v>451.896113819048</v>
      </c>
      <c r="M1448">
        <v>8.202941338890961</v>
      </c>
      <c r="N1448">
        <v>55.0895217299744</v>
      </c>
      <c r="O1448">
        <v>52.1061214961079</v>
      </c>
      <c r="P1448">
        <v>-0.0393974282892122</v>
      </c>
      <c r="Q1448">
        <v>0</v>
      </c>
      <c r="R1448">
        <v>0.981613987270933</v>
      </c>
      <c r="S1448" t="s">
        <v>3132</v>
      </c>
      <c r="T1448" t="s">
        <v>3344</v>
      </c>
      <c r="U1448" t="s">
        <v>3344</v>
      </c>
      <c r="V1448" t="s">
        <v>3344</v>
      </c>
      <c r="W1448" t="s">
        <v>4789</v>
      </c>
      <c r="X1448">
        <v>1</v>
      </c>
      <c r="Y1448" t="s">
        <v>6447</v>
      </c>
      <c r="Z1448" t="s">
        <v>8105</v>
      </c>
      <c r="AA1448">
        <v>0.6098147320891562</v>
      </c>
      <c r="AB1448">
        <f>HYPERLINK("Melting_Curves/meltCurve_P69741_hybO.pdf", "Melting_Curves/meltCurve_P69741_hybO.pdf")</f>
        <v>0</v>
      </c>
    </row>
    <row r="1449" spans="1:28">
      <c r="A1449" t="s">
        <v>1475</v>
      </c>
      <c r="B1449">
        <v>0.999998419929286</v>
      </c>
      <c r="C1449">
        <v>0.855067240961373</v>
      </c>
      <c r="D1449">
        <v>1.02563512831283</v>
      </c>
      <c r="E1449">
        <v>1.02198769144194</v>
      </c>
      <c r="F1449">
        <v>1.08122464833459</v>
      </c>
      <c r="G1449">
        <v>1.42316908255196</v>
      </c>
      <c r="H1449">
        <v>1.4320460940048</v>
      </c>
      <c r="I1449">
        <v>1.35386268392998</v>
      </c>
      <c r="J1449">
        <v>1.56565328090073</v>
      </c>
      <c r="K1449">
        <v>1.58833023145862</v>
      </c>
      <c r="L1449">
        <v>2405.02066723315</v>
      </c>
      <c r="M1449">
        <v>46.3838678626046</v>
      </c>
      <c r="O1449">
        <v>51.7542688867294</v>
      </c>
      <c r="P1449">
        <v>0.109507626637378</v>
      </c>
      <c r="Q1449">
        <v>1.488745820867</v>
      </c>
      <c r="R1449">
        <v>0.907494173184486</v>
      </c>
      <c r="S1449" t="s">
        <v>3133</v>
      </c>
      <c r="T1449" t="s">
        <v>3344</v>
      </c>
      <c r="U1449" t="s">
        <v>3344</v>
      </c>
      <c r="V1449" t="s">
        <v>3344</v>
      </c>
      <c r="W1449" t="s">
        <v>4790</v>
      </c>
      <c r="X1449">
        <v>5</v>
      </c>
      <c r="Y1449" t="s">
        <v>6448</v>
      </c>
      <c r="Z1449" t="s">
        <v>8106</v>
      </c>
      <c r="AA1449">
        <v>1.245511416795773</v>
      </c>
      <c r="AB1449">
        <f>HYPERLINK("Melting_Curves/meltCurve_P69776_lpp.pdf", "Melting_Curves/meltCurve_P69776_lpp.pdf")</f>
        <v>0</v>
      </c>
    </row>
    <row r="1450" spans="1:28">
      <c r="A1450" t="s">
        <v>1476</v>
      </c>
      <c r="B1450">
        <v>0.999998419929286</v>
      </c>
      <c r="C1450">
        <v>0.914593930084264</v>
      </c>
      <c r="D1450">
        <v>0.855646301546664</v>
      </c>
      <c r="E1450">
        <v>0.963028339587457</v>
      </c>
      <c r="F1450">
        <v>0.900952424755124</v>
      </c>
      <c r="G1450">
        <v>1.27363894524673</v>
      </c>
      <c r="H1450">
        <v>1.18507010673344</v>
      </c>
      <c r="I1450">
        <v>1.01341595815371</v>
      </c>
      <c r="J1450">
        <v>1.11744373000955</v>
      </c>
      <c r="K1450">
        <v>1.05428417188072</v>
      </c>
      <c r="L1450">
        <v>3552.95344190259</v>
      </c>
      <c r="M1450">
        <v>68.5848364093178</v>
      </c>
      <c r="O1450">
        <v>51.7597855330396</v>
      </c>
      <c r="P1450">
        <v>0.0417711787042631</v>
      </c>
      <c r="Q1450">
        <v>1.12609590356935</v>
      </c>
      <c r="R1450">
        <v>0.441897186433783</v>
      </c>
      <c r="S1450" t="s">
        <v>3134</v>
      </c>
      <c r="T1450" t="s">
        <v>3344</v>
      </c>
      <c r="U1450" t="s">
        <v>3344</v>
      </c>
      <c r="V1450" t="s">
        <v>3344</v>
      </c>
      <c r="W1450" t="s">
        <v>4791</v>
      </c>
      <c r="X1450">
        <v>9</v>
      </c>
      <c r="Y1450" t="s">
        <v>6449</v>
      </c>
      <c r="Z1450" t="s">
        <v>8107</v>
      </c>
      <c r="AA1450">
        <v>1.063719986998904</v>
      </c>
      <c r="AB1450">
        <f>HYPERLINK("Melting_Curves/meltCurve_P69783_crr.pdf", "Melting_Curves/meltCurve_P69783_crr.pdf")</f>
        <v>0</v>
      </c>
    </row>
    <row r="1451" spans="1:28">
      <c r="A1451" t="s">
        <v>1477</v>
      </c>
      <c r="B1451">
        <v>0.999998419929286</v>
      </c>
      <c r="C1451">
        <v>1.0844696985512</v>
      </c>
      <c r="D1451">
        <v>1.01191096121299</v>
      </c>
      <c r="E1451">
        <v>0.455815638198912</v>
      </c>
      <c r="F1451">
        <v>0.121600620026027</v>
      </c>
      <c r="G1451">
        <v>0.0881049681920643</v>
      </c>
      <c r="H1451">
        <v>0.0517021885585634</v>
      </c>
      <c r="I1451">
        <v>0.038373623092637</v>
      </c>
      <c r="J1451">
        <v>0.0428889251562997</v>
      </c>
      <c r="K1451">
        <v>0.0255738827968754</v>
      </c>
      <c r="L1451">
        <v>2196.01650197445</v>
      </c>
      <c r="M1451">
        <v>47.3995447547777</v>
      </c>
      <c r="N1451">
        <v>46.4471574434792</v>
      </c>
      <c r="O1451">
        <v>46.2476671108172</v>
      </c>
      <c r="P1451">
        <v>-0.241779206750457</v>
      </c>
      <c r="Q1451">
        <v>0.0563865226825072</v>
      </c>
      <c r="R1451">
        <v>0.99334557424434</v>
      </c>
      <c r="S1451" t="s">
        <v>3135</v>
      </c>
      <c r="T1451" t="s">
        <v>3344</v>
      </c>
      <c r="U1451" t="s">
        <v>3344</v>
      </c>
      <c r="V1451" t="s">
        <v>3344</v>
      </c>
      <c r="W1451" t="s">
        <v>4792</v>
      </c>
      <c r="X1451">
        <v>9</v>
      </c>
      <c r="Y1451" t="s">
        <v>6450</v>
      </c>
      <c r="Z1451" t="s">
        <v>8108</v>
      </c>
      <c r="AA1451">
        <v>0.3519946450127306</v>
      </c>
      <c r="AB1451">
        <f>HYPERLINK("Melting_Curves/meltCurve_P69786_ptsG.pdf", "Melting_Curves/meltCurve_P69786_ptsG.pdf")</f>
        <v>0</v>
      </c>
    </row>
    <row r="1452" spans="1:28">
      <c r="A1452" t="s">
        <v>1478</v>
      </c>
      <c r="B1452">
        <v>0.999998419929286</v>
      </c>
      <c r="C1452">
        <v>0.876040144343553</v>
      </c>
      <c r="D1452">
        <v>0.985742128414731</v>
      </c>
      <c r="E1452">
        <v>1.21590669430978</v>
      </c>
      <c r="F1452">
        <v>1.42920208069433</v>
      </c>
      <c r="G1452">
        <v>1.60521934872432</v>
      </c>
      <c r="H1452">
        <v>1.24459118209885</v>
      </c>
      <c r="I1452">
        <v>0.580534678051253</v>
      </c>
      <c r="J1452">
        <v>0.366601798796342</v>
      </c>
      <c r="K1452">
        <v>0.244193323385561</v>
      </c>
      <c r="L1452">
        <v>10579.1934248909</v>
      </c>
      <c r="M1452">
        <v>173.850443277353</v>
      </c>
      <c r="N1452">
        <v>61.1842271741173</v>
      </c>
      <c r="O1452">
        <v>60.8442143492946</v>
      </c>
      <c r="P1452">
        <v>-0.496224900338594</v>
      </c>
      <c r="Q1452">
        <v>0.305324428661385</v>
      </c>
      <c r="R1452">
        <v>0.622319839270423</v>
      </c>
      <c r="S1452" t="s">
        <v>3136</v>
      </c>
      <c r="T1452" t="s">
        <v>3344</v>
      </c>
      <c r="U1452" t="s">
        <v>3344</v>
      </c>
      <c r="V1452" t="s">
        <v>3344</v>
      </c>
      <c r="W1452" t="s">
        <v>4793</v>
      </c>
      <c r="X1452">
        <v>3</v>
      </c>
      <c r="Y1452" t="s">
        <v>6451</v>
      </c>
      <c r="Z1452" t="s">
        <v>8109</v>
      </c>
      <c r="AA1452">
        <v>0.8577974273757452</v>
      </c>
      <c r="AB1452">
        <f>HYPERLINK("Melting_Curves/meltCurve_P69795_chbB.pdf", "Melting_Curves/meltCurve_P69795_chbB.pdf")</f>
        <v>0</v>
      </c>
    </row>
    <row r="1453" spans="1:28">
      <c r="A1453" t="s">
        <v>1479</v>
      </c>
      <c r="B1453">
        <v>0.999998419929286</v>
      </c>
      <c r="C1453">
        <v>0.994516522926692</v>
      </c>
      <c r="D1453">
        <v>0.9492350082934961</v>
      </c>
      <c r="E1453">
        <v>1.0691347957871</v>
      </c>
      <c r="F1453">
        <v>1.09929650480849</v>
      </c>
      <c r="G1453">
        <v>0.926000995664877</v>
      </c>
      <c r="H1453">
        <v>0.596326745224028</v>
      </c>
      <c r="I1453">
        <v>0.399883974522601</v>
      </c>
      <c r="J1453">
        <v>0.298889398959961</v>
      </c>
      <c r="K1453">
        <v>0.281048743871175</v>
      </c>
      <c r="L1453">
        <v>1963.03195689852</v>
      </c>
      <c r="M1453">
        <v>34.3852002269577</v>
      </c>
      <c r="N1453">
        <v>58.5884136731054</v>
      </c>
      <c r="O1453">
        <v>56.8973774941568</v>
      </c>
      <c r="P1453">
        <v>-0.10688437508733</v>
      </c>
      <c r="Q1453">
        <v>0.292553953225418</v>
      </c>
      <c r="R1453">
        <v>0.9790977626880401</v>
      </c>
      <c r="S1453" t="s">
        <v>3137</v>
      </c>
      <c r="T1453" t="s">
        <v>3344</v>
      </c>
      <c r="U1453" t="s">
        <v>3344</v>
      </c>
      <c r="V1453" t="s">
        <v>3344</v>
      </c>
      <c r="W1453" t="s">
        <v>4794</v>
      </c>
      <c r="X1453">
        <v>15</v>
      </c>
      <c r="Y1453" t="s">
        <v>6452</v>
      </c>
      <c r="Z1453" t="s">
        <v>8110</v>
      </c>
      <c r="AA1453">
        <v>0.7697270869186851</v>
      </c>
      <c r="AB1453">
        <f>HYPERLINK("Melting_Curves/meltCurve_P69797_manX.pdf", "Melting_Curves/meltCurve_P69797_manX.pdf")</f>
        <v>0</v>
      </c>
    </row>
    <row r="1454" spans="1:28">
      <c r="A1454" t="s">
        <v>1480</v>
      </c>
      <c r="B1454">
        <v>0.999998419929286</v>
      </c>
      <c r="C1454">
        <v>0.696479983698821</v>
      </c>
      <c r="D1454">
        <v>0.8206956723018231</v>
      </c>
      <c r="E1454">
        <v>0.7478393059881731</v>
      </c>
      <c r="F1454">
        <v>0.728640621390125</v>
      </c>
      <c r="G1454">
        <v>0.755335646820218</v>
      </c>
      <c r="H1454">
        <v>0.756778066035079</v>
      </c>
      <c r="I1454">
        <v>0.576096752565341</v>
      </c>
      <c r="J1454">
        <v>0.6891161729452731</v>
      </c>
      <c r="K1454">
        <v>0.714765111933106</v>
      </c>
      <c r="L1454">
        <v>9511.423536049129</v>
      </c>
      <c r="M1454">
        <v>250</v>
      </c>
      <c r="O1454">
        <v>38.0432396906532</v>
      </c>
      <c r="P1454">
        <v>-0.458953903878992</v>
      </c>
      <c r="Q1454">
        <v>0.720638359930046</v>
      </c>
      <c r="R1454">
        <v>0.6621988952223991</v>
      </c>
      <c r="S1454" t="s">
        <v>3138</v>
      </c>
      <c r="T1454" t="s">
        <v>3344</v>
      </c>
      <c r="U1454" t="s">
        <v>3344</v>
      </c>
      <c r="V1454" t="s">
        <v>3344</v>
      </c>
      <c r="W1454" t="s">
        <v>4795</v>
      </c>
      <c r="X1454">
        <v>6</v>
      </c>
      <c r="Y1454" t="s">
        <v>6453</v>
      </c>
      <c r="Z1454" t="s">
        <v>8111</v>
      </c>
      <c r="AA1454">
        <v>0.7303957092525259</v>
      </c>
      <c r="AB1454">
        <f>HYPERLINK("Melting_Curves/meltCurve_P69805_manZ.pdf", "Melting_Curves/meltCurve_P69805_manZ.pdf")</f>
        <v>0</v>
      </c>
    </row>
    <row r="1455" spans="1:28">
      <c r="A1455" t="s">
        <v>1481</v>
      </c>
      <c r="B1455">
        <v>0.999998419929286</v>
      </c>
      <c r="C1455">
        <v>0.801817789408525</v>
      </c>
      <c r="D1455">
        <v>1.05708814338713</v>
      </c>
      <c r="E1455">
        <v>0.909014252994654</v>
      </c>
      <c r="F1455">
        <v>1.01012441959785</v>
      </c>
      <c r="G1455">
        <v>0.922168404295228</v>
      </c>
      <c r="H1455">
        <v>0.74661343262512</v>
      </c>
      <c r="I1455">
        <v>0.595942515679159</v>
      </c>
      <c r="J1455">
        <v>0.6170039547132879</v>
      </c>
      <c r="K1455">
        <v>0.650878598947665</v>
      </c>
      <c r="L1455">
        <v>2087.82371368033</v>
      </c>
      <c r="M1455">
        <v>37.2377856144857</v>
      </c>
      <c r="O1455">
        <v>55.9063967432057</v>
      </c>
      <c r="P1455">
        <v>-0.06369736901374951</v>
      </c>
      <c r="Q1455">
        <v>0.617476753957707</v>
      </c>
      <c r="R1455">
        <v>0.798124639765226</v>
      </c>
      <c r="S1455" t="s">
        <v>3139</v>
      </c>
      <c r="T1455" t="s">
        <v>3344</v>
      </c>
      <c r="U1455" t="s">
        <v>3344</v>
      </c>
      <c r="V1455" t="s">
        <v>3344</v>
      </c>
      <c r="W1455" t="s">
        <v>4796</v>
      </c>
      <c r="X1455">
        <v>7</v>
      </c>
      <c r="Y1455" t="s">
        <v>6454</v>
      </c>
      <c r="Z1455" t="s">
        <v>8112</v>
      </c>
      <c r="AA1455">
        <v>0.8622461953216795</v>
      </c>
      <c r="AB1455">
        <f>HYPERLINK("Melting_Curves/meltCurve_P69811_fruB.pdf", "Melting_Curves/meltCurve_P69811_fruB.pdf")</f>
        <v>0</v>
      </c>
    </row>
    <row r="1456" spans="1:28">
      <c r="A1456" t="s">
        <v>1482</v>
      </c>
      <c r="B1456">
        <v>0.999998419929286</v>
      </c>
      <c r="C1456">
        <v>1.01754333168327</v>
      </c>
      <c r="D1456">
        <v>0.7464552309163081</v>
      </c>
      <c r="E1456">
        <v>1.0821950407011</v>
      </c>
      <c r="F1456">
        <v>0.916640432189426</v>
      </c>
      <c r="G1456">
        <v>0.731118387649934</v>
      </c>
      <c r="H1456">
        <v>0.276086567122845</v>
      </c>
      <c r="I1456">
        <v>0.240952553721628</v>
      </c>
      <c r="J1456">
        <v>0.121909070449872</v>
      </c>
      <c r="K1456">
        <v>0.205243006575894</v>
      </c>
      <c r="L1456">
        <v>2018.92519250214</v>
      </c>
      <c r="M1456">
        <v>36.8994564135812</v>
      </c>
      <c r="N1456">
        <v>55.3658093571814</v>
      </c>
      <c r="O1456">
        <v>54.5542844465144</v>
      </c>
      <c r="P1456">
        <v>-0.139313246030527</v>
      </c>
      <c r="Q1456">
        <v>0.176127624381684</v>
      </c>
      <c r="R1456">
        <v>0.937685322696455</v>
      </c>
      <c r="S1456" t="s">
        <v>3140</v>
      </c>
      <c r="T1456" t="s">
        <v>3344</v>
      </c>
      <c r="U1456" t="s">
        <v>3344</v>
      </c>
      <c r="V1456" t="s">
        <v>3344</v>
      </c>
      <c r="W1456" t="s">
        <v>4797</v>
      </c>
      <c r="X1456">
        <v>1</v>
      </c>
      <c r="Y1456" t="s">
        <v>6455</v>
      </c>
      <c r="Z1456" t="s">
        <v>8113</v>
      </c>
      <c r="AA1456">
        <v>0.6661958116643927</v>
      </c>
      <c r="AB1456">
        <f>HYPERLINK("Melting_Curves/meltCurve_P69822_ulaB.pdf", "Melting_Curves/meltCurve_P69822_ulaB.pdf")</f>
        <v>0</v>
      </c>
    </row>
    <row r="1457" spans="1:28">
      <c r="A1457" t="s">
        <v>1483</v>
      </c>
      <c r="B1457">
        <v>0.999998419929286</v>
      </c>
      <c r="C1457">
        <v>0.888331476462181</v>
      </c>
      <c r="D1457">
        <v>0.775111167631231</v>
      </c>
      <c r="E1457">
        <v>0.681955181887024</v>
      </c>
      <c r="F1457">
        <v>0.396079068704662</v>
      </c>
      <c r="G1457">
        <v>0.404185125155636</v>
      </c>
      <c r="H1457">
        <v>0.307394089014478</v>
      </c>
      <c r="I1457">
        <v>0.180449642630504</v>
      </c>
      <c r="J1457">
        <v>0.193731579402051</v>
      </c>
      <c r="K1457">
        <v>0.222278984951839</v>
      </c>
      <c r="L1457">
        <v>503.898559157278</v>
      </c>
      <c r="M1457">
        <v>10.5618805868901</v>
      </c>
      <c r="N1457">
        <v>49.462091924036</v>
      </c>
      <c r="O1457">
        <v>46.0941279446157</v>
      </c>
      <c r="P1457">
        <v>-0.0483602709464025</v>
      </c>
      <c r="Q1457">
        <v>0.156117882526325</v>
      </c>
      <c r="R1457">
        <v>0.978932520024194</v>
      </c>
      <c r="S1457" t="s">
        <v>3141</v>
      </c>
      <c r="T1457" t="s">
        <v>3344</v>
      </c>
      <c r="U1457" t="s">
        <v>3344</v>
      </c>
      <c r="V1457" t="s">
        <v>3344</v>
      </c>
      <c r="W1457" t="s">
        <v>4798</v>
      </c>
      <c r="X1457">
        <v>5</v>
      </c>
      <c r="Y1457" t="s">
        <v>6456</v>
      </c>
      <c r="Z1457" t="s">
        <v>8114</v>
      </c>
      <c r="AA1457">
        <v>0.4895453597353018</v>
      </c>
      <c r="AB1457">
        <f>HYPERLINK("Melting_Curves/meltCurve_P69828_gatA.pdf", "Melting_Curves/meltCurve_P69828_gatA.pdf")</f>
        <v>0</v>
      </c>
    </row>
    <row r="1458" spans="1:28">
      <c r="A1458" t="s">
        <v>1484</v>
      </c>
      <c r="B1458">
        <v>0.999998419929286</v>
      </c>
      <c r="C1458">
        <v>0.876691339637892</v>
      </c>
      <c r="D1458">
        <v>0.838098259787269</v>
      </c>
      <c r="E1458">
        <v>0.887907787890359</v>
      </c>
      <c r="F1458">
        <v>0.946244677525018</v>
      </c>
      <c r="G1458">
        <v>1.03248920498568</v>
      </c>
      <c r="H1458">
        <v>0.875865797959047</v>
      </c>
      <c r="I1458">
        <v>0.7256434612934271</v>
      </c>
      <c r="J1458">
        <v>0.5954668464627521</v>
      </c>
      <c r="K1458">
        <v>0.456579357922065</v>
      </c>
      <c r="L1458">
        <v>1139.61353554639</v>
      </c>
      <c r="M1458">
        <v>18.1516601683059</v>
      </c>
      <c r="N1458">
        <v>65.9561356646761</v>
      </c>
      <c r="O1458">
        <v>62.0357553556935</v>
      </c>
      <c r="P1458">
        <v>-0.0518500814284614</v>
      </c>
      <c r="Q1458">
        <v>0.291215166445351</v>
      </c>
      <c r="R1458">
        <v>0.795117289471762</v>
      </c>
      <c r="S1458" t="s">
        <v>3142</v>
      </c>
      <c r="T1458" t="s">
        <v>3344</v>
      </c>
      <c r="U1458" t="s">
        <v>3344</v>
      </c>
      <c r="V1458" t="s">
        <v>3344</v>
      </c>
      <c r="W1458" t="s">
        <v>4799</v>
      </c>
      <c r="X1458">
        <v>3</v>
      </c>
      <c r="Y1458" t="s">
        <v>6457</v>
      </c>
      <c r="Z1458" t="s">
        <v>8115</v>
      </c>
      <c r="AA1458">
        <v>0.8860511379713728</v>
      </c>
      <c r="AB1458">
        <f>HYPERLINK("Melting_Curves/meltCurve_P69829_ptsN.pdf", "Melting_Curves/meltCurve_P69829_ptsN.pdf")</f>
        <v>0</v>
      </c>
    </row>
    <row r="1459" spans="1:28">
      <c r="A1459" t="s">
        <v>1485</v>
      </c>
      <c r="B1459">
        <v>0.999998419929286</v>
      </c>
      <c r="C1459">
        <v>0.597210812372267</v>
      </c>
      <c r="D1459">
        <v>0.717101703676833</v>
      </c>
      <c r="E1459">
        <v>0.590842559901545</v>
      </c>
      <c r="F1459">
        <v>0.713830663333365</v>
      </c>
      <c r="G1459">
        <v>0.559626524976426</v>
      </c>
      <c r="H1459">
        <v>0.55130749011095</v>
      </c>
      <c r="I1459">
        <v>0.385148770378793</v>
      </c>
      <c r="J1459">
        <v>0.481611508136855</v>
      </c>
      <c r="K1459">
        <v>0.490563453032102</v>
      </c>
      <c r="L1459">
        <v>269.810449156713</v>
      </c>
      <c r="M1459">
        <v>6.25564999523749</v>
      </c>
      <c r="N1459">
        <v>59.9957989927098</v>
      </c>
      <c r="O1459">
        <v>39.3511331526327</v>
      </c>
      <c r="P1459">
        <v>-0.0233601136491486</v>
      </c>
      <c r="Q1459">
        <v>0.413847987020607</v>
      </c>
      <c r="R1459">
        <v>0.658350085852893</v>
      </c>
      <c r="S1459" t="s">
        <v>3143</v>
      </c>
      <c r="T1459" t="s">
        <v>3344</v>
      </c>
      <c r="U1459" t="s">
        <v>3344</v>
      </c>
      <c r="V1459" t="s">
        <v>3344</v>
      </c>
      <c r="W1459" t="s">
        <v>4800</v>
      </c>
      <c r="X1459">
        <v>2</v>
      </c>
      <c r="Y1459" t="s">
        <v>6458</v>
      </c>
      <c r="Z1459" t="s">
        <v>8116</v>
      </c>
      <c r="AA1459">
        <v>0.5979696284799881</v>
      </c>
      <c r="AB1459">
        <f>HYPERLINK("Melting_Curves/meltCurve_P69853_dmsD.pdf", "Melting_Curves/meltCurve_P69853_dmsD.pdf")</f>
        <v>0</v>
      </c>
    </row>
    <row r="1460" spans="1:28">
      <c r="A1460" t="s">
        <v>1486</v>
      </c>
      <c r="B1460">
        <v>0.999998419929286</v>
      </c>
      <c r="C1460">
        <v>0.533857714120727</v>
      </c>
      <c r="D1460">
        <v>0.332386539228421</v>
      </c>
      <c r="E1460">
        <v>0.155834764362268</v>
      </c>
      <c r="F1460">
        <v>0.0611332123945022</v>
      </c>
      <c r="G1460">
        <v>0.0586336364472946</v>
      </c>
      <c r="H1460">
        <v>0.0494795385493516</v>
      </c>
      <c r="I1460">
        <v>0.082255044192864</v>
      </c>
      <c r="J1460">
        <v>0</v>
      </c>
      <c r="K1460">
        <v>0</v>
      </c>
      <c r="L1460">
        <v>806.383135605067</v>
      </c>
      <c r="M1460">
        <v>19.7749597047054</v>
      </c>
      <c r="N1460">
        <v>40.9622886938828</v>
      </c>
      <c r="O1460">
        <v>40.367851738344</v>
      </c>
      <c r="P1460">
        <v>-0.117258734850071</v>
      </c>
      <c r="Q1460">
        <v>0.0425624787348651</v>
      </c>
      <c r="R1460">
        <v>0.968675194202163</v>
      </c>
      <c r="S1460" t="s">
        <v>3144</v>
      </c>
      <c r="T1460" t="s">
        <v>3344</v>
      </c>
      <c r="U1460" t="s">
        <v>3344</v>
      </c>
      <c r="V1460" t="s">
        <v>3344</v>
      </c>
      <c r="W1460" t="s">
        <v>4801</v>
      </c>
      <c r="X1460">
        <v>1</v>
      </c>
      <c r="Y1460" t="s">
        <v>6459</v>
      </c>
      <c r="Z1460" t="s">
        <v>8117</v>
      </c>
      <c r="AA1460">
        <v>0.1806034520686645</v>
      </c>
      <c r="AB1460">
        <f>HYPERLINK("Melting_Curves/meltCurve_P69874_potA.pdf", "Melting_Curves/meltCurve_P69874_potA.pdf")</f>
        <v>0</v>
      </c>
    </row>
    <row r="1461" spans="1:28">
      <c r="A1461" t="s">
        <v>1487</v>
      </c>
      <c r="B1461">
        <v>0.999998419929286</v>
      </c>
      <c r="C1461">
        <v>1.11175348558775</v>
      </c>
      <c r="D1461">
        <v>1.36008949299216</v>
      </c>
      <c r="E1461">
        <v>1.15998013888561</v>
      </c>
      <c r="F1461">
        <v>0.975635471899955</v>
      </c>
      <c r="G1461">
        <v>0.626060128464996</v>
      </c>
      <c r="H1461">
        <v>0.440994114629582</v>
      </c>
      <c r="I1461">
        <v>0.381074948239775</v>
      </c>
      <c r="J1461">
        <v>0.359046553456553</v>
      </c>
      <c r="K1461">
        <v>0.320637077625853</v>
      </c>
      <c r="L1461">
        <v>2159.23749248952</v>
      </c>
      <c r="M1461">
        <v>40.3801072371434</v>
      </c>
      <c r="N1461">
        <v>55.2355560024202</v>
      </c>
      <c r="O1461">
        <v>53.3421591642036</v>
      </c>
      <c r="P1461">
        <v>-0.120708218182362</v>
      </c>
      <c r="Q1461">
        <v>0.362178599934732</v>
      </c>
      <c r="R1461">
        <v>0.873425640575421</v>
      </c>
      <c r="S1461" t="s">
        <v>3145</v>
      </c>
      <c r="T1461" t="s">
        <v>3344</v>
      </c>
      <c r="U1461" t="s">
        <v>3344</v>
      </c>
      <c r="V1461" t="s">
        <v>3344</v>
      </c>
      <c r="W1461" t="s">
        <v>4802</v>
      </c>
      <c r="X1461">
        <v>12</v>
      </c>
      <c r="Y1461" t="s">
        <v>6460</v>
      </c>
      <c r="Z1461" t="s">
        <v>8118</v>
      </c>
      <c r="AA1461">
        <v>0.7147021451581526</v>
      </c>
      <c r="AB1461">
        <f>HYPERLINK("Melting_Curves/meltCurve_P69908_gadA.pdf", "Melting_Curves/meltCurve_P69908_gadA.pdf")</f>
        <v>0</v>
      </c>
    </row>
    <row r="1462" spans="1:28">
      <c r="A1462" t="s">
        <v>1488</v>
      </c>
      <c r="B1462">
        <v>0.999998419929286</v>
      </c>
      <c r="C1462">
        <v>1.01040859032513</v>
      </c>
      <c r="D1462">
        <v>0.936733152594986</v>
      </c>
      <c r="E1462">
        <v>0.838266822102758</v>
      </c>
      <c r="F1462">
        <v>0.736965960755847</v>
      </c>
      <c r="G1462">
        <v>0.398077146841982</v>
      </c>
      <c r="H1462">
        <v>0.272695626565807</v>
      </c>
      <c r="I1462">
        <v>0.342624776033511</v>
      </c>
      <c r="J1462">
        <v>0.283167952372141</v>
      </c>
      <c r="K1462">
        <v>0.259899676670763</v>
      </c>
      <c r="L1462">
        <v>1017.01223796866</v>
      </c>
      <c r="M1462">
        <v>20.0660884946328</v>
      </c>
      <c r="N1462">
        <v>52.6326846302532</v>
      </c>
      <c r="O1462">
        <v>50.1878156401612</v>
      </c>
      <c r="P1462">
        <v>-0.0737471641214021</v>
      </c>
      <c r="Q1462">
        <v>0.262219906240011</v>
      </c>
      <c r="R1462">
        <v>0.98131476534797</v>
      </c>
      <c r="S1462" t="s">
        <v>3146</v>
      </c>
      <c r="T1462" t="s">
        <v>3344</v>
      </c>
      <c r="U1462" t="s">
        <v>3344</v>
      </c>
      <c r="V1462" t="s">
        <v>3344</v>
      </c>
      <c r="W1462" t="s">
        <v>4803</v>
      </c>
      <c r="X1462">
        <v>12</v>
      </c>
      <c r="Y1462" t="s">
        <v>6461</v>
      </c>
      <c r="Z1462" t="s">
        <v>8119</v>
      </c>
      <c r="AA1462">
        <v>0.6083550166264471</v>
      </c>
      <c r="AB1462">
        <f>HYPERLINK("Melting_Curves/meltCurve_P69910_gadB.pdf", "Melting_Curves/meltCurve_P69910_gadB.pdf")</f>
        <v>0</v>
      </c>
    </row>
    <row r="1463" spans="1:28">
      <c r="A1463" t="s">
        <v>1489</v>
      </c>
      <c r="B1463">
        <v>0.999998419929286</v>
      </c>
      <c r="C1463">
        <v>0.877781038370311</v>
      </c>
      <c r="D1463">
        <v>0.94587067340145</v>
      </c>
      <c r="E1463">
        <v>0.93134669957401</v>
      </c>
      <c r="F1463">
        <v>0.998752420514322</v>
      </c>
      <c r="G1463">
        <v>1.08167233856249</v>
      </c>
      <c r="H1463">
        <v>1.1064146484285</v>
      </c>
      <c r="I1463">
        <v>1.39039148582806</v>
      </c>
      <c r="J1463">
        <v>1.78826008404137</v>
      </c>
      <c r="K1463">
        <v>1.67731908467055</v>
      </c>
      <c r="L1463">
        <v>3314.32567199149</v>
      </c>
      <c r="M1463">
        <v>56.2967402288029</v>
      </c>
      <c r="O1463">
        <v>58.7982792734052</v>
      </c>
      <c r="P1463">
        <v>0.119682010542561</v>
      </c>
      <c r="Q1463">
        <v>1.5</v>
      </c>
      <c r="R1463">
        <v>0.843208975213156</v>
      </c>
      <c r="S1463" t="s">
        <v>3147</v>
      </c>
      <c r="T1463" t="s">
        <v>3344</v>
      </c>
      <c r="U1463" t="s">
        <v>3344</v>
      </c>
      <c r="V1463" t="s">
        <v>3344</v>
      </c>
      <c r="W1463" t="s">
        <v>4804</v>
      </c>
      <c r="X1463">
        <v>2</v>
      </c>
      <c r="Y1463" t="s">
        <v>6462</v>
      </c>
      <c r="Z1463" t="s">
        <v>8120</v>
      </c>
      <c r="AA1463">
        <v>1.134462012393971</v>
      </c>
      <c r="AB1463">
        <f>HYPERLINK("Melting_Curves/meltCurve_P69913_csrA.pdf", "Melting_Curves/meltCurve_P69913_csrA.pdf")</f>
        <v>0</v>
      </c>
    </row>
    <row r="1464" spans="1:28">
      <c r="A1464" t="s">
        <v>1490</v>
      </c>
      <c r="B1464">
        <v>0.999998419929286</v>
      </c>
      <c r="C1464">
        <v>1.40519606577057</v>
      </c>
      <c r="D1464">
        <v>1.39793435619714</v>
      </c>
      <c r="E1464">
        <v>1.35368148844464</v>
      </c>
      <c r="F1464">
        <v>1.5224230091252</v>
      </c>
      <c r="G1464">
        <v>1.42153476089508</v>
      </c>
      <c r="H1464">
        <v>1.2694531208147</v>
      </c>
      <c r="I1464">
        <v>1.2571513985915</v>
      </c>
      <c r="J1464">
        <v>1.05857002088334</v>
      </c>
      <c r="K1464">
        <v>0.507496452423614</v>
      </c>
      <c r="L1464">
        <v>15000</v>
      </c>
      <c r="M1464">
        <v>223.850572620796</v>
      </c>
      <c r="Q1464">
        <v>0</v>
      </c>
      <c r="R1464">
        <v>-0.297515589339116</v>
      </c>
      <c r="S1464" t="s">
        <v>3148</v>
      </c>
      <c r="T1464" t="s">
        <v>3344</v>
      </c>
      <c r="U1464" t="s">
        <v>3344</v>
      </c>
      <c r="V1464" t="s">
        <v>3344</v>
      </c>
      <c r="W1464" t="s">
        <v>4805</v>
      </c>
      <c r="X1464">
        <v>9</v>
      </c>
      <c r="Y1464" t="s">
        <v>6463</v>
      </c>
      <c r="Z1464" t="s">
        <v>8121</v>
      </c>
      <c r="AA1464">
        <v>0.9933045340129343</v>
      </c>
      <c r="AB1464">
        <f>HYPERLINK("Melting_Curves/meltCurve_P69922_fucI.pdf", "Melting_Curves/meltCurve_P69922_fucI.pdf")</f>
        <v>0</v>
      </c>
    </row>
    <row r="1465" spans="1:28">
      <c r="A1465" t="s">
        <v>1491</v>
      </c>
      <c r="B1465">
        <v>0.999998419929286</v>
      </c>
      <c r="C1465">
        <v>0.789689519863341</v>
      </c>
      <c r="D1465">
        <v>0.704705076681121</v>
      </c>
      <c r="E1465">
        <v>0.587777052427583</v>
      </c>
      <c r="F1465">
        <v>0.5741059746464779</v>
      </c>
      <c r="G1465">
        <v>0.594136020389222</v>
      </c>
      <c r="H1465">
        <v>0.509840431992405</v>
      </c>
      <c r="I1465">
        <v>0.482331820632675</v>
      </c>
      <c r="J1465">
        <v>0.528910802970642</v>
      </c>
      <c r="K1465">
        <v>0.453522253607043</v>
      </c>
      <c r="L1465">
        <v>597.203439188009</v>
      </c>
      <c r="M1465">
        <v>14.2854745637741</v>
      </c>
      <c r="O1465">
        <v>41.011330687727</v>
      </c>
      <c r="P1465">
        <v>-0.0429502992448934</v>
      </c>
      <c r="Q1465">
        <v>0.506846251732891</v>
      </c>
      <c r="R1465">
        <v>0.935469935033571</v>
      </c>
      <c r="S1465" t="s">
        <v>3149</v>
      </c>
      <c r="T1465" t="s">
        <v>3344</v>
      </c>
      <c r="U1465" t="s">
        <v>3344</v>
      </c>
      <c r="V1465" t="s">
        <v>3344</v>
      </c>
      <c r="W1465" t="s">
        <v>4806</v>
      </c>
      <c r="X1465">
        <v>7</v>
      </c>
      <c r="Y1465" t="s">
        <v>6464</v>
      </c>
      <c r="Z1465" t="s">
        <v>8122</v>
      </c>
      <c r="AA1465">
        <v>0.6019216830702664</v>
      </c>
      <c r="AB1465">
        <f>HYPERLINK("Melting_Curves/meltCurve_P69924_nrdB.pdf", "Melting_Curves/meltCurve_P69924_nrdB.pdf")</f>
        <v>0</v>
      </c>
    </row>
    <row r="1466" spans="1:28">
      <c r="A1466" t="s">
        <v>1492</v>
      </c>
      <c r="B1466">
        <v>0.999998419929286</v>
      </c>
      <c r="C1466">
        <v>0.733334134305575</v>
      </c>
      <c r="D1466">
        <v>0.566311244832826</v>
      </c>
      <c r="E1466">
        <v>0.456558674996714</v>
      </c>
      <c r="F1466">
        <v>0.45885375881813</v>
      </c>
      <c r="G1466">
        <v>0.391704232869084</v>
      </c>
      <c r="H1466">
        <v>0.309483872013841</v>
      </c>
      <c r="I1466">
        <v>0.318859184192867</v>
      </c>
      <c r="J1466">
        <v>0.281305106229717</v>
      </c>
      <c r="K1466">
        <v>0.349059351658142</v>
      </c>
      <c r="L1466">
        <v>621.763342301391</v>
      </c>
      <c r="M1466">
        <v>14.8949074691411</v>
      </c>
      <c r="N1466">
        <v>45.0433961727888</v>
      </c>
      <c r="O1466">
        <v>41.0125897983252</v>
      </c>
      <c r="P1466">
        <v>-0.0606478133249416</v>
      </c>
      <c r="Q1466">
        <v>0.332102972929876</v>
      </c>
      <c r="R1466">
        <v>0.952264603557773</v>
      </c>
      <c r="S1466" t="s">
        <v>3150</v>
      </c>
      <c r="T1466" t="s">
        <v>3344</v>
      </c>
      <c r="U1466" t="s">
        <v>3344</v>
      </c>
      <c r="V1466" t="s">
        <v>3344</v>
      </c>
      <c r="W1466" t="s">
        <v>4807</v>
      </c>
      <c r="X1466">
        <v>1</v>
      </c>
      <c r="Y1466" t="s">
        <v>6465</v>
      </c>
      <c r="Z1466" t="s">
        <v>8123</v>
      </c>
      <c r="AA1466">
        <v>0.4577876189158458</v>
      </c>
      <c r="AB1466">
        <f>HYPERLINK("Melting_Curves/meltCurve_P75682_yagE.pdf", "Melting_Curves/meltCurve_P75682_yagE.pdf")</f>
        <v>0</v>
      </c>
    </row>
    <row r="1467" spans="1:28">
      <c r="A1467" t="s">
        <v>1493</v>
      </c>
      <c r="B1467">
        <v>0.999998419929286</v>
      </c>
      <c r="C1467">
        <v>1.14432091444561</v>
      </c>
      <c r="D1467">
        <v>1.23858934931527</v>
      </c>
      <c r="E1467">
        <v>1.417986805009</v>
      </c>
      <c r="F1467">
        <v>1.56586217030639</v>
      </c>
      <c r="G1467">
        <v>1.74520466258676</v>
      </c>
      <c r="H1467">
        <v>1.54487393242263</v>
      </c>
      <c r="I1467">
        <v>1.17083471605712</v>
      </c>
      <c r="J1467">
        <v>0.899221382867595</v>
      </c>
      <c r="K1467">
        <v>0.370516194103628</v>
      </c>
      <c r="L1467">
        <v>15000</v>
      </c>
      <c r="M1467">
        <v>232.351586610849</v>
      </c>
      <c r="N1467">
        <v>64.9346287101551</v>
      </c>
      <c r="O1467">
        <v>64.55255583002651</v>
      </c>
      <c r="P1467">
        <v>-0.566562401102085</v>
      </c>
      <c r="Q1467">
        <v>0.370384313055905</v>
      </c>
      <c r="R1467">
        <v>-0.023586679831336</v>
      </c>
      <c r="S1467" t="s">
        <v>3151</v>
      </c>
      <c r="T1467" t="s">
        <v>3344</v>
      </c>
      <c r="U1467" t="s">
        <v>3344</v>
      </c>
      <c r="V1467" t="s">
        <v>3344</v>
      </c>
      <c r="W1467" t="s">
        <v>4808</v>
      </c>
      <c r="X1467">
        <v>13</v>
      </c>
      <c r="Y1467" t="s">
        <v>6466</v>
      </c>
      <c r="Z1467" t="s">
        <v>8124</v>
      </c>
      <c r="AA1467">
        <v>0.9488166546691216</v>
      </c>
      <c r="AB1467">
        <f>HYPERLINK("Melting_Curves/meltCurve_P75691_yahK.pdf", "Melting_Curves/meltCurve_P75691_yahK.pdf")</f>
        <v>0</v>
      </c>
    </row>
    <row r="1468" spans="1:28">
      <c r="A1468" t="s">
        <v>1494</v>
      </c>
      <c r="B1468">
        <v>0.999998419929286</v>
      </c>
      <c r="C1468">
        <v>1.13457421530969</v>
      </c>
      <c r="D1468">
        <v>1.0822452936837</v>
      </c>
      <c r="E1468">
        <v>2.10117995800587</v>
      </c>
      <c r="F1468">
        <v>2.26353724904278</v>
      </c>
      <c r="G1468">
        <v>5.86274779006889</v>
      </c>
      <c r="H1468">
        <v>5.18702148297547</v>
      </c>
      <c r="I1468">
        <v>3.09814128927394</v>
      </c>
      <c r="J1468">
        <v>3.74138330611194</v>
      </c>
      <c r="K1468">
        <v>3.2908752696196</v>
      </c>
      <c r="L1468">
        <v>10819.8830485879</v>
      </c>
      <c r="M1468">
        <v>250</v>
      </c>
      <c r="O1468">
        <v>43.2767625952108</v>
      </c>
      <c r="P1468">
        <v>0.722096528608397</v>
      </c>
      <c r="Q1468">
        <v>1.5</v>
      </c>
      <c r="R1468">
        <v>-0.70826684060763</v>
      </c>
      <c r="S1468" t="s">
        <v>3152</v>
      </c>
      <c r="T1468" t="s">
        <v>3344</v>
      </c>
      <c r="U1468" t="s">
        <v>3344</v>
      </c>
      <c r="V1468" t="s">
        <v>3344</v>
      </c>
      <c r="W1468" t="s">
        <v>4809</v>
      </c>
      <c r="X1468">
        <v>2</v>
      </c>
      <c r="Y1468" t="s">
        <v>6467</v>
      </c>
      <c r="Z1468" t="s">
        <v>8125</v>
      </c>
      <c r="AA1468">
        <v>1.395303152641429</v>
      </c>
      <c r="AB1468">
        <f>HYPERLINK("Melting_Curves/meltCurve_P75694_yahO.pdf", "Melting_Curves/meltCurve_P75694_yahO.pdf")</f>
        <v>0</v>
      </c>
    </row>
    <row r="1469" spans="1:28">
      <c r="A1469" t="s">
        <v>1495</v>
      </c>
      <c r="B1469">
        <v>0.999998419929286</v>
      </c>
      <c r="C1469">
        <v>1.00011719892593</v>
      </c>
      <c r="D1469">
        <v>1.06765907906716</v>
      </c>
      <c r="E1469">
        <v>1.05695221657595</v>
      </c>
      <c r="F1469">
        <v>1.23394254569936</v>
      </c>
      <c r="G1469">
        <v>1.30360884793916</v>
      </c>
      <c r="H1469">
        <v>1.05287888567573</v>
      </c>
      <c r="I1469">
        <v>0.915821013581407</v>
      </c>
      <c r="J1469">
        <v>0.8297863492412511</v>
      </c>
      <c r="K1469">
        <v>0.805803296978271</v>
      </c>
      <c r="L1469">
        <v>6339.59734595921</v>
      </c>
      <c r="M1469">
        <v>103.75313001681</v>
      </c>
      <c r="O1469">
        <v>61.0800088817308</v>
      </c>
      <c r="P1469">
        <v>-0.0777454358244853</v>
      </c>
      <c r="Q1469">
        <v>0.816923404823551</v>
      </c>
      <c r="R1469">
        <v>0.296113579047264</v>
      </c>
      <c r="S1469" t="s">
        <v>3153</v>
      </c>
      <c r="T1469" t="s">
        <v>3344</v>
      </c>
      <c r="U1469" t="s">
        <v>3344</v>
      </c>
      <c r="V1469" t="s">
        <v>3344</v>
      </c>
      <c r="W1469" t="s">
        <v>4810</v>
      </c>
      <c r="X1469">
        <v>3</v>
      </c>
      <c r="Y1469" t="s">
        <v>6468</v>
      </c>
      <c r="Z1469" t="s">
        <v>8126</v>
      </c>
      <c r="AA1469">
        <v>0.964125098330231</v>
      </c>
      <c r="AB1469">
        <f>HYPERLINK("Melting_Curves/meltCurve_P75713_allE.pdf", "Melting_Curves/meltCurve_P75713_allE.pdf")</f>
        <v>0</v>
      </c>
    </row>
    <row r="1470" spans="1:28">
      <c r="A1470" t="s">
        <v>1496</v>
      </c>
      <c r="B1470">
        <v>0.999998419929286</v>
      </c>
      <c r="C1470">
        <v>0.508565163994232</v>
      </c>
      <c r="D1470">
        <v>0.847197536088375</v>
      </c>
      <c r="E1470">
        <v>0.34757279266079</v>
      </c>
      <c r="F1470">
        <v>0.159492720719553</v>
      </c>
      <c r="G1470">
        <v>0.147301816619082</v>
      </c>
      <c r="H1470">
        <v>0.0596177006191757</v>
      </c>
      <c r="I1470">
        <v>0.044278708750162</v>
      </c>
      <c r="J1470">
        <v>0.0357018942885983</v>
      </c>
      <c r="K1470">
        <v>0.0577080082769718</v>
      </c>
      <c r="L1470">
        <v>488.051542412271</v>
      </c>
      <c r="M1470">
        <v>10.9395864763847</v>
      </c>
      <c r="N1470">
        <v>44.6133468437308</v>
      </c>
      <c r="O1470">
        <v>43.2002677390808</v>
      </c>
      <c r="P1470">
        <v>-0.063329217512511</v>
      </c>
      <c r="Q1470">
        <v>0</v>
      </c>
      <c r="R1470">
        <v>0.863512188484871</v>
      </c>
      <c r="S1470" t="s">
        <v>3154</v>
      </c>
      <c r="T1470" t="s">
        <v>3344</v>
      </c>
      <c r="U1470" t="s">
        <v>3344</v>
      </c>
      <c r="V1470" t="s">
        <v>3344</v>
      </c>
      <c r="W1470" t="s">
        <v>4811</v>
      </c>
      <c r="X1470">
        <v>2</v>
      </c>
      <c r="Y1470" t="s">
        <v>6469</v>
      </c>
      <c r="Z1470" t="s">
        <v>8127</v>
      </c>
      <c r="AA1470">
        <v>0.2976278422749324</v>
      </c>
      <c r="AB1470">
        <f>HYPERLINK("Melting_Curves/meltCurve_P75728_ubiF.pdf", "Melting_Curves/meltCurve_P75728_ubiF.pdf")</f>
        <v>0</v>
      </c>
    </row>
    <row r="1471" spans="1:28">
      <c r="A1471" t="s">
        <v>1497</v>
      </c>
      <c r="B1471">
        <v>0.999998419929286</v>
      </c>
      <c r="C1471">
        <v>1.16462447322478</v>
      </c>
      <c r="D1471">
        <v>0.90760020060344</v>
      </c>
      <c r="E1471">
        <v>0.701696746048169</v>
      </c>
      <c r="F1471">
        <v>0.783599702184843</v>
      </c>
      <c r="G1471">
        <v>0.493362280935294</v>
      </c>
      <c r="H1471">
        <v>0.158127765134612</v>
      </c>
      <c r="I1471">
        <v>0.378924642261624</v>
      </c>
      <c r="J1471">
        <v>0.22811889103075</v>
      </c>
      <c r="K1471">
        <v>0.354132162810902</v>
      </c>
      <c r="L1471">
        <v>779.750016252155</v>
      </c>
      <c r="M1471">
        <v>15.4319963679628</v>
      </c>
      <c r="N1471">
        <v>52.9206887081243</v>
      </c>
      <c r="O1471">
        <v>49.7024630123934</v>
      </c>
      <c r="P1471">
        <v>-0.0581338513946251</v>
      </c>
      <c r="Q1471">
        <v>0.251131365903306</v>
      </c>
      <c r="R1471">
        <v>0.881276752443923</v>
      </c>
      <c r="S1471" t="s">
        <v>3155</v>
      </c>
      <c r="T1471" t="s">
        <v>3344</v>
      </c>
      <c r="U1471" t="s">
        <v>3344</v>
      </c>
      <c r="V1471" t="s">
        <v>3344</v>
      </c>
      <c r="W1471" t="s">
        <v>4812</v>
      </c>
      <c r="X1471">
        <v>1</v>
      </c>
      <c r="Y1471" t="s">
        <v>6470</v>
      </c>
      <c r="Z1471" t="s">
        <v>8128</v>
      </c>
      <c r="AA1471">
        <v>0.6035947300184138</v>
      </c>
      <c r="AB1471">
        <f>HYPERLINK("Melting_Curves/meltCurve_P75736_ybfF.pdf", "Melting_Curves/meltCurve_P75736_ybfF.pdf")</f>
        <v>0</v>
      </c>
    </row>
    <row r="1472" spans="1:28">
      <c r="A1472" t="s">
        <v>1498</v>
      </c>
      <c r="B1472">
        <v>0.999998419929286</v>
      </c>
      <c r="C1472">
        <v>0.973954553558104</v>
      </c>
      <c r="D1472">
        <v>0.9376653903655759</v>
      </c>
      <c r="E1472">
        <v>0.774226149523349</v>
      </c>
      <c r="F1472">
        <v>0.548499792768341</v>
      </c>
      <c r="G1472">
        <v>0.213330634596106</v>
      </c>
      <c r="H1472">
        <v>0.103184378346412</v>
      </c>
      <c r="I1472">
        <v>0.0940902381932236</v>
      </c>
      <c r="J1472">
        <v>0.0736037822688797</v>
      </c>
      <c r="K1472">
        <v>0.0444825781207393</v>
      </c>
      <c r="L1472">
        <v>904.580348994052</v>
      </c>
      <c r="M1472">
        <v>18.0932062152779</v>
      </c>
      <c r="N1472">
        <v>50.2261089620599</v>
      </c>
      <c r="O1472">
        <v>49.3968492483819</v>
      </c>
      <c r="P1472">
        <v>-0.0879264642280138</v>
      </c>
      <c r="Q1472">
        <v>0.0398428390365615</v>
      </c>
      <c r="R1472">
        <v>0.996403639198141</v>
      </c>
      <c r="S1472" t="s">
        <v>3156</v>
      </c>
      <c r="T1472" t="s">
        <v>3344</v>
      </c>
      <c r="U1472" t="s">
        <v>3344</v>
      </c>
      <c r="V1472" t="s">
        <v>3344</v>
      </c>
      <c r="W1472" t="s">
        <v>4813</v>
      </c>
      <c r="X1472">
        <v>4</v>
      </c>
      <c r="Y1472" t="s">
        <v>6471</v>
      </c>
      <c r="Z1472" t="s">
        <v>8129</v>
      </c>
      <c r="AA1472">
        <v>0.4707685342681751</v>
      </c>
      <c r="AB1472">
        <f>HYPERLINK("Melting_Curves/meltCurve_P75745_ybgK.pdf", "Melting_Curves/meltCurve_P75745_ybgK.pdf")</f>
        <v>0</v>
      </c>
    </row>
    <row r="1473" spans="1:28">
      <c r="A1473" t="s">
        <v>1499</v>
      </c>
      <c r="B1473">
        <v>0.999998419929286</v>
      </c>
      <c r="C1473">
        <v>0.858512788427947</v>
      </c>
      <c r="D1473">
        <v>0.478907898627278</v>
      </c>
      <c r="E1473">
        <v>0.252344842733612</v>
      </c>
      <c r="F1473">
        <v>0.152781349963762</v>
      </c>
      <c r="G1473">
        <v>0.09394268879288099</v>
      </c>
      <c r="H1473">
        <v>0.06467045928197281</v>
      </c>
      <c r="I1473">
        <v>0.0516166628714759</v>
      </c>
      <c r="J1473">
        <v>0.0544669663004493</v>
      </c>
      <c r="K1473">
        <v>0.0301182875881593</v>
      </c>
      <c r="L1473">
        <v>839.98817490457</v>
      </c>
      <c r="M1473">
        <v>19.5535712074248</v>
      </c>
      <c r="N1473">
        <v>43.2456632386105</v>
      </c>
      <c r="O1473">
        <v>42.5165586054354</v>
      </c>
      <c r="P1473">
        <v>-0.10797563079562</v>
      </c>
      <c r="Q1473">
        <v>0.0609206050723592</v>
      </c>
      <c r="R1473">
        <v>0.992903083810206</v>
      </c>
      <c r="S1473" t="s">
        <v>3157</v>
      </c>
      <c r="T1473" t="s">
        <v>3344</v>
      </c>
      <c r="U1473" t="s">
        <v>3344</v>
      </c>
      <c r="V1473" t="s">
        <v>3344</v>
      </c>
      <c r="W1473" t="s">
        <v>4814</v>
      </c>
      <c r="X1473">
        <v>2</v>
      </c>
      <c r="Y1473" t="s">
        <v>6472</v>
      </c>
      <c r="Z1473" t="s">
        <v>8130</v>
      </c>
      <c r="AA1473">
        <v>0.2612519459798013</v>
      </c>
      <c r="AB1473">
        <f>HYPERLINK("Melting_Curves/meltCurve_P75767_ybhK.pdf", "Melting_Curves/meltCurve_P75767_ybhK.pdf")</f>
        <v>0</v>
      </c>
    </row>
    <row r="1474" spans="1:28">
      <c r="A1474" t="s">
        <v>1500</v>
      </c>
      <c r="B1474">
        <v>0.999998419929286</v>
      </c>
      <c r="C1474">
        <v>0.974662944920307</v>
      </c>
      <c r="D1474">
        <v>0.734835363702291</v>
      </c>
      <c r="E1474">
        <v>0.5293764516430109</v>
      </c>
      <c r="F1474">
        <v>0.379675658747908</v>
      </c>
      <c r="G1474">
        <v>0.391477719630959</v>
      </c>
      <c r="H1474">
        <v>0.23325282868203</v>
      </c>
      <c r="I1474">
        <v>0.167381602215606</v>
      </c>
      <c r="J1474">
        <v>0.109154593008991</v>
      </c>
      <c r="K1474">
        <v>0.108109918361596</v>
      </c>
      <c r="L1474">
        <v>506.267740422731</v>
      </c>
      <c r="M1474">
        <v>10.6942514788312</v>
      </c>
      <c r="N1474">
        <v>48.2601244294663</v>
      </c>
      <c r="O1474">
        <v>45.7749158611686</v>
      </c>
      <c r="P1474">
        <v>-0.0530409505452285</v>
      </c>
      <c r="Q1474">
        <v>0.0922104933688145</v>
      </c>
      <c r="R1474">
        <v>0.9740440361214699</v>
      </c>
      <c r="S1474" t="s">
        <v>3158</v>
      </c>
      <c r="T1474" t="s">
        <v>3344</v>
      </c>
      <c r="U1474" t="s">
        <v>3344</v>
      </c>
      <c r="V1474" t="s">
        <v>3344</v>
      </c>
      <c r="W1474" t="s">
        <v>4815</v>
      </c>
      <c r="X1474">
        <v>2</v>
      </c>
      <c r="Y1474" t="s">
        <v>6473</v>
      </c>
      <c r="Z1474" t="s">
        <v>8131</v>
      </c>
      <c r="AA1474">
        <v>0.4399377384448657</v>
      </c>
      <c r="AB1474">
        <f>HYPERLINK("Melting_Curves/meltCurve_P75777_ybhG.pdf", "Melting_Curves/meltCurve_P75777_ybhG.pdf")</f>
        <v>0</v>
      </c>
    </row>
    <row r="1475" spans="1:28">
      <c r="A1475" t="s">
        <v>1501</v>
      </c>
      <c r="B1475">
        <v>0.999998419929286</v>
      </c>
      <c r="C1475">
        <v>1.24900216995072</v>
      </c>
      <c r="D1475">
        <v>0.628429753944057</v>
      </c>
      <c r="E1475">
        <v>0.675452536729086</v>
      </c>
      <c r="F1475">
        <v>0.193437847144848</v>
      </c>
      <c r="G1475">
        <v>0.206225733373906</v>
      </c>
      <c r="H1475">
        <v>0.09433038686226509</v>
      </c>
      <c r="I1475">
        <v>0.0817582321260328</v>
      </c>
      <c r="J1475">
        <v>0.0542132832857474</v>
      </c>
      <c r="K1475">
        <v>0.0568008089505832</v>
      </c>
      <c r="L1475">
        <v>835.287601146163</v>
      </c>
      <c r="M1475">
        <v>17.8100804758364</v>
      </c>
      <c r="N1475">
        <v>47.2422714224794</v>
      </c>
      <c r="O1475">
        <v>46.3204195516263</v>
      </c>
      <c r="P1475">
        <v>-0.090306136944183</v>
      </c>
      <c r="Q1475">
        <v>0.0605762217280261</v>
      </c>
      <c r="R1475">
        <v>0.9092634925301309</v>
      </c>
      <c r="S1475" t="s">
        <v>3159</v>
      </c>
      <c r="T1475" t="s">
        <v>3344</v>
      </c>
      <c r="U1475" t="s">
        <v>3344</v>
      </c>
      <c r="V1475" t="s">
        <v>3344</v>
      </c>
      <c r="W1475" t="s">
        <v>4816</v>
      </c>
      <c r="X1475">
        <v>2</v>
      </c>
      <c r="Y1475" t="s">
        <v>6474</v>
      </c>
      <c r="Z1475" t="s">
        <v>8132</v>
      </c>
      <c r="AA1475">
        <v>0.385975133572568</v>
      </c>
      <c r="AB1475">
        <f>HYPERLINK("Melting_Curves/meltCurve_P75792_ybiV.pdf", "Melting_Curves/meltCurve_P75792_ybiV.pdf")</f>
        <v>0</v>
      </c>
    </row>
    <row r="1476" spans="1:28">
      <c r="A1476" t="s">
        <v>1502</v>
      </c>
      <c r="B1476">
        <v>0.999998419929286</v>
      </c>
      <c r="C1476">
        <v>1.27064208783101</v>
      </c>
      <c r="D1476">
        <v>1.34542882233945</v>
      </c>
      <c r="E1476">
        <v>1.67134283464805</v>
      </c>
      <c r="F1476">
        <v>1.99065103317901</v>
      </c>
      <c r="G1476">
        <v>2.41811429387354</v>
      </c>
      <c r="H1476">
        <v>1.5078216914032</v>
      </c>
      <c r="I1476">
        <v>0.173425195847916</v>
      </c>
      <c r="J1476">
        <v>0.0655923582380032</v>
      </c>
      <c r="K1476">
        <v>0.0465128404162539</v>
      </c>
      <c r="L1476">
        <v>15000</v>
      </c>
      <c r="M1476">
        <v>247.853485459117</v>
      </c>
      <c r="N1476">
        <v>60.5486712752169</v>
      </c>
      <c r="O1476">
        <v>60.515662174486</v>
      </c>
      <c r="P1476">
        <v>-0.9665321018459579</v>
      </c>
      <c r="Q1476">
        <v>0.0560495532721503</v>
      </c>
      <c r="R1476">
        <v>0.365545789796548</v>
      </c>
      <c r="S1476" t="s">
        <v>3160</v>
      </c>
      <c r="T1476" t="s">
        <v>3344</v>
      </c>
      <c r="U1476" t="s">
        <v>3344</v>
      </c>
      <c r="V1476" t="s">
        <v>3344</v>
      </c>
      <c r="W1476" t="s">
        <v>4817</v>
      </c>
      <c r="X1476">
        <v>8</v>
      </c>
      <c r="Y1476" t="s">
        <v>6475</v>
      </c>
      <c r="Z1476" t="s">
        <v>8133</v>
      </c>
      <c r="AA1476">
        <v>0.7961969071535737</v>
      </c>
      <c r="AB1476">
        <f>HYPERLINK("Melting_Curves/meltCurve_P75797_gsiB.pdf", "Melting_Curves/meltCurve_P75797_gsiB.pdf")</f>
        <v>0</v>
      </c>
    </row>
    <row r="1477" spans="1:28">
      <c r="A1477" t="s">
        <v>1503</v>
      </c>
      <c r="B1477">
        <v>0.999998419929286</v>
      </c>
      <c r="C1477">
        <v>0.982732990142909</v>
      </c>
      <c r="D1477">
        <v>1.01612175543995</v>
      </c>
      <c r="E1477">
        <v>1.12533359702989</v>
      </c>
      <c r="F1477">
        <v>1.27335343380075</v>
      </c>
      <c r="G1477">
        <v>1.36330258885815</v>
      </c>
      <c r="H1477">
        <v>1.2820338561588</v>
      </c>
      <c r="I1477">
        <v>1.19438072908476</v>
      </c>
      <c r="J1477">
        <v>1.09795315509793</v>
      </c>
      <c r="K1477">
        <v>1.17534494423096</v>
      </c>
      <c r="L1477">
        <v>11642.0728452645</v>
      </c>
      <c r="M1477">
        <v>250</v>
      </c>
      <c r="O1477">
        <v>46.5653185880383</v>
      </c>
      <c r="P1477">
        <v>0.310130874638381</v>
      </c>
      <c r="Q1477">
        <v>1.23106145145309</v>
      </c>
      <c r="R1477">
        <v>0.70747693278596</v>
      </c>
      <c r="S1477" t="s">
        <v>3161</v>
      </c>
      <c r="T1477" t="s">
        <v>3344</v>
      </c>
      <c r="U1477" t="s">
        <v>3344</v>
      </c>
      <c r="V1477" t="s">
        <v>3344</v>
      </c>
      <c r="W1477" t="s">
        <v>4818</v>
      </c>
      <c r="X1477">
        <v>7</v>
      </c>
      <c r="Y1477" t="s">
        <v>6476</v>
      </c>
      <c r="Z1477" t="s">
        <v>8134</v>
      </c>
      <c r="AA1477">
        <v>1.157347124432346</v>
      </c>
      <c r="AB1477">
        <f>HYPERLINK("Melting_Curves/meltCurve_P75818_ybjP.pdf", "Melting_Curves/meltCurve_P75818_ybjP.pdf")</f>
        <v>0</v>
      </c>
    </row>
    <row r="1478" spans="1:28">
      <c r="A1478" t="s">
        <v>1504</v>
      </c>
      <c r="B1478">
        <v>0.999998419929286</v>
      </c>
      <c r="C1478">
        <v>0.758246454387978</v>
      </c>
      <c r="D1478">
        <v>0.726488534052131</v>
      </c>
      <c r="E1478">
        <v>0.526645892579208</v>
      </c>
      <c r="F1478">
        <v>0.508251370095168</v>
      </c>
      <c r="G1478">
        <v>0.403549925937244</v>
      </c>
      <c r="H1478">
        <v>0.345607615255821</v>
      </c>
      <c r="I1478">
        <v>0.334212596828957</v>
      </c>
      <c r="J1478">
        <v>0.2566570515763</v>
      </c>
      <c r="K1478">
        <v>0.337531627523756</v>
      </c>
      <c r="L1478">
        <v>439.923161587896</v>
      </c>
      <c r="M1478">
        <v>9.856379887824099</v>
      </c>
      <c r="N1478">
        <v>48.6750235245299</v>
      </c>
      <c r="O1478">
        <v>42.9125248957012</v>
      </c>
      <c r="P1478">
        <v>-0.0413971050206138</v>
      </c>
      <c r="Q1478">
        <v>0.279434722164736</v>
      </c>
      <c r="R1478">
        <v>0.95941701396801</v>
      </c>
      <c r="S1478" t="s">
        <v>3162</v>
      </c>
      <c r="T1478" t="s">
        <v>3344</v>
      </c>
      <c r="U1478" t="s">
        <v>3344</v>
      </c>
      <c r="V1478" t="s">
        <v>3344</v>
      </c>
      <c r="W1478" t="s">
        <v>4819</v>
      </c>
      <c r="X1478">
        <v>4</v>
      </c>
      <c r="Y1478" t="s">
        <v>6477</v>
      </c>
      <c r="Z1478" t="s">
        <v>8135</v>
      </c>
      <c r="AA1478">
        <v>0.5003221518946412</v>
      </c>
      <c r="AB1478">
        <f>HYPERLINK("Melting_Curves/meltCurve_P75863_ycbX.pdf", "Melting_Curves/meltCurve_P75863_ycbX.pdf")</f>
        <v>0</v>
      </c>
    </row>
    <row r="1479" spans="1:28">
      <c r="A1479" t="s">
        <v>1505</v>
      </c>
      <c r="B1479">
        <v>0.999998419929286</v>
      </c>
      <c r="C1479">
        <v>1.45852607365797</v>
      </c>
      <c r="D1479">
        <v>0.982516319545113</v>
      </c>
      <c r="E1479">
        <v>0.484578712537948</v>
      </c>
      <c r="F1479">
        <v>0.100643017770355</v>
      </c>
      <c r="G1479">
        <v>0.06896463228896681</v>
      </c>
      <c r="H1479">
        <v>0.0300335599376951</v>
      </c>
      <c r="I1479">
        <v>0.0353980200398646</v>
      </c>
      <c r="J1479">
        <v>0.0266486865178612</v>
      </c>
      <c r="K1479">
        <v>0</v>
      </c>
      <c r="L1479">
        <v>2021.29022396562</v>
      </c>
      <c r="M1479">
        <v>43.4860023349759</v>
      </c>
      <c r="N1479">
        <v>46.5620778210713</v>
      </c>
      <c r="O1479">
        <v>46.3834265019853</v>
      </c>
      <c r="P1479">
        <v>-0.22587978493084</v>
      </c>
      <c r="Q1479">
        <v>0.0362818512737996</v>
      </c>
      <c r="R1479">
        <v>0.917362502700713</v>
      </c>
      <c r="S1479" t="s">
        <v>3163</v>
      </c>
      <c r="T1479" t="s">
        <v>3344</v>
      </c>
      <c r="U1479" t="s">
        <v>3344</v>
      </c>
      <c r="V1479" t="s">
        <v>3344</v>
      </c>
      <c r="W1479" t="s">
        <v>4820</v>
      </c>
      <c r="X1479">
        <v>1</v>
      </c>
      <c r="Y1479" t="s">
        <v>6478</v>
      </c>
      <c r="Z1479" t="s">
        <v>8136</v>
      </c>
      <c r="AA1479">
        <v>0.3434788995124949</v>
      </c>
      <c r="AB1479">
        <f>HYPERLINK("Melting_Curves/meltCurve_P75864_rlmL.pdf", "Melting_Curves/meltCurve_P75864_rlmL.pdf")</f>
        <v>0</v>
      </c>
    </row>
    <row r="1480" spans="1:28">
      <c r="A1480" t="s">
        <v>1506</v>
      </c>
      <c r="B1480">
        <v>0.999998419929286</v>
      </c>
      <c r="C1480">
        <v>0.821891304084071</v>
      </c>
      <c r="D1480">
        <v>0.94138390041139</v>
      </c>
      <c r="E1480">
        <v>1.01435735659411</v>
      </c>
      <c r="F1480">
        <v>1.12609354516401</v>
      </c>
      <c r="G1480">
        <v>1.15960495648369</v>
      </c>
      <c r="H1480">
        <v>0.702933338333206</v>
      </c>
      <c r="I1480">
        <v>0.289437439814846</v>
      </c>
      <c r="J1480">
        <v>0.151559435369052</v>
      </c>
      <c r="K1480">
        <v>0.139696675694728</v>
      </c>
      <c r="L1480">
        <v>2761.85880563712</v>
      </c>
      <c r="M1480">
        <v>47.328313571901</v>
      </c>
      <c r="N1480">
        <v>58.8093778435873</v>
      </c>
      <c r="O1480">
        <v>58.2514231242222</v>
      </c>
      <c r="P1480">
        <v>-0.172034226113993</v>
      </c>
      <c r="Q1480">
        <v>0.153045894833414</v>
      </c>
      <c r="R1480">
        <v>0.940431851842532</v>
      </c>
      <c r="S1480" t="s">
        <v>3164</v>
      </c>
      <c r="T1480" t="s">
        <v>3344</v>
      </c>
      <c r="U1480" t="s">
        <v>3344</v>
      </c>
      <c r="V1480" t="s">
        <v>3344</v>
      </c>
      <c r="W1480" t="s">
        <v>4821</v>
      </c>
      <c r="X1480">
        <v>5</v>
      </c>
      <c r="Y1480" t="s">
        <v>6479</v>
      </c>
      <c r="Z1480" t="s">
        <v>8137</v>
      </c>
      <c r="AA1480">
        <v>0.7582723601217286</v>
      </c>
      <c r="AB1480">
        <f>HYPERLINK("Melting_Curves/meltCurve_P75874_yccU.pdf", "Melting_Curves/meltCurve_P75874_yccU.pdf")</f>
        <v>0</v>
      </c>
    </row>
    <row r="1481" spans="1:28">
      <c r="A1481" t="s">
        <v>1507</v>
      </c>
      <c r="B1481">
        <v>0.999998419929286</v>
      </c>
      <c r="C1481">
        <v>1.14163954577265</v>
      </c>
      <c r="D1481">
        <v>1.09171467836506</v>
      </c>
      <c r="E1481">
        <v>1.29679692421847</v>
      </c>
      <c r="F1481">
        <v>1.4462642751577</v>
      </c>
      <c r="G1481">
        <v>1.61671616604661</v>
      </c>
      <c r="H1481">
        <v>1.28893388669282</v>
      </c>
      <c r="I1481">
        <v>0.908903365245424</v>
      </c>
      <c r="J1481">
        <v>0.804327467408776</v>
      </c>
      <c r="K1481">
        <v>0.466510970841133</v>
      </c>
      <c r="L1481">
        <v>2667.69871382406</v>
      </c>
      <c r="M1481">
        <v>40.5824167935073</v>
      </c>
      <c r="N1481">
        <v>66.688645317473</v>
      </c>
      <c r="O1481">
        <v>65.57632164178121</v>
      </c>
      <c r="P1481">
        <v>-0.120664304996432</v>
      </c>
      <c r="Q1481">
        <v>0.220085302039676</v>
      </c>
      <c r="R1481">
        <v>0.213953986244942</v>
      </c>
      <c r="S1481" t="s">
        <v>3165</v>
      </c>
      <c r="T1481" t="s">
        <v>3344</v>
      </c>
      <c r="U1481" t="s">
        <v>3344</v>
      </c>
      <c r="V1481" t="s">
        <v>3344</v>
      </c>
      <c r="W1481" t="s">
        <v>4822</v>
      </c>
      <c r="X1481">
        <v>4</v>
      </c>
      <c r="Y1481" t="s">
        <v>6480</v>
      </c>
      <c r="Z1481" t="s">
        <v>8138</v>
      </c>
      <c r="AA1481">
        <v>0.952860711135242</v>
      </c>
      <c r="AB1481">
        <f>HYPERLINK("Melting_Curves/meltCurve_P75876_rlmI.pdf", "Melting_Curves/meltCurve_P75876_rlmI.pdf")</f>
        <v>0</v>
      </c>
    </row>
    <row r="1482" spans="1:28">
      <c r="A1482" t="s">
        <v>1508</v>
      </c>
      <c r="B1482">
        <v>0.999998419929286</v>
      </c>
      <c r="C1482">
        <v>0.9609755484296399</v>
      </c>
      <c r="D1482">
        <v>1.0103140383413</v>
      </c>
      <c r="E1482">
        <v>0.990922250531826</v>
      </c>
      <c r="F1482">
        <v>0.534284399392725</v>
      </c>
      <c r="G1482">
        <v>0.120933287376894</v>
      </c>
      <c r="H1482">
        <v>0.0666678097098904</v>
      </c>
      <c r="I1482">
        <v>0.0485216764334008</v>
      </c>
      <c r="J1482">
        <v>0.0373413600093205</v>
      </c>
      <c r="K1482">
        <v>0.0355509443842126</v>
      </c>
      <c r="L1482">
        <v>2107.32968198663</v>
      </c>
      <c r="M1482">
        <v>41.9068133331345</v>
      </c>
      <c r="N1482">
        <v>50.4083685342668</v>
      </c>
      <c r="O1482">
        <v>50.1719825715526</v>
      </c>
      <c r="P1482">
        <v>-0.198723245277766</v>
      </c>
      <c r="Q1482">
        <v>0.0483339771430981</v>
      </c>
      <c r="R1482">
        <v>0.998464018805011</v>
      </c>
      <c r="S1482" t="s">
        <v>3166</v>
      </c>
      <c r="T1482" t="s">
        <v>3344</v>
      </c>
      <c r="U1482" t="s">
        <v>3344</v>
      </c>
      <c r="V1482" t="s">
        <v>3344</v>
      </c>
      <c r="W1482" t="s">
        <v>4823</v>
      </c>
      <c r="X1482">
        <v>6</v>
      </c>
      <c r="Y1482" t="s">
        <v>6481</v>
      </c>
      <c r="Z1482" t="s">
        <v>8139</v>
      </c>
      <c r="AA1482">
        <v>0.4728080496243073</v>
      </c>
      <c r="AB1482">
        <f>HYPERLINK("Melting_Curves/meltCurve_P75913_ghrA.pdf", "Melting_Curves/meltCurve_P75913_ghrA.pdf")</f>
        <v>0</v>
      </c>
    </row>
    <row r="1483" spans="1:28">
      <c r="A1483" t="s">
        <v>1509</v>
      </c>
      <c r="B1483">
        <v>0.999998419929286</v>
      </c>
      <c r="C1483">
        <v>0.7517906778915729</v>
      </c>
      <c r="D1483">
        <v>0.416252033179937</v>
      </c>
      <c r="E1483">
        <v>0.223600544601341</v>
      </c>
      <c r="F1483">
        <v>0.153732125215905</v>
      </c>
      <c r="G1483">
        <v>0.124447211940123</v>
      </c>
      <c r="H1483">
        <v>0.0937624140946719</v>
      </c>
      <c r="I1483">
        <v>0.08235688599507369</v>
      </c>
      <c r="J1483">
        <v>0.0873604634230753</v>
      </c>
      <c r="K1483">
        <v>0.0793835565407765</v>
      </c>
      <c r="L1483">
        <v>862.7585042060859</v>
      </c>
      <c r="M1483">
        <v>20.5842014592661</v>
      </c>
      <c r="N1483">
        <v>42.3611206030708</v>
      </c>
      <c r="O1483">
        <v>41.5240617009683</v>
      </c>
      <c r="P1483">
        <v>-0.111822833266443</v>
      </c>
      <c r="Q1483">
        <v>0.09771523082649961</v>
      </c>
      <c r="R1483">
        <v>0.993736377451525</v>
      </c>
      <c r="S1483" t="s">
        <v>3167</v>
      </c>
      <c r="T1483" t="s">
        <v>3344</v>
      </c>
      <c r="U1483" t="s">
        <v>3344</v>
      </c>
      <c r="V1483" t="s">
        <v>3344</v>
      </c>
      <c r="W1483" t="s">
        <v>4824</v>
      </c>
      <c r="X1483">
        <v>4</v>
      </c>
      <c r="Y1483" t="s">
        <v>6482</v>
      </c>
      <c r="Z1483" t="s">
        <v>8140</v>
      </c>
      <c r="AA1483">
        <v>0.258319763401599</v>
      </c>
      <c r="AB1483">
        <f>HYPERLINK("Melting_Curves/meltCurve_P75914_ycdX.pdf", "Melting_Curves/meltCurve_P75914_ycdX.pdf")</f>
        <v>0</v>
      </c>
    </row>
    <row r="1484" spans="1:28">
      <c r="A1484" t="s">
        <v>1510</v>
      </c>
      <c r="B1484">
        <v>0.999998419929286</v>
      </c>
      <c r="C1484">
        <v>1.08288600663711</v>
      </c>
      <c r="D1484">
        <v>0.863586488040857</v>
      </c>
      <c r="E1484">
        <v>0.959846593115782</v>
      </c>
      <c r="F1484">
        <v>0.95055703825602</v>
      </c>
      <c r="G1484">
        <v>0.884982584156716</v>
      </c>
      <c r="H1484">
        <v>0.61563869807839</v>
      </c>
      <c r="I1484">
        <v>0.5484792298683751</v>
      </c>
      <c r="J1484">
        <v>0.521065330736735</v>
      </c>
      <c r="K1484">
        <v>0.52745894479732</v>
      </c>
      <c r="L1484">
        <v>1985.7502592612</v>
      </c>
      <c r="M1484">
        <v>35.8982823668106</v>
      </c>
      <c r="O1484">
        <v>55.1452144661354</v>
      </c>
      <c r="P1484">
        <v>-0.07753505503267789</v>
      </c>
      <c r="Q1484">
        <v>0.52357907144781</v>
      </c>
      <c r="R1484">
        <v>0.932801834017232</v>
      </c>
      <c r="S1484" t="s">
        <v>3168</v>
      </c>
      <c r="T1484" t="s">
        <v>3344</v>
      </c>
      <c r="U1484" t="s">
        <v>3344</v>
      </c>
      <c r="V1484" t="s">
        <v>3344</v>
      </c>
      <c r="W1484" t="s">
        <v>4825</v>
      </c>
      <c r="X1484">
        <v>3</v>
      </c>
      <c r="Y1484" t="s">
        <v>6483</v>
      </c>
      <c r="Z1484" t="s">
        <v>8141</v>
      </c>
      <c r="AA1484">
        <v>0.8166438644018315</v>
      </c>
      <c r="AB1484">
        <f>HYPERLINK("Melting_Curves/meltCurve_P75915_ycdY.pdf", "Melting_Curves/meltCurve_P75915_ycdY.pdf")</f>
        <v>0</v>
      </c>
    </row>
    <row r="1485" spans="1:28">
      <c r="A1485" t="s">
        <v>1511</v>
      </c>
      <c r="B1485">
        <v>0.999998419929286</v>
      </c>
      <c r="C1485">
        <v>0.9390744919860829</v>
      </c>
      <c r="D1485">
        <v>0.985869961882054</v>
      </c>
      <c r="E1485">
        <v>1.02216573455912</v>
      </c>
      <c r="F1485">
        <v>0.987751458756842</v>
      </c>
      <c r="G1485">
        <v>0.753836568346084</v>
      </c>
      <c r="H1485">
        <v>0.227231812023784</v>
      </c>
      <c r="I1485">
        <v>0.105593917766027</v>
      </c>
      <c r="J1485">
        <v>0.06732686134219799</v>
      </c>
      <c r="K1485">
        <v>0.0732616712178334</v>
      </c>
      <c r="L1485">
        <v>2247.45379290285</v>
      </c>
      <c r="M1485">
        <v>40.7577489202054</v>
      </c>
      <c r="N1485">
        <v>55.3597855418622</v>
      </c>
      <c r="O1485">
        <v>55.009513363197</v>
      </c>
      <c r="P1485">
        <v>-0.171495986434271</v>
      </c>
      <c r="Q1485">
        <v>0.0741498619395156</v>
      </c>
      <c r="R1485">
        <v>0.997248929795528</v>
      </c>
      <c r="S1485" t="s">
        <v>3169</v>
      </c>
      <c r="T1485" t="s">
        <v>3344</v>
      </c>
      <c r="U1485" t="s">
        <v>3344</v>
      </c>
      <c r="V1485" t="s">
        <v>3344</v>
      </c>
      <c r="W1485" t="s">
        <v>4826</v>
      </c>
      <c r="X1485">
        <v>3</v>
      </c>
      <c r="Y1485" t="s">
        <v>6484</v>
      </c>
      <c r="Z1485" t="s">
        <v>8142</v>
      </c>
      <c r="AA1485">
        <v>0.6373851669142936</v>
      </c>
      <c r="AB1485">
        <f>HYPERLINK("Melting_Curves/meltCurve_P75931_yceM.pdf", "Melting_Curves/meltCurve_P75931_yceM.pdf")</f>
        <v>0</v>
      </c>
    </row>
    <row r="1486" spans="1:28">
      <c r="A1486" t="s">
        <v>1512</v>
      </c>
      <c r="B1486">
        <v>0.999998419929286</v>
      </c>
      <c r="C1486">
        <v>1.02881067887852</v>
      </c>
      <c r="D1486">
        <v>1.36720629920224</v>
      </c>
      <c r="E1486">
        <v>1.93013580440634</v>
      </c>
      <c r="F1486">
        <v>3.03855739046147</v>
      </c>
      <c r="G1486">
        <v>3.31071147256107</v>
      </c>
      <c r="H1486">
        <v>4.47385753165723</v>
      </c>
      <c r="I1486">
        <v>6.27951031493833</v>
      </c>
      <c r="J1486">
        <v>5.88964989076847</v>
      </c>
      <c r="K1486">
        <v>6.59013784818117</v>
      </c>
      <c r="S1486" t="s">
        <v>3170</v>
      </c>
      <c r="T1486" t="s">
        <v>3344</v>
      </c>
      <c r="U1486" t="s">
        <v>3345</v>
      </c>
      <c r="V1486" t="s">
        <v>3344</v>
      </c>
      <c r="W1486" t="s">
        <v>4827</v>
      </c>
      <c r="X1486">
        <v>1</v>
      </c>
      <c r="Y1486" t="s">
        <v>6485</v>
      </c>
      <c r="Z1486" t="s">
        <v>8143</v>
      </c>
      <c r="AB1486">
        <f>HYPERLINK("Melting_Curves/meltCurve_P75937_flgE.pdf", "Melting_Curves/meltCurve_P75937_flgE.pdf")</f>
        <v>0</v>
      </c>
    </row>
    <row r="1487" spans="1:28">
      <c r="A1487" t="s">
        <v>1513</v>
      </c>
      <c r="B1487">
        <v>0.999998419929286</v>
      </c>
      <c r="C1487">
        <v>0.840836696181585</v>
      </c>
      <c r="D1487">
        <v>0.702018655550728</v>
      </c>
      <c r="E1487">
        <v>0.854533065820379</v>
      </c>
      <c r="F1487">
        <v>0.826597185248821</v>
      </c>
      <c r="G1487">
        <v>1.07769068457059</v>
      </c>
      <c r="H1487">
        <v>0.778653623847726</v>
      </c>
      <c r="I1487">
        <v>0.61362777975211</v>
      </c>
      <c r="J1487">
        <v>0.595939911215319</v>
      </c>
      <c r="K1487">
        <v>0.665570108783299</v>
      </c>
      <c r="L1487">
        <v>167.449905257741</v>
      </c>
      <c r="M1487">
        <v>1.83866024950877</v>
      </c>
      <c r="O1487">
        <v>51.2895956851984</v>
      </c>
      <c r="P1487">
        <v>-0.009941593865332639</v>
      </c>
      <c r="Q1487">
        <v>0</v>
      </c>
      <c r="R1487">
        <v>0.338939294291168</v>
      </c>
      <c r="S1487" t="s">
        <v>3171</v>
      </c>
      <c r="T1487" t="s">
        <v>3344</v>
      </c>
      <c r="U1487" t="s">
        <v>3344</v>
      </c>
      <c r="V1487" t="s">
        <v>3344</v>
      </c>
      <c r="W1487" t="s">
        <v>4828</v>
      </c>
      <c r="X1487">
        <v>1</v>
      </c>
      <c r="Y1487" t="s">
        <v>6486</v>
      </c>
      <c r="Z1487" t="s">
        <v>8144</v>
      </c>
      <c r="AA1487">
        <v>0.7991432606504689</v>
      </c>
      <c r="AB1487">
        <f>HYPERLINK("Melting_Curves/meltCurve_P75952_comR.pdf", "Melting_Curves/meltCurve_P75952_comR.pdf")</f>
        <v>0</v>
      </c>
    </row>
    <row r="1488" spans="1:28">
      <c r="A1488" t="s">
        <v>1514</v>
      </c>
      <c r="B1488">
        <v>0.999998419929286</v>
      </c>
      <c r="C1488">
        <v>0.764592421604129</v>
      </c>
      <c r="D1488">
        <v>0.587857174129644</v>
      </c>
      <c r="E1488">
        <v>0.386496450495658</v>
      </c>
      <c r="F1488">
        <v>0.198881947803326</v>
      </c>
      <c r="G1488">
        <v>0.137567664663041</v>
      </c>
      <c r="H1488">
        <v>0.108363108528369</v>
      </c>
      <c r="I1488">
        <v>0.0969015723043168</v>
      </c>
      <c r="J1488">
        <v>0.08874507853931329</v>
      </c>
      <c r="K1488">
        <v>0.09440645210769801</v>
      </c>
      <c r="L1488">
        <v>607.27264729612</v>
      </c>
      <c r="M1488">
        <v>13.8801008457169</v>
      </c>
      <c r="N1488">
        <v>44.3027317114927</v>
      </c>
      <c r="O1488">
        <v>42.8731917173055</v>
      </c>
      <c r="P1488">
        <v>-0.07452659323582909</v>
      </c>
      <c r="Q1488">
        <v>0.0793283036284162</v>
      </c>
      <c r="R1488">
        <v>0.991946800556904</v>
      </c>
      <c r="S1488" t="s">
        <v>3172</v>
      </c>
      <c r="T1488" t="s">
        <v>3344</v>
      </c>
      <c r="U1488" t="s">
        <v>3344</v>
      </c>
      <c r="V1488" t="s">
        <v>3344</v>
      </c>
      <c r="W1488" t="s">
        <v>4829</v>
      </c>
      <c r="X1488">
        <v>1</v>
      </c>
      <c r="Y1488" t="s">
        <v>6487</v>
      </c>
      <c r="Z1488" t="s">
        <v>8145</v>
      </c>
      <c r="AA1488">
        <v>0.3137209068313934</v>
      </c>
      <c r="AB1488">
        <f>HYPERLINK("Melting_Curves/meltCurve_P75959_nagK.pdf", "Melting_Curves/meltCurve_P75959_nagK.pdf")</f>
        <v>0</v>
      </c>
    </row>
    <row r="1489" spans="1:28">
      <c r="A1489" t="s">
        <v>1515</v>
      </c>
      <c r="B1489">
        <v>0.999998419929286</v>
      </c>
      <c r="C1489">
        <v>0.88917867495004</v>
      </c>
      <c r="D1489">
        <v>1.01401915802281</v>
      </c>
      <c r="E1489">
        <v>1.02670435002826</v>
      </c>
      <c r="F1489">
        <v>1.10777593805413</v>
      </c>
      <c r="G1489">
        <v>0.921303386715639</v>
      </c>
      <c r="H1489">
        <v>0.333936956059008</v>
      </c>
      <c r="I1489">
        <v>0.180137180732939</v>
      </c>
      <c r="J1489">
        <v>0.143319423228527</v>
      </c>
      <c r="K1489">
        <v>0.118481749422572</v>
      </c>
      <c r="L1489">
        <v>3040.60058978323</v>
      </c>
      <c r="M1489">
        <v>54.2044869129144</v>
      </c>
      <c r="N1489">
        <v>56.4447761700843</v>
      </c>
      <c r="O1489">
        <v>56.0188026065746</v>
      </c>
      <c r="P1489">
        <v>-0.207395174515329</v>
      </c>
      <c r="Q1489">
        <v>0.142652364544138</v>
      </c>
      <c r="R1489">
        <v>0.983391696342107</v>
      </c>
      <c r="S1489" t="s">
        <v>3173</v>
      </c>
      <c r="T1489" t="s">
        <v>3344</v>
      </c>
      <c r="U1489" t="s">
        <v>3344</v>
      </c>
      <c r="V1489" t="s">
        <v>3344</v>
      </c>
      <c r="W1489" t="s">
        <v>4830</v>
      </c>
      <c r="X1489">
        <v>3</v>
      </c>
      <c r="Y1489" t="s">
        <v>6488</v>
      </c>
      <c r="Z1489" t="s">
        <v>8146</v>
      </c>
      <c r="AA1489">
        <v>0.6901511146503789</v>
      </c>
      <c r="AB1489">
        <f>HYPERLINK("Melting_Curves/meltCurve_P75960_cobB.pdf", "Melting_Curves/meltCurve_P75960_cobB.pdf")</f>
        <v>0</v>
      </c>
    </row>
    <row r="1490" spans="1:28">
      <c r="A1490" t="s">
        <v>1516</v>
      </c>
      <c r="B1490">
        <v>0.999998419929286</v>
      </c>
      <c r="C1490">
        <v>1.00599027144775</v>
      </c>
      <c r="D1490">
        <v>0.9830504175247</v>
      </c>
      <c r="E1490">
        <v>1.08650444598402</v>
      </c>
      <c r="F1490">
        <v>1.21401889612808</v>
      </c>
      <c r="G1490">
        <v>1.27910670865894</v>
      </c>
      <c r="H1490">
        <v>0.786119202721573</v>
      </c>
      <c r="I1490">
        <v>0.379968742348973</v>
      </c>
      <c r="J1490">
        <v>0.227181013429172</v>
      </c>
      <c r="K1490">
        <v>0.139237729833929</v>
      </c>
      <c r="L1490">
        <v>2516.04011436533</v>
      </c>
      <c r="M1490">
        <v>42.4322696277593</v>
      </c>
      <c r="N1490">
        <v>59.8689290005325</v>
      </c>
      <c r="O1490">
        <v>59.1641799418222</v>
      </c>
      <c r="P1490">
        <v>-0.149356378431473</v>
      </c>
      <c r="Q1490">
        <v>0.166998561075001</v>
      </c>
      <c r="R1490">
        <v>0.907460958668187</v>
      </c>
      <c r="S1490" t="s">
        <v>3174</v>
      </c>
      <c r="T1490" t="s">
        <v>3344</v>
      </c>
      <c r="U1490" t="s">
        <v>3344</v>
      </c>
      <c r="V1490" t="s">
        <v>3344</v>
      </c>
      <c r="W1490" t="s">
        <v>4831</v>
      </c>
      <c r="X1490">
        <v>3</v>
      </c>
      <c r="Y1490" t="s">
        <v>6489</v>
      </c>
      <c r="Z1490" t="s">
        <v>8147</v>
      </c>
      <c r="AA1490">
        <v>0.7887046038041181</v>
      </c>
      <c r="AB1490">
        <f>HYPERLINK("Melting_Curves/meltCurve_P75974_cohE.pdf", "Melting_Curves/meltCurve_P75974_cohE.pdf")</f>
        <v>0</v>
      </c>
    </row>
    <row r="1491" spans="1:28">
      <c r="A1491" t="s">
        <v>1517</v>
      </c>
      <c r="B1491">
        <v>0.999998419929286</v>
      </c>
      <c r="C1491">
        <v>1.25896900751577</v>
      </c>
      <c r="D1491">
        <v>1.23138803983149</v>
      </c>
      <c r="E1491">
        <v>1.46653662491493</v>
      </c>
      <c r="F1491">
        <v>1.79562027187514</v>
      </c>
      <c r="G1491">
        <v>1.85036696391951</v>
      </c>
      <c r="H1491">
        <v>1.66876278042096</v>
      </c>
      <c r="I1491">
        <v>1.48623294764826</v>
      </c>
      <c r="J1491">
        <v>1.14121026351691</v>
      </c>
      <c r="K1491">
        <v>0.946379907550125</v>
      </c>
      <c r="L1491">
        <v>938.632104380303</v>
      </c>
      <c r="M1491">
        <v>22.9905822042638</v>
      </c>
      <c r="O1491">
        <v>40.5216989897931</v>
      </c>
      <c r="P1491">
        <v>0.067123778867808</v>
      </c>
      <c r="Q1491">
        <v>1.47322295365557</v>
      </c>
      <c r="R1491">
        <v>0.236814850500653</v>
      </c>
      <c r="S1491" t="s">
        <v>3175</v>
      </c>
      <c r="T1491" t="s">
        <v>3344</v>
      </c>
      <c r="U1491" t="s">
        <v>3344</v>
      </c>
      <c r="V1491" t="s">
        <v>3344</v>
      </c>
      <c r="W1491" t="s">
        <v>4832</v>
      </c>
      <c r="X1491">
        <v>1</v>
      </c>
      <c r="Y1491" t="s">
        <v>6490</v>
      </c>
      <c r="Z1491" t="s">
        <v>8148</v>
      </c>
      <c r="AA1491">
        <v>1.406856405442643</v>
      </c>
      <c r="AB1491">
        <f>HYPERLINK("Melting_Curves/meltCurve_P75975_croE.pdf", "Melting_Curves/meltCurve_P75975_croE.pdf")</f>
        <v>0</v>
      </c>
    </row>
    <row r="1492" spans="1:28">
      <c r="A1492" t="s">
        <v>1518</v>
      </c>
      <c r="B1492">
        <v>0.999998419929286</v>
      </c>
      <c r="C1492">
        <v>0.606906233378951</v>
      </c>
      <c r="D1492">
        <v>0.494653461759481</v>
      </c>
      <c r="E1492">
        <v>0.366453870920724</v>
      </c>
      <c r="F1492">
        <v>0.294959065789247</v>
      </c>
      <c r="G1492">
        <v>0.244414680740223</v>
      </c>
      <c r="H1492">
        <v>0.118391909815559</v>
      </c>
      <c r="I1492">
        <v>0.07055975780632499</v>
      </c>
      <c r="J1492">
        <v>0.0795789473739877</v>
      </c>
      <c r="K1492">
        <v>0.0624198188933487</v>
      </c>
      <c r="L1492">
        <v>423.672816916142</v>
      </c>
      <c r="M1492">
        <v>9.80090887318759</v>
      </c>
      <c r="N1492">
        <v>43.7298606151969</v>
      </c>
      <c r="O1492">
        <v>41.5435809774308</v>
      </c>
      <c r="P1492">
        <v>-0.0558712345978786</v>
      </c>
      <c r="Q1492">
        <v>0.0532014997179241</v>
      </c>
      <c r="R1492">
        <v>0.944321283627456</v>
      </c>
      <c r="S1492" t="s">
        <v>3176</v>
      </c>
      <c r="T1492" t="s">
        <v>3344</v>
      </c>
      <c r="U1492" t="s">
        <v>3344</v>
      </c>
      <c r="V1492" t="s">
        <v>3344</v>
      </c>
      <c r="W1492" t="s">
        <v>4833</v>
      </c>
      <c r="X1492">
        <v>1</v>
      </c>
      <c r="Y1492" t="s">
        <v>6491</v>
      </c>
      <c r="Z1492" t="s">
        <v>8149</v>
      </c>
      <c r="AA1492">
        <v>0.3052543830171437</v>
      </c>
      <c r="AB1492">
        <f>HYPERLINK("Melting_Curves/meltCurve_P75981_jayE.pdf", "Melting_Curves/meltCurve_P75981_jayE.pdf")</f>
        <v>0</v>
      </c>
    </row>
    <row r="1493" spans="1:28">
      <c r="A1493" t="s">
        <v>1519</v>
      </c>
      <c r="B1493">
        <v>0.999998419929286</v>
      </c>
      <c r="C1493">
        <v>0.987650318715807</v>
      </c>
      <c r="D1493">
        <v>0.814395757620944</v>
      </c>
      <c r="E1493">
        <v>1.00836517113638</v>
      </c>
      <c r="F1493">
        <v>1.02558612257905</v>
      </c>
      <c r="G1493">
        <v>1.33255641846193</v>
      </c>
      <c r="H1493">
        <v>1.28379646028284</v>
      </c>
      <c r="I1493">
        <v>1.27894423408971</v>
      </c>
      <c r="J1493">
        <v>1.44117552295644</v>
      </c>
      <c r="K1493">
        <v>1.21969477940144</v>
      </c>
      <c r="L1493">
        <v>12671.1176518364</v>
      </c>
      <c r="M1493">
        <v>250</v>
      </c>
      <c r="O1493">
        <v>50.6812509918522</v>
      </c>
      <c r="P1493">
        <v>0.383812616130258</v>
      </c>
      <c r="Q1493">
        <v>1.3112335107326</v>
      </c>
      <c r="R1493">
        <v>0.824015846837717</v>
      </c>
      <c r="S1493" t="s">
        <v>3177</v>
      </c>
      <c r="T1493" t="s">
        <v>3344</v>
      </c>
      <c r="U1493" t="s">
        <v>3344</v>
      </c>
      <c r="V1493" t="s">
        <v>3344</v>
      </c>
      <c r="W1493" t="s">
        <v>4834</v>
      </c>
      <c r="X1493">
        <v>2</v>
      </c>
      <c r="Y1493" t="s">
        <v>6492</v>
      </c>
      <c r="Z1493" t="s">
        <v>8150</v>
      </c>
      <c r="AA1493">
        <v>1.169236965381517</v>
      </c>
      <c r="AB1493">
        <f>HYPERLINK("Melting_Curves/meltCurve_P76001_ycgJ.pdf", "Melting_Curves/meltCurve_P76001_ycgJ.pdf")</f>
        <v>0</v>
      </c>
    </row>
    <row r="1494" spans="1:28">
      <c r="A1494" t="s">
        <v>1520</v>
      </c>
      <c r="B1494">
        <v>0.999998419929286</v>
      </c>
      <c r="C1494">
        <v>0.92268610810973</v>
      </c>
      <c r="D1494">
        <v>1.05258751557765</v>
      </c>
      <c r="E1494">
        <v>1.13025155115152</v>
      </c>
      <c r="F1494">
        <v>1.3912968654041</v>
      </c>
      <c r="G1494">
        <v>1.66196954654741</v>
      </c>
      <c r="H1494">
        <v>1.5429071358508</v>
      </c>
      <c r="I1494">
        <v>0.951725281155774</v>
      </c>
      <c r="J1494">
        <v>1.0187707007151</v>
      </c>
      <c r="K1494">
        <v>1.17735835358989</v>
      </c>
      <c r="L1494">
        <v>11659.708000971</v>
      </c>
      <c r="M1494">
        <v>250</v>
      </c>
      <c r="O1494">
        <v>46.6358439715273</v>
      </c>
      <c r="P1494">
        <v>0.389549201724721</v>
      </c>
      <c r="Q1494">
        <v>1.29067131388161</v>
      </c>
      <c r="R1494">
        <v>0.301112625826233</v>
      </c>
      <c r="S1494" t="s">
        <v>3178</v>
      </c>
      <c r="T1494" t="s">
        <v>3344</v>
      </c>
      <c r="U1494" t="s">
        <v>3344</v>
      </c>
      <c r="V1494" t="s">
        <v>3344</v>
      </c>
      <c r="W1494" t="s">
        <v>4835</v>
      </c>
      <c r="X1494">
        <v>5</v>
      </c>
      <c r="Y1494" t="s">
        <v>6493</v>
      </c>
      <c r="Z1494" t="s">
        <v>8151</v>
      </c>
      <c r="AA1494">
        <v>1.197256456882805</v>
      </c>
      <c r="AB1494">
        <f>HYPERLINK("Melting_Curves/meltCurve_P76002_pliG.pdf", "Melting_Curves/meltCurve_P76002_pliG.pdf")</f>
        <v>0</v>
      </c>
    </row>
    <row r="1495" spans="1:28">
      <c r="A1495" t="s">
        <v>1521</v>
      </c>
      <c r="B1495">
        <v>0.999998419929286</v>
      </c>
      <c r="C1495">
        <v>0.930373146241659</v>
      </c>
      <c r="D1495">
        <v>1.00621955590272</v>
      </c>
      <c r="E1495">
        <v>1.10135937037032</v>
      </c>
      <c r="F1495">
        <v>1.05679694079256</v>
      </c>
      <c r="G1495">
        <v>0.877415192510445</v>
      </c>
      <c r="H1495">
        <v>0.511864420152035</v>
      </c>
      <c r="I1495">
        <v>0.24311395233134</v>
      </c>
      <c r="J1495">
        <v>0.147577881179171</v>
      </c>
      <c r="K1495">
        <v>0.10774659735349</v>
      </c>
      <c r="L1495">
        <v>1758.32936033023</v>
      </c>
      <c r="M1495">
        <v>30.7934245701256</v>
      </c>
      <c r="N1495">
        <v>57.5871351637867</v>
      </c>
      <c r="O1495">
        <v>56.8616133918204</v>
      </c>
      <c r="P1495">
        <v>-0.119887196558044</v>
      </c>
      <c r="Q1495">
        <v>0.114494143906426</v>
      </c>
      <c r="R1495">
        <v>0.985605332102467</v>
      </c>
      <c r="S1495" t="s">
        <v>3179</v>
      </c>
      <c r="T1495" t="s">
        <v>3344</v>
      </c>
      <c r="U1495" t="s">
        <v>3344</v>
      </c>
      <c r="V1495" t="s">
        <v>3344</v>
      </c>
      <c r="W1495" t="s">
        <v>4836</v>
      </c>
      <c r="X1495">
        <v>3</v>
      </c>
      <c r="Y1495" t="s">
        <v>6494</v>
      </c>
      <c r="Z1495" t="s">
        <v>8152</v>
      </c>
      <c r="AA1495">
        <v>0.7128814632883225</v>
      </c>
      <c r="AB1495">
        <f>HYPERLINK("Melting_Curves/meltCurve_P76004_ycgM.pdf", "Melting_Curves/meltCurve_P76004_ycgM.pdf")</f>
        <v>0</v>
      </c>
    </row>
    <row r="1496" spans="1:28">
      <c r="A1496" t="s">
        <v>1522</v>
      </c>
      <c r="B1496">
        <v>0.999998419929286</v>
      </c>
      <c r="C1496">
        <v>1.04230265895814</v>
      </c>
      <c r="D1496">
        <v>1.0367175926726</v>
      </c>
      <c r="E1496">
        <v>1.07326695092938</v>
      </c>
      <c r="F1496">
        <v>1.28772960967276</v>
      </c>
      <c r="G1496">
        <v>1.37652118854468</v>
      </c>
      <c r="H1496">
        <v>1.06611847834496</v>
      </c>
      <c r="I1496">
        <v>0.670479875334536</v>
      </c>
      <c r="J1496">
        <v>0.205965620628525</v>
      </c>
      <c r="K1496">
        <v>0.214185872867276</v>
      </c>
      <c r="L1496">
        <v>15000</v>
      </c>
      <c r="M1496">
        <v>245.567164676239</v>
      </c>
      <c r="N1496">
        <v>61.2189650326256</v>
      </c>
      <c r="O1496">
        <v>61.0790337499052</v>
      </c>
      <c r="P1496">
        <v>-0.793972834732392</v>
      </c>
      <c r="Q1496">
        <v>0.210072021481658</v>
      </c>
      <c r="R1496">
        <v>0.840475514948666</v>
      </c>
      <c r="S1496" t="s">
        <v>3180</v>
      </c>
      <c r="T1496" t="s">
        <v>3344</v>
      </c>
      <c r="U1496" t="s">
        <v>3344</v>
      </c>
      <c r="V1496" t="s">
        <v>3344</v>
      </c>
      <c r="W1496" t="s">
        <v>4837</v>
      </c>
      <c r="X1496">
        <v>4</v>
      </c>
      <c r="Y1496" t="s">
        <v>6495</v>
      </c>
      <c r="Z1496" t="s">
        <v>8153</v>
      </c>
      <c r="AA1496">
        <v>0.8442898762331371</v>
      </c>
      <c r="AB1496">
        <f>HYPERLINK("Melting_Curves/meltCurve_P76008_ldcA.pdf", "Melting_Curves/meltCurve_P76008_ldcA.pdf")</f>
        <v>0</v>
      </c>
    </row>
    <row r="1497" spans="1:28">
      <c r="A1497" t="s">
        <v>1523</v>
      </c>
      <c r="B1497">
        <v>0.999998419929286</v>
      </c>
      <c r="C1497">
        <v>0.887401492895787</v>
      </c>
      <c r="D1497">
        <v>0.7346458441466019</v>
      </c>
      <c r="E1497">
        <v>0.667254236399881</v>
      </c>
      <c r="F1497">
        <v>0.59426811242182</v>
      </c>
      <c r="G1497">
        <v>0.558440567338055</v>
      </c>
      <c r="H1497">
        <v>0.385246513855533</v>
      </c>
      <c r="I1497">
        <v>0.338669772397955</v>
      </c>
      <c r="J1497">
        <v>0.348144214374366</v>
      </c>
      <c r="K1497">
        <v>0.315297638097545</v>
      </c>
      <c r="L1497">
        <v>355.384802552055</v>
      </c>
      <c r="M1497">
        <v>7.20949414527789</v>
      </c>
      <c r="N1497">
        <v>53.326256945861</v>
      </c>
      <c r="O1497">
        <v>45.9248965807429</v>
      </c>
      <c r="P1497">
        <v>-0.0310512513335412</v>
      </c>
      <c r="Q1497">
        <v>0.210120971447056</v>
      </c>
      <c r="R1497">
        <v>0.969768139533945</v>
      </c>
      <c r="S1497" t="s">
        <v>3181</v>
      </c>
      <c r="T1497" t="s">
        <v>3344</v>
      </c>
      <c r="U1497" t="s">
        <v>3344</v>
      </c>
      <c r="V1497" t="s">
        <v>3344</v>
      </c>
      <c r="W1497" t="s">
        <v>4838</v>
      </c>
      <c r="X1497">
        <v>4</v>
      </c>
      <c r="Y1497" t="s">
        <v>6496</v>
      </c>
      <c r="Z1497" t="s">
        <v>8154</v>
      </c>
      <c r="AA1497">
        <v>0.5721788800190571</v>
      </c>
      <c r="AB1497">
        <f>HYPERLINK("Melting_Curves/meltCurve_P76014_dhaL.pdf", "Melting_Curves/meltCurve_P76014_dhaL.pdf")</f>
        <v>0</v>
      </c>
    </row>
    <row r="1498" spans="1:28">
      <c r="A1498" t="s">
        <v>1524</v>
      </c>
      <c r="B1498">
        <v>0.999998419929286</v>
      </c>
      <c r="C1498">
        <v>1.07766404833424</v>
      </c>
      <c r="D1498">
        <v>1.07303897460303</v>
      </c>
      <c r="E1498">
        <v>1.27407348538054</v>
      </c>
      <c r="F1498">
        <v>1.13213643743266</v>
      </c>
      <c r="G1498">
        <v>0.388860289978199</v>
      </c>
      <c r="H1498">
        <v>0.0720259814422837</v>
      </c>
      <c r="I1498">
        <v>0.0406795769329307</v>
      </c>
      <c r="J1498">
        <v>0.0273787148448703</v>
      </c>
      <c r="K1498">
        <v>0.0387874467415924</v>
      </c>
      <c r="S1498" t="s">
        <v>3182</v>
      </c>
      <c r="T1498" t="s">
        <v>3344</v>
      </c>
      <c r="U1498" t="s">
        <v>3345</v>
      </c>
      <c r="V1498" t="s">
        <v>3344</v>
      </c>
      <c r="W1498" t="s">
        <v>4839</v>
      </c>
      <c r="X1498">
        <v>3</v>
      </c>
      <c r="Y1498" t="s">
        <v>6497</v>
      </c>
      <c r="Z1498" t="s">
        <v>8155</v>
      </c>
      <c r="AB1498">
        <f>HYPERLINK("Melting_Curves/meltCurve_P76015_dhaK.pdf", "Melting_Curves/meltCurve_P76015_dhaK.pdf")</f>
        <v>0</v>
      </c>
    </row>
    <row r="1499" spans="1:28">
      <c r="A1499" t="s">
        <v>1525</v>
      </c>
      <c r="B1499">
        <v>0.999998419929286</v>
      </c>
      <c r="C1499">
        <v>0.880917072520659</v>
      </c>
      <c r="D1499">
        <v>0.450461421106476</v>
      </c>
      <c r="E1499">
        <v>0.328879817473893</v>
      </c>
      <c r="F1499">
        <v>0.298603984829835</v>
      </c>
      <c r="G1499">
        <v>0.326937763886048</v>
      </c>
      <c r="H1499">
        <v>0.238521131718801</v>
      </c>
      <c r="I1499">
        <v>0.245216374578214</v>
      </c>
      <c r="J1499">
        <v>0.214520174281836</v>
      </c>
      <c r="K1499">
        <v>0.200317008980218</v>
      </c>
      <c r="L1499">
        <v>1385.04816644815</v>
      </c>
      <c r="M1499">
        <v>33.158383567836</v>
      </c>
      <c r="N1499">
        <v>42.7126422393605</v>
      </c>
      <c r="O1499">
        <v>41.6196353612592</v>
      </c>
      <c r="P1499">
        <v>-0.14751979643544</v>
      </c>
      <c r="Q1499">
        <v>0.259349643093359</v>
      </c>
      <c r="R1499">
        <v>0.980176152849569</v>
      </c>
      <c r="S1499" t="s">
        <v>3183</v>
      </c>
      <c r="T1499" t="s">
        <v>3344</v>
      </c>
      <c r="U1499" t="s">
        <v>3344</v>
      </c>
      <c r="V1499" t="s">
        <v>3344</v>
      </c>
      <c r="W1499" t="s">
        <v>4840</v>
      </c>
      <c r="X1499">
        <v>4</v>
      </c>
      <c r="Y1499" t="s">
        <v>6498</v>
      </c>
      <c r="Z1499" t="s">
        <v>8156</v>
      </c>
      <c r="AA1499">
        <v>0.3805753806373929</v>
      </c>
      <c r="AB1499">
        <f>HYPERLINK("Melting_Curves/meltCurve_P76027_oppD.pdf", "Melting_Curves/meltCurve_P76027_oppD.pdf")</f>
        <v>0</v>
      </c>
    </row>
    <row r="1500" spans="1:28">
      <c r="A1500" t="s">
        <v>1526</v>
      </c>
      <c r="B1500">
        <v>0.999998419929286</v>
      </c>
      <c r="C1500">
        <v>1.34390663867663</v>
      </c>
      <c r="D1500">
        <v>1.24662774685677</v>
      </c>
      <c r="E1500">
        <v>1.34112568611066</v>
      </c>
      <c r="F1500">
        <v>0.824808852083646</v>
      </c>
      <c r="G1500">
        <v>0.202827881599036</v>
      </c>
      <c r="H1500">
        <v>0.127437821075049</v>
      </c>
      <c r="I1500">
        <v>0.112719670879346</v>
      </c>
      <c r="J1500">
        <v>0.0882811836925783</v>
      </c>
      <c r="K1500">
        <v>0.06724731186029249</v>
      </c>
      <c r="L1500">
        <v>2776.37667426676</v>
      </c>
      <c r="M1500">
        <v>53.7785549288116</v>
      </c>
      <c r="N1500">
        <v>51.8409331111019</v>
      </c>
      <c r="O1500">
        <v>51.554855026898</v>
      </c>
      <c r="P1500">
        <v>-0.234733537293987</v>
      </c>
      <c r="Q1500">
        <v>0.0998905939861396</v>
      </c>
      <c r="R1500">
        <v>0.896083317024931</v>
      </c>
      <c r="S1500" t="s">
        <v>3184</v>
      </c>
      <c r="T1500" t="s">
        <v>3344</v>
      </c>
      <c r="U1500" t="s">
        <v>3344</v>
      </c>
      <c r="V1500" t="s">
        <v>3344</v>
      </c>
      <c r="W1500" t="s">
        <v>4841</v>
      </c>
      <c r="X1500">
        <v>5</v>
      </c>
      <c r="Y1500" t="s">
        <v>6499</v>
      </c>
      <c r="Z1500" t="s">
        <v>8157</v>
      </c>
      <c r="AA1500">
        <v>0.5404969992367016</v>
      </c>
      <c r="AB1500">
        <f>HYPERLINK("Melting_Curves/meltCurve_P76046_ycjX.pdf", "Melting_Curves/meltCurve_P76046_ycjX.pdf")</f>
        <v>0</v>
      </c>
    </row>
    <row r="1501" spans="1:28">
      <c r="A1501" t="s">
        <v>1527</v>
      </c>
      <c r="B1501">
        <v>0.999998419929286</v>
      </c>
      <c r="C1501">
        <v>0.962762359712484</v>
      </c>
      <c r="D1501">
        <v>0.953892515686251</v>
      </c>
      <c r="E1501">
        <v>0.998394143301954</v>
      </c>
      <c r="F1501">
        <v>1.15653944379786</v>
      </c>
      <c r="G1501">
        <v>1.19750941422155</v>
      </c>
      <c r="H1501">
        <v>1.14389893241357</v>
      </c>
      <c r="I1501">
        <v>1.03608612443804</v>
      </c>
      <c r="J1501">
        <v>1.09386614871349</v>
      </c>
      <c r="K1501">
        <v>0.836956151454289</v>
      </c>
      <c r="L1501">
        <v>15000</v>
      </c>
      <c r="M1501">
        <v>222.244805309971</v>
      </c>
      <c r="Q1501">
        <v>0</v>
      </c>
      <c r="R1501">
        <v>0.110446621594247</v>
      </c>
      <c r="S1501" t="s">
        <v>3185</v>
      </c>
      <c r="T1501" t="s">
        <v>3344</v>
      </c>
      <c r="U1501" t="s">
        <v>3344</v>
      </c>
      <c r="V1501" t="s">
        <v>3344</v>
      </c>
      <c r="W1501" t="s">
        <v>4842</v>
      </c>
      <c r="X1501">
        <v>2</v>
      </c>
      <c r="Y1501" t="s">
        <v>6500</v>
      </c>
      <c r="Z1501" t="s">
        <v>8158</v>
      </c>
      <c r="AA1501">
        <v>0.9982409353310383</v>
      </c>
      <c r="AB1501">
        <f>HYPERLINK("Melting_Curves/meltCurve_P76049_ycjY.pdf", "Melting_Curves/meltCurve_P76049_ycjY.pdf")</f>
        <v>0</v>
      </c>
    </row>
    <row r="1502" spans="1:28">
      <c r="A1502" t="s">
        <v>1528</v>
      </c>
      <c r="B1502">
        <v>0.999998419929286</v>
      </c>
      <c r="C1502">
        <v>1.15039447648607</v>
      </c>
      <c r="D1502">
        <v>1.12528137746642</v>
      </c>
      <c r="E1502">
        <v>1.46547557227453</v>
      </c>
      <c r="F1502">
        <v>1.66788653717861</v>
      </c>
      <c r="G1502">
        <v>1.12613981572563</v>
      </c>
      <c r="H1502">
        <v>0.311565193099997</v>
      </c>
      <c r="I1502">
        <v>0.193570680315871</v>
      </c>
      <c r="J1502">
        <v>0.106007459185723</v>
      </c>
      <c r="K1502">
        <v>0.118671102610325</v>
      </c>
      <c r="L1502">
        <v>14270.4401938041</v>
      </c>
      <c r="M1502">
        <v>250</v>
      </c>
      <c r="N1502">
        <v>57.1564965521431</v>
      </c>
      <c r="O1502">
        <v>57.0781080426529</v>
      </c>
      <c r="P1502">
        <v>-0.942331155836208</v>
      </c>
      <c r="Q1502">
        <v>0.139416330444297</v>
      </c>
      <c r="R1502">
        <v>0.7684838823599141</v>
      </c>
      <c r="S1502" t="s">
        <v>3186</v>
      </c>
      <c r="T1502" t="s">
        <v>3344</v>
      </c>
      <c r="U1502" t="s">
        <v>3344</v>
      </c>
      <c r="V1502" t="s">
        <v>3344</v>
      </c>
      <c r="W1502" t="s">
        <v>4843</v>
      </c>
      <c r="X1502">
        <v>3</v>
      </c>
      <c r="Y1502" t="s">
        <v>6501</v>
      </c>
      <c r="Z1502" t="s">
        <v>8159</v>
      </c>
      <c r="AA1502">
        <v>0.7155703876216207</v>
      </c>
      <c r="AB1502">
        <f>HYPERLINK("Melting_Curves/meltCurve_P76055_ttcA.pdf", "Melting_Curves/meltCurve_P76055_ttcA.pdf")</f>
        <v>0</v>
      </c>
    </row>
    <row r="1503" spans="1:28">
      <c r="A1503" t="s">
        <v>1529</v>
      </c>
      <c r="B1503">
        <v>0.999998419929286</v>
      </c>
      <c r="C1503">
        <v>1.12448830650592</v>
      </c>
      <c r="D1503">
        <v>0.8940251332617229</v>
      </c>
      <c r="E1503">
        <v>0.916555517373134</v>
      </c>
      <c r="F1503">
        <v>0.990695921124334</v>
      </c>
      <c r="G1503">
        <v>1.01123644973703</v>
      </c>
      <c r="H1503">
        <v>0.774479078316207</v>
      </c>
      <c r="I1503">
        <v>0.697250994516057</v>
      </c>
      <c r="J1503">
        <v>0.682856431146836</v>
      </c>
      <c r="K1503">
        <v>0.645255096805341</v>
      </c>
      <c r="L1503">
        <v>7927.10395303805</v>
      </c>
      <c r="M1503">
        <v>138.921976442467</v>
      </c>
      <c r="O1503">
        <v>57.0497321064567</v>
      </c>
      <c r="P1503">
        <v>-0.19779056066395</v>
      </c>
      <c r="Q1503">
        <v>0.67510112869229</v>
      </c>
      <c r="R1503">
        <v>0.854718603363139</v>
      </c>
      <c r="S1503" t="s">
        <v>3187</v>
      </c>
      <c r="T1503" t="s">
        <v>3344</v>
      </c>
      <c r="U1503" t="s">
        <v>3344</v>
      </c>
      <c r="V1503" t="s">
        <v>3344</v>
      </c>
      <c r="W1503" t="s">
        <v>4844</v>
      </c>
      <c r="X1503">
        <v>1</v>
      </c>
      <c r="Y1503" t="s">
        <v>6502</v>
      </c>
      <c r="Z1503" t="s">
        <v>8160</v>
      </c>
      <c r="AA1503">
        <v>0.8924724298324501</v>
      </c>
      <c r="AB1503">
        <f>HYPERLINK("Melting_Curves/meltCurve_P76062_racR.pdf", "Melting_Curves/meltCurve_P76062_racR.pdf")</f>
        <v>0</v>
      </c>
    </row>
    <row r="1504" spans="1:28">
      <c r="A1504" t="s">
        <v>1530</v>
      </c>
      <c r="B1504">
        <v>0.999998419929286</v>
      </c>
      <c r="C1504">
        <v>0.875564068615457</v>
      </c>
      <c r="D1504">
        <v>0.381537187406539</v>
      </c>
      <c r="E1504">
        <v>0.132708073618929</v>
      </c>
      <c r="F1504">
        <v>0.108987717700329</v>
      </c>
      <c r="G1504">
        <v>0.0963946385713751</v>
      </c>
      <c r="H1504">
        <v>0.0714223894350355</v>
      </c>
      <c r="I1504">
        <v>0.0491059420260961</v>
      </c>
      <c r="J1504">
        <v>0.0495599368176613</v>
      </c>
      <c r="K1504">
        <v>0.0541842720826774</v>
      </c>
      <c r="L1504">
        <v>1354.26292141485</v>
      </c>
      <c r="M1504">
        <v>32.1454869513752</v>
      </c>
      <c r="N1504">
        <v>42.3364285937532</v>
      </c>
      <c r="O1504">
        <v>41.967148546525</v>
      </c>
      <c r="P1504">
        <v>-0.177552030382983</v>
      </c>
      <c r="Q1504">
        <v>0.0728012037479298</v>
      </c>
      <c r="R1504">
        <v>0.996960459672119</v>
      </c>
      <c r="S1504" t="s">
        <v>3188</v>
      </c>
      <c r="T1504" t="s">
        <v>3344</v>
      </c>
      <c r="U1504" t="s">
        <v>3344</v>
      </c>
      <c r="V1504" t="s">
        <v>3344</v>
      </c>
      <c r="W1504" t="s">
        <v>4845</v>
      </c>
      <c r="X1504">
        <v>9</v>
      </c>
      <c r="Y1504" t="s">
        <v>6503</v>
      </c>
      <c r="Z1504" t="s">
        <v>8161</v>
      </c>
      <c r="AA1504">
        <v>0.2358709246571938</v>
      </c>
      <c r="AB1504">
        <f>HYPERLINK("Melting_Curves/meltCurve_P76097_ydcJ.pdf", "Melting_Curves/meltCurve_P76097_ydcJ.pdf")</f>
        <v>0</v>
      </c>
    </row>
    <row r="1505" spans="1:28">
      <c r="A1505" t="s">
        <v>1531</v>
      </c>
      <c r="B1505">
        <v>0.999998419929286</v>
      </c>
      <c r="C1505">
        <v>1.11581511169756</v>
      </c>
      <c r="D1505">
        <v>1.21422767095723</v>
      </c>
      <c r="E1505">
        <v>1.37605032728832</v>
      </c>
      <c r="F1505">
        <v>1.68405553988529</v>
      </c>
      <c r="G1505">
        <v>1.87654553256082</v>
      </c>
      <c r="H1505">
        <v>1.57694772752635</v>
      </c>
      <c r="I1505">
        <v>0.999672038695414</v>
      </c>
      <c r="J1505">
        <v>0.528685325629886</v>
      </c>
      <c r="K1505">
        <v>0.347020366055197</v>
      </c>
      <c r="L1505">
        <v>10875.5955446807</v>
      </c>
      <c r="M1505">
        <v>170.618543912594</v>
      </c>
      <c r="N1505">
        <v>64.1873134035505</v>
      </c>
      <c r="O1505">
        <v>63.7334114936752</v>
      </c>
      <c r="P1505">
        <v>-0.437126368667362</v>
      </c>
      <c r="Q1505">
        <v>0.346857545614447</v>
      </c>
      <c r="R1505">
        <v>0.166292595113271</v>
      </c>
      <c r="S1505" t="s">
        <v>3189</v>
      </c>
      <c r="T1505" t="s">
        <v>3344</v>
      </c>
      <c r="U1505" t="s">
        <v>3344</v>
      </c>
      <c r="V1505" t="s">
        <v>3344</v>
      </c>
      <c r="W1505" t="s">
        <v>4846</v>
      </c>
      <c r="X1505">
        <v>15</v>
      </c>
      <c r="Y1505" t="s">
        <v>6504</v>
      </c>
      <c r="Z1505" t="s">
        <v>8162</v>
      </c>
      <c r="AA1505">
        <v>0.9292269816783121</v>
      </c>
      <c r="AB1505">
        <f>HYPERLINK("Melting_Curves/meltCurve_P76108_ydcS.pdf", "Melting_Curves/meltCurve_P76108_ydcS.pdf")</f>
        <v>0</v>
      </c>
    </row>
    <row r="1506" spans="1:28">
      <c r="A1506" t="s">
        <v>1532</v>
      </c>
      <c r="B1506">
        <v>0.999998419929286</v>
      </c>
      <c r="C1506">
        <v>1.10623069652375</v>
      </c>
      <c r="D1506">
        <v>1.10985851532502</v>
      </c>
      <c r="E1506">
        <v>1.24356867926965</v>
      </c>
      <c r="F1506">
        <v>1.32976523161289</v>
      </c>
      <c r="G1506">
        <v>1.44605721883571</v>
      </c>
      <c r="H1506">
        <v>0.619123281762462</v>
      </c>
      <c r="I1506">
        <v>0.0601509124483482</v>
      </c>
      <c r="J1506">
        <v>0.0415349977723774</v>
      </c>
      <c r="K1506">
        <v>0.0334116405607372</v>
      </c>
      <c r="L1506">
        <v>14373.5519411385</v>
      </c>
      <c r="M1506">
        <v>250</v>
      </c>
      <c r="N1506">
        <v>57.5159112611746</v>
      </c>
      <c r="O1506">
        <v>57.4905285284676</v>
      </c>
      <c r="P1506">
        <v>-1.03817936264286</v>
      </c>
      <c r="Q1506">
        <v>0.0450323170653786</v>
      </c>
      <c r="R1506">
        <v>0.863729746017641</v>
      </c>
      <c r="S1506" t="s">
        <v>3190</v>
      </c>
      <c r="T1506" t="s">
        <v>3344</v>
      </c>
      <c r="U1506" t="s">
        <v>3344</v>
      </c>
      <c r="V1506" t="s">
        <v>3344</v>
      </c>
      <c r="W1506" t="s">
        <v>4847</v>
      </c>
      <c r="X1506">
        <v>9</v>
      </c>
      <c r="Y1506" t="s">
        <v>6505</v>
      </c>
      <c r="Z1506" t="s">
        <v>8163</v>
      </c>
      <c r="AA1506">
        <v>0.6975055447627962</v>
      </c>
      <c r="AB1506">
        <f>HYPERLINK("Melting_Curves/meltCurve_P76113_curA.pdf", "Melting_Curves/meltCurve_P76113_curA.pdf")</f>
        <v>0</v>
      </c>
    </row>
    <row r="1507" spans="1:28">
      <c r="A1507" t="s">
        <v>1533</v>
      </c>
      <c r="B1507">
        <v>0.999998419929286</v>
      </c>
      <c r="C1507">
        <v>1.16767255928545</v>
      </c>
      <c r="D1507">
        <v>1.26240477196428</v>
      </c>
      <c r="E1507">
        <v>1.48029960525067</v>
      </c>
      <c r="F1507">
        <v>1.69611571379427</v>
      </c>
      <c r="G1507">
        <v>1.57053391920465</v>
      </c>
      <c r="H1507">
        <v>0.727959238853122</v>
      </c>
      <c r="I1507">
        <v>0.25881233993697</v>
      </c>
      <c r="J1507">
        <v>0.101944330848549</v>
      </c>
      <c r="K1507">
        <v>0.08384570740165299</v>
      </c>
      <c r="L1507">
        <v>3255.32481156965</v>
      </c>
      <c r="M1507">
        <v>55.6126733401946</v>
      </c>
      <c r="N1507">
        <v>58.8056094789913</v>
      </c>
      <c r="O1507">
        <v>58.4601212743651</v>
      </c>
      <c r="P1507">
        <v>-0.211031724296447</v>
      </c>
      <c r="Q1507">
        <v>0.112653099595812</v>
      </c>
      <c r="R1507">
        <v>0.657341400856269</v>
      </c>
      <c r="S1507" t="s">
        <v>3191</v>
      </c>
      <c r="T1507" t="s">
        <v>3344</v>
      </c>
      <c r="U1507" t="s">
        <v>3344</v>
      </c>
      <c r="V1507" t="s">
        <v>3344</v>
      </c>
      <c r="W1507" t="s">
        <v>4848</v>
      </c>
      <c r="X1507">
        <v>11</v>
      </c>
      <c r="Y1507" t="s">
        <v>6506</v>
      </c>
      <c r="Z1507" t="s">
        <v>8164</v>
      </c>
      <c r="AA1507">
        <v>0.7514521583375823</v>
      </c>
      <c r="AB1507">
        <f>HYPERLINK("Melting_Curves/meltCurve_P76116_yncE.pdf", "Melting_Curves/meltCurve_P76116_yncE.pdf")</f>
        <v>0</v>
      </c>
    </row>
    <row r="1508" spans="1:28">
      <c r="A1508" t="s">
        <v>1534</v>
      </c>
      <c r="B1508">
        <v>0.999998419929286</v>
      </c>
      <c r="C1508">
        <v>0.899771509657621</v>
      </c>
      <c r="D1508">
        <v>1.04821286995393</v>
      </c>
      <c r="E1508">
        <v>1.15883001920097</v>
      </c>
      <c r="F1508">
        <v>1.43198510132118</v>
      </c>
      <c r="G1508">
        <v>1.61138171285726</v>
      </c>
      <c r="H1508">
        <v>1.58068988717415</v>
      </c>
      <c r="I1508">
        <v>1.30029829930265</v>
      </c>
      <c r="J1508">
        <v>1.18408429419931</v>
      </c>
      <c r="K1508">
        <v>0.87985457506134</v>
      </c>
      <c r="L1508">
        <v>11653.8615409891</v>
      </c>
      <c r="M1508">
        <v>250</v>
      </c>
      <c r="O1508">
        <v>46.6124630297631</v>
      </c>
      <c r="P1508">
        <v>0.444331690445588</v>
      </c>
      <c r="Q1508">
        <v>1.33138231190296</v>
      </c>
      <c r="R1508">
        <v>0.38623867435735</v>
      </c>
      <c r="S1508" t="s">
        <v>3192</v>
      </c>
      <c r="T1508" t="s">
        <v>3344</v>
      </c>
      <c r="U1508" t="s">
        <v>3344</v>
      </c>
      <c r="V1508" t="s">
        <v>3344</v>
      </c>
      <c r="W1508" t="s">
        <v>4849</v>
      </c>
      <c r="X1508">
        <v>4</v>
      </c>
      <c r="Y1508" t="s">
        <v>6507</v>
      </c>
      <c r="Z1508" t="s">
        <v>8165</v>
      </c>
      <c r="AA1508">
        <v>1.225142242394301</v>
      </c>
      <c r="AB1508">
        <f>HYPERLINK("Melting_Curves/meltCurve_P76121_yddH.pdf", "Melting_Curves/meltCurve_P76121_yddH.pdf")</f>
        <v>0</v>
      </c>
    </row>
    <row r="1509" spans="1:28">
      <c r="A1509" t="s">
        <v>1535</v>
      </c>
      <c r="B1509">
        <v>0.999998419929286</v>
      </c>
      <c r="C1509">
        <v>1.04224287993235</v>
      </c>
      <c r="D1509">
        <v>1.14046350514359</v>
      </c>
      <c r="E1509">
        <v>0.306182117892689</v>
      </c>
      <c r="F1509">
        <v>0.123709646699583</v>
      </c>
      <c r="G1509">
        <v>0.09817945580031059</v>
      </c>
      <c r="H1509">
        <v>0.07486289250817479</v>
      </c>
      <c r="I1509">
        <v>0.062599396486079</v>
      </c>
      <c r="J1509">
        <v>0.0667357470342807</v>
      </c>
      <c r="K1509">
        <v>0.0497950518267965</v>
      </c>
      <c r="L1509">
        <v>11597.9086894556</v>
      </c>
      <c r="M1509">
        <v>250</v>
      </c>
      <c r="N1509">
        <v>46.423708666181</v>
      </c>
      <c r="O1509">
        <v>46.3886706180585</v>
      </c>
      <c r="P1509">
        <v>-1.24045157908554</v>
      </c>
      <c r="Q1509">
        <v>0.0793136970572462</v>
      </c>
      <c r="R1509">
        <v>0.987093124814018</v>
      </c>
      <c r="S1509" t="s">
        <v>3193</v>
      </c>
      <c r="T1509" t="s">
        <v>3344</v>
      </c>
      <c r="U1509" t="s">
        <v>3344</v>
      </c>
      <c r="V1509" t="s">
        <v>3344</v>
      </c>
      <c r="W1509" t="s">
        <v>4850</v>
      </c>
      <c r="X1509">
        <v>6</v>
      </c>
      <c r="Y1509" t="s">
        <v>6508</v>
      </c>
      <c r="Z1509" t="s">
        <v>8166</v>
      </c>
      <c r="AA1509">
        <v>0.3676136389951969</v>
      </c>
      <c r="AB1509">
        <f>HYPERLINK("Melting_Curves/meltCurve_P76128_ddpA.pdf", "Melting_Curves/meltCurve_P76128_ddpA.pdf")</f>
        <v>0</v>
      </c>
    </row>
    <row r="1510" spans="1:28">
      <c r="A1510" t="s">
        <v>1536</v>
      </c>
      <c r="B1510">
        <v>0.999998419929286</v>
      </c>
      <c r="C1510">
        <v>1.06150431646094</v>
      </c>
      <c r="D1510">
        <v>1.21947131294328</v>
      </c>
      <c r="E1510">
        <v>1.34971109667172</v>
      </c>
      <c r="F1510">
        <v>1.6163499744246</v>
      </c>
      <c r="G1510">
        <v>1.61336362195047</v>
      </c>
      <c r="H1510">
        <v>0.7064211191829139</v>
      </c>
      <c r="I1510">
        <v>0.239733542276628</v>
      </c>
      <c r="J1510">
        <v>0.163769061483243</v>
      </c>
      <c r="K1510">
        <v>0.123257749746987</v>
      </c>
      <c r="L1510">
        <v>8739.44214477509</v>
      </c>
      <c r="M1510">
        <v>151.661997248017</v>
      </c>
      <c r="N1510">
        <v>57.7892125336069</v>
      </c>
      <c r="O1510">
        <v>57.614453602215</v>
      </c>
      <c r="P1510">
        <v>-0.542589039582612</v>
      </c>
      <c r="Q1510">
        <v>0.175509485239182</v>
      </c>
      <c r="R1510">
        <v>0.685492503846586</v>
      </c>
      <c r="S1510" t="s">
        <v>3194</v>
      </c>
      <c r="T1510" t="s">
        <v>3344</v>
      </c>
      <c r="U1510" t="s">
        <v>3344</v>
      </c>
      <c r="V1510" t="s">
        <v>3344</v>
      </c>
      <c r="W1510" t="s">
        <v>4851</v>
      </c>
      <c r="X1510">
        <v>12</v>
      </c>
      <c r="Y1510" t="s">
        <v>6509</v>
      </c>
      <c r="Z1510" t="s">
        <v>8167</v>
      </c>
      <c r="AA1510">
        <v>0.7425587871179401</v>
      </c>
      <c r="AB1510">
        <f>HYPERLINK("Melting_Curves/meltCurve_P76142_lsrB.pdf", "Melting_Curves/meltCurve_P76142_lsrB.pdf")</f>
        <v>0</v>
      </c>
    </row>
    <row r="1511" spans="1:28">
      <c r="A1511" t="s">
        <v>1537</v>
      </c>
      <c r="B1511">
        <v>0.999998419929286</v>
      </c>
      <c r="C1511">
        <v>1.24417928202644</v>
      </c>
      <c r="D1511">
        <v>1.08997474124541</v>
      </c>
      <c r="E1511">
        <v>1.14413815036645</v>
      </c>
      <c r="F1511">
        <v>1.2506861579291</v>
      </c>
      <c r="G1511">
        <v>1.29034191673944</v>
      </c>
      <c r="H1511">
        <v>1.00809553200562</v>
      </c>
      <c r="I1511">
        <v>0.969249916808586</v>
      </c>
      <c r="J1511">
        <v>0.786084765681544</v>
      </c>
      <c r="K1511">
        <v>1.06118002522229</v>
      </c>
      <c r="L1511">
        <v>9474.650877171631</v>
      </c>
      <c r="M1511">
        <v>250</v>
      </c>
      <c r="O1511">
        <v>37.8961782352111</v>
      </c>
      <c r="P1511">
        <v>0.154649460173879</v>
      </c>
      <c r="Q1511">
        <v>1.09376997603295</v>
      </c>
      <c r="R1511">
        <v>0.0368198782077288</v>
      </c>
      <c r="S1511" t="s">
        <v>3195</v>
      </c>
      <c r="T1511" t="s">
        <v>3344</v>
      </c>
      <c r="U1511" t="s">
        <v>3344</v>
      </c>
      <c r="V1511" t="s">
        <v>3344</v>
      </c>
      <c r="W1511" t="s">
        <v>4852</v>
      </c>
      <c r="X1511">
        <v>11</v>
      </c>
      <c r="Y1511" t="s">
        <v>6510</v>
      </c>
      <c r="Z1511" t="s">
        <v>8168</v>
      </c>
      <c r="AA1511">
        <v>1.090953972100865</v>
      </c>
      <c r="AB1511">
        <f>HYPERLINK("Melting_Curves/meltCurve_P76143_lsrF.pdf", "Melting_Curves/meltCurve_P76143_lsrF.pdf")</f>
        <v>0</v>
      </c>
    </row>
    <row r="1512" spans="1:28">
      <c r="A1512" t="s">
        <v>1538</v>
      </c>
      <c r="B1512">
        <v>0.999998419929286</v>
      </c>
      <c r="C1512">
        <v>0.9210718529894441</v>
      </c>
      <c r="D1512">
        <v>0.748631621263608</v>
      </c>
      <c r="E1512">
        <v>0.843446093492364</v>
      </c>
      <c r="F1512">
        <v>0.754871002587077</v>
      </c>
      <c r="G1512">
        <v>0.463967204187725</v>
      </c>
      <c r="H1512">
        <v>0.134108427543342</v>
      </c>
      <c r="I1512">
        <v>0.106083891320832</v>
      </c>
      <c r="J1512">
        <v>0.106540041639737</v>
      </c>
      <c r="K1512">
        <v>0.0848388865028598</v>
      </c>
      <c r="L1512">
        <v>704.990586584458</v>
      </c>
      <c r="M1512">
        <v>13.4018820928145</v>
      </c>
      <c r="N1512">
        <v>52.6038492100596</v>
      </c>
      <c r="O1512">
        <v>51.4740446946614</v>
      </c>
      <c r="P1512">
        <v>-0.06510069818723491</v>
      </c>
      <c r="Q1512">
        <v>0</v>
      </c>
      <c r="R1512">
        <v>0.943935956770212</v>
      </c>
      <c r="S1512" t="s">
        <v>3196</v>
      </c>
      <c r="T1512" t="s">
        <v>3344</v>
      </c>
      <c r="U1512" t="s">
        <v>3344</v>
      </c>
      <c r="V1512" t="s">
        <v>3344</v>
      </c>
      <c r="W1512" t="s">
        <v>4853</v>
      </c>
      <c r="X1512">
        <v>2</v>
      </c>
      <c r="Y1512" t="s">
        <v>6511</v>
      </c>
      <c r="Z1512" t="s">
        <v>8169</v>
      </c>
      <c r="AA1512">
        <v>0.5405837229891832</v>
      </c>
      <c r="AB1512">
        <f>HYPERLINK("Melting_Curves/meltCurve_P76145_tam.pdf", "Melting_Curves/meltCurve_P76145_tam.pdf")</f>
        <v>0</v>
      </c>
    </row>
    <row r="1513" spans="1:28">
      <c r="A1513" t="s">
        <v>1539</v>
      </c>
      <c r="B1513">
        <v>0.999998419929286</v>
      </c>
      <c r="C1513">
        <v>0.995193692587209</v>
      </c>
      <c r="D1513">
        <v>0.415531385377308</v>
      </c>
      <c r="E1513">
        <v>0.123827037550681</v>
      </c>
      <c r="F1513">
        <v>0.121353169220932</v>
      </c>
      <c r="G1513">
        <v>0.090036713531826</v>
      </c>
      <c r="H1513">
        <v>0.0696438261967755</v>
      </c>
      <c r="I1513">
        <v>0.051802867116237</v>
      </c>
      <c r="J1513">
        <v>0.0671914440331563</v>
      </c>
      <c r="K1513">
        <v>0.0432719433083525</v>
      </c>
      <c r="L1513">
        <v>2446.68011655264</v>
      </c>
      <c r="M1513">
        <v>57.4430604039609</v>
      </c>
      <c r="N1513">
        <v>42.7225431129459</v>
      </c>
      <c r="O1513">
        <v>42.5416102892463</v>
      </c>
      <c r="P1513">
        <v>-0.310615240948529</v>
      </c>
      <c r="Q1513">
        <v>0.0798494879885089</v>
      </c>
      <c r="R1513">
        <v>0.995632624413842</v>
      </c>
      <c r="S1513" t="s">
        <v>3197</v>
      </c>
      <c r="T1513" t="s">
        <v>3344</v>
      </c>
      <c r="U1513" t="s">
        <v>3344</v>
      </c>
      <c r="V1513" t="s">
        <v>3344</v>
      </c>
      <c r="W1513" t="s">
        <v>4854</v>
      </c>
      <c r="X1513">
        <v>1</v>
      </c>
      <c r="Y1513" t="s">
        <v>6512</v>
      </c>
      <c r="Z1513" t="s">
        <v>8170</v>
      </c>
      <c r="AA1513">
        <v>0.2527112413853461</v>
      </c>
      <c r="AB1513">
        <f>HYPERLINK("Melting_Curves/meltCurve_P76149_sad.pdf", "Melting_Curves/meltCurve_P76149_sad.pdf")</f>
        <v>0</v>
      </c>
    </row>
    <row r="1514" spans="1:28">
      <c r="A1514" t="s">
        <v>1540</v>
      </c>
      <c r="B1514">
        <v>0.999998419929286</v>
      </c>
      <c r="C1514">
        <v>0.769901580148952</v>
      </c>
      <c r="D1514">
        <v>0.555179688697556</v>
      </c>
      <c r="E1514">
        <v>0.708471982398314</v>
      </c>
      <c r="F1514">
        <v>0.676721938577702</v>
      </c>
      <c r="G1514">
        <v>0.578816893033627</v>
      </c>
      <c r="H1514">
        <v>0.554723682595871</v>
      </c>
      <c r="I1514">
        <v>0.654193163286453</v>
      </c>
      <c r="J1514">
        <v>0.747034158248054</v>
      </c>
      <c r="K1514">
        <v>0.641156320360557</v>
      </c>
      <c r="L1514">
        <v>9952.329860246829</v>
      </c>
      <c r="M1514">
        <v>250</v>
      </c>
      <c r="O1514">
        <v>39.8067723117664</v>
      </c>
      <c r="P1514">
        <v>-0.565957051551514</v>
      </c>
      <c r="Q1514">
        <v>0.639537228243226</v>
      </c>
      <c r="R1514">
        <v>0.773818068107764</v>
      </c>
      <c r="S1514" t="s">
        <v>3198</v>
      </c>
      <c r="T1514" t="s">
        <v>3344</v>
      </c>
      <c r="U1514" t="s">
        <v>3344</v>
      </c>
      <c r="V1514" t="s">
        <v>3344</v>
      </c>
      <c r="W1514" t="s">
        <v>4855</v>
      </c>
      <c r="X1514">
        <v>1</v>
      </c>
      <c r="Y1514" t="s">
        <v>6513</v>
      </c>
      <c r="Z1514" t="s">
        <v>8171</v>
      </c>
      <c r="AA1514">
        <v>0.6733175809706063</v>
      </c>
      <c r="AB1514">
        <f>HYPERLINK("Melting_Curves/meltCurve_P76172_ynfD.pdf", "Melting_Curves/meltCurve_P76172_ynfD.pdf")</f>
        <v>0</v>
      </c>
    </row>
    <row r="1515" spans="1:28">
      <c r="A1515" t="s">
        <v>1541</v>
      </c>
      <c r="B1515">
        <v>0.999998419929286</v>
      </c>
      <c r="C1515">
        <v>0.917736190953676</v>
      </c>
      <c r="D1515">
        <v>0.858628271512808</v>
      </c>
      <c r="E1515">
        <v>0.633855820312862</v>
      </c>
      <c r="F1515">
        <v>0.541981368844296</v>
      </c>
      <c r="G1515">
        <v>0.468431338482621</v>
      </c>
      <c r="H1515">
        <v>0.395747774615962</v>
      </c>
      <c r="I1515">
        <v>0.272791804520632</v>
      </c>
      <c r="J1515">
        <v>0.20536657189663</v>
      </c>
      <c r="K1515">
        <v>0.231469136903633</v>
      </c>
      <c r="L1515">
        <v>429.580571231373</v>
      </c>
      <c r="M1515">
        <v>8.599644912402869</v>
      </c>
      <c r="N1515">
        <v>51.8235091620519</v>
      </c>
      <c r="O1515">
        <v>47.4722179031199</v>
      </c>
      <c r="P1515">
        <v>-0.0392800855181164</v>
      </c>
      <c r="Q1515">
        <v>0.133403255863363</v>
      </c>
      <c r="R1515">
        <v>0.984239244836736</v>
      </c>
      <c r="S1515" t="s">
        <v>3199</v>
      </c>
      <c r="T1515" t="s">
        <v>3344</v>
      </c>
      <c r="U1515" t="s">
        <v>3344</v>
      </c>
      <c r="V1515" t="s">
        <v>3344</v>
      </c>
      <c r="W1515" t="s">
        <v>4856</v>
      </c>
      <c r="X1515">
        <v>1</v>
      </c>
      <c r="Y1515" t="s">
        <v>6514</v>
      </c>
      <c r="Z1515" t="s">
        <v>8172</v>
      </c>
      <c r="AA1515">
        <v>0.5412545578613037</v>
      </c>
      <c r="AB1515">
        <f>HYPERLINK("Melting_Curves/meltCurve_P76173_ynfH.pdf", "Melting_Curves/meltCurve_P76173_ynfH.pdf")</f>
        <v>0</v>
      </c>
    </row>
    <row r="1516" spans="1:28">
      <c r="A1516" t="s">
        <v>1542</v>
      </c>
      <c r="B1516">
        <v>0.999998419929286</v>
      </c>
      <c r="C1516">
        <v>1.10160708095442</v>
      </c>
      <c r="D1516">
        <v>1.01261097540221</v>
      </c>
      <c r="E1516">
        <v>0.992693672412151</v>
      </c>
      <c r="F1516">
        <v>1.19070747283161</v>
      </c>
      <c r="G1516">
        <v>1.23757146951507</v>
      </c>
      <c r="H1516">
        <v>0.867526726514729</v>
      </c>
      <c r="I1516">
        <v>0.570319942537834</v>
      </c>
      <c r="J1516">
        <v>0.5211253519983819</v>
      </c>
      <c r="K1516">
        <v>0.532170642846028</v>
      </c>
      <c r="L1516">
        <v>4602.94904223519</v>
      </c>
      <c r="M1516">
        <v>79.2281067454806</v>
      </c>
      <c r="O1516">
        <v>58.0604660797599</v>
      </c>
      <c r="P1516">
        <v>-0.157886853502896</v>
      </c>
      <c r="Q1516">
        <v>0.537185485856319</v>
      </c>
      <c r="R1516">
        <v>0.841300144676049</v>
      </c>
      <c r="S1516" t="s">
        <v>3200</v>
      </c>
      <c r="T1516" t="s">
        <v>3344</v>
      </c>
      <c r="U1516" t="s">
        <v>3344</v>
      </c>
      <c r="V1516" t="s">
        <v>3344</v>
      </c>
      <c r="W1516" t="s">
        <v>4857</v>
      </c>
      <c r="X1516">
        <v>2</v>
      </c>
      <c r="Y1516" t="s">
        <v>6515</v>
      </c>
      <c r="Z1516" t="s">
        <v>8173</v>
      </c>
      <c r="AA1516">
        <v>0.8631290153933302</v>
      </c>
      <c r="AB1516">
        <f>HYPERLINK("Melting_Curves/meltCurve_P76176_ydgD.pdf", "Melting_Curves/meltCurve_P76176_ydgD.pdf")</f>
        <v>0</v>
      </c>
    </row>
    <row r="1517" spans="1:28">
      <c r="A1517" t="s">
        <v>1543</v>
      </c>
      <c r="B1517">
        <v>0.999998419929286</v>
      </c>
      <c r="C1517">
        <v>1.08637241519739</v>
      </c>
      <c r="D1517">
        <v>1.22825961668771</v>
      </c>
      <c r="E1517">
        <v>1.40213729426814</v>
      </c>
      <c r="F1517">
        <v>1.76992976826231</v>
      </c>
      <c r="G1517">
        <v>1.59007677011107</v>
      </c>
      <c r="H1517">
        <v>0.6955030280940629</v>
      </c>
      <c r="I1517">
        <v>0.208174828852711</v>
      </c>
      <c r="J1517">
        <v>0.166274551547188</v>
      </c>
      <c r="K1517">
        <v>0.156091512624002</v>
      </c>
      <c r="L1517">
        <v>14380.5701532648</v>
      </c>
      <c r="M1517">
        <v>250</v>
      </c>
      <c r="N1517">
        <v>57.6228767369956</v>
      </c>
      <c r="O1517">
        <v>57.5185995947401</v>
      </c>
      <c r="P1517">
        <v>-0.894442448518333</v>
      </c>
      <c r="Q1517">
        <v>0.176846768428577</v>
      </c>
      <c r="R1517">
        <v>0.640878326815827</v>
      </c>
      <c r="S1517" t="s">
        <v>3201</v>
      </c>
      <c r="T1517" t="s">
        <v>3344</v>
      </c>
      <c r="U1517" t="s">
        <v>3344</v>
      </c>
      <c r="V1517" t="s">
        <v>3344</v>
      </c>
      <c r="W1517" t="s">
        <v>4858</v>
      </c>
      <c r="X1517">
        <v>11</v>
      </c>
      <c r="Y1517" t="s">
        <v>6516</v>
      </c>
      <c r="Z1517" t="s">
        <v>8174</v>
      </c>
      <c r="AA1517">
        <v>0.7400292531913054</v>
      </c>
      <c r="AB1517">
        <f>HYPERLINK("Melting_Curves/meltCurve_P76177_ydgH.pdf", "Melting_Curves/meltCurve_P76177_ydgH.pdf")</f>
        <v>0</v>
      </c>
    </row>
    <row r="1518" spans="1:28">
      <c r="A1518" t="s">
        <v>1544</v>
      </c>
      <c r="B1518">
        <v>0.999998419929286</v>
      </c>
      <c r="C1518">
        <v>1.04299598730872</v>
      </c>
      <c r="D1518">
        <v>1.04809768293305</v>
      </c>
      <c r="E1518">
        <v>1.20795513877247</v>
      </c>
      <c r="F1518">
        <v>1.49042397119737</v>
      </c>
      <c r="G1518">
        <v>1.6590844238827</v>
      </c>
      <c r="H1518">
        <v>1.42518452785792</v>
      </c>
      <c r="I1518">
        <v>0.906367234365035</v>
      </c>
      <c r="J1518">
        <v>0.377079670936467</v>
      </c>
      <c r="K1518">
        <v>0.164891388847059</v>
      </c>
      <c r="L1518">
        <v>4209.48781752074</v>
      </c>
      <c r="M1518">
        <v>66.70541294559609</v>
      </c>
      <c r="N1518">
        <v>63.4447135667279</v>
      </c>
      <c r="O1518">
        <v>63.0490048960382</v>
      </c>
      <c r="P1518">
        <v>-0.224839888475542</v>
      </c>
      <c r="Q1518">
        <v>0.149938520738332</v>
      </c>
      <c r="R1518">
        <v>0.544848391271888</v>
      </c>
      <c r="S1518" t="s">
        <v>3202</v>
      </c>
      <c r="T1518" t="s">
        <v>3344</v>
      </c>
      <c r="U1518" t="s">
        <v>3344</v>
      </c>
      <c r="V1518" t="s">
        <v>3344</v>
      </c>
      <c r="W1518" t="s">
        <v>4859</v>
      </c>
      <c r="X1518">
        <v>6</v>
      </c>
      <c r="Y1518" t="s">
        <v>6517</v>
      </c>
      <c r="Z1518" t="s">
        <v>8175</v>
      </c>
      <c r="AA1518">
        <v>0.8903378688226556</v>
      </c>
      <c r="AB1518">
        <f>HYPERLINK("Melting_Curves/meltCurve_P76187_ydhF.pdf", "Melting_Curves/meltCurve_P76187_ydhF.pdf")</f>
        <v>0</v>
      </c>
    </row>
    <row r="1519" spans="1:28">
      <c r="A1519" t="s">
        <v>1545</v>
      </c>
      <c r="B1519">
        <v>0.999998419929286</v>
      </c>
      <c r="C1519">
        <v>5.67799047374719</v>
      </c>
      <c r="D1519">
        <v>1.09212729745101</v>
      </c>
      <c r="E1519">
        <v>1.62579585598291</v>
      </c>
      <c r="F1519">
        <v>2.04671292538948</v>
      </c>
      <c r="G1519">
        <v>2.15960654287365</v>
      </c>
      <c r="H1519">
        <v>1.10493245349047</v>
      </c>
      <c r="I1519">
        <v>0.852052511931677</v>
      </c>
      <c r="J1519">
        <v>0.153926494195203</v>
      </c>
      <c r="K1519">
        <v>1.12411841337989</v>
      </c>
      <c r="L1519">
        <v>1325.89620015319</v>
      </c>
      <c r="M1519">
        <v>21.5887155436868</v>
      </c>
      <c r="O1519">
        <v>60.8964910976364</v>
      </c>
      <c r="P1519">
        <v>-0.0257823908308889</v>
      </c>
      <c r="Q1519">
        <v>0.709103700660132</v>
      </c>
      <c r="R1519">
        <v>-0.217142403967657</v>
      </c>
      <c r="S1519" t="s">
        <v>3203</v>
      </c>
      <c r="T1519" t="s">
        <v>3344</v>
      </c>
      <c r="U1519" t="s">
        <v>3344</v>
      </c>
      <c r="V1519" t="s">
        <v>3344</v>
      </c>
      <c r="W1519" t="s">
        <v>4860</v>
      </c>
      <c r="X1519">
        <v>1</v>
      </c>
      <c r="Y1519" t="s">
        <v>6518</v>
      </c>
      <c r="Z1519" t="s">
        <v>8176</v>
      </c>
      <c r="AA1519">
        <v>0.9445360812086842</v>
      </c>
      <c r="AB1519">
        <f>HYPERLINK("Melting_Curves/meltCurve_P76192_ydhV.pdf", "Melting_Curves/meltCurve_P76192_ydhV.pdf")</f>
        <v>0</v>
      </c>
    </row>
    <row r="1520" spans="1:28">
      <c r="A1520" t="s">
        <v>1546</v>
      </c>
      <c r="B1520">
        <v>0.999998419929286</v>
      </c>
      <c r="C1520">
        <v>0.90299116454661</v>
      </c>
      <c r="D1520">
        <v>1.10837061415415</v>
      </c>
      <c r="E1520">
        <v>0.783936615610895</v>
      </c>
      <c r="F1520">
        <v>0.179551217077332</v>
      </c>
      <c r="G1520">
        <v>0.0922679516798359</v>
      </c>
      <c r="H1520">
        <v>0.0615656571920116</v>
      </c>
      <c r="I1520">
        <v>0.0577080197026391</v>
      </c>
      <c r="J1520">
        <v>0.0595015688230095</v>
      </c>
      <c r="K1520">
        <v>0.0491988493198949</v>
      </c>
      <c r="L1520">
        <v>2113.04102752075</v>
      </c>
      <c r="M1520">
        <v>44.0906655420996</v>
      </c>
      <c r="N1520">
        <v>48.0716940817986</v>
      </c>
      <c r="O1520">
        <v>47.8266320480985</v>
      </c>
      <c r="P1520">
        <v>-0.215957360393514</v>
      </c>
      <c r="Q1520">
        <v>0.0629763884842775</v>
      </c>
      <c r="R1520">
        <v>0.987548905129077</v>
      </c>
      <c r="S1520" t="s">
        <v>3204</v>
      </c>
      <c r="T1520" t="s">
        <v>3344</v>
      </c>
      <c r="U1520" t="s">
        <v>3344</v>
      </c>
      <c r="V1520" t="s">
        <v>3344</v>
      </c>
      <c r="W1520" t="s">
        <v>4861</v>
      </c>
      <c r="X1520">
        <v>8</v>
      </c>
      <c r="Y1520" t="s">
        <v>6519</v>
      </c>
      <c r="Z1520" t="s">
        <v>8177</v>
      </c>
      <c r="AA1520">
        <v>0.406757568583536</v>
      </c>
      <c r="AB1520">
        <f>HYPERLINK("Melting_Curves/meltCurve_P76193_ynhG.pdf", "Melting_Curves/meltCurve_P76193_ynhG.pdf")</f>
        <v>0</v>
      </c>
    </row>
    <row r="1521" spans="1:28">
      <c r="A1521" t="s">
        <v>1547</v>
      </c>
      <c r="B1521">
        <v>0.999998419929286</v>
      </c>
      <c r="C1521">
        <v>0.814662633618696</v>
      </c>
      <c r="D1521">
        <v>0.838566335892784</v>
      </c>
      <c r="E1521">
        <v>0.836594170033012</v>
      </c>
      <c r="F1521">
        <v>0.850540826636643</v>
      </c>
      <c r="G1521">
        <v>0.563631192563444</v>
      </c>
      <c r="H1521">
        <v>0.232616849226031</v>
      </c>
      <c r="I1521">
        <v>0.104280664302831</v>
      </c>
      <c r="J1521">
        <v>0.0897963691673993</v>
      </c>
      <c r="K1521">
        <v>0.0546082372248442</v>
      </c>
      <c r="L1521">
        <v>885.746983623406</v>
      </c>
      <c r="M1521">
        <v>16.3614739344024</v>
      </c>
      <c r="N1521">
        <v>54.1361367022448</v>
      </c>
      <c r="O1521">
        <v>53.3467964788083</v>
      </c>
      <c r="P1521">
        <v>-0.07668054781700689</v>
      </c>
      <c r="Q1521">
        <v>0</v>
      </c>
      <c r="R1521">
        <v>0.941998465922994</v>
      </c>
      <c r="S1521" t="s">
        <v>3205</v>
      </c>
      <c r="T1521" t="s">
        <v>3344</v>
      </c>
      <c r="U1521" t="s">
        <v>3344</v>
      </c>
      <c r="V1521" t="s">
        <v>3344</v>
      </c>
      <c r="W1521" t="s">
        <v>4862</v>
      </c>
      <c r="X1521">
        <v>2</v>
      </c>
      <c r="Y1521" t="s">
        <v>6520</v>
      </c>
      <c r="Z1521" t="s">
        <v>8178</v>
      </c>
      <c r="AA1521">
        <v>0.5861029013188102</v>
      </c>
      <c r="AB1521">
        <f>HYPERLINK("Melting_Curves/meltCurve_P76194_sufE.pdf", "Melting_Curves/meltCurve_P76194_sufE.pdf")</f>
        <v>0</v>
      </c>
    </row>
    <row r="1522" spans="1:28">
      <c r="A1522" t="s">
        <v>1548</v>
      </c>
      <c r="B1522">
        <v>0.999998419929286</v>
      </c>
      <c r="C1522">
        <v>1.07515391092289</v>
      </c>
      <c r="D1522">
        <v>1.0391270616215</v>
      </c>
      <c r="E1522">
        <v>1.05158095609208</v>
      </c>
      <c r="F1522">
        <v>1.11745240764658</v>
      </c>
      <c r="G1522">
        <v>1.0220281231051</v>
      </c>
      <c r="H1522">
        <v>0.671059360781567</v>
      </c>
      <c r="I1522">
        <v>0.365759398440771</v>
      </c>
      <c r="J1522">
        <v>0.180014186768325</v>
      </c>
      <c r="K1522">
        <v>0.138526455279141</v>
      </c>
      <c r="L1522">
        <v>1885.25115086931</v>
      </c>
      <c r="M1522">
        <v>32.136399713979</v>
      </c>
      <c r="N1522">
        <v>59.2390929675082</v>
      </c>
      <c r="O1522">
        <v>58.4382916716541</v>
      </c>
      <c r="P1522">
        <v>-0.119059279499752</v>
      </c>
      <c r="Q1522">
        <v>0.133993154747964</v>
      </c>
      <c r="R1522">
        <v>0.976903448312724</v>
      </c>
      <c r="S1522" t="s">
        <v>3206</v>
      </c>
      <c r="T1522" t="s">
        <v>3344</v>
      </c>
      <c r="U1522" t="s">
        <v>3344</v>
      </c>
      <c r="V1522" t="s">
        <v>3344</v>
      </c>
      <c r="W1522" t="s">
        <v>4863</v>
      </c>
      <c r="X1522">
        <v>4</v>
      </c>
      <c r="Y1522" t="s">
        <v>6521</v>
      </c>
      <c r="Z1522" t="s">
        <v>8179</v>
      </c>
      <c r="AA1522">
        <v>0.7634858254372597</v>
      </c>
      <c r="AB1522">
        <f>HYPERLINK("Melting_Curves/meltCurve_P76216_astB.pdf", "Melting_Curves/meltCurve_P76216_astB.pdf")</f>
        <v>0</v>
      </c>
    </row>
    <row r="1523" spans="1:28">
      <c r="A1523" t="s">
        <v>1549</v>
      </c>
      <c r="B1523">
        <v>0.999998419929286</v>
      </c>
      <c r="C1523">
        <v>1.12070233336484</v>
      </c>
      <c r="D1523">
        <v>1.23553238666773</v>
      </c>
      <c r="E1523">
        <v>1.35531781931952</v>
      </c>
      <c r="F1523">
        <v>0.405150280799923</v>
      </c>
      <c r="G1523">
        <v>0.158004432974636</v>
      </c>
      <c r="H1523">
        <v>0.105288532053878</v>
      </c>
      <c r="I1523">
        <v>0.0698372865248225</v>
      </c>
      <c r="J1523">
        <v>0.0499375052654923</v>
      </c>
      <c r="K1523">
        <v>0.04182780679244</v>
      </c>
      <c r="L1523">
        <v>12518.9034638434</v>
      </c>
      <c r="M1523">
        <v>250</v>
      </c>
      <c r="N1523">
        <v>50.1129543068083</v>
      </c>
      <c r="O1523">
        <v>50.0724094118771</v>
      </c>
      <c r="P1523">
        <v>-1.14212211531129</v>
      </c>
      <c r="Q1523">
        <v>0.0849791037359658</v>
      </c>
      <c r="R1523">
        <v>0.92553457792557</v>
      </c>
      <c r="S1523" t="s">
        <v>3207</v>
      </c>
      <c r="T1523" t="s">
        <v>3344</v>
      </c>
      <c r="U1523" t="s">
        <v>3344</v>
      </c>
      <c r="V1523" t="s">
        <v>3344</v>
      </c>
      <c r="W1523" t="s">
        <v>4864</v>
      </c>
      <c r="X1523">
        <v>8</v>
      </c>
      <c r="Y1523" t="s">
        <v>6522</v>
      </c>
      <c r="Z1523" t="s">
        <v>8180</v>
      </c>
      <c r="AA1523">
        <v>0.4838748478367637</v>
      </c>
      <c r="AB1523">
        <f>HYPERLINK("Melting_Curves/meltCurve_P76217_astD.pdf", "Melting_Curves/meltCurve_P76217_astD.pdf")</f>
        <v>0</v>
      </c>
    </row>
    <row r="1524" spans="1:28">
      <c r="A1524" t="s">
        <v>1550</v>
      </c>
      <c r="B1524">
        <v>0.999998419929286</v>
      </c>
      <c r="C1524">
        <v>0.878941426729911</v>
      </c>
      <c r="D1524">
        <v>1.0449792543198</v>
      </c>
      <c r="E1524">
        <v>1.09595550693058</v>
      </c>
      <c r="F1524">
        <v>1.51557967750849</v>
      </c>
      <c r="G1524">
        <v>1.57292934804029</v>
      </c>
      <c r="H1524">
        <v>1.33355661945088</v>
      </c>
      <c r="I1524">
        <v>1.02922862207803</v>
      </c>
      <c r="J1524">
        <v>1.1268119176677</v>
      </c>
      <c r="K1524">
        <v>1.253821244447</v>
      </c>
      <c r="L1524">
        <v>11686.3572056764</v>
      </c>
      <c r="M1524">
        <v>250</v>
      </c>
      <c r="O1524">
        <v>46.7424445235301</v>
      </c>
      <c r="P1524">
        <v>0.40824951341706</v>
      </c>
      <c r="Q1524">
        <v>1.30532123710888</v>
      </c>
      <c r="R1524">
        <v>0.480383151344387</v>
      </c>
      <c r="S1524" t="s">
        <v>3208</v>
      </c>
      <c r="T1524" t="s">
        <v>3344</v>
      </c>
      <c r="U1524" t="s">
        <v>3344</v>
      </c>
      <c r="V1524" t="s">
        <v>3344</v>
      </c>
      <c r="W1524" t="s">
        <v>4865</v>
      </c>
      <c r="X1524">
        <v>8</v>
      </c>
      <c r="Y1524" t="s">
        <v>6523</v>
      </c>
      <c r="Z1524" t="s">
        <v>8181</v>
      </c>
      <c r="AA1524">
        <v>1.206113309841037</v>
      </c>
      <c r="AB1524">
        <f>HYPERLINK("Melting_Curves/meltCurve_P76220_ydjY.pdf", "Melting_Curves/meltCurve_P76220_ydjY.pdf")</f>
        <v>0</v>
      </c>
    </row>
    <row r="1525" spans="1:28">
      <c r="A1525" t="s">
        <v>1551</v>
      </c>
      <c r="B1525">
        <v>0.999998419929286</v>
      </c>
      <c r="C1525">
        <v>1.04057693448887</v>
      </c>
      <c r="D1525">
        <v>1.12317699214738</v>
      </c>
      <c r="E1525">
        <v>0.836858555978461</v>
      </c>
      <c r="F1525">
        <v>0.123254256535212</v>
      </c>
      <c r="G1525">
        <v>0.06672709456669321</v>
      </c>
      <c r="H1525">
        <v>0.0463555309909809</v>
      </c>
      <c r="I1525">
        <v>0.0413463406198336</v>
      </c>
      <c r="J1525">
        <v>0.0138359447405643</v>
      </c>
      <c r="K1525">
        <v>0.021907497151607</v>
      </c>
      <c r="L1525">
        <v>2574.21572962272</v>
      </c>
      <c r="M1525">
        <v>53.627043597259</v>
      </c>
      <c r="N1525">
        <v>48.0723432338013</v>
      </c>
      <c r="O1525">
        <v>47.9355823189741</v>
      </c>
      <c r="P1525">
        <v>-0.269156940996929</v>
      </c>
      <c r="Q1525">
        <v>0.0376358245078958</v>
      </c>
      <c r="R1525">
        <v>0.991446703185635</v>
      </c>
      <c r="S1525" t="s">
        <v>3209</v>
      </c>
      <c r="T1525" t="s">
        <v>3344</v>
      </c>
      <c r="U1525" t="s">
        <v>3344</v>
      </c>
      <c r="V1525" t="s">
        <v>3344</v>
      </c>
      <c r="W1525" t="s">
        <v>4866</v>
      </c>
      <c r="X1525">
        <v>3</v>
      </c>
      <c r="Y1525" t="s">
        <v>6524</v>
      </c>
      <c r="Z1525" t="s">
        <v>8182</v>
      </c>
      <c r="AA1525">
        <v>0.3923431318826617</v>
      </c>
      <c r="AB1525">
        <f>HYPERLINK("Melting_Curves/meltCurve_P76223_ynjB.pdf", "Melting_Curves/meltCurve_P76223_ynjB.pdf")</f>
        <v>0</v>
      </c>
    </row>
    <row r="1526" spans="1:28">
      <c r="A1526" t="s">
        <v>1552</v>
      </c>
      <c r="B1526">
        <v>0.999998419929286</v>
      </c>
      <c r="C1526">
        <v>1.06567924529775</v>
      </c>
      <c r="D1526">
        <v>0.883089853960602</v>
      </c>
      <c r="E1526">
        <v>0.9288923961259919</v>
      </c>
      <c r="F1526">
        <v>0.871347150114655</v>
      </c>
      <c r="G1526">
        <v>0.884851033513089</v>
      </c>
      <c r="H1526">
        <v>0.85936657135056</v>
      </c>
      <c r="I1526">
        <v>0.819533250362979</v>
      </c>
      <c r="J1526">
        <v>0.96916648384374</v>
      </c>
      <c r="K1526">
        <v>0.6927632824018179</v>
      </c>
      <c r="L1526">
        <v>274.756631264136</v>
      </c>
      <c r="M1526">
        <v>4.59702447353713</v>
      </c>
      <c r="O1526">
        <v>51.0870068272437</v>
      </c>
      <c r="P1526">
        <v>-0.00714821197667405</v>
      </c>
      <c r="Q1526">
        <v>0.684813204884321</v>
      </c>
      <c r="R1526">
        <v>0.463182203125251</v>
      </c>
      <c r="S1526" t="s">
        <v>3210</v>
      </c>
      <c r="T1526" t="s">
        <v>3344</v>
      </c>
      <c r="U1526" t="s">
        <v>3344</v>
      </c>
      <c r="V1526" t="s">
        <v>3344</v>
      </c>
      <c r="W1526" t="s">
        <v>4867</v>
      </c>
      <c r="X1526">
        <v>3</v>
      </c>
      <c r="Y1526" t="s">
        <v>6525</v>
      </c>
      <c r="Z1526" t="s">
        <v>8183</v>
      </c>
      <c r="AA1526">
        <v>0.8946468943225521</v>
      </c>
      <c r="AB1526">
        <f>HYPERLINK("Melting_Curves/meltCurve_P76227_ynjH.pdf", "Melting_Curves/meltCurve_P76227_ynjH.pdf")</f>
        <v>0</v>
      </c>
    </row>
    <row r="1527" spans="1:28">
      <c r="A1527" t="s">
        <v>1553</v>
      </c>
      <c r="B1527">
        <v>0.999998419929286</v>
      </c>
      <c r="C1527">
        <v>0.951579601268434</v>
      </c>
      <c r="D1527">
        <v>0.845600461008693</v>
      </c>
      <c r="E1527">
        <v>0.823362626636462</v>
      </c>
      <c r="F1527">
        <v>0.793182556435064</v>
      </c>
      <c r="G1527">
        <v>0.901338142734163</v>
      </c>
      <c r="H1527">
        <v>0.7008586124578901</v>
      </c>
      <c r="I1527">
        <v>1.01160088559556</v>
      </c>
      <c r="J1527">
        <v>1.08742219615105</v>
      </c>
      <c r="K1527">
        <v>1.01007816865057</v>
      </c>
      <c r="L1527">
        <v>9980.01050090768</v>
      </c>
      <c r="M1527">
        <v>250</v>
      </c>
      <c r="O1527">
        <v>39.9174873954808</v>
      </c>
      <c r="P1527">
        <v>-0.161770489893274</v>
      </c>
      <c r="Q1527">
        <v>0.8966804562859439</v>
      </c>
      <c r="R1527">
        <v>0.0855810396642613</v>
      </c>
      <c r="S1527" t="s">
        <v>3211</v>
      </c>
      <c r="T1527" t="s">
        <v>3344</v>
      </c>
      <c r="U1527" t="s">
        <v>3344</v>
      </c>
      <c r="V1527" t="s">
        <v>3344</v>
      </c>
      <c r="W1527" t="s">
        <v>4868</v>
      </c>
      <c r="X1527">
        <v>1</v>
      </c>
      <c r="Y1527" t="s">
        <v>6526</v>
      </c>
      <c r="Z1527" t="s">
        <v>8184</v>
      </c>
      <c r="AA1527">
        <v>0.9067442750045732</v>
      </c>
      <c r="AB1527">
        <f>HYPERLINK("Melting_Curves/meltCurve_P76235_yeaH.pdf", "Melting_Curves/meltCurve_P76235_yeaH.pdf")</f>
        <v>0</v>
      </c>
    </row>
    <row r="1528" spans="1:28">
      <c r="A1528" t="s">
        <v>1554</v>
      </c>
      <c r="B1528">
        <v>0.999998419929286</v>
      </c>
      <c r="C1528">
        <v>0.655436719114065</v>
      </c>
      <c r="D1528">
        <v>0.640568300869777</v>
      </c>
      <c r="E1528">
        <v>0.591037061251581</v>
      </c>
      <c r="F1528">
        <v>0.596022144547402</v>
      </c>
      <c r="G1528">
        <v>0.6364613260419481</v>
      </c>
      <c r="H1528">
        <v>0.581127199855117</v>
      </c>
      <c r="I1528">
        <v>0.45627931308835</v>
      </c>
      <c r="J1528">
        <v>0.431440242872839</v>
      </c>
      <c r="K1528">
        <v>0.432735612602725</v>
      </c>
      <c r="L1528">
        <v>2250.4644911871</v>
      </c>
      <c r="M1528">
        <v>57.474146470109</v>
      </c>
      <c r="O1528">
        <v>39.1087991838208</v>
      </c>
      <c r="P1528">
        <v>-0.167220728046181</v>
      </c>
      <c r="Q1528">
        <v>0.544852837188711</v>
      </c>
      <c r="R1528">
        <v>0.767304024292102</v>
      </c>
      <c r="S1528" t="s">
        <v>3212</v>
      </c>
      <c r="T1528" t="s">
        <v>3344</v>
      </c>
      <c r="U1528" t="s">
        <v>3344</v>
      </c>
      <c r="V1528" t="s">
        <v>3344</v>
      </c>
      <c r="W1528" t="s">
        <v>4869</v>
      </c>
      <c r="X1528">
        <v>4</v>
      </c>
      <c r="Y1528" t="s">
        <v>6527</v>
      </c>
      <c r="Z1528" t="s">
        <v>8185</v>
      </c>
      <c r="AA1528">
        <v>0.5784671126217137</v>
      </c>
      <c r="AB1528">
        <f>HYPERLINK("Melting_Curves/meltCurve_P76243_yeaO.pdf", "Melting_Curves/meltCurve_P76243_yeaO.pdf")</f>
        <v>0</v>
      </c>
    </row>
    <row r="1529" spans="1:28">
      <c r="A1529" t="s">
        <v>1555</v>
      </c>
      <c r="B1529">
        <v>0.999998419929286</v>
      </c>
      <c r="C1529">
        <v>1.08879962391942</v>
      </c>
      <c r="D1529">
        <v>1.08401210078583</v>
      </c>
      <c r="E1529">
        <v>1.15957651546566</v>
      </c>
      <c r="F1529">
        <v>1.34737698385461</v>
      </c>
      <c r="G1529">
        <v>1.39866440617584</v>
      </c>
      <c r="H1529">
        <v>0.954694326543816</v>
      </c>
      <c r="I1529">
        <v>0.590510676708601</v>
      </c>
      <c r="J1529">
        <v>0.27168198014933</v>
      </c>
      <c r="K1529">
        <v>0.187489673519001</v>
      </c>
      <c r="L1529">
        <v>3033.17873727226</v>
      </c>
      <c r="M1529">
        <v>49.7248368787547</v>
      </c>
      <c r="N1529">
        <v>61.5906266069584</v>
      </c>
      <c r="O1529">
        <v>60.9008529975655</v>
      </c>
      <c r="P1529">
        <v>-0.165377487931048</v>
      </c>
      <c r="Q1529">
        <v>0.189811614394724</v>
      </c>
      <c r="R1529">
        <v>0.798682514505059</v>
      </c>
      <c r="S1529" t="s">
        <v>3213</v>
      </c>
      <c r="T1529" t="s">
        <v>3344</v>
      </c>
      <c r="U1529" t="s">
        <v>3344</v>
      </c>
      <c r="V1529" t="s">
        <v>3344</v>
      </c>
      <c r="W1529" t="s">
        <v>4870</v>
      </c>
      <c r="X1529">
        <v>4</v>
      </c>
      <c r="Y1529" t="s">
        <v>6528</v>
      </c>
      <c r="Z1529" t="s">
        <v>8186</v>
      </c>
      <c r="AA1529">
        <v>0.8396624750546712</v>
      </c>
      <c r="AB1529">
        <f>HYPERLINK("Melting_Curves/meltCurve_P76251_dmlA.pdf", "Melting_Curves/meltCurve_P76251_dmlA.pdf")</f>
        <v>0</v>
      </c>
    </row>
    <row r="1530" spans="1:28">
      <c r="A1530" t="s">
        <v>1556</v>
      </c>
      <c r="B1530">
        <v>0.999998419929286</v>
      </c>
      <c r="C1530">
        <v>0.9398187413856161</v>
      </c>
      <c r="D1530">
        <v>0.818978008939438</v>
      </c>
      <c r="E1530">
        <v>0.956830824460209</v>
      </c>
      <c r="F1530">
        <v>0.87619031327792</v>
      </c>
      <c r="G1530">
        <v>0.501706206740358</v>
      </c>
      <c r="H1530">
        <v>0.341807520179889</v>
      </c>
      <c r="I1530">
        <v>0.196307178735124</v>
      </c>
      <c r="J1530">
        <v>0.188737511363113</v>
      </c>
      <c r="K1530">
        <v>0.121448415502974</v>
      </c>
      <c r="L1530">
        <v>1071.29481092923</v>
      </c>
      <c r="M1530">
        <v>19.9863986845259</v>
      </c>
      <c r="N1530">
        <v>54.4336135060909</v>
      </c>
      <c r="O1530">
        <v>53.0732165228756</v>
      </c>
      <c r="P1530">
        <v>-0.0817515137059239</v>
      </c>
      <c r="Q1530">
        <v>0.131674257084655</v>
      </c>
      <c r="R1530">
        <v>0.964403497932742</v>
      </c>
      <c r="S1530" t="s">
        <v>3214</v>
      </c>
      <c r="T1530" t="s">
        <v>3344</v>
      </c>
      <c r="U1530" t="s">
        <v>3344</v>
      </c>
      <c r="V1530" t="s">
        <v>3344</v>
      </c>
      <c r="W1530" t="s">
        <v>4871</v>
      </c>
      <c r="X1530">
        <v>1</v>
      </c>
      <c r="Y1530" t="s">
        <v>6529</v>
      </c>
      <c r="Z1530" t="s">
        <v>8187</v>
      </c>
      <c r="AA1530">
        <v>0.6228896111754916</v>
      </c>
      <c r="AB1530">
        <f>HYPERLINK("Melting_Curves/meltCurve_P76256_tsaB.pdf", "Melting_Curves/meltCurve_P76256_tsaB.pdf")</f>
        <v>0</v>
      </c>
    </row>
    <row r="1531" spans="1:28">
      <c r="A1531" t="s">
        <v>1557</v>
      </c>
      <c r="B1531">
        <v>0.999998419929286</v>
      </c>
      <c r="C1531">
        <v>0.883442113729208</v>
      </c>
      <c r="D1531">
        <v>1.02937915532543</v>
      </c>
      <c r="E1531">
        <v>1.1062395333251</v>
      </c>
      <c r="F1531">
        <v>0.995791858202397</v>
      </c>
      <c r="G1531">
        <v>0.283749999210998</v>
      </c>
      <c r="H1531">
        <v>0.109004540636695</v>
      </c>
      <c r="I1531">
        <v>0.0773694978977259</v>
      </c>
      <c r="J1531">
        <v>0.0580361382418318</v>
      </c>
      <c r="K1531">
        <v>0.0537187507499578</v>
      </c>
      <c r="L1531">
        <v>4366.21788442575</v>
      </c>
      <c r="M1531">
        <v>82.3805968107294</v>
      </c>
      <c r="N1531">
        <v>53.1037848322942</v>
      </c>
      <c r="O1531">
        <v>52.9693313922084</v>
      </c>
      <c r="P1531">
        <v>-0.360046600128918</v>
      </c>
      <c r="Q1531">
        <v>0.0739842046790848</v>
      </c>
      <c r="R1531">
        <v>0.986412370524852</v>
      </c>
      <c r="S1531" t="s">
        <v>3215</v>
      </c>
      <c r="T1531" t="s">
        <v>3344</v>
      </c>
      <c r="U1531" t="s">
        <v>3344</v>
      </c>
      <c r="V1531" t="s">
        <v>3344</v>
      </c>
      <c r="W1531" t="s">
        <v>4872</v>
      </c>
      <c r="X1531">
        <v>9</v>
      </c>
      <c r="Y1531" t="s">
        <v>6530</v>
      </c>
      <c r="Z1531" t="s">
        <v>8188</v>
      </c>
      <c r="AA1531">
        <v>0.5686713076374669</v>
      </c>
      <c r="AB1531">
        <f>HYPERLINK("Melting_Curves/meltCurve_P76268_kdgR.pdf", "Melting_Curves/meltCurve_P76268_kdgR.pdf")</f>
        <v>0</v>
      </c>
    </row>
    <row r="1532" spans="1:28">
      <c r="A1532" t="s">
        <v>1558</v>
      </c>
      <c r="B1532">
        <v>0.999998419929286</v>
      </c>
      <c r="C1532">
        <v>0.817135273980984</v>
      </c>
      <c r="D1532">
        <v>0.891266302836472</v>
      </c>
      <c r="E1532">
        <v>0.976452053847193</v>
      </c>
      <c r="F1532">
        <v>0.9575696521796619</v>
      </c>
      <c r="G1532">
        <v>0.7795800534697021</v>
      </c>
      <c r="H1532">
        <v>0.47164771935197</v>
      </c>
      <c r="I1532">
        <v>0.256709058596129</v>
      </c>
      <c r="J1532">
        <v>0.204653852736478</v>
      </c>
      <c r="K1532">
        <v>0.164636688894138</v>
      </c>
      <c r="L1532">
        <v>1329.26374453184</v>
      </c>
      <c r="M1532">
        <v>23.6630041285149</v>
      </c>
      <c r="N1532">
        <v>57.0413027306099</v>
      </c>
      <c r="O1532">
        <v>55.7781735657752</v>
      </c>
      <c r="P1532">
        <v>-0.09004749686063331</v>
      </c>
      <c r="Q1532">
        <v>0.150978104450658</v>
      </c>
      <c r="R1532">
        <v>0.956427001407167</v>
      </c>
      <c r="S1532" t="s">
        <v>3216</v>
      </c>
      <c r="T1532" t="s">
        <v>3344</v>
      </c>
      <c r="U1532" t="s">
        <v>3344</v>
      </c>
      <c r="V1532" t="s">
        <v>3344</v>
      </c>
      <c r="W1532" t="s">
        <v>4873</v>
      </c>
      <c r="X1532">
        <v>5</v>
      </c>
      <c r="Y1532" t="s">
        <v>6531</v>
      </c>
      <c r="Z1532" t="s">
        <v>8189</v>
      </c>
      <c r="AA1532">
        <v>0.7009072935966311</v>
      </c>
      <c r="AB1532">
        <f>HYPERLINK("Melting_Curves/meltCurve_P76270_msrC.pdf", "Melting_Curves/meltCurve_P76270_msrC.pdf")</f>
        <v>0</v>
      </c>
    </row>
    <row r="1533" spans="1:28">
      <c r="A1533" t="s">
        <v>1559</v>
      </c>
      <c r="B1533">
        <v>0.999998419929286</v>
      </c>
      <c r="C1533">
        <v>1.65751956407781</v>
      </c>
      <c r="D1533">
        <v>0.97590129687704</v>
      </c>
      <c r="E1533">
        <v>0.817552102119386</v>
      </c>
      <c r="F1533">
        <v>0.7849582344337021</v>
      </c>
      <c r="G1533">
        <v>0.548487982378158</v>
      </c>
      <c r="H1533">
        <v>0.442761961623103</v>
      </c>
      <c r="I1533">
        <v>0.379939677730241</v>
      </c>
      <c r="J1533">
        <v>0.197603211999519</v>
      </c>
      <c r="K1533">
        <v>0.131705030599476</v>
      </c>
      <c r="L1533">
        <v>683.522759305306</v>
      </c>
      <c r="M1533">
        <v>12.4646897058552</v>
      </c>
      <c r="N1533">
        <v>55.7241951948704</v>
      </c>
      <c r="O1533">
        <v>53.4826560897655</v>
      </c>
      <c r="P1533">
        <v>-0.0530307125664084</v>
      </c>
      <c r="Q1533">
        <v>0.0900264918185469</v>
      </c>
      <c r="R1533">
        <v>0.7512130886410699</v>
      </c>
      <c r="S1533" t="s">
        <v>3217</v>
      </c>
      <c r="T1533" t="s">
        <v>3344</v>
      </c>
      <c r="U1533" t="s">
        <v>3344</v>
      </c>
      <c r="V1533" t="s">
        <v>3344</v>
      </c>
      <c r="W1533" t="s">
        <v>4874</v>
      </c>
      <c r="X1533">
        <v>5</v>
      </c>
      <c r="Y1533" t="s">
        <v>6532</v>
      </c>
      <c r="Z1533" t="s">
        <v>8190</v>
      </c>
      <c r="AA1533">
        <v>0.6446617609218566</v>
      </c>
      <c r="AB1533">
        <f>HYPERLINK("Melting_Curves/meltCurve_P76272_yebT.pdf", "Melting_Curves/meltCurve_P76272_yebT.pdf")</f>
        <v>0</v>
      </c>
    </row>
    <row r="1534" spans="1:28">
      <c r="A1534" t="s">
        <v>1560</v>
      </c>
      <c r="B1534">
        <v>0.999998419929286</v>
      </c>
      <c r="C1534">
        <v>0.965338288580557</v>
      </c>
      <c r="D1534">
        <v>0.458115645077687</v>
      </c>
      <c r="E1534">
        <v>0.879581506181388</v>
      </c>
      <c r="F1534">
        <v>0.5974869008092309</v>
      </c>
      <c r="G1534">
        <v>0.552700850990362</v>
      </c>
      <c r="H1534">
        <v>0.292120390328936</v>
      </c>
      <c r="I1534">
        <v>0.187273244662756</v>
      </c>
      <c r="J1534">
        <v>0.154388582229183</v>
      </c>
      <c r="K1534">
        <v>0.211436384368473</v>
      </c>
      <c r="L1534">
        <v>361.8170762787</v>
      </c>
      <c r="M1534">
        <v>6.95251255469304</v>
      </c>
      <c r="N1534">
        <v>52.0411970727859</v>
      </c>
      <c r="O1534">
        <v>48.2479161820127</v>
      </c>
      <c r="P1534">
        <v>-0.0360934121698878</v>
      </c>
      <c r="Q1534">
        <v>0</v>
      </c>
      <c r="R1534">
        <v>0.796727304941667</v>
      </c>
      <c r="S1534" t="s">
        <v>3218</v>
      </c>
      <c r="T1534" t="s">
        <v>3344</v>
      </c>
      <c r="U1534" t="s">
        <v>3344</v>
      </c>
      <c r="V1534" t="s">
        <v>3344</v>
      </c>
      <c r="W1534" t="s">
        <v>4875</v>
      </c>
      <c r="X1534">
        <v>1</v>
      </c>
      <c r="Y1534" t="s">
        <v>6533</v>
      </c>
      <c r="Z1534" t="s">
        <v>8191</v>
      </c>
      <c r="AA1534">
        <v>0.5297461498023567</v>
      </c>
      <c r="AB1534">
        <f>HYPERLINK("Melting_Curves/meltCurve_P76290_cmoA.pdf", "Melting_Curves/meltCurve_P76290_cmoA.pdf")</f>
        <v>0</v>
      </c>
    </row>
    <row r="1535" spans="1:28">
      <c r="A1535" t="s">
        <v>1561</v>
      </c>
      <c r="B1535">
        <v>0.999998419929286</v>
      </c>
      <c r="C1535">
        <v>0.9812406962528</v>
      </c>
      <c r="D1535">
        <v>0.418274568512322</v>
      </c>
      <c r="E1535">
        <v>0.123003340429423</v>
      </c>
      <c r="F1535">
        <v>0.118627632573978</v>
      </c>
      <c r="G1535">
        <v>0.09888466838002841</v>
      </c>
      <c r="H1535">
        <v>0</v>
      </c>
      <c r="I1535">
        <v>0</v>
      </c>
      <c r="J1535">
        <v>0</v>
      </c>
      <c r="K1535">
        <v>0</v>
      </c>
      <c r="L1535">
        <v>1810.36424730759</v>
      </c>
      <c r="M1535">
        <v>42.4862161225396</v>
      </c>
      <c r="N1535">
        <v>42.7028407590492</v>
      </c>
      <c r="O1535">
        <v>42.5165492876822</v>
      </c>
      <c r="P1535">
        <v>-0.238871976541305</v>
      </c>
      <c r="Q1535">
        <v>0.0438314844122549</v>
      </c>
      <c r="R1535">
        <v>0.985814809303355</v>
      </c>
      <c r="S1535" t="s">
        <v>3219</v>
      </c>
      <c r="T1535" t="s">
        <v>3344</v>
      </c>
      <c r="U1535" t="s">
        <v>3344</v>
      </c>
      <c r="V1535" t="s">
        <v>3344</v>
      </c>
      <c r="W1535" t="s">
        <v>4876</v>
      </c>
      <c r="X1535">
        <v>1</v>
      </c>
      <c r="Y1535" t="s">
        <v>6534</v>
      </c>
      <c r="Z1535" t="s">
        <v>8192</v>
      </c>
      <c r="AA1535">
        <v>0.225186291635504</v>
      </c>
      <c r="AB1535">
        <f>HYPERLINK("Melting_Curves/meltCurve_P76291_cmoB.pdf", "Melting_Curves/meltCurve_P76291_cmoB.pdf")</f>
        <v>0</v>
      </c>
    </row>
    <row r="1536" spans="1:28">
      <c r="A1536" t="s">
        <v>1562</v>
      </c>
      <c r="B1536">
        <v>0.999998419929286</v>
      </c>
      <c r="C1536">
        <v>0.833286409414649</v>
      </c>
      <c r="D1536">
        <v>0.834126667960854</v>
      </c>
      <c r="E1536">
        <v>0.844752803524343</v>
      </c>
      <c r="F1536">
        <v>0.494617591284108</v>
      </c>
      <c r="G1536">
        <v>0.183823843349687</v>
      </c>
      <c r="H1536">
        <v>0.145835243202891</v>
      </c>
      <c r="I1536">
        <v>0.0942220798599899</v>
      </c>
      <c r="J1536">
        <v>0.111699341432931</v>
      </c>
      <c r="K1536">
        <v>0.0862664198368491</v>
      </c>
      <c r="L1536">
        <v>904.694108826909</v>
      </c>
      <c r="M1536">
        <v>18.2726614769386</v>
      </c>
      <c r="N1536">
        <v>49.929068828676</v>
      </c>
      <c r="O1536">
        <v>48.9292604458694</v>
      </c>
      <c r="P1536">
        <v>-0.0867410503448007</v>
      </c>
      <c r="Q1536">
        <v>0.0709670221986221</v>
      </c>
      <c r="R1536">
        <v>0.964056422388652</v>
      </c>
      <c r="S1536" t="s">
        <v>3220</v>
      </c>
      <c r="T1536" t="s">
        <v>3344</v>
      </c>
      <c r="U1536" t="s">
        <v>3344</v>
      </c>
      <c r="V1536" t="s">
        <v>3344</v>
      </c>
      <c r="W1536" t="s">
        <v>4877</v>
      </c>
      <c r="X1536">
        <v>1</v>
      </c>
      <c r="Y1536" t="s">
        <v>6535</v>
      </c>
      <c r="Z1536" t="s">
        <v>8193</v>
      </c>
      <c r="AA1536">
        <v>0.4727382628626811</v>
      </c>
      <c r="AB1536">
        <f>HYPERLINK("Melting_Curves/meltCurve_P76297_flhE.pdf", "Melting_Curves/meltCurve_P76297_flhE.pdf")</f>
        <v>0</v>
      </c>
    </row>
    <row r="1537" spans="1:28">
      <c r="A1537" t="s">
        <v>1563</v>
      </c>
      <c r="B1537">
        <v>0.999998419929286</v>
      </c>
      <c r="C1537">
        <v>1.16389029733574</v>
      </c>
      <c r="D1537">
        <v>0.36484926123608</v>
      </c>
      <c r="E1537">
        <v>0.153967540349666</v>
      </c>
      <c r="F1537">
        <v>0.0618758262412734</v>
      </c>
      <c r="G1537">
        <v>0.0585381758477859</v>
      </c>
      <c r="H1537">
        <v>0.0252742437347874</v>
      </c>
      <c r="I1537">
        <v>0.0130891609833121</v>
      </c>
      <c r="J1537">
        <v>0.0122268828563888</v>
      </c>
      <c r="K1537">
        <v>0.014449302856941</v>
      </c>
      <c r="L1537">
        <v>10720.0298667377</v>
      </c>
      <c r="M1537">
        <v>250</v>
      </c>
      <c r="N1537">
        <v>42.8976247556194</v>
      </c>
      <c r="O1537">
        <v>42.8773673333324</v>
      </c>
      <c r="P1537">
        <v>-1.38696582242625</v>
      </c>
      <c r="Q1537">
        <v>0.0484887322961593</v>
      </c>
      <c r="R1537">
        <v>0.974940816004667</v>
      </c>
      <c r="S1537" t="s">
        <v>3221</v>
      </c>
      <c r="T1537" t="s">
        <v>3344</v>
      </c>
      <c r="U1537" t="s">
        <v>3344</v>
      </c>
      <c r="V1537" t="s">
        <v>3344</v>
      </c>
      <c r="W1537" t="s">
        <v>4878</v>
      </c>
      <c r="X1537">
        <v>1</v>
      </c>
      <c r="Y1537" t="s">
        <v>6536</v>
      </c>
      <c r="Z1537" t="s">
        <v>8194</v>
      </c>
      <c r="AA1537">
        <v>0.2350603348784786</v>
      </c>
      <c r="AB1537">
        <f>HYPERLINK("Melting_Curves/meltCurve_P76298_flhA.pdf", "Melting_Curves/meltCurve_P76298_flhA.pdf")</f>
        <v>0</v>
      </c>
    </row>
    <row r="1538" spans="1:28">
      <c r="A1538" t="s">
        <v>1564</v>
      </c>
      <c r="B1538">
        <v>0.999998419929286</v>
      </c>
      <c r="C1538">
        <v>0.889522243790652</v>
      </c>
      <c r="D1538">
        <v>0.665071945363205</v>
      </c>
      <c r="E1538">
        <v>0.488142424443282</v>
      </c>
      <c r="F1538">
        <v>0.422268407643201</v>
      </c>
      <c r="G1538">
        <v>0.320055688416174</v>
      </c>
      <c r="H1538">
        <v>0.221386830814542</v>
      </c>
      <c r="I1538">
        <v>0.224083129464252</v>
      </c>
      <c r="J1538">
        <v>0.176461493558957</v>
      </c>
      <c r="K1538">
        <v>0.22387094055243</v>
      </c>
      <c r="L1538">
        <v>551.355959331913</v>
      </c>
      <c r="M1538">
        <v>12.2390363720569</v>
      </c>
      <c r="N1538">
        <v>46.9105491031764</v>
      </c>
      <c r="O1538">
        <v>43.8969517225514</v>
      </c>
      <c r="P1538">
        <v>-0.056307443753333</v>
      </c>
      <c r="Q1538">
        <v>0.192363557444615</v>
      </c>
      <c r="R1538">
        <v>0.9846207057131831</v>
      </c>
      <c r="S1538" t="s">
        <v>3222</v>
      </c>
      <c r="T1538" t="s">
        <v>3344</v>
      </c>
      <c r="U1538" t="s">
        <v>3344</v>
      </c>
      <c r="V1538" t="s">
        <v>3344</v>
      </c>
      <c r="W1538" t="s">
        <v>4879</v>
      </c>
      <c r="X1538">
        <v>1</v>
      </c>
      <c r="Y1538" t="s">
        <v>6537</v>
      </c>
      <c r="Z1538" t="s">
        <v>8195</v>
      </c>
      <c r="AA1538">
        <v>0.4373180553313676</v>
      </c>
      <c r="AB1538">
        <f>HYPERLINK("Melting_Curves/meltCurve_P76308_yecR.pdf", "Melting_Curves/meltCurve_P76308_yecR.pdf")</f>
        <v>0</v>
      </c>
    </row>
    <row r="1539" spans="1:28">
      <c r="A1539" t="s">
        <v>1565</v>
      </c>
      <c r="B1539">
        <v>0.999998419929286</v>
      </c>
      <c r="C1539">
        <v>1.00894460067769</v>
      </c>
      <c r="D1539">
        <v>1.08374743947192</v>
      </c>
      <c r="E1539">
        <v>1.11128518719005</v>
      </c>
      <c r="F1539">
        <v>1.43885402891816</v>
      </c>
      <c r="G1539">
        <v>1.48614715444916</v>
      </c>
      <c r="H1539">
        <v>1.51437637816593</v>
      </c>
      <c r="I1539">
        <v>1.26122693722076</v>
      </c>
      <c r="J1539">
        <v>1.4991651437541</v>
      </c>
      <c r="K1539">
        <v>1.45092888326576</v>
      </c>
      <c r="L1539">
        <v>3289.11901231209</v>
      </c>
      <c r="M1539">
        <v>69.49932948188</v>
      </c>
      <c r="O1539">
        <v>47.2867764541937</v>
      </c>
      <c r="P1539">
        <v>0.162818333795652</v>
      </c>
      <c r="Q1539">
        <v>1.4431209178975</v>
      </c>
      <c r="R1539">
        <v>0.879980540650669</v>
      </c>
      <c r="S1539" t="s">
        <v>3223</v>
      </c>
      <c r="T1539" t="s">
        <v>3344</v>
      </c>
      <c r="U1539" t="s">
        <v>3344</v>
      </c>
      <c r="V1539" t="s">
        <v>3344</v>
      </c>
      <c r="W1539" t="s">
        <v>4880</v>
      </c>
      <c r="X1539">
        <v>11</v>
      </c>
      <c r="Y1539" t="s">
        <v>6538</v>
      </c>
      <c r="Z1539" t="s">
        <v>8196</v>
      </c>
      <c r="AA1539">
        <v>1.290122535470767</v>
      </c>
      <c r="AB1539">
        <f>HYPERLINK("Melting_Curves/meltCurve_P76316_dcyD.pdf", "Melting_Curves/meltCurve_P76316_dcyD.pdf")</f>
        <v>0</v>
      </c>
    </row>
    <row r="1540" spans="1:28">
      <c r="A1540" t="s">
        <v>1566</v>
      </c>
      <c r="B1540">
        <v>0.999998419929286</v>
      </c>
      <c r="C1540">
        <v>1.13206076892657</v>
      </c>
      <c r="D1540">
        <v>1.03142682773027</v>
      </c>
      <c r="E1540">
        <v>1.21749969030221</v>
      </c>
      <c r="F1540">
        <v>1.44985260022958</v>
      </c>
      <c r="G1540">
        <v>1.66234596477368</v>
      </c>
      <c r="H1540">
        <v>1.3043231810073</v>
      </c>
      <c r="I1540">
        <v>1.01283001372394</v>
      </c>
      <c r="J1540">
        <v>0.892940537365096</v>
      </c>
      <c r="K1540">
        <v>0.969653138681129</v>
      </c>
      <c r="L1540">
        <v>1822.18057836266</v>
      </c>
      <c r="M1540">
        <v>28.0769790601524</v>
      </c>
      <c r="O1540">
        <v>64.5729046079104</v>
      </c>
      <c r="P1540">
        <v>-0.00794969091830075</v>
      </c>
      <c r="Q1540">
        <v>0.926868160829865</v>
      </c>
      <c r="R1540">
        <v>-0.518040129603954</v>
      </c>
      <c r="S1540" t="s">
        <v>3224</v>
      </c>
      <c r="T1540" t="s">
        <v>3344</v>
      </c>
      <c r="U1540" t="s">
        <v>3344</v>
      </c>
      <c r="V1540" t="s">
        <v>3344</v>
      </c>
      <c r="W1540" t="s">
        <v>4881</v>
      </c>
      <c r="X1540">
        <v>3</v>
      </c>
      <c r="Y1540" t="s">
        <v>6539</v>
      </c>
      <c r="Z1540" t="s">
        <v>8197</v>
      </c>
      <c r="AA1540">
        <v>0.9932785916046837</v>
      </c>
      <c r="AB1540">
        <f>HYPERLINK("Melting_Curves/meltCurve_P76318_yedK.pdf", "Melting_Curves/meltCurve_P76318_yedK.pdf")</f>
        <v>0</v>
      </c>
    </row>
    <row r="1541" spans="1:28">
      <c r="A1541" t="s">
        <v>1567</v>
      </c>
      <c r="B1541">
        <v>0.999998419929286</v>
      </c>
      <c r="C1541">
        <v>0.857490805601495</v>
      </c>
      <c r="D1541">
        <v>0.668673360353518</v>
      </c>
      <c r="E1541">
        <v>0.271691701872048</v>
      </c>
      <c r="F1541">
        <v>0.110236834231383</v>
      </c>
      <c r="G1541">
        <v>0.09448424668479539</v>
      </c>
      <c r="H1541">
        <v>0.0616900383001401</v>
      </c>
      <c r="I1541">
        <v>0.0473798493574989</v>
      </c>
      <c r="J1541">
        <v>0.0363194695260591</v>
      </c>
      <c r="K1541">
        <v>0.0411668028528758</v>
      </c>
      <c r="L1541">
        <v>881.248037400829</v>
      </c>
      <c r="M1541">
        <v>19.9868174330644</v>
      </c>
      <c r="N1541">
        <v>44.2989594610331</v>
      </c>
      <c r="O1541">
        <v>43.6571964244807</v>
      </c>
      <c r="P1541">
        <v>-0.109342367401148</v>
      </c>
      <c r="Q1541">
        <v>0.0446852374131885</v>
      </c>
      <c r="R1541">
        <v>0.996990546367817</v>
      </c>
      <c r="S1541" t="s">
        <v>3225</v>
      </c>
      <c r="T1541" t="s">
        <v>3344</v>
      </c>
      <c r="U1541" t="s">
        <v>3344</v>
      </c>
      <c r="V1541" t="s">
        <v>3344</v>
      </c>
      <c r="W1541" t="s">
        <v>4882</v>
      </c>
      <c r="X1541">
        <v>4</v>
      </c>
      <c r="Y1541" t="s">
        <v>6540</v>
      </c>
      <c r="Z1541" t="s">
        <v>8198</v>
      </c>
      <c r="AA1541">
        <v>0.2832762003166885</v>
      </c>
      <c r="AB1541">
        <f>HYPERLINK("Melting_Curves/meltCurve_P76329_yedP.pdf", "Melting_Curves/meltCurve_P76329_yedP.pdf")</f>
        <v>0</v>
      </c>
    </row>
    <row r="1542" spans="1:28">
      <c r="A1542" t="s">
        <v>1568</v>
      </c>
      <c r="B1542">
        <v>0.999998419929286</v>
      </c>
      <c r="C1542">
        <v>1.16427023539555</v>
      </c>
      <c r="D1542">
        <v>0.8196795717822301</v>
      </c>
      <c r="E1542">
        <v>0.325215480398434</v>
      </c>
      <c r="F1542">
        <v>0.206115041984</v>
      </c>
      <c r="G1542">
        <v>0</v>
      </c>
      <c r="H1542">
        <v>0.10593783942585</v>
      </c>
      <c r="I1542">
        <v>0</v>
      </c>
      <c r="J1542">
        <v>0.126153385208681</v>
      </c>
      <c r="K1542">
        <v>0</v>
      </c>
      <c r="L1542">
        <v>1346.12229653587</v>
      </c>
      <c r="M1542">
        <v>29.7133882065663</v>
      </c>
      <c r="N1542">
        <v>45.4985670975765</v>
      </c>
      <c r="O1542">
        <v>45.0998660334355</v>
      </c>
      <c r="P1542">
        <v>-0.154862396474054</v>
      </c>
      <c r="Q1542">
        <v>0.0597877563905277</v>
      </c>
      <c r="R1542">
        <v>0.965944632487209</v>
      </c>
      <c r="S1542" t="s">
        <v>3226</v>
      </c>
      <c r="T1542" t="s">
        <v>3344</v>
      </c>
      <c r="U1542" t="s">
        <v>3344</v>
      </c>
      <c r="V1542" t="s">
        <v>3344</v>
      </c>
      <c r="W1542" t="s">
        <v>4883</v>
      </c>
      <c r="X1542">
        <v>1</v>
      </c>
      <c r="Y1542" t="s">
        <v>6541</v>
      </c>
      <c r="Z1542" t="s">
        <v>8199</v>
      </c>
      <c r="AA1542">
        <v>0.3254320301463564</v>
      </c>
      <c r="AB1542">
        <f>HYPERLINK("Melting_Curves/meltCurve_P76330_yedQ.pdf", "Melting_Curves/meltCurve_P76330_yedQ.pdf")</f>
        <v>0</v>
      </c>
    </row>
    <row r="1543" spans="1:28">
      <c r="A1543" t="s">
        <v>1569</v>
      </c>
      <c r="B1543">
        <v>0.999998419929286</v>
      </c>
      <c r="C1543">
        <v>0.663875584704788</v>
      </c>
      <c r="D1543">
        <v>0.700147476636259</v>
      </c>
      <c r="E1543">
        <v>0.568152252418059</v>
      </c>
      <c r="F1543">
        <v>0.32890308160274</v>
      </c>
      <c r="G1543">
        <v>0.289752413540697</v>
      </c>
      <c r="H1543">
        <v>0.241239207406088</v>
      </c>
      <c r="I1543">
        <v>0.09880971754507149</v>
      </c>
      <c r="J1543">
        <v>0.0595080465535333</v>
      </c>
      <c r="K1543">
        <v>0.0545218048420196</v>
      </c>
      <c r="L1543">
        <v>381.47638363301</v>
      </c>
      <c r="M1543">
        <v>8.12954389276632</v>
      </c>
      <c r="N1543">
        <v>46.9246970253921</v>
      </c>
      <c r="O1543">
        <v>44.341486484044</v>
      </c>
      <c r="P1543">
        <v>-0.0458836797102459</v>
      </c>
      <c r="Q1543">
        <v>0</v>
      </c>
      <c r="R1543">
        <v>0.952457666990603</v>
      </c>
      <c r="S1543" t="s">
        <v>3227</v>
      </c>
      <c r="T1543" t="s">
        <v>3344</v>
      </c>
      <c r="U1543" t="s">
        <v>3344</v>
      </c>
      <c r="V1543" t="s">
        <v>3344</v>
      </c>
      <c r="W1543" t="s">
        <v>4884</v>
      </c>
      <c r="X1543">
        <v>5</v>
      </c>
      <c r="Y1543" t="s">
        <v>6542</v>
      </c>
      <c r="Z1543" t="s">
        <v>8200</v>
      </c>
      <c r="AA1543">
        <v>0.3875242158696786</v>
      </c>
      <c r="AB1543">
        <f>HYPERLINK("Melting_Curves/meltCurve_P76342_msrP.pdf", "Melting_Curves/meltCurve_P76342_msrP.pdf")</f>
        <v>0</v>
      </c>
    </row>
    <row r="1544" spans="1:28">
      <c r="A1544" t="s">
        <v>1570</v>
      </c>
      <c r="B1544">
        <v>0.999998419929286</v>
      </c>
      <c r="C1544">
        <v>1.03146912930343</v>
      </c>
      <c r="D1544">
        <v>0.753548268829072</v>
      </c>
      <c r="E1544">
        <v>0.543737695344209</v>
      </c>
      <c r="F1544">
        <v>0.30281202347583</v>
      </c>
      <c r="G1544">
        <v>0.292296260664571</v>
      </c>
      <c r="H1544">
        <v>0.220726758095011</v>
      </c>
      <c r="I1544">
        <v>0.166738108160991</v>
      </c>
      <c r="J1544">
        <v>0.234403705944296</v>
      </c>
      <c r="K1544">
        <v>0.171181086423943</v>
      </c>
      <c r="L1544">
        <v>844.9162879324811</v>
      </c>
      <c r="M1544">
        <v>18.5115002077198</v>
      </c>
      <c r="N1544">
        <v>46.9249844713973</v>
      </c>
      <c r="O1544">
        <v>45.1201316228349</v>
      </c>
      <c r="P1544">
        <v>-0.08221233117879061</v>
      </c>
      <c r="Q1544">
        <v>0.198494438419661</v>
      </c>
      <c r="R1544">
        <v>0.984203481709765</v>
      </c>
      <c r="S1544" t="s">
        <v>3228</v>
      </c>
      <c r="T1544" t="s">
        <v>3344</v>
      </c>
      <c r="U1544" t="s">
        <v>3344</v>
      </c>
      <c r="V1544" t="s">
        <v>3344</v>
      </c>
      <c r="W1544" t="s">
        <v>4885</v>
      </c>
      <c r="X1544">
        <v>3</v>
      </c>
      <c r="Y1544" t="s">
        <v>6543</v>
      </c>
      <c r="Z1544" t="s">
        <v>8201</v>
      </c>
      <c r="AA1544">
        <v>0.4416871541556783</v>
      </c>
      <c r="AB1544">
        <f>HYPERLINK("Melting_Curves/meltCurve_P76346_mtfA.pdf", "Melting_Curves/meltCurve_P76346_mtfA.pdf")</f>
        <v>0</v>
      </c>
    </row>
    <row r="1545" spans="1:28">
      <c r="A1545" t="s">
        <v>1571</v>
      </c>
      <c r="B1545">
        <v>0.999998419929286</v>
      </c>
      <c r="C1545">
        <v>0.962151766643781</v>
      </c>
      <c r="D1545">
        <v>1.06639048369816</v>
      </c>
      <c r="E1545">
        <v>1.13632731881834</v>
      </c>
      <c r="F1545">
        <v>1.22374265177281</v>
      </c>
      <c r="G1545">
        <v>1.30119680753488</v>
      </c>
      <c r="H1545">
        <v>1.11757055227815</v>
      </c>
      <c r="I1545">
        <v>0.734265179465959</v>
      </c>
      <c r="J1545">
        <v>0.821465846754095</v>
      </c>
      <c r="K1545">
        <v>0.713523777808053</v>
      </c>
      <c r="L1545">
        <v>6033.94662584304</v>
      </c>
      <c r="M1545">
        <v>101.356277726405</v>
      </c>
      <c r="O1545">
        <v>59.5088816270099</v>
      </c>
      <c r="P1545">
        <v>-0.105759306384267</v>
      </c>
      <c r="Q1545">
        <v>0.751623959889539</v>
      </c>
      <c r="R1545">
        <v>0.481870047781031</v>
      </c>
      <c r="S1545" t="s">
        <v>3229</v>
      </c>
      <c r="T1545" t="s">
        <v>3344</v>
      </c>
      <c r="U1545" t="s">
        <v>3344</v>
      </c>
      <c r="V1545" t="s">
        <v>3344</v>
      </c>
      <c r="W1545" t="s">
        <v>4886</v>
      </c>
      <c r="X1545">
        <v>7</v>
      </c>
      <c r="Y1545" t="s">
        <v>6544</v>
      </c>
      <c r="Z1545" t="s">
        <v>8202</v>
      </c>
      <c r="AA1545">
        <v>0.9383292828999702</v>
      </c>
      <c r="AB1545">
        <f>HYPERLINK("Melting_Curves/meltCurve_P76372_wzzB.pdf", "Melting_Curves/meltCurve_P76372_wzzB.pdf")</f>
        <v>0</v>
      </c>
    </row>
    <row r="1546" spans="1:28">
      <c r="A1546" t="s">
        <v>1572</v>
      </c>
      <c r="B1546">
        <v>0.999998419929286</v>
      </c>
      <c r="C1546">
        <v>0.934903671660567</v>
      </c>
      <c r="D1546">
        <v>0.62256179079053</v>
      </c>
      <c r="E1546">
        <v>0.752059570339571</v>
      </c>
      <c r="F1546">
        <v>0.639856366990285</v>
      </c>
      <c r="G1546">
        <v>0.696218331685682</v>
      </c>
      <c r="H1546">
        <v>0.565936994879238</v>
      </c>
      <c r="I1546">
        <v>0.528440477446233</v>
      </c>
      <c r="J1546">
        <v>0.562479499651576</v>
      </c>
      <c r="K1546">
        <v>0.5178831509119139</v>
      </c>
      <c r="L1546">
        <v>453.965845626542</v>
      </c>
      <c r="M1546">
        <v>10.434263823559</v>
      </c>
      <c r="O1546">
        <v>42.0002493366525</v>
      </c>
      <c r="P1546">
        <v>-0.0283691388135709</v>
      </c>
      <c r="Q1546">
        <v>0.543420317135454</v>
      </c>
      <c r="R1546">
        <v>0.8020226809337671</v>
      </c>
      <c r="S1546" t="s">
        <v>3230</v>
      </c>
      <c r="T1546" t="s">
        <v>3344</v>
      </c>
      <c r="U1546" t="s">
        <v>3344</v>
      </c>
      <c r="V1546" t="s">
        <v>3344</v>
      </c>
      <c r="W1546" t="s">
        <v>4887</v>
      </c>
      <c r="X1546">
        <v>1</v>
      </c>
      <c r="Y1546" t="s">
        <v>6545</v>
      </c>
      <c r="Z1546" t="s">
        <v>8203</v>
      </c>
      <c r="AA1546">
        <v>0.6659913782435797</v>
      </c>
      <c r="AB1546">
        <f>HYPERLINK("Melting_Curves/meltCurve_P76389_yegH.pdf", "Melting_Curves/meltCurve_P76389_yegH.pdf")</f>
        <v>0</v>
      </c>
    </row>
    <row r="1547" spans="1:28">
      <c r="A1547" t="s">
        <v>1573</v>
      </c>
      <c r="B1547">
        <v>0.999998419929286</v>
      </c>
      <c r="C1547">
        <v>1.49071419957285</v>
      </c>
      <c r="D1547">
        <v>1.3359699834932</v>
      </c>
      <c r="E1547">
        <v>1.1070143145436</v>
      </c>
      <c r="F1547">
        <v>0.805748984165413</v>
      </c>
      <c r="G1547">
        <v>0.78055463566398</v>
      </c>
      <c r="H1547">
        <v>0.339446561047897</v>
      </c>
      <c r="I1547">
        <v>0.323393517121809</v>
      </c>
      <c r="J1547">
        <v>0.463948025719528</v>
      </c>
      <c r="K1547">
        <v>0.253013521849923</v>
      </c>
      <c r="L1547">
        <v>1710.0615145673</v>
      </c>
      <c r="M1547">
        <v>31.5426888601685</v>
      </c>
      <c r="N1547">
        <v>56.0533720854392</v>
      </c>
      <c r="O1547">
        <v>53.9976856968716</v>
      </c>
      <c r="P1547">
        <v>-0.0989585357116569</v>
      </c>
      <c r="Q1547">
        <v>0.322378199174914</v>
      </c>
      <c r="R1547">
        <v>0.757702540714237</v>
      </c>
      <c r="S1547" t="s">
        <v>3231</v>
      </c>
      <c r="T1547" t="s">
        <v>3344</v>
      </c>
      <c r="U1547" t="s">
        <v>3344</v>
      </c>
      <c r="V1547" t="s">
        <v>3344</v>
      </c>
      <c r="W1547" t="s">
        <v>4888</v>
      </c>
      <c r="X1547">
        <v>1</v>
      </c>
      <c r="Y1547" t="s">
        <v>6546</v>
      </c>
      <c r="Z1547" t="s">
        <v>8204</v>
      </c>
      <c r="AA1547">
        <v>0.7151523910176636</v>
      </c>
      <c r="AB1547">
        <f>HYPERLINK("Melting_Curves/meltCurve_P76397_mdtA.pdf", "Melting_Curves/meltCurve_P76397_mdtA.pdf")</f>
        <v>0</v>
      </c>
    </row>
    <row r="1548" spans="1:28">
      <c r="A1548" t="s">
        <v>1574</v>
      </c>
      <c r="B1548">
        <v>0.999998419929286</v>
      </c>
      <c r="C1548">
        <v>0.818400167154698</v>
      </c>
      <c r="D1548">
        <v>1.00064422178474</v>
      </c>
      <c r="E1548">
        <v>1.03795565714714</v>
      </c>
      <c r="F1548">
        <v>1.01594797187252</v>
      </c>
      <c r="G1548">
        <v>0.5807658375585391</v>
      </c>
      <c r="H1548">
        <v>0.203571927083814</v>
      </c>
      <c r="I1548">
        <v>0.117343094949211</v>
      </c>
      <c r="J1548">
        <v>0.110507973667436</v>
      </c>
      <c r="K1548">
        <v>0.150732244826527</v>
      </c>
      <c r="L1548">
        <v>2632.38349428663</v>
      </c>
      <c r="M1548">
        <v>48.8213926469185</v>
      </c>
      <c r="N1548">
        <v>54.2619970839562</v>
      </c>
      <c r="O1548">
        <v>53.8284149527738</v>
      </c>
      <c r="P1548">
        <v>-0.196615378267397</v>
      </c>
      <c r="Q1548">
        <v>0.132881410080482</v>
      </c>
      <c r="R1548">
        <v>0.975724954428595</v>
      </c>
      <c r="S1548" t="s">
        <v>3232</v>
      </c>
      <c r="T1548" t="s">
        <v>3344</v>
      </c>
      <c r="U1548" t="s">
        <v>3344</v>
      </c>
      <c r="V1548" t="s">
        <v>3344</v>
      </c>
      <c r="W1548" t="s">
        <v>4889</v>
      </c>
      <c r="X1548">
        <v>8</v>
      </c>
      <c r="Y1548" t="s">
        <v>6547</v>
      </c>
      <c r="Z1548" t="s">
        <v>8205</v>
      </c>
      <c r="AA1548">
        <v>0.6240571584893307</v>
      </c>
      <c r="AB1548">
        <f>HYPERLINK("Melting_Curves/meltCurve_P76402_yegP.pdf", "Melting_Curves/meltCurve_P76402_yegP.pdf")</f>
        <v>0</v>
      </c>
    </row>
    <row r="1549" spans="1:28">
      <c r="A1549" t="s">
        <v>1575</v>
      </c>
      <c r="B1549">
        <v>0.999998419929286</v>
      </c>
      <c r="C1549">
        <v>1.14902834410306</v>
      </c>
      <c r="D1549">
        <v>0.903249835261435</v>
      </c>
      <c r="E1549">
        <v>0.642525189170134</v>
      </c>
      <c r="F1549">
        <v>0.440010016027901</v>
      </c>
      <c r="G1549">
        <v>0.337729553568699</v>
      </c>
      <c r="H1549">
        <v>0.192125986027882</v>
      </c>
      <c r="I1549">
        <v>0.118153870894017</v>
      </c>
      <c r="J1549">
        <v>0.111613230879637</v>
      </c>
      <c r="K1549">
        <v>0.111759288782529</v>
      </c>
      <c r="L1549">
        <v>755.2582764976549</v>
      </c>
      <c r="M1549">
        <v>15.5134771070067</v>
      </c>
      <c r="N1549">
        <v>49.4354602992114</v>
      </c>
      <c r="O1549">
        <v>47.8965808149978</v>
      </c>
      <c r="P1549">
        <v>-0.07247513326368669</v>
      </c>
      <c r="Q1549">
        <v>0.105035194435944</v>
      </c>
      <c r="R1549">
        <v>0.971619228049137</v>
      </c>
      <c r="S1549" t="s">
        <v>3233</v>
      </c>
      <c r="T1549" t="s">
        <v>3344</v>
      </c>
      <c r="U1549" t="s">
        <v>3344</v>
      </c>
      <c r="V1549" t="s">
        <v>3344</v>
      </c>
      <c r="W1549" t="s">
        <v>4890</v>
      </c>
      <c r="X1549">
        <v>2</v>
      </c>
      <c r="Y1549" t="s">
        <v>6548</v>
      </c>
      <c r="Z1549" t="s">
        <v>8206</v>
      </c>
      <c r="AA1549">
        <v>0.471967529979165</v>
      </c>
      <c r="AB1549">
        <f>HYPERLINK("Melting_Curves/meltCurve_P76403_yegQ.pdf", "Melting_Curves/meltCurve_P76403_yegQ.pdf")</f>
        <v>0</v>
      </c>
    </row>
    <row r="1550" spans="1:28">
      <c r="A1550" t="s">
        <v>1576</v>
      </c>
      <c r="B1550">
        <v>0.999998419929286</v>
      </c>
      <c r="C1550">
        <v>0.974994464043875</v>
      </c>
      <c r="D1550">
        <v>0.8466147839992419</v>
      </c>
      <c r="E1550">
        <v>0.8256214091859641</v>
      </c>
      <c r="F1550">
        <v>0.681147825255339</v>
      </c>
      <c r="G1550">
        <v>0.540177256957349</v>
      </c>
      <c r="H1550">
        <v>0.34963798637479</v>
      </c>
      <c r="I1550">
        <v>0.180610246467928</v>
      </c>
      <c r="J1550">
        <v>0.116268202215907</v>
      </c>
      <c r="K1550">
        <v>0.0999715691892204</v>
      </c>
      <c r="L1550">
        <v>568.733349596225</v>
      </c>
      <c r="M1550">
        <v>10.6046132517706</v>
      </c>
      <c r="N1550">
        <v>53.6307316992447</v>
      </c>
      <c r="O1550">
        <v>51.8290558214647</v>
      </c>
      <c r="P1550">
        <v>-0.0511717481157121</v>
      </c>
      <c r="Q1550">
        <v>0</v>
      </c>
      <c r="R1550">
        <v>0.988752281575514</v>
      </c>
      <c r="S1550" t="s">
        <v>3234</v>
      </c>
      <c r="T1550" t="s">
        <v>3344</v>
      </c>
      <c r="U1550" t="s">
        <v>3344</v>
      </c>
      <c r="V1550" t="s">
        <v>3344</v>
      </c>
      <c r="W1550" t="s">
        <v>4891</v>
      </c>
      <c r="X1550">
        <v>6</v>
      </c>
      <c r="Y1550" t="s">
        <v>6549</v>
      </c>
      <c r="Z1550" t="s">
        <v>8207</v>
      </c>
      <c r="AA1550">
        <v>0.5738827546394477</v>
      </c>
      <c r="AB1550">
        <f>HYPERLINK("Melting_Curves/meltCurve_P76407_yegS.pdf", "Melting_Curves/meltCurve_P76407_yegS.pdf")</f>
        <v>0</v>
      </c>
    </row>
    <row r="1551" spans="1:28">
      <c r="A1551" t="s">
        <v>1577</v>
      </c>
      <c r="B1551">
        <v>0.999998419929286</v>
      </c>
      <c r="C1551">
        <v>0.963611879286806</v>
      </c>
      <c r="D1551">
        <v>0.737720485579701</v>
      </c>
      <c r="E1551">
        <v>0.567564463580285</v>
      </c>
      <c r="F1551">
        <v>0.467326820460548</v>
      </c>
      <c r="G1551">
        <v>0.276401745972076</v>
      </c>
      <c r="H1551">
        <v>0.215229308355607</v>
      </c>
      <c r="I1551">
        <v>0.152217825360417</v>
      </c>
      <c r="J1551">
        <v>0.154049505370536</v>
      </c>
      <c r="K1551">
        <v>0.145156968897699</v>
      </c>
      <c r="L1551">
        <v>547.063597581609</v>
      </c>
      <c r="M1551">
        <v>11.5590966434411</v>
      </c>
      <c r="N1551">
        <v>48.3706859748132</v>
      </c>
      <c r="O1551">
        <v>45.9775476140229</v>
      </c>
      <c r="P1551">
        <v>-0.0559336827771111</v>
      </c>
      <c r="Q1551">
        <v>0.110318995038812</v>
      </c>
      <c r="R1551">
        <v>0.9890184098313139</v>
      </c>
      <c r="S1551" t="s">
        <v>3235</v>
      </c>
      <c r="T1551" t="s">
        <v>3344</v>
      </c>
      <c r="U1551" t="s">
        <v>3344</v>
      </c>
      <c r="V1551" t="s">
        <v>3344</v>
      </c>
      <c r="W1551" t="s">
        <v>4892</v>
      </c>
      <c r="X1551">
        <v>1</v>
      </c>
      <c r="Y1551" t="s">
        <v>6550</v>
      </c>
      <c r="Z1551" t="s">
        <v>8208</v>
      </c>
      <c r="AA1551">
        <v>0.4470694711163829</v>
      </c>
      <c r="AB1551">
        <f>HYPERLINK("Melting_Curves/meltCurve_P76440_preT.pdf", "Melting_Curves/meltCurve_P76440_preT.pdf")</f>
        <v>0</v>
      </c>
    </row>
    <row r="1552" spans="1:28">
      <c r="A1552" t="s">
        <v>1578</v>
      </c>
      <c r="B1552">
        <v>0.999998419929286</v>
      </c>
      <c r="C1552">
        <v>0.750633574332622</v>
      </c>
      <c r="D1552">
        <v>0.798043854424933</v>
      </c>
      <c r="E1552">
        <v>0.763645740221247</v>
      </c>
      <c r="F1552">
        <v>0.816048221300593</v>
      </c>
      <c r="G1552">
        <v>0.847967593060871</v>
      </c>
      <c r="H1552">
        <v>0.817866697651328</v>
      </c>
      <c r="I1552">
        <v>0.662646642232119</v>
      </c>
      <c r="J1552">
        <v>0.727417738159459</v>
      </c>
      <c r="K1552">
        <v>0.6174939465154859</v>
      </c>
      <c r="L1552">
        <v>109.519288632039</v>
      </c>
      <c r="M1552">
        <v>0.868066595103638</v>
      </c>
      <c r="O1552">
        <v>40.0713051982072</v>
      </c>
      <c r="P1552">
        <v>-0.00792072058341174</v>
      </c>
      <c r="Q1552">
        <v>0</v>
      </c>
      <c r="R1552">
        <v>0.474907413944492</v>
      </c>
      <c r="S1552" t="s">
        <v>3236</v>
      </c>
      <c r="T1552" t="s">
        <v>3344</v>
      </c>
      <c r="U1552" t="s">
        <v>3344</v>
      </c>
      <c r="V1552" t="s">
        <v>3344</v>
      </c>
      <c r="W1552" t="s">
        <v>4893</v>
      </c>
      <c r="X1552">
        <v>1</v>
      </c>
      <c r="Y1552" t="s">
        <v>6551</v>
      </c>
      <c r="Z1552" t="s">
        <v>8209</v>
      </c>
      <c r="AA1552">
        <v>0.7791873708571245</v>
      </c>
      <c r="AB1552">
        <f>HYPERLINK("Melting_Curves/meltCurve_P76445_lpxT.pdf", "Melting_Curves/meltCurve_P76445_lpxT.pdf")</f>
        <v>0</v>
      </c>
    </row>
    <row r="1553" spans="1:28">
      <c r="A1553" t="s">
        <v>1579</v>
      </c>
      <c r="B1553">
        <v>0.999998419929286</v>
      </c>
      <c r="C1553">
        <v>0.854604727882449</v>
      </c>
      <c r="D1553">
        <v>0.734391348863104</v>
      </c>
      <c r="E1553">
        <v>0.657173277731333</v>
      </c>
      <c r="F1553">
        <v>0.526613018372469</v>
      </c>
      <c r="G1553">
        <v>0.405651757943687</v>
      </c>
      <c r="H1553">
        <v>0.333323524126061</v>
      </c>
      <c r="I1553">
        <v>0.312764125858389</v>
      </c>
      <c r="J1553">
        <v>0.308912039201065</v>
      </c>
      <c r="K1553">
        <v>0.258673356506339</v>
      </c>
      <c r="L1553">
        <v>429.175921258002</v>
      </c>
      <c r="M1553">
        <v>9.09007319909475</v>
      </c>
      <c r="N1553">
        <v>50.4741592065984</v>
      </c>
      <c r="O1553">
        <v>45.0969379226762</v>
      </c>
      <c r="P1553">
        <v>-0.039229476365977</v>
      </c>
      <c r="Q1553">
        <v>0.222055615449219</v>
      </c>
      <c r="R1553">
        <v>0.987894146696408</v>
      </c>
      <c r="S1553" t="s">
        <v>3237</v>
      </c>
      <c r="T1553" t="s">
        <v>3344</v>
      </c>
      <c r="U1553" t="s">
        <v>3344</v>
      </c>
      <c r="V1553" t="s">
        <v>3344</v>
      </c>
      <c r="W1553" t="s">
        <v>4894</v>
      </c>
      <c r="X1553">
        <v>1</v>
      </c>
      <c r="Y1553" t="s">
        <v>6552</v>
      </c>
      <c r="Z1553" t="s">
        <v>8210</v>
      </c>
      <c r="AA1553">
        <v>0.5244210483730422</v>
      </c>
      <c r="AB1553">
        <f>HYPERLINK("Melting_Curves/meltCurve_P76502_sixA.pdf", "Melting_Curves/meltCurve_P76502_sixA.pdf")</f>
        <v>0</v>
      </c>
    </row>
    <row r="1554" spans="1:28">
      <c r="A1554" t="s">
        <v>1580</v>
      </c>
      <c r="B1554">
        <v>0.999998419929286</v>
      </c>
      <c r="C1554">
        <v>1.04215343801439</v>
      </c>
      <c r="D1554">
        <v>0.788555974843409</v>
      </c>
      <c r="E1554">
        <v>0.977700586038785</v>
      </c>
      <c r="F1554">
        <v>1.40518901400402</v>
      </c>
      <c r="G1554">
        <v>1.62791170516926</v>
      </c>
      <c r="H1554">
        <v>1.49363348676323</v>
      </c>
      <c r="I1554">
        <v>1.50072078367195</v>
      </c>
      <c r="J1554">
        <v>1.5054163143278</v>
      </c>
      <c r="K1554">
        <v>1.57331552923346</v>
      </c>
      <c r="L1554">
        <v>12477.0860826622</v>
      </c>
      <c r="M1554">
        <v>250</v>
      </c>
      <c r="O1554">
        <v>49.9051320647761</v>
      </c>
      <c r="P1554">
        <v>0.626187871177908</v>
      </c>
      <c r="Q1554">
        <v>1.5</v>
      </c>
      <c r="R1554">
        <v>0.917565685922838</v>
      </c>
      <c r="S1554" t="s">
        <v>3238</v>
      </c>
      <c r="T1554" t="s">
        <v>3344</v>
      </c>
      <c r="U1554" t="s">
        <v>3344</v>
      </c>
      <c r="V1554" t="s">
        <v>3344</v>
      </c>
      <c r="W1554" t="s">
        <v>4895</v>
      </c>
      <c r="X1554">
        <v>2</v>
      </c>
      <c r="Y1554" t="s">
        <v>6553</v>
      </c>
      <c r="Z1554" t="s">
        <v>8211</v>
      </c>
      <c r="AA1554">
        <v>1.284817133638739</v>
      </c>
      <c r="AB1554">
        <f>HYPERLINK("Melting_Curves/meltCurve_P76506_mlaA.pdf", "Melting_Curves/meltCurve_P76506_mlaA.pdf")</f>
        <v>0</v>
      </c>
    </row>
    <row r="1555" spans="1:28">
      <c r="A1555" t="s">
        <v>1581</v>
      </c>
      <c r="B1555">
        <v>0.999998419929286</v>
      </c>
      <c r="C1555">
        <v>0.981971222417941</v>
      </c>
      <c r="D1555">
        <v>0.659014409799492</v>
      </c>
      <c r="E1555">
        <v>0.80794609040292</v>
      </c>
      <c r="F1555">
        <v>0.80669387411112</v>
      </c>
      <c r="G1555">
        <v>0.97731532697984</v>
      </c>
      <c r="H1555">
        <v>0.873893017796559</v>
      </c>
      <c r="I1555">
        <v>0.79520123750583</v>
      </c>
      <c r="J1555">
        <v>0.9438876946277081</v>
      </c>
      <c r="K1555">
        <v>0.8937831722931669</v>
      </c>
      <c r="L1555">
        <v>10055.9912682893</v>
      </c>
      <c r="M1555">
        <v>250</v>
      </c>
      <c r="O1555">
        <v>40.2213910149746</v>
      </c>
      <c r="P1555">
        <v>-0.241294403022098</v>
      </c>
      <c r="Q1555">
        <v>0.844716855677092</v>
      </c>
      <c r="R1555">
        <v>0.32816748529855</v>
      </c>
      <c r="S1555" t="s">
        <v>3239</v>
      </c>
      <c r="T1555" t="s">
        <v>3344</v>
      </c>
      <c r="U1555" t="s">
        <v>3344</v>
      </c>
      <c r="V1555" t="s">
        <v>3344</v>
      </c>
      <c r="W1555" t="s">
        <v>4896</v>
      </c>
      <c r="X1555">
        <v>1</v>
      </c>
      <c r="Y1555" t="s">
        <v>6554</v>
      </c>
      <c r="Z1555" t="s">
        <v>8212</v>
      </c>
      <c r="AA1555">
        <v>0.8614153986171491</v>
      </c>
      <c r="AB1555">
        <f>HYPERLINK("Melting_Curves/meltCurve_P76521_yfdY.pdf", "Melting_Curves/meltCurve_P76521_yfdY.pdf")</f>
        <v>0</v>
      </c>
    </row>
    <row r="1556" spans="1:28">
      <c r="A1556" t="s">
        <v>1582</v>
      </c>
      <c r="B1556">
        <v>0.999998419929286</v>
      </c>
      <c r="C1556">
        <v>0.973942202995542</v>
      </c>
      <c r="D1556">
        <v>1.14622049034803</v>
      </c>
      <c r="E1556">
        <v>0.870368643663778</v>
      </c>
      <c r="F1556">
        <v>0.322001194246625</v>
      </c>
      <c r="G1556">
        <v>0.174582698815326</v>
      </c>
      <c r="H1556">
        <v>0.130127834788384</v>
      </c>
      <c r="I1556">
        <v>0.09565615262410621</v>
      </c>
      <c r="J1556">
        <v>0.0654098382579244</v>
      </c>
      <c r="K1556">
        <v>0.07235436538978381</v>
      </c>
      <c r="L1556">
        <v>1876.07666816073</v>
      </c>
      <c r="M1556">
        <v>38.4376735697422</v>
      </c>
      <c r="N1556">
        <v>49.0946815467365</v>
      </c>
      <c r="O1556">
        <v>48.6767301673272</v>
      </c>
      <c r="P1556">
        <v>-0.177586314421569</v>
      </c>
      <c r="Q1556">
        <v>0.100434622434744</v>
      </c>
      <c r="R1556">
        <v>0.984297012225792</v>
      </c>
      <c r="S1556" t="s">
        <v>3240</v>
      </c>
      <c r="T1556" t="s">
        <v>3344</v>
      </c>
      <c r="U1556" t="s">
        <v>3344</v>
      </c>
      <c r="V1556" t="s">
        <v>3344</v>
      </c>
      <c r="W1556" t="s">
        <v>4897</v>
      </c>
      <c r="X1556">
        <v>4</v>
      </c>
      <c r="Y1556" t="s">
        <v>6555</v>
      </c>
      <c r="Z1556" t="s">
        <v>8213</v>
      </c>
      <c r="AA1556">
        <v>0.4577997590382036</v>
      </c>
      <c r="AB1556">
        <f>HYPERLINK("Melting_Curves/meltCurve_P76535_murQ.pdf", "Melting_Curves/meltCurve_P76535_murQ.pdf")</f>
        <v>0</v>
      </c>
    </row>
    <row r="1557" spans="1:28">
      <c r="A1557" t="s">
        <v>1583</v>
      </c>
      <c r="B1557">
        <v>0.999998419929286</v>
      </c>
      <c r="C1557">
        <v>0.96128275441491</v>
      </c>
      <c r="D1557">
        <v>0.801873455590426</v>
      </c>
      <c r="E1557">
        <v>0.732405752933708</v>
      </c>
      <c r="F1557">
        <v>0.672859590658776</v>
      </c>
      <c r="G1557">
        <v>0.63601235166182</v>
      </c>
      <c r="H1557">
        <v>0.476408088901937</v>
      </c>
      <c r="I1557">
        <v>0.344193143532205</v>
      </c>
      <c r="J1557">
        <v>0.351879081824481</v>
      </c>
      <c r="K1557">
        <v>0.370887257340938</v>
      </c>
      <c r="L1557">
        <v>364.966849086588</v>
      </c>
      <c r="M1557">
        <v>6.90458385402255</v>
      </c>
      <c r="N1557">
        <v>56.4254788374789</v>
      </c>
      <c r="O1557">
        <v>48.9584571047373</v>
      </c>
      <c r="P1557">
        <v>-0.0290790101333668</v>
      </c>
      <c r="Q1557">
        <v>0.176840611988886</v>
      </c>
      <c r="R1557">
        <v>0.964111923094833</v>
      </c>
      <c r="S1557" t="s">
        <v>3241</v>
      </c>
      <c r="T1557" t="s">
        <v>3344</v>
      </c>
      <c r="U1557" t="s">
        <v>3344</v>
      </c>
      <c r="V1557" t="s">
        <v>3344</v>
      </c>
      <c r="W1557" t="s">
        <v>4898</v>
      </c>
      <c r="X1557">
        <v>9</v>
      </c>
      <c r="Y1557" t="s">
        <v>6556</v>
      </c>
      <c r="Z1557" t="s">
        <v>8214</v>
      </c>
      <c r="AA1557">
        <v>0.6295729785899133</v>
      </c>
      <c r="AB1557">
        <f>HYPERLINK("Melting_Curves/meltCurve_P76536_yfeX.pdf", "Melting_Curves/meltCurve_P76536_yfeX.pdf")</f>
        <v>0</v>
      </c>
    </row>
    <row r="1558" spans="1:28">
      <c r="A1558" t="s">
        <v>1584</v>
      </c>
      <c r="B1558">
        <v>0.999998419929286</v>
      </c>
      <c r="C1558">
        <v>1.1928039563958</v>
      </c>
      <c r="D1558">
        <v>0.913080109362201</v>
      </c>
      <c r="E1558">
        <v>1.4135305969052</v>
      </c>
      <c r="F1558">
        <v>1.23798337548353</v>
      </c>
      <c r="G1558">
        <v>1.09600648302688</v>
      </c>
      <c r="H1558">
        <v>0.964464211916784</v>
      </c>
      <c r="I1558">
        <v>0.8713818057577259</v>
      </c>
      <c r="J1558">
        <v>0.957070072543903</v>
      </c>
      <c r="K1558">
        <v>0.949358131403982</v>
      </c>
      <c r="L1558">
        <v>14354.6395974474</v>
      </c>
      <c r="M1558">
        <v>250</v>
      </c>
      <c r="O1558">
        <v>57.4148906650525</v>
      </c>
      <c r="P1558">
        <v>-0.08062295375190801</v>
      </c>
      <c r="Q1558">
        <v>0.925936679494793</v>
      </c>
      <c r="R1558">
        <v>-0.0662055099147234</v>
      </c>
      <c r="S1558" t="s">
        <v>3242</v>
      </c>
      <c r="T1558" t="s">
        <v>3344</v>
      </c>
      <c r="U1558" t="s">
        <v>3344</v>
      </c>
      <c r="V1558" t="s">
        <v>3344</v>
      </c>
      <c r="W1558" t="s">
        <v>4899</v>
      </c>
      <c r="X1558">
        <v>2</v>
      </c>
      <c r="Y1558" t="s">
        <v>6557</v>
      </c>
      <c r="Z1558" t="s">
        <v>8215</v>
      </c>
      <c r="AA1558">
        <v>0.976353017233475</v>
      </c>
      <c r="AB1558">
        <f>HYPERLINK("Melting_Curves/meltCurve_P76537_yfeY.pdf", "Melting_Curves/meltCurve_P76537_yfeY.pdf")</f>
        <v>0</v>
      </c>
    </row>
    <row r="1559" spans="1:28">
      <c r="A1559" t="s">
        <v>1585</v>
      </c>
      <c r="B1559">
        <v>0.999998419929286</v>
      </c>
      <c r="C1559">
        <v>1.10772718248293</v>
      </c>
      <c r="D1559">
        <v>0.891009711197824</v>
      </c>
      <c r="E1559">
        <v>0.95418265972379</v>
      </c>
      <c r="F1559">
        <v>1.09825940899842</v>
      </c>
      <c r="G1559">
        <v>1.26766910700654</v>
      </c>
      <c r="H1559">
        <v>1.25264540057949</v>
      </c>
      <c r="I1559">
        <v>1.32790058310587</v>
      </c>
      <c r="J1559">
        <v>1.0708091825723</v>
      </c>
      <c r="K1559">
        <v>0.991223474874627</v>
      </c>
      <c r="L1559">
        <v>12542.003341479</v>
      </c>
      <c r="M1559">
        <v>250</v>
      </c>
      <c r="O1559">
        <v>50.1647916699409</v>
      </c>
      <c r="P1559">
        <v>0.22681434282414</v>
      </c>
      <c r="Q1559">
        <v>1.18204954893953</v>
      </c>
      <c r="R1559">
        <v>0.434444105479935</v>
      </c>
      <c r="S1559" t="s">
        <v>3243</v>
      </c>
      <c r="T1559" t="s">
        <v>3344</v>
      </c>
      <c r="U1559" t="s">
        <v>3344</v>
      </c>
      <c r="V1559" t="s">
        <v>3344</v>
      </c>
      <c r="W1559" t="s">
        <v>4900</v>
      </c>
      <c r="X1559">
        <v>4</v>
      </c>
      <c r="Y1559" t="s">
        <v>6558</v>
      </c>
      <c r="Z1559" t="s">
        <v>8216</v>
      </c>
      <c r="AA1559">
        <v>1.102125824097502</v>
      </c>
      <c r="AB1559">
        <f>HYPERLINK("Melting_Curves/meltCurve_P76541_eutL.pdf", "Melting_Curves/meltCurve_P76541_eutL.pdf")</f>
        <v>0</v>
      </c>
    </row>
    <row r="1560" spans="1:28">
      <c r="A1560" t="s">
        <v>1586</v>
      </c>
      <c r="B1560">
        <v>0.999998419929286</v>
      </c>
      <c r="C1560">
        <v>1.22672670358263</v>
      </c>
      <c r="D1560">
        <v>1.07502434103456</v>
      </c>
      <c r="E1560">
        <v>1.09038221864687</v>
      </c>
      <c r="F1560">
        <v>1.18822653985298</v>
      </c>
      <c r="G1560">
        <v>1.50348755500641</v>
      </c>
      <c r="H1560">
        <v>1.2842556900943</v>
      </c>
      <c r="I1560">
        <v>1.03744687548945</v>
      </c>
      <c r="J1560">
        <v>1.25452143941878</v>
      </c>
      <c r="K1560">
        <v>1.21082882072441</v>
      </c>
      <c r="L1560">
        <v>454.658186800865</v>
      </c>
      <c r="M1560">
        <v>11.0136020900148</v>
      </c>
      <c r="O1560">
        <v>39.9905867811565</v>
      </c>
      <c r="P1560">
        <v>0.0167306709620723</v>
      </c>
      <c r="Q1560">
        <v>1.24291589929165</v>
      </c>
      <c r="R1560">
        <v>0.205148791621548</v>
      </c>
      <c r="S1560" t="s">
        <v>3244</v>
      </c>
      <c r="T1560" t="s">
        <v>3344</v>
      </c>
      <c r="U1560" t="s">
        <v>3344</v>
      </c>
      <c r="V1560" t="s">
        <v>3344</v>
      </c>
      <c r="W1560" t="s">
        <v>4901</v>
      </c>
      <c r="X1560">
        <v>4</v>
      </c>
      <c r="Y1560" t="s">
        <v>6559</v>
      </c>
      <c r="Z1560" t="s">
        <v>8217</v>
      </c>
      <c r="AA1560">
        <v>1.194367777948956</v>
      </c>
      <c r="AB1560">
        <f>HYPERLINK("Melting_Curves/meltCurve_P76550_yffS.pdf", "Melting_Curves/meltCurve_P76550_yffS.pdf")</f>
        <v>0</v>
      </c>
    </row>
    <row r="1561" spans="1:28">
      <c r="A1561" t="s">
        <v>1587</v>
      </c>
      <c r="B1561">
        <v>0.999998419929286</v>
      </c>
      <c r="C1561">
        <v>1.47901544222186</v>
      </c>
      <c r="D1561">
        <v>1.44752536213515</v>
      </c>
      <c r="E1561">
        <v>1.16453552902588</v>
      </c>
      <c r="F1561">
        <v>1.06913260090613</v>
      </c>
      <c r="G1561">
        <v>0.889429674788073</v>
      </c>
      <c r="H1561">
        <v>0.772323010003192</v>
      </c>
      <c r="I1561">
        <v>0.529151527892698</v>
      </c>
      <c r="J1561">
        <v>0.239732670106546</v>
      </c>
      <c r="K1561">
        <v>0.1161707892049</v>
      </c>
      <c r="L1561">
        <v>1299.74609417284</v>
      </c>
      <c r="M1561">
        <v>21.333437038155</v>
      </c>
      <c r="N1561">
        <v>60.9253021199537</v>
      </c>
      <c r="O1561">
        <v>60.3975213103028</v>
      </c>
      <c r="P1561">
        <v>-0.0883064664042888</v>
      </c>
      <c r="Q1561">
        <v>0</v>
      </c>
      <c r="R1561">
        <v>0.7583423631177511</v>
      </c>
      <c r="S1561" t="s">
        <v>3245</v>
      </c>
      <c r="T1561" t="s">
        <v>3344</v>
      </c>
      <c r="U1561" t="s">
        <v>3344</v>
      </c>
      <c r="V1561" t="s">
        <v>3344</v>
      </c>
      <c r="W1561" t="s">
        <v>4902</v>
      </c>
      <c r="X1561">
        <v>22</v>
      </c>
      <c r="Y1561" t="s">
        <v>6560</v>
      </c>
      <c r="Z1561" t="s">
        <v>8218</v>
      </c>
      <c r="AA1561">
        <v>0.7951365620436254</v>
      </c>
      <c r="AB1561">
        <f>HYPERLINK("Melting_Curves/meltCurve_P76558_maeB.pdf", "Melting_Curves/meltCurve_P76558_maeB.pdf")</f>
        <v>0</v>
      </c>
    </row>
    <row r="1562" spans="1:28">
      <c r="A1562" t="s">
        <v>1588</v>
      </c>
      <c r="B1562">
        <v>0.999998419929286</v>
      </c>
      <c r="C1562">
        <v>0.927245547730459</v>
      </c>
      <c r="D1562">
        <v>0.709543429918763</v>
      </c>
      <c r="E1562">
        <v>0.495539874370683</v>
      </c>
      <c r="F1562">
        <v>0.336795389379477</v>
      </c>
      <c r="G1562">
        <v>0.268097730760869</v>
      </c>
      <c r="H1562">
        <v>0.197855700642388</v>
      </c>
      <c r="I1562">
        <v>0.176239556744288</v>
      </c>
      <c r="J1562">
        <v>0.189836668044592</v>
      </c>
      <c r="K1562">
        <v>0.176908252637867</v>
      </c>
      <c r="L1562">
        <v>675.712364494552</v>
      </c>
      <c r="M1562">
        <v>14.9481810204153</v>
      </c>
      <c r="N1562">
        <v>46.5443100428998</v>
      </c>
      <c r="O1562">
        <v>44.4178164763698</v>
      </c>
      <c r="P1562">
        <v>-0.06942356158429069</v>
      </c>
      <c r="Q1562">
        <v>0.174929560407699</v>
      </c>
      <c r="R1562">
        <v>0.996302593926824</v>
      </c>
      <c r="S1562" t="s">
        <v>3246</v>
      </c>
      <c r="T1562" t="s">
        <v>3344</v>
      </c>
      <c r="U1562" t="s">
        <v>3344</v>
      </c>
      <c r="V1562" t="s">
        <v>3344</v>
      </c>
      <c r="W1562" t="s">
        <v>4903</v>
      </c>
      <c r="X1562">
        <v>4</v>
      </c>
      <c r="Y1562" t="s">
        <v>6561</v>
      </c>
      <c r="Z1562" t="s">
        <v>8219</v>
      </c>
      <c r="AA1562">
        <v>0.4201693958701378</v>
      </c>
      <c r="AB1562">
        <f>HYPERLINK("Melting_Curves/meltCurve_P76561_ypfH.pdf", "Melting_Curves/meltCurve_P76561_ypfH.pdf")</f>
        <v>0</v>
      </c>
    </row>
    <row r="1563" spans="1:28">
      <c r="A1563" t="s">
        <v>1589</v>
      </c>
      <c r="B1563">
        <v>0.999998419929286</v>
      </c>
      <c r="C1563">
        <v>0.9230118393353079</v>
      </c>
      <c r="D1563">
        <v>0.6428301635283</v>
      </c>
      <c r="E1563">
        <v>0.836870256532451</v>
      </c>
      <c r="F1563">
        <v>0.963278533226371</v>
      </c>
      <c r="G1563">
        <v>0.969803497840333</v>
      </c>
      <c r="H1563">
        <v>1.10875045772556</v>
      </c>
      <c r="I1563">
        <v>1.00712749919241</v>
      </c>
      <c r="J1563">
        <v>1.22301838886135</v>
      </c>
      <c r="K1563">
        <v>0.857239319711431</v>
      </c>
      <c r="L1563">
        <v>9488.658176928169</v>
      </c>
      <c r="M1563">
        <v>250</v>
      </c>
      <c r="O1563">
        <v>37.9522038884684</v>
      </c>
      <c r="P1563">
        <v>-0.08564684428484901</v>
      </c>
      <c r="Q1563">
        <v>0.947992216148666</v>
      </c>
      <c r="R1563">
        <v>0.0109422497944953</v>
      </c>
      <c r="S1563" t="s">
        <v>3247</v>
      </c>
      <c r="T1563" t="s">
        <v>3344</v>
      </c>
      <c r="U1563" t="s">
        <v>3344</v>
      </c>
      <c r="V1563" t="s">
        <v>3344</v>
      </c>
      <c r="W1563" t="s">
        <v>4904</v>
      </c>
      <c r="X1563">
        <v>4</v>
      </c>
      <c r="Y1563" t="s">
        <v>6562</v>
      </c>
      <c r="Z1563" t="s">
        <v>8220</v>
      </c>
      <c r="AA1563">
        <v>0.9496510166330868</v>
      </c>
      <c r="AB1563">
        <f>HYPERLINK("Melting_Curves/meltCurve_P76569_yfgD.pdf", "Melting_Curves/meltCurve_P76569_yfgD.pdf")</f>
        <v>0</v>
      </c>
    </row>
    <row r="1564" spans="1:28">
      <c r="A1564" t="s">
        <v>1590</v>
      </c>
      <c r="B1564">
        <v>0.999998419929286</v>
      </c>
      <c r="C1564">
        <v>0.644639647569743</v>
      </c>
      <c r="D1564">
        <v>0.707267027381735</v>
      </c>
      <c r="E1564">
        <v>0.811229515753629</v>
      </c>
      <c r="F1564">
        <v>0.773084976999011</v>
      </c>
      <c r="G1564">
        <v>0.817167914115533</v>
      </c>
      <c r="H1564">
        <v>0.815384111056871</v>
      </c>
      <c r="I1564">
        <v>0.909568604251263</v>
      </c>
      <c r="J1564">
        <v>1.08927150075933</v>
      </c>
      <c r="K1564">
        <v>0.773635350044042</v>
      </c>
      <c r="L1564">
        <v>9481.378521898319</v>
      </c>
      <c r="M1564">
        <v>250</v>
      </c>
      <c r="O1564">
        <v>37.9230885328636</v>
      </c>
      <c r="P1564">
        <v>-0.303749066743555</v>
      </c>
      <c r="Q1564">
        <v>0.815694363147089</v>
      </c>
      <c r="R1564">
        <v>0.192449693732958</v>
      </c>
      <c r="S1564" t="s">
        <v>3248</v>
      </c>
      <c r="T1564" t="s">
        <v>3344</v>
      </c>
      <c r="U1564" t="s">
        <v>3344</v>
      </c>
      <c r="V1564" t="s">
        <v>3344</v>
      </c>
      <c r="W1564" t="s">
        <v>4905</v>
      </c>
      <c r="X1564">
        <v>2</v>
      </c>
      <c r="Y1564" t="s">
        <v>6563</v>
      </c>
      <c r="Z1564" t="s">
        <v>8221</v>
      </c>
      <c r="AA1564">
        <v>0.8213942374108497</v>
      </c>
      <c r="AB1564">
        <f>HYPERLINK("Melting_Curves/meltCurve_P76575_yfgJ.pdf", "Melting_Curves/meltCurve_P76575_yfgJ.pdf")</f>
        <v>0</v>
      </c>
    </row>
    <row r="1565" spans="1:28">
      <c r="A1565" t="s">
        <v>1591</v>
      </c>
      <c r="B1565">
        <v>0.999998419929286</v>
      </c>
      <c r="C1565">
        <v>1.0203152699888</v>
      </c>
      <c r="D1565">
        <v>1.16281769853209</v>
      </c>
      <c r="E1565">
        <v>1.33750165938391</v>
      </c>
      <c r="F1565">
        <v>1.29547930533244</v>
      </c>
      <c r="G1565">
        <v>1.10703929811897</v>
      </c>
      <c r="H1565">
        <v>0.512486100596929</v>
      </c>
      <c r="I1565">
        <v>0.248208936920055</v>
      </c>
      <c r="J1565">
        <v>0.139210165543803</v>
      </c>
      <c r="K1565">
        <v>0.10371697326957</v>
      </c>
      <c r="L1565">
        <v>7512.28661297741</v>
      </c>
      <c r="M1565">
        <v>131.209585600129</v>
      </c>
      <c r="N1565">
        <v>57.427531154024</v>
      </c>
      <c r="O1565">
        <v>57.2408013919406</v>
      </c>
      <c r="P1565">
        <v>-0.479317156433763</v>
      </c>
      <c r="Q1565">
        <v>0.163582518416597</v>
      </c>
      <c r="R1565">
        <v>0.883662625958077</v>
      </c>
      <c r="S1565" t="s">
        <v>3249</v>
      </c>
      <c r="T1565" t="s">
        <v>3344</v>
      </c>
      <c r="U1565" t="s">
        <v>3344</v>
      </c>
      <c r="V1565" t="s">
        <v>3344</v>
      </c>
      <c r="W1565" t="s">
        <v>4906</v>
      </c>
      <c r="X1565">
        <v>4</v>
      </c>
      <c r="Y1565" t="s">
        <v>6564</v>
      </c>
      <c r="Z1565" t="s">
        <v>8222</v>
      </c>
      <c r="AA1565">
        <v>0.72858388744619</v>
      </c>
      <c r="AB1565">
        <f>HYPERLINK("Melting_Curves/meltCurve_P76576_yfgM.pdf", "Melting_Curves/meltCurve_P76576_yfgM.pdf")</f>
        <v>0</v>
      </c>
    </row>
    <row r="1566" spans="1:28">
      <c r="A1566" t="s">
        <v>1592</v>
      </c>
      <c r="B1566">
        <v>0.999998419929286</v>
      </c>
      <c r="C1566">
        <v>1.26860488701672</v>
      </c>
      <c r="D1566">
        <v>1.08126763148987</v>
      </c>
      <c r="E1566">
        <v>1.09959991206174</v>
      </c>
      <c r="F1566">
        <v>0.8416158817567581</v>
      </c>
      <c r="G1566">
        <v>0.69167567115012</v>
      </c>
      <c r="H1566">
        <v>0.327682317320982</v>
      </c>
      <c r="I1566">
        <v>0.176906682376899</v>
      </c>
      <c r="J1566">
        <v>0.118338067296917</v>
      </c>
      <c r="K1566">
        <v>0.100638657608028</v>
      </c>
      <c r="L1566">
        <v>1270.0115114883</v>
      </c>
      <c r="M1566">
        <v>23.0673135171756</v>
      </c>
      <c r="N1566">
        <v>55.5049203405156</v>
      </c>
      <c r="O1566">
        <v>54.6479886549422</v>
      </c>
      <c r="P1566">
        <v>-0.09656194061583021</v>
      </c>
      <c r="Q1566">
        <v>0.0849704861723363</v>
      </c>
      <c r="R1566">
        <v>0.94683573030247</v>
      </c>
      <c r="S1566" t="s">
        <v>3250</v>
      </c>
      <c r="T1566" t="s">
        <v>3344</v>
      </c>
      <c r="U1566" t="s">
        <v>3344</v>
      </c>
      <c r="V1566" t="s">
        <v>3344</v>
      </c>
      <c r="W1566" t="s">
        <v>4907</v>
      </c>
      <c r="X1566">
        <v>18</v>
      </c>
      <c r="Y1566" t="s">
        <v>6565</v>
      </c>
      <c r="Z1566" t="s">
        <v>8223</v>
      </c>
      <c r="AA1566">
        <v>0.6444150682983217</v>
      </c>
      <c r="AB1566">
        <f>HYPERLINK("Melting_Curves/meltCurve_P76578_yfhM.pdf", "Melting_Curves/meltCurve_P76578_yfhM.pdf")</f>
        <v>0</v>
      </c>
    </row>
    <row r="1567" spans="1:28">
      <c r="A1567" t="s">
        <v>1593</v>
      </c>
      <c r="B1567">
        <v>0.999998419929286</v>
      </c>
      <c r="C1567">
        <v>1.31541746300977</v>
      </c>
      <c r="D1567">
        <v>0.823905218795148</v>
      </c>
      <c r="E1567">
        <v>0.160496343416135</v>
      </c>
      <c r="F1567">
        <v>0.106597416465239</v>
      </c>
      <c r="G1567">
        <v>0.081165013985263</v>
      </c>
      <c r="H1567">
        <v>0.0498003978429085</v>
      </c>
      <c r="I1567">
        <v>0.0324153818039749</v>
      </c>
      <c r="J1567">
        <v>0.0269326434433429</v>
      </c>
      <c r="K1567">
        <v>0.0221845934415459</v>
      </c>
      <c r="L1567">
        <v>2112.13416753481</v>
      </c>
      <c r="M1567">
        <v>47.5073040661967</v>
      </c>
      <c r="N1567">
        <v>44.5658428557009</v>
      </c>
      <c r="O1567">
        <v>44.380581875016</v>
      </c>
      <c r="P1567">
        <v>-0.253227966594023</v>
      </c>
      <c r="Q1567">
        <v>0.0537545157684351</v>
      </c>
      <c r="R1567">
        <v>0.949773965463884</v>
      </c>
      <c r="S1567" t="s">
        <v>3251</v>
      </c>
      <c r="T1567" t="s">
        <v>3344</v>
      </c>
      <c r="U1567" t="s">
        <v>3344</v>
      </c>
      <c r="V1567" t="s">
        <v>3344</v>
      </c>
      <c r="W1567" t="s">
        <v>4908</v>
      </c>
      <c r="X1567">
        <v>7</v>
      </c>
      <c r="Y1567" t="s">
        <v>6566</v>
      </c>
      <c r="Z1567" t="s">
        <v>8224</v>
      </c>
      <c r="AA1567">
        <v>0.2910854390792874</v>
      </c>
      <c r="AB1567">
        <f>HYPERLINK("Melting_Curves/meltCurve_P76621_csiD.pdf", "Melting_Curves/meltCurve_P76621_csiD.pdf")</f>
        <v>0</v>
      </c>
    </row>
    <row r="1568" spans="1:28">
      <c r="A1568" t="s">
        <v>1594</v>
      </c>
      <c r="B1568">
        <v>0.999998419929286</v>
      </c>
      <c r="C1568">
        <v>0.855678101948502</v>
      </c>
      <c r="D1568">
        <v>0.622123090715386</v>
      </c>
      <c r="E1568">
        <v>0.499655016898823</v>
      </c>
      <c r="F1568">
        <v>0.435982914625459</v>
      </c>
      <c r="G1568">
        <v>0.415744792520046</v>
      </c>
      <c r="H1568">
        <v>0.342115430557773</v>
      </c>
      <c r="I1568">
        <v>0.339263759828417</v>
      </c>
      <c r="J1568">
        <v>0.341973074445954</v>
      </c>
      <c r="K1568">
        <v>0.323406920992299</v>
      </c>
      <c r="L1568">
        <v>683.316815351731</v>
      </c>
      <c r="M1568">
        <v>15.9487343434109</v>
      </c>
      <c r="N1568">
        <v>46.2852937460102</v>
      </c>
      <c r="O1568">
        <v>42.1879644519251</v>
      </c>
      <c r="P1568">
        <v>-0.0616995768972238</v>
      </c>
      <c r="Q1568">
        <v>0.347215203857324</v>
      </c>
      <c r="R1568">
        <v>0.983289169612161</v>
      </c>
      <c r="S1568" t="s">
        <v>3252</v>
      </c>
      <c r="T1568" t="s">
        <v>3344</v>
      </c>
      <c r="U1568" t="s">
        <v>3344</v>
      </c>
      <c r="V1568" t="s">
        <v>3344</v>
      </c>
      <c r="W1568" t="s">
        <v>4909</v>
      </c>
      <c r="X1568">
        <v>5</v>
      </c>
      <c r="Y1568" t="s">
        <v>6567</v>
      </c>
      <c r="Z1568" t="s">
        <v>8225</v>
      </c>
      <c r="AA1568">
        <v>0.489674549519528</v>
      </c>
      <c r="AB1568">
        <f>HYPERLINK("Melting_Curves/meltCurve_P76658_hldE.pdf", "Melting_Curves/meltCurve_P76658_hldE.pdf")</f>
        <v>0</v>
      </c>
    </row>
    <row r="1569" spans="1:28">
      <c r="A1569" t="s">
        <v>1595</v>
      </c>
      <c r="B1569">
        <v>0.999998419929286</v>
      </c>
      <c r="C1569">
        <v>1.33835575786428</v>
      </c>
      <c r="D1569">
        <v>1.0090903837286</v>
      </c>
      <c r="E1569">
        <v>0.467824545380935</v>
      </c>
      <c r="F1569">
        <v>0.08063009516901</v>
      </c>
      <c r="G1569">
        <v>0.0696363161700919</v>
      </c>
      <c r="H1569">
        <v>0.0415836241207543</v>
      </c>
      <c r="I1569">
        <v>0.0126586331358043</v>
      </c>
      <c r="J1569">
        <v>0.00885630183012542</v>
      </c>
      <c r="K1569">
        <v>0.0168179167116974</v>
      </c>
      <c r="L1569">
        <v>2428.37794667702</v>
      </c>
      <c r="M1569">
        <v>52.3009224776135</v>
      </c>
      <c r="N1569">
        <v>46.4949127700871</v>
      </c>
      <c r="O1569">
        <v>46.3631649318498</v>
      </c>
      <c r="P1569">
        <v>-0.27221866953145</v>
      </c>
      <c r="Q1569">
        <v>0.0347469618962925</v>
      </c>
      <c r="R1569">
        <v>0.950684346557962</v>
      </c>
      <c r="S1569" t="s">
        <v>3253</v>
      </c>
      <c r="T1569" t="s">
        <v>3344</v>
      </c>
      <c r="U1569" t="s">
        <v>3344</v>
      </c>
      <c r="V1569" t="s">
        <v>3344</v>
      </c>
      <c r="W1569" t="s">
        <v>4910</v>
      </c>
      <c r="X1569">
        <v>3</v>
      </c>
      <c r="Y1569" t="s">
        <v>6568</v>
      </c>
      <c r="Z1569" t="s">
        <v>8226</v>
      </c>
      <c r="AA1569">
        <v>0.3399924866350866</v>
      </c>
      <c r="AB1569">
        <f>HYPERLINK("Melting_Curves/meltCurve_P77148_ydhS.pdf", "Melting_Curves/meltCurve_P77148_ydhS.pdf")</f>
        <v>0</v>
      </c>
    </row>
    <row r="1570" spans="1:28">
      <c r="A1570" t="s">
        <v>1596</v>
      </c>
      <c r="B1570">
        <v>0.999998419929286</v>
      </c>
      <c r="C1570">
        <v>1.68549994742455</v>
      </c>
      <c r="D1570">
        <v>1.24742443313762</v>
      </c>
      <c r="E1570">
        <v>1.38432727333226</v>
      </c>
      <c r="F1570">
        <v>1.46937536436263</v>
      </c>
      <c r="G1570">
        <v>1.89217871556465</v>
      </c>
      <c r="H1570">
        <v>1.38856245554754</v>
      </c>
      <c r="I1570">
        <v>0.9713096721165539</v>
      </c>
      <c r="J1570">
        <v>1.20110860848767</v>
      </c>
      <c r="K1570">
        <v>1.35015903194149</v>
      </c>
      <c r="L1570">
        <v>1e-05</v>
      </c>
      <c r="M1570">
        <v>0.934507303311819</v>
      </c>
      <c r="Q1570">
        <v>1.5</v>
      </c>
      <c r="R1570">
        <v>-2.90398816105153e-10</v>
      </c>
      <c r="S1570" t="s">
        <v>3254</v>
      </c>
      <c r="T1570" t="s">
        <v>3344</v>
      </c>
      <c r="U1570" t="s">
        <v>3344</v>
      </c>
      <c r="V1570" t="s">
        <v>3344</v>
      </c>
      <c r="W1570" t="s">
        <v>4911</v>
      </c>
      <c r="X1570">
        <v>1</v>
      </c>
      <c r="Y1570" t="s">
        <v>6569</v>
      </c>
      <c r="Z1570" t="s">
        <v>8227</v>
      </c>
      <c r="AA1570">
        <v>1.358994392083772</v>
      </c>
      <c r="AB1570">
        <f>HYPERLINK("Melting_Curves/meltCurve_P77162_ykfB.pdf", "Melting_Curves/meltCurve_P77162_ykfB.pdf")</f>
        <v>0</v>
      </c>
    </row>
    <row r="1571" spans="1:28">
      <c r="A1571" t="s">
        <v>1597</v>
      </c>
      <c r="B1571">
        <v>0.999998419929286</v>
      </c>
      <c r="C1571">
        <v>0.96465388019355</v>
      </c>
      <c r="D1571">
        <v>0.889010692661388</v>
      </c>
      <c r="E1571">
        <v>1.05575206917203</v>
      </c>
      <c r="F1571">
        <v>1.16332420883854</v>
      </c>
      <c r="G1571">
        <v>1.24260228687835</v>
      </c>
      <c r="H1571">
        <v>1.06914474918221</v>
      </c>
      <c r="I1571">
        <v>0.940809626342649</v>
      </c>
      <c r="J1571">
        <v>0.988744569915601</v>
      </c>
      <c r="K1571">
        <v>0.966673091098155</v>
      </c>
      <c r="L1571">
        <v>2306.19682587186</v>
      </c>
      <c r="M1571">
        <v>37.9372939335437</v>
      </c>
      <c r="O1571">
        <v>60.6215319484287</v>
      </c>
      <c r="P1571">
        <v>-0.00508708163481509</v>
      </c>
      <c r="Q1571">
        <v>0.967484671720329</v>
      </c>
      <c r="R1571">
        <v>-0.0553876270307876</v>
      </c>
      <c r="S1571" t="s">
        <v>3255</v>
      </c>
      <c r="T1571" t="s">
        <v>3344</v>
      </c>
      <c r="U1571" t="s">
        <v>3344</v>
      </c>
      <c r="V1571" t="s">
        <v>3344</v>
      </c>
      <c r="W1571" t="s">
        <v>4912</v>
      </c>
      <c r="X1571">
        <v>2</v>
      </c>
      <c r="Y1571" t="s">
        <v>6570</v>
      </c>
      <c r="Z1571" t="s">
        <v>8228</v>
      </c>
      <c r="AA1571">
        <v>0.993355360144158</v>
      </c>
      <c r="AB1571">
        <f>HYPERLINK("Melting_Curves/meltCurve_P77173_zipA.pdf", "Melting_Curves/meltCurve_P77173_zipA.pdf")</f>
        <v>0</v>
      </c>
    </row>
    <row r="1572" spans="1:28">
      <c r="A1572" t="s">
        <v>1598</v>
      </c>
      <c r="B1572">
        <v>0.999998419929286</v>
      </c>
      <c r="C1572">
        <v>1.00401418082624</v>
      </c>
      <c r="D1572">
        <v>1.00292349840057</v>
      </c>
      <c r="E1572">
        <v>1.20553630116484</v>
      </c>
      <c r="F1572">
        <v>1.29332441390609</v>
      </c>
      <c r="G1572">
        <v>1.53345616115854</v>
      </c>
      <c r="H1572">
        <v>1.21612309711059</v>
      </c>
      <c r="I1572">
        <v>1.00805915465959</v>
      </c>
      <c r="J1572">
        <v>1.09426318070574</v>
      </c>
      <c r="K1572">
        <v>1.22119909089209</v>
      </c>
      <c r="L1572">
        <v>4319.72141296203</v>
      </c>
      <c r="M1572">
        <v>94.9344001887042</v>
      </c>
      <c r="O1572">
        <v>45.4819861731689</v>
      </c>
      <c r="P1572">
        <v>0.118826033491459</v>
      </c>
      <c r="Q1572">
        <v>1.22771279256567</v>
      </c>
      <c r="R1572">
        <v>0.388318812486674</v>
      </c>
      <c r="S1572" t="s">
        <v>3256</v>
      </c>
      <c r="T1572" t="s">
        <v>3344</v>
      </c>
      <c r="U1572" t="s">
        <v>3344</v>
      </c>
      <c r="V1572" t="s">
        <v>3344</v>
      </c>
      <c r="W1572" t="s">
        <v>4913</v>
      </c>
      <c r="X1572">
        <v>4</v>
      </c>
      <c r="Y1572" t="s">
        <v>6571</v>
      </c>
      <c r="Z1572" t="s">
        <v>8229</v>
      </c>
      <c r="AA1572">
        <v>1.163051411913064</v>
      </c>
      <c r="AB1572">
        <f>HYPERLINK("Melting_Curves/meltCurve_P77181_paaY.pdf", "Melting_Curves/meltCurve_P77181_paaY.pdf")</f>
        <v>0</v>
      </c>
    </row>
    <row r="1573" spans="1:28">
      <c r="A1573" t="s">
        <v>1599</v>
      </c>
      <c r="B1573">
        <v>0.999998419929286</v>
      </c>
      <c r="C1573">
        <v>0.906633538176936</v>
      </c>
      <c r="D1573">
        <v>0.973017911554544</v>
      </c>
      <c r="E1573">
        <v>1.06399908717092</v>
      </c>
      <c r="F1573">
        <v>1.24169050223712</v>
      </c>
      <c r="G1573">
        <v>1.40604038944129</v>
      </c>
      <c r="H1573">
        <v>1.29062869481427</v>
      </c>
      <c r="I1573">
        <v>1.04212041229444</v>
      </c>
      <c r="J1573">
        <v>1.00865077723974</v>
      </c>
      <c r="K1573">
        <v>1.00902152874498</v>
      </c>
      <c r="L1573">
        <v>11671.8844499508</v>
      </c>
      <c r="M1573">
        <v>250</v>
      </c>
      <c r="O1573">
        <v>46.684550348703</v>
      </c>
      <c r="P1573">
        <v>0.222716505219309</v>
      </c>
      <c r="Q1573">
        <v>1.16635871736634</v>
      </c>
      <c r="R1573">
        <v>0.347296612384458</v>
      </c>
      <c r="S1573" t="s">
        <v>3257</v>
      </c>
      <c r="T1573" t="s">
        <v>3344</v>
      </c>
      <c r="U1573" t="s">
        <v>3344</v>
      </c>
      <c r="V1573" t="s">
        <v>3344</v>
      </c>
      <c r="W1573" t="s">
        <v>4914</v>
      </c>
      <c r="X1573">
        <v>6</v>
      </c>
      <c r="Y1573" t="s">
        <v>6572</v>
      </c>
      <c r="Z1573" t="s">
        <v>8230</v>
      </c>
      <c r="AA1573">
        <v>1.112624874520959</v>
      </c>
      <c r="AB1573">
        <f>HYPERLINK("Melting_Curves/meltCurve_P77202_dsbG.pdf", "Melting_Curves/meltCurve_P77202_dsbG.pdf")</f>
        <v>0</v>
      </c>
    </row>
    <row r="1574" spans="1:28">
      <c r="A1574" t="s">
        <v>1600</v>
      </c>
      <c r="B1574">
        <v>0.999998419929286</v>
      </c>
      <c r="C1574">
        <v>1.07538717843232</v>
      </c>
      <c r="D1574">
        <v>1.14892863588369</v>
      </c>
      <c r="E1574">
        <v>1.21632940431288</v>
      </c>
      <c r="F1574">
        <v>1.04278149344612</v>
      </c>
      <c r="G1574">
        <v>0.876247386699896</v>
      </c>
      <c r="H1574">
        <v>0.646721751503981</v>
      </c>
      <c r="I1574">
        <v>0.566254891770211</v>
      </c>
      <c r="J1574">
        <v>0.555866863049663</v>
      </c>
      <c r="K1574">
        <v>0.497854822922736</v>
      </c>
      <c r="L1574">
        <v>2002.19070638854</v>
      </c>
      <c r="M1574">
        <v>36.0378331771341</v>
      </c>
      <c r="O1574">
        <v>55.3877819172161</v>
      </c>
      <c r="P1574">
        <v>-0.076098640426178</v>
      </c>
      <c r="Q1574">
        <v>0.532167049750792</v>
      </c>
      <c r="R1574">
        <v>0.880208989234383</v>
      </c>
      <c r="S1574" t="s">
        <v>3258</v>
      </c>
      <c r="T1574" t="s">
        <v>3344</v>
      </c>
      <c r="U1574" t="s">
        <v>3344</v>
      </c>
      <c r="V1574" t="s">
        <v>3344</v>
      </c>
      <c r="W1574" t="s">
        <v>4915</v>
      </c>
      <c r="X1574">
        <v>7</v>
      </c>
      <c r="Y1574" t="s">
        <v>6573</v>
      </c>
      <c r="Z1574" t="s">
        <v>8231</v>
      </c>
      <c r="AA1574">
        <v>0.8237077599578606</v>
      </c>
      <c r="AB1574">
        <f>HYPERLINK("Melting_Curves/meltCurve_P77212_rclA.pdf", "Melting_Curves/meltCurve_P77212_rclA.pdf")</f>
        <v>0</v>
      </c>
    </row>
    <row r="1575" spans="1:28">
      <c r="A1575" t="s">
        <v>1601</v>
      </c>
      <c r="B1575">
        <v>0.999998419929286</v>
      </c>
      <c r="C1575">
        <v>1.03597309720107</v>
      </c>
      <c r="D1575">
        <v>0.64040019990846</v>
      </c>
      <c r="E1575">
        <v>0.763272984254611</v>
      </c>
      <c r="F1575">
        <v>0.379365174944097</v>
      </c>
      <c r="G1575">
        <v>0.320249358815438</v>
      </c>
      <c r="H1575">
        <v>0.183665170375608</v>
      </c>
      <c r="I1575">
        <v>0.139363945365187</v>
      </c>
      <c r="J1575">
        <v>0.138740475278132</v>
      </c>
      <c r="K1575">
        <v>0.0935707339849355</v>
      </c>
      <c r="L1575">
        <v>545.827716863607</v>
      </c>
      <c r="M1575">
        <v>11.2586222655143</v>
      </c>
      <c r="N1575">
        <v>49.0513383988366</v>
      </c>
      <c r="O1575">
        <v>47.0268580074201</v>
      </c>
      <c r="P1575">
        <v>-0.0561966125476551</v>
      </c>
      <c r="Q1575">
        <v>0.0613646764677346</v>
      </c>
      <c r="R1575">
        <v>0.94352193457378</v>
      </c>
      <c r="S1575" t="s">
        <v>3259</v>
      </c>
      <c r="T1575" t="s">
        <v>3344</v>
      </c>
      <c r="U1575" t="s">
        <v>3344</v>
      </c>
      <c r="V1575" t="s">
        <v>3344</v>
      </c>
      <c r="W1575" t="s">
        <v>4916</v>
      </c>
      <c r="X1575">
        <v>4</v>
      </c>
      <c r="Y1575" t="s">
        <v>6574</v>
      </c>
      <c r="Z1575" t="s">
        <v>8232</v>
      </c>
      <c r="AA1575">
        <v>0.4518612961579186</v>
      </c>
      <c r="AB1575">
        <f>HYPERLINK("Melting_Curves/meltCurve_P77213_ybdK.pdf", "Melting_Curves/meltCurve_P77213_ybdK.pdf")</f>
        <v>0</v>
      </c>
    </row>
    <row r="1576" spans="1:28">
      <c r="A1576" t="s">
        <v>1602</v>
      </c>
      <c r="B1576">
        <v>0.999998419929286</v>
      </c>
      <c r="C1576">
        <v>1.37082599253644</v>
      </c>
      <c r="D1576">
        <v>1.25290428244172</v>
      </c>
      <c r="E1576">
        <v>1.20988464165929</v>
      </c>
      <c r="F1576">
        <v>1.01660258421257</v>
      </c>
      <c r="G1576">
        <v>0.167065554688929</v>
      </c>
      <c r="H1576">
        <v>0.0894211604412161</v>
      </c>
      <c r="I1576">
        <v>0.07231073040284321</v>
      </c>
      <c r="J1576">
        <v>0.0429516371294532</v>
      </c>
      <c r="K1576">
        <v>0.0540370706349238</v>
      </c>
      <c r="L1576">
        <v>13337.2238865027</v>
      </c>
      <c r="M1576">
        <v>250</v>
      </c>
      <c r="N1576">
        <v>53.3784735572515</v>
      </c>
      <c r="O1576">
        <v>53.3454818903866</v>
      </c>
      <c r="P1576">
        <v>-1.09582835739252</v>
      </c>
      <c r="Q1576">
        <v>0.06468013799550699</v>
      </c>
      <c r="R1576">
        <v>0.91908607895728</v>
      </c>
      <c r="S1576" t="s">
        <v>3260</v>
      </c>
      <c r="T1576" t="s">
        <v>3344</v>
      </c>
      <c r="U1576" t="s">
        <v>3344</v>
      </c>
      <c r="V1576" t="s">
        <v>3344</v>
      </c>
      <c r="W1576" t="s">
        <v>4917</v>
      </c>
      <c r="X1576">
        <v>10</v>
      </c>
      <c r="Y1576" t="s">
        <v>6575</v>
      </c>
      <c r="Z1576" t="s">
        <v>8233</v>
      </c>
      <c r="AA1576">
        <v>0.5744825995705178</v>
      </c>
      <c r="AB1576">
        <f>HYPERLINK("Melting_Curves/meltCurve_P77243_prpD.pdf", "Melting_Curves/meltCurve_P77243_prpD.pdf")</f>
        <v>0</v>
      </c>
    </row>
    <row r="1577" spans="1:28">
      <c r="A1577" t="s">
        <v>1603</v>
      </c>
      <c r="B1577">
        <v>0.999998419929286</v>
      </c>
      <c r="C1577">
        <v>0.8289508546012681</v>
      </c>
      <c r="D1577">
        <v>0.876417353443244</v>
      </c>
      <c r="E1577">
        <v>0.729384029779455</v>
      </c>
      <c r="F1577">
        <v>0.390916162132997</v>
      </c>
      <c r="G1577">
        <v>0.171347725963224</v>
      </c>
      <c r="H1577">
        <v>0.0626022644916083</v>
      </c>
      <c r="I1577">
        <v>0.0418027653034555</v>
      </c>
      <c r="J1577">
        <v>0.0294511046991966</v>
      </c>
      <c r="K1577">
        <v>0.0272692322894707</v>
      </c>
      <c r="L1577">
        <v>760.086697925409</v>
      </c>
      <c r="M1577">
        <v>15.569025004953</v>
      </c>
      <c r="N1577">
        <v>48.8204349935325</v>
      </c>
      <c r="O1577">
        <v>48.0362721810154</v>
      </c>
      <c r="P1577">
        <v>-0.0810344934134687</v>
      </c>
      <c r="Q1577">
        <v>0</v>
      </c>
      <c r="R1577">
        <v>0.983271350989871</v>
      </c>
      <c r="S1577" t="s">
        <v>3261</v>
      </c>
      <c r="T1577" t="s">
        <v>3344</v>
      </c>
      <c r="U1577" t="s">
        <v>3344</v>
      </c>
      <c r="V1577" t="s">
        <v>3344</v>
      </c>
      <c r="W1577" t="s">
        <v>4918</v>
      </c>
      <c r="X1577">
        <v>9</v>
      </c>
      <c r="Y1577" t="s">
        <v>6576</v>
      </c>
      <c r="Z1577" t="s">
        <v>8234</v>
      </c>
      <c r="AA1577">
        <v>0.4143680385170602</v>
      </c>
      <c r="AB1577">
        <f>HYPERLINK("Melting_Curves/meltCurve_P77247_yniC.pdf", "Melting_Curves/meltCurve_P77247_yniC.pdf")</f>
        <v>0</v>
      </c>
    </row>
    <row r="1578" spans="1:28">
      <c r="A1578" t="s">
        <v>1604</v>
      </c>
      <c r="B1578">
        <v>0.999998419929286</v>
      </c>
      <c r="C1578">
        <v>0.994959506096259</v>
      </c>
      <c r="D1578">
        <v>0.812090493075324</v>
      </c>
      <c r="E1578">
        <v>0.970544638881139</v>
      </c>
      <c r="F1578">
        <v>0.9171098168713681</v>
      </c>
      <c r="G1578">
        <v>0.9816591335580011</v>
      </c>
      <c r="H1578">
        <v>0.714214536713379</v>
      </c>
      <c r="I1578">
        <v>0.470606837544057</v>
      </c>
      <c r="J1578">
        <v>0.340969603978383</v>
      </c>
      <c r="K1578">
        <v>0.356635487748986</v>
      </c>
      <c r="L1578">
        <v>1849.51514602029</v>
      </c>
      <c r="M1578">
        <v>31.8532339937606</v>
      </c>
      <c r="N1578">
        <v>60.1499687411115</v>
      </c>
      <c r="O1578">
        <v>57.8362409898268</v>
      </c>
      <c r="P1578">
        <v>-0.0916495275879569</v>
      </c>
      <c r="Q1578">
        <v>0.33436750548151</v>
      </c>
      <c r="R1578">
        <v>0.932191377739619</v>
      </c>
      <c r="S1578" t="s">
        <v>3262</v>
      </c>
      <c r="T1578" t="s">
        <v>3344</v>
      </c>
      <c r="U1578" t="s">
        <v>3344</v>
      </c>
      <c r="V1578" t="s">
        <v>3344</v>
      </c>
      <c r="W1578" t="s">
        <v>4919</v>
      </c>
      <c r="X1578">
        <v>3</v>
      </c>
      <c r="Y1578" t="s">
        <v>6577</v>
      </c>
      <c r="Z1578" t="s">
        <v>8235</v>
      </c>
      <c r="AA1578">
        <v>0.8051320460446773</v>
      </c>
      <c r="AB1578">
        <f>HYPERLINK("Melting_Curves/meltCurve_P77252_ykgE.pdf", "Melting_Curves/meltCurve_P77252_ykgE.pdf")</f>
        <v>0</v>
      </c>
    </row>
    <row r="1579" spans="1:28">
      <c r="A1579" t="s">
        <v>1605</v>
      </c>
      <c r="B1579">
        <v>0.999998419929286</v>
      </c>
      <c r="C1579">
        <v>1.12676118837555</v>
      </c>
      <c r="D1579">
        <v>1.2748995721677</v>
      </c>
      <c r="E1579">
        <v>1.41973561025839</v>
      </c>
      <c r="F1579">
        <v>0.725231310239572</v>
      </c>
      <c r="G1579">
        <v>0.182529459676599</v>
      </c>
      <c r="H1579">
        <v>0.0840384708402603</v>
      </c>
      <c r="I1579">
        <v>0</v>
      </c>
      <c r="J1579">
        <v>0</v>
      </c>
      <c r="K1579">
        <v>0.0818678020360927</v>
      </c>
      <c r="L1579">
        <v>2450.13564760058</v>
      </c>
      <c r="M1579">
        <v>47.7065312949755</v>
      </c>
      <c r="N1579">
        <v>51.4642803120039</v>
      </c>
      <c r="O1579">
        <v>51.2684979346468</v>
      </c>
      <c r="P1579">
        <v>-0.221768131342027</v>
      </c>
      <c r="Q1579">
        <v>0.0466960259174309</v>
      </c>
      <c r="R1579">
        <v>0.905798851193082</v>
      </c>
      <c r="S1579" t="s">
        <v>3263</v>
      </c>
      <c r="T1579" t="s">
        <v>3344</v>
      </c>
      <c r="U1579" t="s">
        <v>3344</v>
      </c>
      <c r="V1579" t="s">
        <v>3344</v>
      </c>
      <c r="W1579" t="s">
        <v>4920</v>
      </c>
      <c r="X1579">
        <v>1</v>
      </c>
      <c r="Y1579" t="s">
        <v>6578</v>
      </c>
      <c r="Z1579" t="s">
        <v>8236</v>
      </c>
      <c r="AA1579">
        <v>0.5053357564651997</v>
      </c>
      <c r="AB1579">
        <f>HYPERLINK("Melting_Curves/meltCurve_P77258_nemA.pdf", "Melting_Curves/meltCurve_P77258_nemA.pdf")</f>
        <v>0</v>
      </c>
    </row>
    <row r="1580" spans="1:28">
      <c r="A1580" t="s">
        <v>1606</v>
      </c>
      <c r="B1580">
        <v>0.999998419929286</v>
      </c>
      <c r="C1580">
        <v>0.960633422221523</v>
      </c>
      <c r="D1580">
        <v>1.0663658288774</v>
      </c>
      <c r="E1580">
        <v>1.30875500451595</v>
      </c>
      <c r="F1580">
        <v>1.61384276839821</v>
      </c>
      <c r="G1580">
        <v>1.71674616493904</v>
      </c>
      <c r="H1580">
        <v>1.31171818342767</v>
      </c>
      <c r="I1580">
        <v>0.974927820340453</v>
      </c>
      <c r="J1580">
        <v>0.865989718364948</v>
      </c>
      <c r="K1580">
        <v>1.04576157978214</v>
      </c>
      <c r="L1580">
        <v>10796.6030698722</v>
      </c>
      <c r="M1580">
        <v>250</v>
      </c>
      <c r="O1580">
        <v>43.1836486453164</v>
      </c>
      <c r="P1580">
        <v>0.379967985110114</v>
      </c>
      <c r="Q1580">
        <v>1.26253446308033</v>
      </c>
      <c r="R1580">
        <v>0.182626410495568</v>
      </c>
      <c r="S1580" t="s">
        <v>3264</v>
      </c>
      <c r="T1580" t="s">
        <v>3344</v>
      </c>
      <c r="U1580" t="s">
        <v>3344</v>
      </c>
      <c r="V1580" t="s">
        <v>3344</v>
      </c>
      <c r="W1580" t="s">
        <v>4921</v>
      </c>
      <c r="X1580">
        <v>2</v>
      </c>
      <c r="Y1580" t="s">
        <v>6579</v>
      </c>
      <c r="Z1580" t="s">
        <v>8237</v>
      </c>
      <c r="AA1580">
        <v>1.208376350998144</v>
      </c>
      <c r="AB1580">
        <f>HYPERLINK("Melting_Curves/meltCurve_P77269_yphF.pdf", "Melting_Curves/meltCurve_P77269_yphF.pdf")</f>
        <v>0</v>
      </c>
    </row>
    <row r="1581" spans="1:28">
      <c r="A1581" t="s">
        <v>1607</v>
      </c>
      <c r="B1581">
        <v>0.999998419929286</v>
      </c>
      <c r="C1581">
        <v>0.488187484709014</v>
      </c>
      <c r="D1581">
        <v>0.183679943183708</v>
      </c>
      <c r="E1581">
        <v>0.0673458875548822</v>
      </c>
      <c r="F1581">
        <v>0.0325654532273093</v>
      </c>
      <c r="G1581">
        <v>0.0196574725289865</v>
      </c>
      <c r="H1581">
        <v>0.0127996150612969</v>
      </c>
      <c r="I1581">
        <v>0.0265397415469193</v>
      </c>
      <c r="J1581">
        <v>0.0182510550451203</v>
      </c>
      <c r="K1581">
        <v>0</v>
      </c>
      <c r="L1581">
        <v>1230.33605659691</v>
      </c>
      <c r="M1581">
        <v>30.7652446865013</v>
      </c>
      <c r="N1581">
        <v>40.0662198978051</v>
      </c>
      <c r="O1581">
        <v>39.8232909475432</v>
      </c>
      <c r="P1581">
        <v>-0.187726039744863</v>
      </c>
      <c r="Q1581">
        <v>0.0280172136437247</v>
      </c>
      <c r="R1581">
        <v>0.986864487421994</v>
      </c>
      <c r="S1581" t="s">
        <v>3265</v>
      </c>
      <c r="T1581" t="s">
        <v>3344</v>
      </c>
      <c r="U1581" t="s">
        <v>3344</v>
      </c>
      <c r="V1581" t="s">
        <v>3344</v>
      </c>
      <c r="W1581" t="s">
        <v>4922</v>
      </c>
      <c r="X1581">
        <v>1</v>
      </c>
      <c r="Y1581" t="s">
        <v>6580</v>
      </c>
      <c r="Z1581" t="s">
        <v>8238</v>
      </c>
      <c r="AA1581">
        <v>0.1322156274223187</v>
      </c>
      <c r="AB1581">
        <f>HYPERLINK("Melting_Curves/meltCurve_P77279_fetA.pdf", "Melting_Curves/meltCurve_P77279_fetA.pdf")</f>
        <v>0</v>
      </c>
    </row>
    <row r="1582" spans="1:28">
      <c r="A1582" t="s">
        <v>1608</v>
      </c>
      <c r="B1582">
        <v>0.999998419929286</v>
      </c>
      <c r="C1582">
        <v>0.935125024267167</v>
      </c>
      <c r="D1582">
        <v>0.827550196436758</v>
      </c>
      <c r="E1582">
        <v>0.8441862332428089</v>
      </c>
      <c r="F1582">
        <v>0.850844816711554</v>
      </c>
      <c r="G1582">
        <v>0.991054502969721</v>
      </c>
      <c r="H1582">
        <v>0.844720730663553</v>
      </c>
      <c r="I1582">
        <v>0.89001440690815</v>
      </c>
      <c r="J1582">
        <v>0.879887707775913</v>
      </c>
      <c r="K1582">
        <v>0.790256682260946</v>
      </c>
      <c r="L1582">
        <v>9978.210383772819</v>
      </c>
      <c r="M1582">
        <v>250</v>
      </c>
      <c r="O1582">
        <v>39.9102874196991</v>
      </c>
      <c r="P1582">
        <v>-0.21170229450405</v>
      </c>
      <c r="Q1582">
        <v>0.864814409562741</v>
      </c>
      <c r="R1582">
        <v>0.434021990747946</v>
      </c>
      <c r="S1582" t="s">
        <v>3266</v>
      </c>
      <c r="T1582" t="s">
        <v>3344</v>
      </c>
      <c r="U1582" t="s">
        <v>3344</v>
      </c>
      <c r="V1582" t="s">
        <v>3344</v>
      </c>
      <c r="W1582" t="s">
        <v>4923</v>
      </c>
      <c r="X1582">
        <v>2</v>
      </c>
      <c r="Y1582" t="s">
        <v>6581</v>
      </c>
      <c r="Z1582" t="s">
        <v>8239</v>
      </c>
      <c r="AA1582">
        <v>0.8779496855895964</v>
      </c>
      <c r="AB1582">
        <f>HYPERLINK("Melting_Curves/meltCurve_P77285_rsxG.pdf", "Melting_Curves/meltCurve_P77285_rsxG.pdf")</f>
        <v>0</v>
      </c>
    </row>
    <row r="1583" spans="1:28">
      <c r="A1583" t="s">
        <v>1609</v>
      </c>
      <c r="B1583">
        <v>0.999998419929286</v>
      </c>
      <c r="C1583">
        <v>1.46598748585325</v>
      </c>
      <c r="D1583">
        <v>1.32747010630514</v>
      </c>
      <c r="E1583">
        <v>1.74931167080031</v>
      </c>
      <c r="F1583">
        <v>1.79508751253998</v>
      </c>
      <c r="G1583">
        <v>1.36796277050213</v>
      </c>
      <c r="H1583">
        <v>0.5766930050124</v>
      </c>
      <c r="I1583">
        <v>0.185523324330402</v>
      </c>
      <c r="J1583">
        <v>0.13648434724098</v>
      </c>
      <c r="K1583">
        <v>0.144944559039825</v>
      </c>
      <c r="L1583">
        <v>14349.6921312194</v>
      </c>
      <c r="M1583">
        <v>250</v>
      </c>
      <c r="N1583">
        <v>57.4845271539153</v>
      </c>
      <c r="O1583">
        <v>57.3950975939474</v>
      </c>
      <c r="P1583">
        <v>-0.919448527439615</v>
      </c>
      <c r="Q1583">
        <v>0.15565062603511</v>
      </c>
      <c r="R1583">
        <v>0.582807172239132</v>
      </c>
      <c r="S1583" t="s">
        <v>3267</v>
      </c>
      <c r="T1583" t="s">
        <v>3344</v>
      </c>
      <c r="U1583" t="s">
        <v>3344</v>
      </c>
      <c r="V1583" t="s">
        <v>3344</v>
      </c>
      <c r="W1583" t="s">
        <v>4924</v>
      </c>
      <c r="X1583">
        <v>9</v>
      </c>
      <c r="Y1583" t="s">
        <v>6582</v>
      </c>
      <c r="Z1583" t="s">
        <v>8240</v>
      </c>
      <c r="AA1583">
        <v>0.7298585951333819</v>
      </c>
      <c r="AB1583">
        <f>HYPERLINK("Melting_Curves/meltCurve_P77318_ydeN.pdf", "Melting_Curves/meltCurve_P77318_ydeN.pdf")</f>
        <v>0</v>
      </c>
    </row>
    <row r="1584" spans="1:28">
      <c r="A1584" t="s">
        <v>1610</v>
      </c>
      <c r="B1584">
        <v>0.999998419929286</v>
      </c>
      <c r="C1584">
        <v>0.926991261332534</v>
      </c>
      <c r="D1584">
        <v>0.884424204521959</v>
      </c>
      <c r="E1584">
        <v>0.934689271310341</v>
      </c>
      <c r="F1584">
        <v>1.06104858067807</v>
      </c>
      <c r="G1584">
        <v>0.979308274891139</v>
      </c>
      <c r="H1584">
        <v>1.04541695099693</v>
      </c>
      <c r="I1584">
        <v>0.923443365739111</v>
      </c>
      <c r="J1584">
        <v>0.787650772362579</v>
      </c>
      <c r="K1584">
        <v>0.924459092422466</v>
      </c>
      <c r="L1584">
        <v>15000</v>
      </c>
      <c r="M1584">
        <v>246.029244815697</v>
      </c>
      <c r="O1584">
        <v>60.9643210586224</v>
      </c>
      <c r="P1584">
        <v>-0.145226903749035</v>
      </c>
      <c r="Q1584">
        <v>0.8560551391861</v>
      </c>
      <c r="R1584">
        <v>0.329542897010626</v>
      </c>
      <c r="S1584" t="s">
        <v>3268</v>
      </c>
      <c r="T1584" t="s">
        <v>3344</v>
      </c>
      <c r="U1584" t="s">
        <v>3344</v>
      </c>
      <c r="V1584" t="s">
        <v>3344</v>
      </c>
      <c r="W1584" t="s">
        <v>4925</v>
      </c>
      <c r="X1584">
        <v>2</v>
      </c>
      <c r="Y1584" t="s">
        <v>6583</v>
      </c>
      <c r="Z1584" t="s">
        <v>8241</v>
      </c>
      <c r="AA1584">
        <v>0.9710751255741681</v>
      </c>
      <c r="AB1584">
        <f>HYPERLINK("Melting_Curves/meltCurve_P77330_borD.pdf", "Melting_Curves/meltCurve_P77330_borD.pdf")</f>
        <v>0</v>
      </c>
    </row>
    <row r="1585" spans="1:28">
      <c r="A1585" t="s">
        <v>1611</v>
      </c>
      <c r="B1585">
        <v>0.999998419929286</v>
      </c>
      <c r="C1585">
        <v>1.05555139868345</v>
      </c>
      <c r="D1585">
        <v>0.727233620670757</v>
      </c>
      <c r="E1585">
        <v>0.657557523095917</v>
      </c>
      <c r="F1585">
        <v>0.654594848983456</v>
      </c>
      <c r="G1585">
        <v>0.931698793026762</v>
      </c>
      <c r="H1585">
        <v>0.949875918474261</v>
      </c>
      <c r="I1585">
        <v>1.0736768113625</v>
      </c>
      <c r="J1585">
        <v>1.2115883320717</v>
      </c>
      <c r="K1585">
        <v>1.13131264905814</v>
      </c>
      <c r="L1585">
        <v>15000</v>
      </c>
      <c r="M1585">
        <v>245.618703849765</v>
      </c>
      <c r="O1585">
        <v>61.0662189905969</v>
      </c>
      <c r="P1585">
        <v>0.172401029038063</v>
      </c>
      <c r="Q1585">
        <v>1.17145077002483</v>
      </c>
      <c r="R1585">
        <v>0.0778315590041385</v>
      </c>
      <c r="S1585" t="s">
        <v>3269</v>
      </c>
      <c r="T1585" t="s">
        <v>3344</v>
      </c>
      <c r="U1585" t="s">
        <v>3344</v>
      </c>
      <c r="V1585" t="s">
        <v>3344</v>
      </c>
      <c r="W1585" t="s">
        <v>4926</v>
      </c>
      <c r="X1585">
        <v>2</v>
      </c>
      <c r="Y1585" t="s">
        <v>6584</v>
      </c>
      <c r="Z1585" t="s">
        <v>8242</v>
      </c>
      <c r="AA1585">
        <v>1.033869535005923</v>
      </c>
      <c r="AB1585">
        <f>HYPERLINK("Melting_Curves/meltCurve_P77338_mscK.pdf", "Melting_Curves/meltCurve_P77338_mscK.pdf")</f>
        <v>0</v>
      </c>
    </row>
    <row r="1586" spans="1:28">
      <c r="A1586" t="s">
        <v>1612</v>
      </c>
      <c r="B1586">
        <v>0.999998419929286</v>
      </c>
      <c r="C1586">
        <v>1.25780369016534</v>
      </c>
      <c r="D1586">
        <v>1.37649549820494</v>
      </c>
      <c r="E1586">
        <v>1.44986455446851</v>
      </c>
      <c r="F1586">
        <v>0.253527643731874</v>
      </c>
      <c r="G1586">
        <v>0.11669754005486</v>
      </c>
      <c r="H1586">
        <v>0.06276109224149461</v>
      </c>
      <c r="I1586">
        <v>0.0537460570460247</v>
      </c>
      <c r="J1586">
        <v>0.0513113412844977</v>
      </c>
      <c r="K1586">
        <v>0.044266798240306</v>
      </c>
      <c r="L1586">
        <v>12480.7172443641</v>
      </c>
      <c r="M1586">
        <v>250</v>
      </c>
      <c r="N1586">
        <v>49.9510432485076</v>
      </c>
      <c r="O1586">
        <v>49.9196637933676</v>
      </c>
      <c r="P1586">
        <v>-1.16968342292876</v>
      </c>
      <c r="Q1586">
        <v>0.0657565533763341</v>
      </c>
      <c r="R1586">
        <v>0.880252238244172</v>
      </c>
      <c r="S1586" t="s">
        <v>3270</v>
      </c>
      <c r="T1586" t="s">
        <v>3344</v>
      </c>
      <c r="U1586" t="s">
        <v>3344</v>
      </c>
      <c r="V1586" t="s">
        <v>3344</v>
      </c>
      <c r="W1586" t="s">
        <v>4927</v>
      </c>
      <c r="X1586">
        <v>10</v>
      </c>
      <c r="Y1586" t="s">
        <v>6585</v>
      </c>
      <c r="Z1586" t="s">
        <v>8243</v>
      </c>
      <c r="AA1586">
        <v>0.4682752611745796</v>
      </c>
      <c r="AB1586">
        <f>HYPERLINK("Melting_Curves/meltCurve_P77348_mppA.pdf", "Melting_Curves/meltCurve_P77348_mppA.pdf")</f>
        <v>0</v>
      </c>
    </row>
    <row r="1587" spans="1:28">
      <c r="A1587" t="s">
        <v>1613</v>
      </c>
      <c r="B1587">
        <v>0.999998419929286</v>
      </c>
      <c r="C1587">
        <v>0.774459062451251</v>
      </c>
      <c r="D1587">
        <v>0.614876127572343</v>
      </c>
      <c r="E1587">
        <v>0.336959295610493</v>
      </c>
      <c r="F1587">
        <v>0.383752220019375</v>
      </c>
      <c r="G1587">
        <v>0.251433355146972</v>
      </c>
      <c r="H1587">
        <v>0.180779730127804</v>
      </c>
      <c r="I1587">
        <v>0.211402873735415</v>
      </c>
      <c r="J1587">
        <v>0.256510509062028</v>
      </c>
      <c r="K1587">
        <v>0.191852437994892</v>
      </c>
      <c r="L1587">
        <v>664.2941480677659</v>
      </c>
      <c r="M1587">
        <v>15.5013574998538</v>
      </c>
      <c r="N1587">
        <v>44.4746879830542</v>
      </c>
      <c r="O1587">
        <v>42.1597487287675</v>
      </c>
      <c r="P1587">
        <v>-0.0720910481762015</v>
      </c>
      <c r="Q1587">
        <v>0.215792387638842</v>
      </c>
      <c r="R1587">
        <v>0.969230831826402</v>
      </c>
      <c r="S1587" t="s">
        <v>3271</v>
      </c>
      <c r="T1587" t="s">
        <v>3344</v>
      </c>
      <c r="U1587" t="s">
        <v>3344</v>
      </c>
      <c r="V1587" t="s">
        <v>3344</v>
      </c>
      <c r="W1587" t="s">
        <v>4928</v>
      </c>
      <c r="X1587">
        <v>1</v>
      </c>
      <c r="Y1587" t="s">
        <v>6586</v>
      </c>
      <c r="Z1587" t="s">
        <v>8244</v>
      </c>
      <c r="AA1587">
        <v>0.3883360297399769</v>
      </c>
      <c r="AB1587">
        <f>HYPERLINK("Melting_Curves/meltCurve_P77364_glxK.pdf", "Melting_Curves/meltCurve_P77364_glxK.pdf")</f>
        <v>0</v>
      </c>
    </row>
    <row r="1588" spans="1:28">
      <c r="A1588" t="s">
        <v>1614</v>
      </c>
      <c r="B1588">
        <v>0.999998419929286</v>
      </c>
      <c r="C1588">
        <v>0.9598886510860229</v>
      </c>
      <c r="D1588">
        <v>0.9771075732016919</v>
      </c>
      <c r="E1588">
        <v>1.00391799305042</v>
      </c>
      <c r="F1588">
        <v>0.8506650108111961</v>
      </c>
      <c r="G1588">
        <v>0.46533047857572</v>
      </c>
      <c r="H1588">
        <v>0.261895729109313</v>
      </c>
      <c r="I1588">
        <v>0.216516200430679</v>
      </c>
      <c r="J1588">
        <v>0.304489011925591</v>
      </c>
      <c r="K1588">
        <v>0.366265721939945</v>
      </c>
      <c r="L1588">
        <v>1979.8953908092</v>
      </c>
      <c r="M1588">
        <v>38.0140411140471</v>
      </c>
      <c r="N1588">
        <v>53.2620308027349</v>
      </c>
      <c r="O1588">
        <v>51.9397585600269</v>
      </c>
      <c r="P1588">
        <v>-0.130930119902843</v>
      </c>
      <c r="Q1588">
        <v>0.28442634770373</v>
      </c>
      <c r="R1588">
        <v>0.984408643815236</v>
      </c>
      <c r="S1588" t="s">
        <v>3272</v>
      </c>
      <c r="T1588" t="s">
        <v>3344</v>
      </c>
      <c r="U1588" t="s">
        <v>3344</v>
      </c>
      <c r="V1588" t="s">
        <v>3344</v>
      </c>
      <c r="W1588" t="s">
        <v>4929</v>
      </c>
      <c r="X1588">
        <v>2</v>
      </c>
      <c r="Y1588" t="s">
        <v>6587</v>
      </c>
      <c r="Z1588" t="s">
        <v>8245</v>
      </c>
      <c r="AA1588">
        <v>0.6470429108093613</v>
      </c>
      <c r="AB1588">
        <f>HYPERLINK("Melting_Curves/meltCurve_P77368_ybcL.pdf", "Melting_Curves/meltCurve_P77368_ybcL.pdf")</f>
        <v>0</v>
      </c>
    </row>
    <row r="1589" spans="1:28">
      <c r="A1589" t="s">
        <v>1615</v>
      </c>
      <c r="B1589">
        <v>0.999998419929286</v>
      </c>
      <c r="C1589">
        <v>1.16426135537938</v>
      </c>
      <c r="D1589">
        <v>1.1854785626394</v>
      </c>
      <c r="E1589">
        <v>1.42243295300124</v>
      </c>
      <c r="F1589">
        <v>1.7080523840011</v>
      </c>
      <c r="G1589">
        <v>2.15408298445777</v>
      </c>
      <c r="H1589">
        <v>2.23803991437352</v>
      </c>
      <c r="I1589">
        <v>1.79193061175196</v>
      </c>
      <c r="J1589">
        <v>2.15660994800431</v>
      </c>
      <c r="K1589">
        <v>2.29003820958949</v>
      </c>
      <c r="L1589">
        <v>1327.3350222397</v>
      </c>
      <c r="M1589">
        <v>30.7049044646671</v>
      </c>
      <c r="O1589">
        <v>43.046641175987</v>
      </c>
      <c r="P1589">
        <v>0.0891622606555041</v>
      </c>
      <c r="Q1589">
        <v>1.5</v>
      </c>
      <c r="R1589">
        <v>-0.0009964608875703269</v>
      </c>
      <c r="S1589" t="s">
        <v>3273</v>
      </c>
      <c r="T1589" t="s">
        <v>3344</v>
      </c>
      <c r="U1589" t="s">
        <v>3344</v>
      </c>
      <c r="V1589" t="s">
        <v>3344</v>
      </c>
      <c r="W1589" t="s">
        <v>4930</v>
      </c>
      <c r="X1589">
        <v>9</v>
      </c>
      <c r="Y1589" t="s">
        <v>6588</v>
      </c>
      <c r="Z1589" t="s">
        <v>8246</v>
      </c>
      <c r="AA1589">
        <v>1.393543703612163</v>
      </c>
      <c r="AB1589">
        <f>HYPERLINK("Melting_Curves/meltCurve_P77395_ybbN.pdf", "Melting_Curves/meltCurve_P77395_ybbN.pdf")</f>
        <v>0</v>
      </c>
    </row>
    <row r="1590" spans="1:28">
      <c r="A1590" t="s">
        <v>1616</v>
      </c>
      <c r="B1590">
        <v>0.999998419929286</v>
      </c>
      <c r="C1590">
        <v>0.763287191939534</v>
      </c>
      <c r="D1590">
        <v>0.959757643018589</v>
      </c>
      <c r="E1590">
        <v>0.994851295281986</v>
      </c>
      <c r="F1590">
        <v>0.95539711514436</v>
      </c>
      <c r="G1590">
        <v>0.874155496636656</v>
      </c>
      <c r="H1590">
        <v>0.624387638389249</v>
      </c>
      <c r="I1590">
        <v>0.461058257171429</v>
      </c>
      <c r="J1590">
        <v>0.331608821399325</v>
      </c>
      <c r="K1590">
        <v>0.30240538939538</v>
      </c>
      <c r="L1590">
        <v>1156.95083045061</v>
      </c>
      <c r="M1590">
        <v>20.0755750392786</v>
      </c>
      <c r="N1590">
        <v>59.7839075410144</v>
      </c>
      <c r="O1590">
        <v>57.0670930831824</v>
      </c>
      <c r="P1590">
        <v>-0.0653082103067379</v>
      </c>
      <c r="Q1590">
        <v>0.257439944855311</v>
      </c>
      <c r="R1590">
        <v>0.915160303471513</v>
      </c>
      <c r="S1590" t="s">
        <v>3274</v>
      </c>
      <c r="T1590" t="s">
        <v>3344</v>
      </c>
      <c r="U1590" t="s">
        <v>3344</v>
      </c>
      <c r="V1590" t="s">
        <v>3344</v>
      </c>
      <c r="W1590" t="s">
        <v>4931</v>
      </c>
      <c r="X1590">
        <v>3</v>
      </c>
      <c r="Y1590" t="s">
        <v>6589</v>
      </c>
      <c r="Z1590" t="s">
        <v>8247</v>
      </c>
      <c r="AA1590">
        <v>0.7737041146575062</v>
      </c>
      <c r="AB1590">
        <f>HYPERLINK("Melting_Curves/meltCurve_P77433_ykgG.pdf", "Melting_Curves/meltCurve_P77433_ykgG.pdf")</f>
        <v>0</v>
      </c>
    </row>
    <row r="1591" spans="1:28">
      <c r="A1591" t="s">
        <v>1617</v>
      </c>
      <c r="B1591">
        <v>0.999998419929286</v>
      </c>
      <c r="C1591">
        <v>1.05440801757409</v>
      </c>
      <c r="D1591">
        <v>0.592555731589395</v>
      </c>
      <c r="E1591">
        <v>0.445187055136425</v>
      </c>
      <c r="F1591">
        <v>0.283947001606306</v>
      </c>
      <c r="G1591">
        <v>0.200175947280001</v>
      </c>
      <c r="H1591">
        <v>0.128314279903203</v>
      </c>
      <c r="I1591">
        <v>0.106945137048126</v>
      </c>
      <c r="J1591">
        <v>0.0805335604282553</v>
      </c>
      <c r="K1591">
        <v>0.124027444805415</v>
      </c>
      <c r="L1591">
        <v>749.636463915594</v>
      </c>
      <c r="M1591">
        <v>16.698231390432</v>
      </c>
      <c r="N1591">
        <v>45.5986147630002</v>
      </c>
      <c r="O1591">
        <v>44.2641283594134</v>
      </c>
      <c r="P1591">
        <v>-0.08358015102499911</v>
      </c>
      <c r="Q1591">
        <v>0.113832498432499</v>
      </c>
      <c r="R1591">
        <v>0.9644697573362651</v>
      </c>
      <c r="S1591" t="s">
        <v>3275</v>
      </c>
      <c r="T1591" t="s">
        <v>3344</v>
      </c>
      <c r="U1591" t="s">
        <v>3344</v>
      </c>
      <c r="V1591" t="s">
        <v>3344</v>
      </c>
      <c r="W1591" t="s">
        <v>4932</v>
      </c>
      <c r="X1591">
        <v>2</v>
      </c>
      <c r="Y1591" t="s">
        <v>6590</v>
      </c>
      <c r="Z1591" t="s">
        <v>8248</v>
      </c>
      <c r="AA1591">
        <v>0.3640007192107219</v>
      </c>
      <c r="AB1591">
        <f>HYPERLINK("Melting_Curves/meltCurve_P77444_sufS.pdf", "Melting_Curves/meltCurve_P77444_sufS.pdf")</f>
        <v>0</v>
      </c>
    </row>
    <row r="1592" spans="1:28">
      <c r="A1592" t="s">
        <v>1618</v>
      </c>
      <c r="B1592">
        <v>0.999998419929286</v>
      </c>
      <c r="C1592">
        <v>0.912725368754895</v>
      </c>
      <c r="D1592">
        <v>0.807131197580206</v>
      </c>
      <c r="E1592">
        <v>0.652992863808479</v>
      </c>
      <c r="F1592">
        <v>0.364608464987378</v>
      </c>
      <c r="G1592">
        <v>0.178645930673978</v>
      </c>
      <c r="H1592">
        <v>0.0867455276698782</v>
      </c>
      <c r="I1592">
        <v>0.0488728982567812</v>
      </c>
      <c r="J1592">
        <v>0.0470486906124333</v>
      </c>
      <c r="K1592">
        <v>0.044517654991244</v>
      </c>
      <c r="L1592">
        <v>657.414187712183</v>
      </c>
      <c r="M1592">
        <v>13.6582897447014</v>
      </c>
      <c r="N1592">
        <v>48.1664816673372</v>
      </c>
      <c r="O1592">
        <v>47.1363452602448</v>
      </c>
      <c r="P1592">
        <v>-0.07210839532511409</v>
      </c>
      <c r="Q1592">
        <v>0.00472742312471246</v>
      </c>
      <c r="R1592">
        <v>0.996439196063385</v>
      </c>
      <c r="S1592" t="s">
        <v>3276</v>
      </c>
      <c r="T1592" t="s">
        <v>3344</v>
      </c>
      <c r="U1592" t="s">
        <v>3344</v>
      </c>
      <c r="V1592" t="s">
        <v>3344</v>
      </c>
      <c r="W1592" t="s">
        <v>4933</v>
      </c>
      <c r="X1592">
        <v>4</v>
      </c>
      <c r="Y1592" t="s">
        <v>6591</v>
      </c>
      <c r="Z1592" t="s">
        <v>8249</v>
      </c>
      <c r="AA1592">
        <v>0.3995208317939647</v>
      </c>
      <c r="AB1592">
        <f>HYPERLINK("Melting_Curves/meltCurve_P77454_glsA1.pdf", "Melting_Curves/meltCurve_P77454_glsA1.pdf")</f>
        <v>0</v>
      </c>
    </row>
    <row r="1593" spans="1:28">
      <c r="A1593" t="s">
        <v>1619</v>
      </c>
      <c r="B1593">
        <v>0.999998419929286</v>
      </c>
      <c r="C1593">
        <v>1.14302549330299</v>
      </c>
      <c r="D1593">
        <v>0.717372767085365</v>
      </c>
      <c r="E1593">
        <v>0.370840263085308</v>
      </c>
      <c r="F1593">
        <v>0.184863359363548</v>
      </c>
      <c r="G1593">
        <v>0.152171234456705</v>
      </c>
      <c r="H1593">
        <v>0.07477304607003921</v>
      </c>
      <c r="I1593">
        <v>0.0423369540281205</v>
      </c>
      <c r="J1593">
        <v>0.0560632424656944</v>
      </c>
      <c r="K1593">
        <v>0.0427310948918209</v>
      </c>
      <c r="L1593">
        <v>1065.46857535354</v>
      </c>
      <c r="M1593">
        <v>23.6086011793577</v>
      </c>
      <c r="N1593">
        <v>45.4313017156667</v>
      </c>
      <c r="O1593">
        <v>44.8104663147825</v>
      </c>
      <c r="P1593">
        <v>-0.122186418543042</v>
      </c>
      <c r="Q1593">
        <v>0.07234867801903221</v>
      </c>
      <c r="R1593">
        <v>0.972122311471015</v>
      </c>
      <c r="S1593" t="s">
        <v>3277</v>
      </c>
      <c r="T1593" t="s">
        <v>3344</v>
      </c>
      <c r="U1593" t="s">
        <v>3344</v>
      </c>
      <c r="V1593" t="s">
        <v>3344</v>
      </c>
      <c r="W1593" t="s">
        <v>4934</v>
      </c>
      <c r="X1593">
        <v>6</v>
      </c>
      <c r="Y1593" t="s">
        <v>6592</v>
      </c>
      <c r="Z1593" t="s">
        <v>8250</v>
      </c>
      <c r="AA1593">
        <v>0.332351882856969</v>
      </c>
      <c r="AB1593">
        <f>HYPERLINK("Melting_Curves/meltCurve_P77488_dxs.pdf", "Melting_Curves/meltCurve_P77488_dxs.pdf")</f>
        <v>0</v>
      </c>
    </row>
    <row r="1594" spans="1:28">
      <c r="A1594" t="s">
        <v>1620</v>
      </c>
      <c r="B1594">
        <v>0.999998419929286</v>
      </c>
      <c r="C1594">
        <v>1.2175595688854</v>
      </c>
      <c r="D1594">
        <v>0.583176998716427</v>
      </c>
      <c r="E1594">
        <v>0.970048253307095</v>
      </c>
      <c r="F1594">
        <v>0.460412066023458</v>
      </c>
      <c r="G1594">
        <v>0.28895732336067</v>
      </c>
      <c r="H1594">
        <v>0.149895026620472</v>
      </c>
      <c r="I1594">
        <v>0.0890986862721644</v>
      </c>
      <c r="J1594">
        <v>0.0851258273117303</v>
      </c>
      <c r="K1594">
        <v>0.0889516897027168</v>
      </c>
      <c r="L1594">
        <v>806.4153679835709</v>
      </c>
      <c r="M1594">
        <v>16.097642346465</v>
      </c>
      <c r="N1594">
        <v>50.4395181852708</v>
      </c>
      <c r="O1594">
        <v>49.3412977121452</v>
      </c>
      <c r="P1594">
        <v>-0.0773252165972705</v>
      </c>
      <c r="Q1594">
        <v>0.0520265534095085</v>
      </c>
      <c r="R1594">
        <v>0.868641540153417</v>
      </c>
      <c r="S1594" t="s">
        <v>3278</v>
      </c>
      <c r="T1594" t="s">
        <v>3344</v>
      </c>
      <c r="U1594" t="s">
        <v>3344</v>
      </c>
      <c r="V1594" t="s">
        <v>3344</v>
      </c>
      <c r="W1594" t="s">
        <v>4935</v>
      </c>
      <c r="X1594">
        <v>4</v>
      </c>
      <c r="Y1594" t="s">
        <v>6593</v>
      </c>
      <c r="Z1594" t="s">
        <v>8251</v>
      </c>
      <c r="AA1594">
        <v>0.4836224910957423</v>
      </c>
      <c r="AB1594">
        <f>HYPERLINK("Melting_Curves/meltCurve_P77499_sufC.pdf", "Melting_Curves/meltCurve_P77499_sufC.pdf")</f>
        <v>0</v>
      </c>
    </row>
    <row r="1595" spans="1:28">
      <c r="A1595" t="s">
        <v>1621</v>
      </c>
      <c r="B1595">
        <v>0.999998419929286</v>
      </c>
      <c r="C1595">
        <v>1.25972417512095</v>
      </c>
      <c r="D1595">
        <v>0.853265695571554</v>
      </c>
      <c r="E1595">
        <v>0.650261563551419</v>
      </c>
      <c r="F1595">
        <v>0.417328045833221</v>
      </c>
      <c r="G1595">
        <v>0.437035089042562</v>
      </c>
      <c r="H1595">
        <v>0.295613027104057</v>
      </c>
      <c r="I1595">
        <v>0.25584448264441</v>
      </c>
      <c r="J1595">
        <v>0.151224078004851</v>
      </c>
      <c r="K1595">
        <v>0.167066263089046</v>
      </c>
      <c r="L1595">
        <v>776.58878431069</v>
      </c>
      <c r="M1595">
        <v>16.1903762501829</v>
      </c>
      <c r="N1595">
        <v>49.5911299233064</v>
      </c>
      <c r="O1595">
        <v>47.2522222806211</v>
      </c>
      <c r="P1595">
        <v>-0.0680308265166924</v>
      </c>
      <c r="Q1595">
        <v>0.205857515175528</v>
      </c>
      <c r="R1595">
        <v>0.914034600656756</v>
      </c>
      <c r="S1595" t="s">
        <v>3279</v>
      </c>
      <c r="T1595" t="s">
        <v>3344</v>
      </c>
      <c r="U1595" t="s">
        <v>3344</v>
      </c>
      <c r="V1595" t="s">
        <v>3344</v>
      </c>
      <c r="W1595" t="s">
        <v>4936</v>
      </c>
      <c r="X1595">
        <v>3</v>
      </c>
      <c r="Y1595" t="s">
        <v>6594</v>
      </c>
      <c r="Z1595" t="s">
        <v>8252</v>
      </c>
      <c r="AA1595">
        <v>0.5114948067040351</v>
      </c>
      <c r="AB1595">
        <f>HYPERLINK("Melting_Curves/meltCurve_P77522_sufB.pdf", "Melting_Curves/meltCurve_P77522_sufB.pdf")</f>
        <v>0</v>
      </c>
    </row>
    <row r="1596" spans="1:28">
      <c r="A1596" t="s">
        <v>1622</v>
      </c>
      <c r="B1596">
        <v>0.999998419929286</v>
      </c>
      <c r="C1596">
        <v>1.11637775712073</v>
      </c>
      <c r="D1596">
        <v>1.00926548409052</v>
      </c>
      <c r="E1596">
        <v>1.44240343945901</v>
      </c>
      <c r="F1596">
        <v>1.44015499543361</v>
      </c>
      <c r="G1596">
        <v>1.7939738710708</v>
      </c>
      <c r="H1596">
        <v>1.5425088709163</v>
      </c>
      <c r="I1596">
        <v>0.867270166382316</v>
      </c>
      <c r="J1596">
        <v>0.450154534005209</v>
      </c>
      <c r="K1596">
        <v>0.308329385676824</v>
      </c>
      <c r="L1596">
        <v>4055.66782473064</v>
      </c>
      <c r="M1596">
        <v>64.7605923781024</v>
      </c>
      <c r="N1596">
        <v>63.5646893264572</v>
      </c>
      <c r="O1596">
        <v>62.5659175187263</v>
      </c>
      <c r="P1596">
        <v>-0.179084662954707</v>
      </c>
      <c r="Q1596">
        <v>0.307937600773468</v>
      </c>
      <c r="R1596">
        <v>0.344976706156004</v>
      </c>
      <c r="S1596" t="s">
        <v>3280</v>
      </c>
      <c r="T1596" t="s">
        <v>3344</v>
      </c>
      <c r="U1596" t="s">
        <v>3344</v>
      </c>
      <c r="V1596" t="s">
        <v>3344</v>
      </c>
      <c r="W1596" t="s">
        <v>4937</v>
      </c>
      <c r="X1596">
        <v>2</v>
      </c>
      <c r="Y1596" t="s">
        <v>6595</v>
      </c>
      <c r="Z1596" t="s">
        <v>8253</v>
      </c>
      <c r="AA1596">
        <v>0.8998415401358474</v>
      </c>
      <c r="AB1596">
        <f>HYPERLINK("Melting_Curves/meltCurve_P77526_yfcG.pdf", "Melting_Curves/meltCurve_P77526_yfcG.pdf")</f>
        <v>0</v>
      </c>
    </row>
    <row r="1597" spans="1:28">
      <c r="A1597" t="s">
        <v>1623</v>
      </c>
      <c r="B1597">
        <v>0.999998419929286</v>
      </c>
      <c r="C1597">
        <v>0.882794832830852</v>
      </c>
      <c r="D1597">
        <v>0.669379682771325</v>
      </c>
      <c r="E1597">
        <v>0.454210403291273</v>
      </c>
      <c r="F1597">
        <v>0.359122814247545</v>
      </c>
      <c r="G1597">
        <v>0.327714841588325</v>
      </c>
      <c r="H1597">
        <v>0.322791836189441</v>
      </c>
      <c r="I1597">
        <v>0.275912853337807</v>
      </c>
      <c r="J1597">
        <v>0.26730962065098</v>
      </c>
      <c r="K1597">
        <v>0.277396980368142</v>
      </c>
      <c r="L1597">
        <v>767.280638474841</v>
      </c>
      <c r="M1597">
        <v>17.631686478956</v>
      </c>
      <c r="N1597">
        <v>45.7249492094531</v>
      </c>
      <c r="O1597">
        <v>42.9689358032225</v>
      </c>
      <c r="P1597">
        <v>-0.0731895658726827</v>
      </c>
      <c r="Q1597">
        <v>0.286577768182658</v>
      </c>
      <c r="R1597">
        <v>0.995451514064533</v>
      </c>
      <c r="S1597" t="s">
        <v>3281</v>
      </c>
      <c r="T1597" t="s">
        <v>3344</v>
      </c>
      <c r="U1597" t="s">
        <v>3344</v>
      </c>
      <c r="V1597" t="s">
        <v>3344</v>
      </c>
      <c r="W1597" t="s">
        <v>4938</v>
      </c>
      <c r="X1597">
        <v>2</v>
      </c>
      <c r="Y1597" t="s">
        <v>6596</v>
      </c>
      <c r="Z1597" t="s">
        <v>8254</v>
      </c>
      <c r="AA1597">
        <v>0.4544007157251783</v>
      </c>
      <c r="AB1597">
        <f>HYPERLINK("Melting_Curves/meltCurve_P77529_ydjN.pdf", "Melting_Curves/meltCurve_P77529_ydjN.pdf")</f>
        <v>0</v>
      </c>
    </row>
    <row r="1598" spans="1:28">
      <c r="A1598" t="s">
        <v>1624</v>
      </c>
      <c r="B1598">
        <v>0.999998419929286</v>
      </c>
      <c r="C1598">
        <v>0.7976145501169219</v>
      </c>
      <c r="D1598">
        <v>0.219154012413559</v>
      </c>
      <c r="E1598">
        <v>0.1555855167693</v>
      </c>
      <c r="F1598">
        <v>0.125581473482752</v>
      </c>
      <c r="G1598">
        <v>0.160447240747644</v>
      </c>
      <c r="H1598">
        <v>0.0899379579052569</v>
      </c>
      <c r="I1598">
        <v>0.085086031932288</v>
      </c>
      <c r="J1598">
        <v>0.103419146421917</v>
      </c>
      <c r="K1598">
        <v>0.0756974589004784</v>
      </c>
      <c r="L1598">
        <v>1753.83125611568</v>
      </c>
      <c r="M1598">
        <v>42.7389828116729</v>
      </c>
      <c r="N1598">
        <v>41.2818259703908</v>
      </c>
      <c r="O1598">
        <v>40.9463339302061</v>
      </c>
      <c r="P1598">
        <v>-0.231615451410634</v>
      </c>
      <c r="Q1598">
        <v>0.112399253461074</v>
      </c>
      <c r="R1598">
        <v>0.99327646208908</v>
      </c>
      <c r="S1598" t="s">
        <v>3282</v>
      </c>
      <c r="T1598" t="s">
        <v>3344</v>
      </c>
      <c r="U1598" t="s">
        <v>3344</v>
      </c>
      <c r="V1598" t="s">
        <v>3344</v>
      </c>
      <c r="W1598" t="s">
        <v>4939</v>
      </c>
      <c r="X1598">
        <v>3</v>
      </c>
      <c r="Y1598" t="s">
        <v>6597</v>
      </c>
      <c r="Z1598" t="s">
        <v>8255</v>
      </c>
      <c r="AA1598">
        <v>0.2342193127673819</v>
      </c>
      <c r="AB1598">
        <f>HYPERLINK("Melting_Curves/meltCurve_P77541_prpB.pdf", "Melting_Curves/meltCurve_P77541_prpB.pdf")</f>
        <v>0</v>
      </c>
    </row>
    <row r="1599" spans="1:28">
      <c r="A1599" t="s">
        <v>1625</v>
      </c>
      <c r="B1599">
        <v>0.999998419929286</v>
      </c>
      <c r="C1599">
        <v>0.612532769857671</v>
      </c>
      <c r="D1599">
        <v>0.245229664386435</v>
      </c>
      <c r="E1599">
        <v>0.06988662817790479</v>
      </c>
      <c r="F1599">
        <v>0.0480684760436024</v>
      </c>
      <c r="G1599">
        <v>0.0450051379519684</v>
      </c>
      <c r="H1599">
        <v>0.0314951662925355</v>
      </c>
      <c r="I1599">
        <v>0.0292636166693634</v>
      </c>
      <c r="J1599">
        <v>0.0272157305155311</v>
      </c>
      <c r="K1599">
        <v>0.0341755919669486</v>
      </c>
      <c r="L1599">
        <v>1094.98682880856</v>
      </c>
      <c r="M1599">
        <v>26.9061874954342</v>
      </c>
      <c r="N1599">
        <v>40.8125498694416</v>
      </c>
      <c r="O1599">
        <v>40.4736623633452</v>
      </c>
      <c r="P1599">
        <v>-0.160075255661848</v>
      </c>
      <c r="Q1599">
        <v>0.0368362536347136</v>
      </c>
      <c r="R1599">
        <v>0.994285833096484</v>
      </c>
      <c r="S1599" t="s">
        <v>3283</v>
      </c>
      <c r="T1599" t="s">
        <v>3344</v>
      </c>
      <c r="U1599" t="s">
        <v>3344</v>
      </c>
      <c r="V1599" t="s">
        <v>3344</v>
      </c>
      <c r="W1599" t="s">
        <v>4940</v>
      </c>
      <c r="X1599">
        <v>1</v>
      </c>
      <c r="Y1599" t="s">
        <v>6598</v>
      </c>
      <c r="Z1599" t="s">
        <v>8256</v>
      </c>
      <c r="AA1599">
        <v>0.1640415367057436</v>
      </c>
      <c r="AB1599">
        <f>HYPERLINK("Melting_Curves/meltCurve_P77544_yfcF.pdf", "Melting_Curves/meltCurve_P77544_yfcF.pdf")</f>
        <v>0</v>
      </c>
    </row>
    <row r="1600" spans="1:28">
      <c r="A1600" t="s">
        <v>1626</v>
      </c>
      <c r="B1600">
        <v>0.999998419929286</v>
      </c>
      <c r="C1600">
        <v>1.10281110958481</v>
      </c>
      <c r="D1600">
        <v>1.2565056591527</v>
      </c>
      <c r="E1600">
        <v>1.48631417819876</v>
      </c>
      <c r="F1600">
        <v>1.67767423939796</v>
      </c>
      <c r="G1600">
        <v>1.80855583318277</v>
      </c>
      <c r="H1600">
        <v>1.61318977626922</v>
      </c>
      <c r="I1600">
        <v>1.15632318232688</v>
      </c>
      <c r="J1600">
        <v>1.26932794378337</v>
      </c>
      <c r="K1600">
        <v>1.14726087817223</v>
      </c>
      <c r="L1600">
        <v>1402.33652366418</v>
      </c>
      <c r="M1600">
        <v>33.239201127249</v>
      </c>
      <c r="O1600">
        <v>42.0374183512243</v>
      </c>
      <c r="P1600">
        <v>0.0891683023996914</v>
      </c>
      <c r="Q1600">
        <v>1.45108041812594</v>
      </c>
      <c r="R1600">
        <v>0.377376049717399</v>
      </c>
      <c r="S1600" t="s">
        <v>3284</v>
      </c>
      <c r="T1600" t="s">
        <v>3344</v>
      </c>
      <c r="U1600" t="s">
        <v>3344</v>
      </c>
      <c r="V1600" t="s">
        <v>3344</v>
      </c>
      <c r="W1600" t="s">
        <v>4941</v>
      </c>
      <c r="X1600">
        <v>9</v>
      </c>
      <c r="Y1600" t="s">
        <v>6599</v>
      </c>
      <c r="Z1600" t="s">
        <v>8257</v>
      </c>
      <c r="AA1600">
        <v>1.371010707167289</v>
      </c>
      <c r="AB1600">
        <f>HYPERLINK("Melting_Curves/meltCurve_P77552_ydhQ.pdf", "Melting_Curves/meltCurve_P77552_ydhQ.pdf")</f>
        <v>0</v>
      </c>
    </row>
    <row r="1601" spans="1:28">
      <c r="A1601" t="s">
        <v>1627</v>
      </c>
      <c r="B1601">
        <v>0.999998419929286</v>
      </c>
      <c r="C1601">
        <v>0.988269938610321</v>
      </c>
      <c r="D1601">
        <v>0.997297376098803</v>
      </c>
      <c r="E1601">
        <v>1.00475703011954</v>
      </c>
      <c r="F1601">
        <v>0.88064100171449</v>
      </c>
      <c r="G1601">
        <v>0.760934202650234</v>
      </c>
      <c r="H1601">
        <v>0.38455187428573</v>
      </c>
      <c r="I1601">
        <v>0.142166270986527</v>
      </c>
      <c r="J1601">
        <v>0.0986735942954609</v>
      </c>
      <c r="K1601">
        <v>0.113120536548236</v>
      </c>
      <c r="L1601">
        <v>1378.8918784936</v>
      </c>
      <c r="M1601">
        <v>24.7126651564338</v>
      </c>
      <c r="N1601">
        <v>56.1421329796395</v>
      </c>
      <c r="O1601">
        <v>55.4354585307419</v>
      </c>
      <c r="P1601">
        <v>-0.10359484202299</v>
      </c>
      <c r="Q1601">
        <v>0.070477150961503</v>
      </c>
      <c r="R1601">
        <v>0.995405063841902</v>
      </c>
      <c r="S1601" t="s">
        <v>3285</v>
      </c>
      <c r="T1601" t="s">
        <v>3344</v>
      </c>
      <c r="U1601" t="s">
        <v>3344</v>
      </c>
      <c r="V1601" t="s">
        <v>3344</v>
      </c>
      <c r="W1601" t="s">
        <v>4942</v>
      </c>
      <c r="X1601">
        <v>4</v>
      </c>
      <c r="Y1601" t="s">
        <v>6600</v>
      </c>
      <c r="Z1601" t="s">
        <v>8258</v>
      </c>
      <c r="AA1601">
        <v>0.6606285947513257</v>
      </c>
      <c r="AB1601">
        <f>HYPERLINK("Melting_Curves/meltCurve_P77554_yahJ.pdf", "Melting_Curves/meltCurve_P77554_yahJ.pdf")</f>
        <v>0</v>
      </c>
    </row>
    <row r="1602" spans="1:28">
      <c r="A1602" t="s">
        <v>1628</v>
      </c>
      <c r="B1602">
        <v>0.999998419929286</v>
      </c>
      <c r="C1602">
        <v>0.9125596941686021</v>
      </c>
      <c r="D1602">
        <v>0.652582956371527</v>
      </c>
      <c r="E1602">
        <v>0.606164374861399</v>
      </c>
      <c r="F1602">
        <v>0.501502819137376</v>
      </c>
      <c r="G1602">
        <v>0.420156091897737</v>
      </c>
      <c r="H1602">
        <v>0.359894588829817</v>
      </c>
      <c r="I1602">
        <v>0.339303997159803</v>
      </c>
      <c r="J1602">
        <v>0.315653661057234</v>
      </c>
      <c r="K1602">
        <v>0.304353819157375</v>
      </c>
      <c r="L1602">
        <v>499.034331693475</v>
      </c>
      <c r="M1602">
        <v>11.0517534537723</v>
      </c>
      <c r="N1602">
        <v>49.2518494779519</v>
      </c>
      <c r="O1602">
        <v>43.7515123998773</v>
      </c>
      <c r="P1602">
        <v>-0.0441802238430427</v>
      </c>
      <c r="Q1602">
        <v>0.300631752046451</v>
      </c>
      <c r="R1602">
        <v>0.972704533041952</v>
      </c>
      <c r="S1602" t="s">
        <v>3286</v>
      </c>
      <c r="T1602" t="s">
        <v>3344</v>
      </c>
      <c r="U1602" t="s">
        <v>3344</v>
      </c>
      <c r="V1602" t="s">
        <v>3344</v>
      </c>
      <c r="W1602" t="s">
        <v>4943</v>
      </c>
      <c r="X1602">
        <v>9</v>
      </c>
      <c r="Y1602" t="s">
        <v>6601</v>
      </c>
      <c r="Z1602" t="s">
        <v>8259</v>
      </c>
      <c r="AA1602">
        <v>0.5198334574810483</v>
      </c>
      <c r="AB1602">
        <f>HYPERLINK("Melting_Curves/meltCurve_P77581_astC.pdf", "Melting_Curves/meltCurve_P77581_astC.pdf")</f>
        <v>0</v>
      </c>
    </row>
    <row r="1603" spans="1:28">
      <c r="A1603" t="s">
        <v>1629</v>
      </c>
      <c r="B1603">
        <v>0.999998419929286</v>
      </c>
      <c r="C1603">
        <v>4.11534897664439</v>
      </c>
      <c r="D1603">
        <v>1.15656091067219</v>
      </c>
      <c r="E1603">
        <v>1.78462127915599</v>
      </c>
      <c r="F1603">
        <v>3.13832967064514</v>
      </c>
      <c r="G1603">
        <v>5.60119817961034</v>
      </c>
      <c r="H1603">
        <v>3.39636455899043</v>
      </c>
      <c r="I1603">
        <v>2.58220408593194</v>
      </c>
      <c r="J1603">
        <v>0.374986403715279</v>
      </c>
      <c r="K1603">
        <v>2.84406246380415</v>
      </c>
      <c r="L1603">
        <v>9459.503385710021</v>
      </c>
      <c r="M1603">
        <v>250</v>
      </c>
      <c r="O1603">
        <v>37.8355921914473</v>
      </c>
      <c r="P1603">
        <v>0.825941877787876</v>
      </c>
      <c r="Q1603">
        <v>1.5</v>
      </c>
      <c r="R1603">
        <v>-0.524966216395492</v>
      </c>
      <c r="S1603" t="s">
        <v>3287</v>
      </c>
      <c r="T1603" t="s">
        <v>3344</v>
      </c>
      <c r="U1603" t="s">
        <v>3344</v>
      </c>
      <c r="V1603" t="s">
        <v>3344</v>
      </c>
      <c r="W1603" t="s">
        <v>4944</v>
      </c>
      <c r="X1603">
        <v>1</v>
      </c>
      <c r="Y1603" t="s">
        <v>6602</v>
      </c>
      <c r="Z1603" t="s">
        <v>8260</v>
      </c>
      <c r="AA1603">
        <v>1.485991603285157</v>
      </c>
      <c r="AB1603">
        <f>HYPERLINK("Melting_Curves/meltCurve_P77611_rsxC.pdf", "Melting_Curves/meltCurve_P77611_rsxC.pdf")</f>
        <v>0</v>
      </c>
    </row>
    <row r="1604" spans="1:28">
      <c r="A1604" t="s">
        <v>1630</v>
      </c>
      <c r="B1604">
        <v>0.999998419929286</v>
      </c>
      <c r="C1604">
        <v>0.864814604331741</v>
      </c>
      <c r="D1604">
        <v>0.827994296737632</v>
      </c>
      <c r="E1604">
        <v>0.547045469785839</v>
      </c>
      <c r="F1604">
        <v>0.210653124034237</v>
      </c>
      <c r="G1604">
        <v>0.163682510886168</v>
      </c>
      <c r="H1604">
        <v>0.120469471416477</v>
      </c>
      <c r="I1604">
        <v>0.166370370820439</v>
      </c>
      <c r="J1604">
        <v>0.16860991521781</v>
      </c>
      <c r="K1604">
        <v>0.118363297208892</v>
      </c>
      <c r="L1604">
        <v>905.776953150511</v>
      </c>
      <c r="M1604">
        <v>19.7186988052945</v>
      </c>
      <c r="N1604">
        <v>46.6339679020909</v>
      </c>
      <c r="O1604">
        <v>45.470331222648</v>
      </c>
      <c r="P1604">
        <v>-0.09454664228658891</v>
      </c>
      <c r="Q1604">
        <v>0.127950924102249</v>
      </c>
      <c r="R1604">
        <v>0.98504342801371</v>
      </c>
      <c r="S1604" t="s">
        <v>3288</v>
      </c>
      <c r="T1604" t="s">
        <v>3344</v>
      </c>
      <c r="U1604" t="s">
        <v>3344</v>
      </c>
      <c r="V1604" t="s">
        <v>3344</v>
      </c>
      <c r="W1604" t="s">
        <v>4945</v>
      </c>
      <c r="X1604">
        <v>2</v>
      </c>
      <c r="Y1604" t="s">
        <v>6603</v>
      </c>
      <c r="Z1604" t="s">
        <v>8261</v>
      </c>
      <c r="AA1604">
        <v>0.3994084533196232</v>
      </c>
      <c r="AB1604">
        <f>HYPERLINK("Melting_Curves/meltCurve_P77625_yfbT.pdf", "Melting_Curves/meltCurve_P77625_yfbT.pdf")</f>
        <v>0</v>
      </c>
    </row>
    <row r="1605" spans="1:28">
      <c r="A1605" t="s">
        <v>1631</v>
      </c>
      <c r="B1605">
        <v>0.999998419929286</v>
      </c>
      <c r="C1605">
        <v>1.0309115067223</v>
      </c>
      <c r="D1605">
        <v>0.992850548047683</v>
      </c>
      <c r="E1605">
        <v>0.718914367940477</v>
      </c>
      <c r="F1605">
        <v>0.794755634318292</v>
      </c>
      <c r="G1605">
        <v>0.760106448642467</v>
      </c>
      <c r="H1605">
        <v>0.755725640067433</v>
      </c>
      <c r="I1605">
        <v>0.609100173917382</v>
      </c>
      <c r="J1605">
        <v>0.66196633779362</v>
      </c>
      <c r="K1605">
        <v>0.480319852389119</v>
      </c>
      <c r="L1605">
        <v>294.228509606848</v>
      </c>
      <c r="M1605">
        <v>4.60138503538628</v>
      </c>
      <c r="O1605">
        <v>54.6693218305863</v>
      </c>
      <c r="P1605">
        <v>-0.0174846572144188</v>
      </c>
      <c r="Q1605">
        <v>0.175747465183372</v>
      </c>
      <c r="R1605">
        <v>0.825714190294919</v>
      </c>
      <c r="S1605" t="s">
        <v>3289</v>
      </c>
      <c r="T1605" t="s">
        <v>3344</v>
      </c>
      <c r="U1605" t="s">
        <v>3344</v>
      </c>
      <c r="V1605" t="s">
        <v>3344</v>
      </c>
      <c r="W1605" t="s">
        <v>4946</v>
      </c>
      <c r="X1605">
        <v>3</v>
      </c>
      <c r="Y1605" t="s">
        <v>6604</v>
      </c>
      <c r="Z1605" t="s">
        <v>8262</v>
      </c>
      <c r="AA1605">
        <v>0.7778125299905078</v>
      </c>
      <c r="AB1605">
        <f>HYPERLINK("Melting_Curves/meltCurve_P77671_allB.pdf", "Melting_Curves/meltCurve_P77671_allB.pdf")</f>
        <v>0</v>
      </c>
    </row>
    <row r="1606" spans="1:28">
      <c r="A1606" t="s">
        <v>1632</v>
      </c>
      <c r="B1606">
        <v>0.999998419929286</v>
      </c>
      <c r="C1606">
        <v>1.31530836102517</v>
      </c>
      <c r="D1606">
        <v>1.30349133482445</v>
      </c>
      <c r="E1606">
        <v>1.36684797582679</v>
      </c>
      <c r="F1606">
        <v>1.3368541867112</v>
      </c>
      <c r="G1606">
        <v>1.40630642595303</v>
      </c>
      <c r="H1606">
        <v>1.2057073084279</v>
      </c>
      <c r="I1606">
        <v>1.08887160743135</v>
      </c>
      <c r="J1606">
        <v>1.02055086827167</v>
      </c>
      <c r="K1606">
        <v>0.782139379763557</v>
      </c>
      <c r="L1606">
        <v>15000</v>
      </c>
      <c r="M1606">
        <v>222.602411683334</v>
      </c>
      <c r="Q1606">
        <v>0</v>
      </c>
      <c r="R1606">
        <v>-0.77441075986563</v>
      </c>
      <c r="S1606" t="s">
        <v>3290</v>
      </c>
      <c r="T1606" t="s">
        <v>3344</v>
      </c>
      <c r="U1606" t="s">
        <v>3344</v>
      </c>
      <c r="V1606" t="s">
        <v>3344</v>
      </c>
      <c r="W1606" t="s">
        <v>4947</v>
      </c>
      <c r="X1606">
        <v>9</v>
      </c>
      <c r="Y1606" t="s">
        <v>6605</v>
      </c>
      <c r="Z1606" t="s">
        <v>8263</v>
      </c>
      <c r="AA1606">
        <v>0.9975717635309855</v>
      </c>
      <c r="AB1606">
        <f>HYPERLINK("Melting_Curves/meltCurve_P77674_prr.pdf", "Melting_Curves/meltCurve_P77674_prr.pdf")</f>
        <v>0</v>
      </c>
    </row>
    <row r="1607" spans="1:28">
      <c r="A1607" t="s">
        <v>1633</v>
      </c>
      <c r="B1607">
        <v>0.999998419929286</v>
      </c>
      <c r="C1607">
        <v>1.20358068431738</v>
      </c>
      <c r="D1607">
        <v>0.93870141829469</v>
      </c>
      <c r="E1607">
        <v>0.546265871932013</v>
      </c>
      <c r="F1607">
        <v>0.338405870580157</v>
      </c>
      <c r="G1607">
        <v>0.279411904348774</v>
      </c>
      <c r="H1607">
        <v>0.199045360147083</v>
      </c>
      <c r="I1607">
        <v>0.166290755056294</v>
      </c>
      <c r="J1607">
        <v>0.166034848902934</v>
      </c>
      <c r="K1607">
        <v>0.16103819946509</v>
      </c>
      <c r="L1607">
        <v>1241.69909276431</v>
      </c>
      <c r="M1607">
        <v>26.6808885481465</v>
      </c>
      <c r="N1607">
        <v>47.4033485426228</v>
      </c>
      <c r="O1607">
        <v>46.2798402205164</v>
      </c>
      <c r="P1607">
        <v>-0.116365926593424</v>
      </c>
      <c r="Q1607">
        <v>0.192629917830356</v>
      </c>
      <c r="R1607">
        <v>0.960907556279947</v>
      </c>
      <c r="S1607" t="s">
        <v>3291</v>
      </c>
      <c r="T1607" t="s">
        <v>3344</v>
      </c>
      <c r="U1607" t="s">
        <v>3344</v>
      </c>
      <c r="V1607" t="s">
        <v>3344</v>
      </c>
      <c r="W1607" t="s">
        <v>4948</v>
      </c>
      <c r="X1607">
        <v>2</v>
      </c>
      <c r="Y1607" t="s">
        <v>6606</v>
      </c>
      <c r="Z1607" t="s">
        <v>8264</v>
      </c>
      <c r="AA1607">
        <v>0.4552468831133912</v>
      </c>
      <c r="AB1607">
        <f>HYPERLINK("Melting_Curves/meltCurve_P77689_sufD.pdf", "Melting_Curves/meltCurve_P77689_sufD.pdf")</f>
        <v>0</v>
      </c>
    </row>
    <row r="1608" spans="1:28">
      <c r="A1608" t="s">
        <v>1634</v>
      </c>
      <c r="B1608">
        <v>0.999998419929286</v>
      </c>
      <c r="C1608">
        <v>0.870956712691456</v>
      </c>
      <c r="D1608">
        <v>0.889950250804077</v>
      </c>
      <c r="E1608">
        <v>0.978677528521108</v>
      </c>
      <c r="F1608">
        <v>1.13898156494986</v>
      </c>
      <c r="G1608">
        <v>1.2657586609194</v>
      </c>
      <c r="H1608">
        <v>1.21870823739584</v>
      </c>
      <c r="I1608">
        <v>1.12432072059641</v>
      </c>
      <c r="J1608">
        <v>1.09935876791979</v>
      </c>
      <c r="K1608">
        <v>1.16784151684176</v>
      </c>
      <c r="L1608">
        <v>12482.4890289133</v>
      </c>
      <c r="M1608">
        <v>250</v>
      </c>
      <c r="O1608">
        <v>49.9267388324798</v>
      </c>
      <c r="P1608">
        <v>0.219318227934181</v>
      </c>
      <c r="Q1608">
        <v>1.17519758006873</v>
      </c>
      <c r="R1608">
        <v>0.708321995403363</v>
      </c>
      <c r="S1608" t="s">
        <v>3292</v>
      </c>
      <c r="T1608" t="s">
        <v>3344</v>
      </c>
      <c r="U1608" t="s">
        <v>3344</v>
      </c>
      <c r="V1608" t="s">
        <v>3344</v>
      </c>
      <c r="W1608" t="s">
        <v>4949</v>
      </c>
      <c r="X1608">
        <v>7</v>
      </c>
      <c r="Y1608" t="s">
        <v>6607</v>
      </c>
      <c r="Z1608" t="s">
        <v>8265</v>
      </c>
      <c r="AA1608">
        <v>1.09967232742516</v>
      </c>
      <c r="AB1608">
        <f>HYPERLINK("Melting_Curves/meltCurve_P77695_gnsB.pdf", "Melting_Curves/meltCurve_P77695_gnsB.pdf")</f>
        <v>0</v>
      </c>
    </row>
    <row r="1609" spans="1:28">
      <c r="A1609" t="s">
        <v>1635</v>
      </c>
      <c r="B1609">
        <v>0.999998419929286</v>
      </c>
      <c r="C1609">
        <v>0.712810680769699</v>
      </c>
      <c r="D1609">
        <v>0.84714474325388</v>
      </c>
      <c r="E1609">
        <v>0.662665112686228</v>
      </c>
      <c r="F1609">
        <v>0.664165314975638</v>
      </c>
      <c r="G1609">
        <v>0.742918450231145</v>
      </c>
      <c r="H1609">
        <v>0.63615294141763</v>
      </c>
      <c r="I1609">
        <v>0.601564302943653</v>
      </c>
      <c r="J1609">
        <v>0.71693178796171</v>
      </c>
      <c r="K1609">
        <v>0.781959833717097</v>
      </c>
      <c r="L1609">
        <v>5820.67922505949</v>
      </c>
      <c r="M1609">
        <v>149.728373032482</v>
      </c>
      <c r="O1609">
        <v>38.8679678041794</v>
      </c>
      <c r="P1609">
        <v>-0.282477298292394</v>
      </c>
      <c r="Q1609">
        <v>0.706686858512762</v>
      </c>
      <c r="R1609">
        <v>0.6233712488872299</v>
      </c>
      <c r="S1609" t="s">
        <v>3293</v>
      </c>
      <c r="T1609" t="s">
        <v>3344</v>
      </c>
      <c r="U1609" t="s">
        <v>3344</v>
      </c>
      <c r="V1609" t="s">
        <v>3344</v>
      </c>
      <c r="W1609" t="s">
        <v>4950</v>
      </c>
      <c r="X1609">
        <v>1</v>
      </c>
      <c r="Y1609" t="s">
        <v>6608</v>
      </c>
      <c r="Z1609" t="s">
        <v>8266</v>
      </c>
      <c r="AA1609">
        <v>0.7250751549840918</v>
      </c>
      <c r="AB1609">
        <f>HYPERLINK("Melting_Curves/meltCurve_P77712_fadM.pdf", "Melting_Curves/meltCurve_P77712_fadM.pdf")</f>
        <v>0</v>
      </c>
    </row>
    <row r="1610" spans="1:28">
      <c r="A1610" t="s">
        <v>1636</v>
      </c>
      <c r="B1610">
        <v>0.999998419929286</v>
      </c>
      <c r="C1610">
        <v>1.53351882164463</v>
      </c>
      <c r="D1610">
        <v>1.13856903321066</v>
      </c>
      <c r="E1610">
        <v>0.513271934036459</v>
      </c>
      <c r="F1610">
        <v>0.172521600596115</v>
      </c>
      <c r="G1610">
        <v>0.139054566715493</v>
      </c>
      <c r="H1610">
        <v>0.147431727329393</v>
      </c>
      <c r="I1610">
        <v>0.108641509553195</v>
      </c>
      <c r="J1610">
        <v>0.06708422523387141</v>
      </c>
      <c r="K1610">
        <v>0.0498861840213949</v>
      </c>
      <c r="L1610">
        <v>5497.73789073533</v>
      </c>
      <c r="M1610">
        <v>118.175101695368</v>
      </c>
      <c r="N1610">
        <v>46.62413048203</v>
      </c>
      <c r="O1610">
        <v>46.5086461930436</v>
      </c>
      <c r="P1610">
        <v>-0.562770714633217</v>
      </c>
      <c r="Q1610">
        <v>0.114070466005995</v>
      </c>
      <c r="R1610">
        <v>0.880068152145403</v>
      </c>
      <c r="S1610" t="s">
        <v>3294</v>
      </c>
      <c r="T1610" t="s">
        <v>3344</v>
      </c>
      <c r="U1610" t="s">
        <v>3344</v>
      </c>
      <c r="V1610" t="s">
        <v>3344</v>
      </c>
      <c r="W1610" t="s">
        <v>4951</v>
      </c>
      <c r="X1610">
        <v>1</v>
      </c>
      <c r="Y1610" t="s">
        <v>6609</v>
      </c>
      <c r="Z1610" t="s">
        <v>8267</v>
      </c>
      <c r="AA1610">
        <v>0.3955874141198442</v>
      </c>
      <c r="AB1610">
        <f>HYPERLINK("Melting_Curves/meltCurve_P77713_yagH.pdf", "Melting_Curves/meltCurve_P77713_yagH.pdf")</f>
        <v>0</v>
      </c>
    </row>
    <row r="1611" spans="1:28">
      <c r="A1611" t="s">
        <v>1637</v>
      </c>
      <c r="B1611">
        <v>0.999998419929286</v>
      </c>
      <c r="C1611">
        <v>0.732490139695919</v>
      </c>
      <c r="D1611">
        <v>0.812416503629209</v>
      </c>
      <c r="E1611">
        <v>0.786094912279464</v>
      </c>
      <c r="F1611">
        <v>0.842488041541815</v>
      </c>
      <c r="G1611">
        <v>0.88860998545549</v>
      </c>
      <c r="H1611">
        <v>0.614979366428522</v>
      </c>
      <c r="I1611">
        <v>0.728373366279244</v>
      </c>
      <c r="J1611">
        <v>0.653893013796313</v>
      </c>
      <c r="K1611">
        <v>0.487815814320981</v>
      </c>
      <c r="L1611">
        <v>163.940989645227</v>
      </c>
      <c r="M1611">
        <v>2.03048750492985</v>
      </c>
      <c r="O1611">
        <v>48.3999090497299</v>
      </c>
      <c r="P1611">
        <v>-0.011396232191557</v>
      </c>
      <c r="Q1611">
        <v>0</v>
      </c>
      <c r="R1611">
        <v>0.544017769465033</v>
      </c>
      <c r="S1611" t="s">
        <v>3295</v>
      </c>
      <c r="T1611" t="s">
        <v>3344</v>
      </c>
      <c r="U1611" t="s">
        <v>3344</v>
      </c>
      <c r="V1611" t="s">
        <v>3344</v>
      </c>
      <c r="W1611" t="s">
        <v>4952</v>
      </c>
      <c r="X1611">
        <v>2</v>
      </c>
      <c r="Y1611" t="s">
        <v>6610</v>
      </c>
      <c r="Z1611" t="s">
        <v>8268</v>
      </c>
      <c r="AA1611">
        <v>0.7567295114799037</v>
      </c>
      <c r="AB1611">
        <f>HYPERLINK("Melting_Curves/meltCurve_P77717_ybaY.pdf", "Melting_Curves/meltCurve_P77717_ybaY.pdf")</f>
        <v>0</v>
      </c>
    </row>
    <row r="1612" spans="1:28">
      <c r="A1612" t="s">
        <v>1638</v>
      </c>
      <c r="B1612">
        <v>0.999998419929286</v>
      </c>
      <c r="C1612">
        <v>1.15322035534046</v>
      </c>
      <c r="D1612">
        <v>0.809762560354423</v>
      </c>
      <c r="E1612">
        <v>0.450704039579756</v>
      </c>
      <c r="F1612">
        <v>0.29136025200066</v>
      </c>
      <c r="G1612">
        <v>0.216146538751542</v>
      </c>
      <c r="H1612">
        <v>0.132658853953139</v>
      </c>
      <c r="I1612">
        <v>0.100588027441364</v>
      </c>
      <c r="J1612">
        <v>0.0771851791568674</v>
      </c>
      <c r="K1612">
        <v>0.0932514187755439</v>
      </c>
      <c r="L1612">
        <v>992.313835416849</v>
      </c>
      <c r="M1612">
        <v>21.5838594527183</v>
      </c>
      <c r="N1612">
        <v>46.5464221097116</v>
      </c>
      <c r="O1612">
        <v>45.5856178614877</v>
      </c>
      <c r="P1612">
        <v>-0.104591843160466</v>
      </c>
      <c r="Q1612">
        <v>0.11641956362185</v>
      </c>
      <c r="R1612">
        <v>0.968957928475797</v>
      </c>
      <c r="S1612" t="s">
        <v>3296</v>
      </c>
      <c r="T1612" t="s">
        <v>3344</v>
      </c>
      <c r="U1612" t="s">
        <v>3344</v>
      </c>
      <c r="V1612" t="s">
        <v>3344</v>
      </c>
      <c r="W1612" t="s">
        <v>4953</v>
      </c>
      <c r="X1612">
        <v>4</v>
      </c>
      <c r="Y1612" t="s">
        <v>6611</v>
      </c>
      <c r="Z1612" t="s">
        <v>8269</v>
      </c>
      <c r="AA1612">
        <v>0.3906420602528419</v>
      </c>
      <c r="AB1612">
        <f>HYPERLINK("Melting_Curves/meltCurve_P77718_thiI.pdf", "Melting_Curves/meltCurve_P77718_thiI.pdf")</f>
        <v>0</v>
      </c>
    </row>
    <row r="1613" spans="1:28">
      <c r="A1613" t="s">
        <v>1639</v>
      </c>
      <c r="B1613">
        <v>0.999998419929286</v>
      </c>
      <c r="C1613">
        <v>0.806717752743313</v>
      </c>
      <c r="D1613">
        <v>0.627705711045182</v>
      </c>
      <c r="E1613">
        <v>0.6767089937669279</v>
      </c>
      <c r="F1613">
        <v>0.494038747455281</v>
      </c>
      <c r="G1613">
        <v>0.562069640976754</v>
      </c>
      <c r="H1613">
        <v>0.31840457678715</v>
      </c>
      <c r="I1613">
        <v>0.138664143615825</v>
      </c>
      <c r="J1613">
        <v>0.324587637092398</v>
      </c>
      <c r="K1613">
        <v>0.229208482484862</v>
      </c>
      <c r="L1613">
        <v>301.493295479247</v>
      </c>
      <c r="M1613">
        <v>6.0133560263902</v>
      </c>
      <c r="N1613">
        <v>50.9315758492191</v>
      </c>
      <c r="O1613">
        <v>45.4364504403916</v>
      </c>
      <c r="P1613">
        <v>-0.0317072515358236</v>
      </c>
      <c r="Q1613">
        <v>0.0447588657812746</v>
      </c>
      <c r="R1613">
        <v>0.88639384179895</v>
      </c>
      <c r="S1613" t="s">
        <v>3297</v>
      </c>
      <c r="T1613" t="s">
        <v>3344</v>
      </c>
      <c r="U1613" t="s">
        <v>3344</v>
      </c>
      <c r="V1613" t="s">
        <v>3344</v>
      </c>
      <c r="W1613" t="s">
        <v>4954</v>
      </c>
      <c r="X1613">
        <v>1</v>
      </c>
      <c r="Y1613" t="s">
        <v>6612</v>
      </c>
      <c r="Z1613" t="s">
        <v>8270</v>
      </c>
      <c r="AA1613">
        <v>0.507623834129173</v>
      </c>
      <c r="AB1613">
        <f>HYPERLINK("Melting_Curves/meltCurve_P77721_ydjF.pdf", "Melting_Curves/meltCurve_P77721_ydjF.pdf")</f>
        <v>0</v>
      </c>
    </row>
    <row r="1614" spans="1:28">
      <c r="A1614" t="s">
        <v>1640</v>
      </c>
      <c r="B1614">
        <v>0.999998419929286</v>
      </c>
      <c r="C1614">
        <v>0.8413391478393319</v>
      </c>
      <c r="D1614">
        <v>0.424068191566787</v>
      </c>
      <c r="E1614">
        <v>0.0906554959788516</v>
      </c>
      <c r="F1614">
        <v>0.0579231434524195</v>
      </c>
      <c r="G1614">
        <v>0.0523487749113045</v>
      </c>
      <c r="H1614">
        <v>0.0325712718361051</v>
      </c>
      <c r="I1614">
        <v>0.0315815565553751</v>
      </c>
      <c r="J1614">
        <v>0.0256993930220071</v>
      </c>
      <c r="K1614">
        <v>0.025917304173836</v>
      </c>
      <c r="L1614">
        <v>1172.33653531621</v>
      </c>
      <c r="M1614">
        <v>27.6819067855974</v>
      </c>
      <c r="N1614">
        <v>42.4558050908104</v>
      </c>
      <c r="O1614">
        <v>42.1311195096269</v>
      </c>
      <c r="P1614">
        <v>-0.158800069956845</v>
      </c>
      <c r="Q1614">
        <v>0.0332509171974637</v>
      </c>
      <c r="R1614">
        <v>0.99905047378235</v>
      </c>
      <c r="S1614" t="s">
        <v>3298</v>
      </c>
      <c r="T1614" t="s">
        <v>3344</v>
      </c>
      <c r="U1614" t="s">
        <v>3344</v>
      </c>
      <c r="V1614" t="s">
        <v>3344</v>
      </c>
      <c r="W1614" t="s">
        <v>4955</v>
      </c>
      <c r="X1614">
        <v>9</v>
      </c>
      <c r="Y1614" t="s">
        <v>6613</v>
      </c>
      <c r="Z1614" t="s">
        <v>8271</v>
      </c>
      <c r="AA1614">
        <v>0.2122692540973618</v>
      </c>
      <c r="AB1614">
        <f>HYPERLINK("Melting_Curves/meltCurve_P77735_yajO.pdf", "Melting_Curves/meltCurve_P77735_yajO.pdf")</f>
        <v>0</v>
      </c>
    </row>
    <row r="1615" spans="1:28">
      <c r="A1615" t="s">
        <v>1641</v>
      </c>
      <c r="B1615">
        <v>0.999998419929286</v>
      </c>
      <c r="C1615">
        <v>0.8230535566200879</v>
      </c>
      <c r="D1615">
        <v>0.402987119767964</v>
      </c>
      <c r="E1615">
        <v>0.240801378829967</v>
      </c>
      <c r="F1615">
        <v>0.208848242685069</v>
      </c>
      <c r="G1615">
        <v>0.15006549389496</v>
      </c>
      <c r="H1615">
        <v>0.103836555676959</v>
      </c>
      <c r="I1615">
        <v>0.103713551212043</v>
      </c>
      <c r="J1615">
        <v>0.0630180813657177</v>
      </c>
      <c r="K1615">
        <v>0.0563700768673862</v>
      </c>
      <c r="L1615">
        <v>946.317785053206</v>
      </c>
      <c r="M1615">
        <v>22.4835258501734</v>
      </c>
      <c r="N1615">
        <v>42.562411274009</v>
      </c>
      <c r="O1615">
        <v>41.7606508179294</v>
      </c>
      <c r="P1615">
        <v>-0.119720070669548</v>
      </c>
      <c r="Q1615">
        <v>0.110550976437818</v>
      </c>
      <c r="R1615">
        <v>0.981858596382977</v>
      </c>
      <c r="S1615" t="s">
        <v>3299</v>
      </c>
      <c r="T1615" t="s">
        <v>3344</v>
      </c>
      <c r="U1615" t="s">
        <v>3344</v>
      </c>
      <c r="V1615" t="s">
        <v>3344</v>
      </c>
      <c r="W1615" t="s">
        <v>4956</v>
      </c>
      <c r="X1615">
        <v>6</v>
      </c>
      <c r="Y1615" t="s">
        <v>6614</v>
      </c>
      <c r="Z1615" t="s">
        <v>8272</v>
      </c>
      <c r="AA1615">
        <v>0.2715309188712708</v>
      </c>
      <c r="AB1615">
        <f>HYPERLINK("Melting_Curves/meltCurve_P77737_oppF.pdf", "Melting_Curves/meltCurve_P77737_oppF.pdf")</f>
        <v>0</v>
      </c>
    </row>
    <row r="1616" spans="1:28">
      <c r="A1616" t="s">
        <v>1642</v>
      </c>
      <c r="B1616">
        <v>0.999998419929286</v>
      </c>
      <c r="C1616">
        <v>0.739866824237796</v>
      </c>
      <c r="D1616">
        <v>0.428738147356414</v>
      </c>
      <c r="E1616">
        <v>0.361427774696492</v>
      </c>
      <c r="F1616">
        <v>0.382419810861248</v>
      </c>
      <c r="G1616">
        <v>0.441371212846256</v>
      </c>
      <c r="H1616">
        <v>0.393673181756292</v>
      </c>
      <c r="I1616">
        <v>0.408145304011565</v>
      </c>
      <c r="J1616">
        <v>0.415677032842235</v>
      </c>
      <c r="K1616">
        <v>0.377742658457652</v>
      </c>
      <c r="L1616">
        <v>1932.66136737386</v>
      </c>
      <c r="M1616">
        <v>48.1537356211036</v>
      </c>
      <c r="N1616">
        <v>41.5056715258283</v>
      </c>
      <c r="O1616">
        <v>40.0661963025762</v>
      </c>
      <c r="P1616">
        <v>-0.180869773966149</v>
      </c>
      <c r="Q1616">
        <v>0.398031615828395</v>
      </c>
      <c r="R1616">
        <v>0.98843107687677</v>
      </c>
      <c r="S1616" t="s">
        <v>3300</v>
      </c>
      <c r="T1616" t="s">
        <v>3344</v>
      </c>
      <c r="U1616" t="s">
        <v>3344</v>
      </c>
      <c r="V1616" t="s">
        <v>3344</v>
      </c>
      <c r="W1616" t="s">
        <v>4957</v>
      </c>
      <c r="X1616">
        <v>2</v>
      </c>
      <c r="Y1616" t="s">
        <v>6615</v>
      </c>
      <c r="Z1616" t="s">
        <v>8273</v>
      </c>
      <c r="AA1616">
        <v>0.4623210347214344</v>
      </c>
      <c r="AB1616">
        <f>HYPERLINK("Melting_Curves/meltCurve_P77739_yniA.pdf", "Melting_Curves/meltCurve_P77739_yniA.pdf")</f>
        <v>0</v>
      </c>
    </row>
    <row r="1617" spans="1:28">
      <c r="A1617" t="s">
        <v>1643</v>
      </c>
      <c r="B1617">
        <v>0.999998419929286</v>
      </c>
      <c r="C1617">
        <v>1.16573447809984</v>
      </c>
      <c r="D1617">
        <v>1.01253459853037</v>
      </c>
      <c r="E1617">
        <v>0.95535934677835</v>
      </c>
      <c r="F1617">
        <v>0.843702367396941</v>
      </c>
      <c r="G1617">
        <v>0.848521143293275</v>
      </c>
      <c r="H1617">
        <v>0.63053089318378</v>
      </c>
      <c r="I1617">
        <v>0.285033599394132</v>
      </c>
      <c r="J1617">
        <v>0.101925885540625</v>
      </c>
      <c r="K1617">
        <v>0.08572557658061609</v>
      </c>
      <c r="L1617">
        <v>1154.76544339164</v>
      </c>
      <c r="M1617">
        <v>19.7814362303767</v>
      </c>
      <c r="N1617">
        <v>58.3762284609372</v>
      </c>
      <c r="O1617">
        <v>57.7894562283958</v>
      </c>
      <c r="P1617">
        <v>-0.0855783649951159</v>
      </c>
      <c r="Q1617">
        <v>0</v>
      </c>
      <c r="R1617">
        <v>0.966571886120546</v>
      </c>
      <c r="S1617" t="s">
        <v>3301</v>
      </c>
      <c r="T1617" t="s">
        <v>3344</v>
      </c>
      <c r="U1617" t="s">
        <v>3344</v>
      </c>
      <c r="V1617" t="s">
        <v>3344</v>
      </c>
      <c r="W1617" t="s">
        <v>4958</v>
      </c>
      <c r="X1617">
        <v>11</v>
      </c>
      <c r="Y1617" t="s">
        <v>6616</v>
      </c>
      <c r="Z1617" t="s">
        <v>8274</v>
      </c>
      <c r="AA1617">
        <v>0.718325625628541</v>
      </c>
      <c r="AB1617">
        <f>HYPERLINK("Melting_Curves/meltCurve_P77748_ydiJ.pdf", "Melting_Curves/meltCurve_P77748_ydiJ.pdf")</f>
        <v>0</v>
      </c>
    </row>
    <row r="1618" spans="1:28">
      <c r="A1618" t="s">
        <v>1644</v>
      </c>
      <c r="B1618">
        <v>0.999998419929286</v>
      </c>
      <c r="C1618">
        <v>1.09554753175768</v>
      </c>
      <c r="D1618">
        <v>1.11267139595297</v>
      </c>
      <c r="E1618">
        <v>1.34513792422056</v>
      </c>
      <c r="F1618">
        <v>1.33980177396374</v>
      </c>
      <c r="G1618">
        <v>1.7443632049747</v>
      </c>
      <c r="H1618">
        <v>1.69081403458689</v>
      </c>
      <c r="I1618">
        <v>1.70781390516823</v>
      </c>
      <c r="J1618">
        <v>2.20857176535914</v>
      </c>
      <c r="K1618">
        <v>2.15123252211864</v>
      </c>
      <c r="L1618">
        <v>1116.0825290189</v>
      </c>
      <c r="M1618">
        <v>24.7574659286995</v>
      </c>
      <c r="O1618">
        <v>44.7896115725176</v>
      </c>
      <c r="P1618">
        <v>0.06909474314224789</v>
      </c>
      <c r="Q1618">
        <v>1.5</v>
      </c>
      <c r="R1618">
        <v>0.342888477655616</v>
      </c>
      <c r="S1618" t="s">
        <v>3302</v>
      </c>
      <c r="T1618" t="s">
        <v>3344</v>
      </c>
      <c r="U1618" t="s">
        <v>3344</v>
      </c>
      <c r="V1618" t="s">
        <v>3344</v>
      </c>
      <c r="W1618" t="s">
        <v>4959</v>
      </c>
      <c r="X1618">
        <v>5</v>
      </c>
      <c r="Y1618" t="s">
        <v>6617</v>
      </c>
      <c r="Z1618" t="s">
        <v>8275</v>
      </c>
      <c r="AA1618">
        <v>1.361131191029531</v>
      </c>
      <c r="AB1618">
        <f>HYPERLINK("Melting_Curves/meltCurve_P77754_spy.pdf", "Melting_Curves/meltCurve_P77754_spy.pdf")</f>
        <v>0</v>
      </c>
    </row>
    <row r="1619" spans="1:28">
      <c r="A1619" t="s">
        <v>1645</v>
      </c>
      <c r="B1619">
        <v>0.999998419929286</v>
      </c>
      <c r="C1619">
        <v>1.2062407084887</v>
      </c>
      <c r="D1619">
        <v>1.1392947565635</v>
      </c>
      <c r="E1619">
        <v>1.24284107714301</v>
      </c>
      <c r="F1619">
        <v>0.770868434323267</v>
      </c>
      <c r="G1619">
        <v>0.273682687543117</v>
      </c>
      <c r="H1619">
        <v>0.111303954216169</v>
      </c>
      <c r="I1619">
        <v>0.0965780133000146</v>
      </c>
      <c r="J1619">
        <v>0.0834925346024062</v>
      </c>
      <c r="K1619">
        <v>0.0821067805001422</v>
      </c>
      <c r="L1619">
        <v>2118.62544789654</v>
      </c>
      <c r="M1619">
        <v>40.9104094963099</v>
      </c>
      <c r="N1619">
        <v>52.044821788909</v>
      </c>
      <c r="O1619">
        <v>51.6636794759069</v>
      </c>
      <c r="P1619">
        <v>-0.179803858276847</v>
      </c>
      <c r="Q1619">
        <v>0.09174114706151131</v>
      </c>
      <c r="R1619">
        <v>0.946800677626339</v>
      </c>
      <c r="S1619" t="s">
        <v>3303</v>
      </c>
      <c r="T1619" t="s">
        <v>3344</v>
      </c>
      <c r="U1619" t="s">
        <v>3344</v>
      </c>
      <c r="V1619" t="s">
        <v>3344</v>
      </c>
      <c r="W1619" t="s">
        <v>4960</v>
      </c>
      <c r="X1619">
        <v>3</v>
      </c>
      <c r="Y1619" t="s">
        <v>6618</v>
      </c>
      <c r="Z1619" t="s">
        <v>8276</v>
      </c>
      <c r="AA1619">
        <v>0.5425220080873142</v>
      </c>
      <c r="AB1619">
        <f>HYPERLINK("Melting_Curves/meltCurve_P77774_bamB.pdf", "Melting_Curves/meltCurve_P77774_bamB.pdf")</f>
        <v>0</v>
      </c>
    </row>
    <row r="1620" spans="1:28">
      <c r="A1620" t="s">
        <v>1646</v>
      </c>
      <c r="B1620">
        <v>0.999998419929286</v>
      </c>
      <c r="C1620">
        <v>0.820393439072209</v>
      </c>
      <c r="D1620">
        <v>0.396564942809774</v>
      </c>
      <c r="E1620">
        <v>0.07375047628039751</v>
      </c>
      <c r="F1620">
        <v>0.0711502111412485</v>
      </c>
      <c r="G1620">
        <v>0.06960076704484711</v>
      </c>
      <c r="H1620">
        <v>0.0485855033535764</v>
      </c>
      <c r="I1620">
        <v>0.0361104253849418</v>
      </c>
      <c r="J1620">
        <v>0.0270557081342102</v>
      </c>
      <c r="K1620">
        <v>0.0249568765826475</v>
      </c>
      <c r="L1620">
        <v>1183.8343605272</v>
      </c>
      <c r="M1620">
        <v>28.1129011757268</v>
      </c>
      <c r="N1620">
        <v>42.2378161947804</v>
      </c>
      <c r="O1620">
        <v>41.8986682557713</v>
      </c>
      <c r="P1620">
        <v>-0.160905839337392</v>
      </c>
      <c r="Q1620">
        <v>0.0407703602719717</v>
      </c>
      <c r="R1620">
        <v>0.997449512426509</v>
      </c>
      <c r="S1620" t="s">
        <v>3304</v>
      </c>
      <c r="T1620" t="s">
        <v>3344</v>
      </c>
      <c r="U1620" t="s">
        <v>3344</v>
      </c>
      <c r="V1620" t="s">
        <v>3344</v>
      </c>
      <c r="W1620" t="s">
        <v>4961</v>
      </c>
      <c r="X1620">
        <v>5</v>
      </c>
      <c r="Y1620" t="s">
        <v>6619</v>
      </c>
      <c r="Z1620" t="s">
        <v>8277</v>
      </c>
      <c r="AA1620">
        <v>0.2105725614030587</v>
      </c>
      <c r="AB1620">
        <f>HYPERLINK("Melting_Curves/meltCurve_P77775_yfcH.pdf", "Melting_Curves/meltCurve_P77775_yfcH.pdf")</f>
        <v>0</v>
      </c>
    </row>
    <row r="1621" spans="1:28">
      <c r="A1621" t="s">
        <v>1647</v>
      </c>
      <c r="B1621">
        <v>0.999998419929286</v>
      </c>
      <c r="C1621">
        <v>1.39359250629823</v>
      </c>
      <c r="D1621">
        <v>0.610220754475794</v>
      </c>
      <c r="E1621">
        <v>0.907819062314933</v>
      </c>
      <c r="F1621">
        <v>0.931674590935135</v>
      </c>
      <c r="G1621">
        <v>1.18255791873633</v>
      </c>
      <c r="H1621">
        <v>0.872329327396733</v>
      </c>
      <c r="I1621">
        <v>0.778671352035277</v>
      </c>
      <c r="J1621">
        <v>0.592227314237015</v>
      </c>
      <c r="K1621">
        <v>0.873760810621197</v>
      </c>
      <c r="L1621">
        <v>14348.3762654125</v>
      </c>
      <c r="M1621">
        <v>250</v>
      </c>
      <c r="O1621">
        <v>57.3898326783211</v>
      </c>
      <c r="P1621">
        <v>-0.274199509388154</v>
      </c>
      <c r="Q1621">
        <v>0.74821977871069</v>
      </c>
      <c r="R1621">
        <v>0.252214033892117</v>
      </c>
      <c r="S1621" t="s">
        <v>3305</v>
      </c>
      <c r="T1621" t="s">
        <v>3344</v>
      </c>
      <c r="U1621" t="s">
        <v>3344</v>
      </c>
      <c r="V1621" t="s">
        <v>3344</v>
      </c>
      <c r="W1621" t="s">
        <v>4962</v>
      </c>
      <c r="X1621">
        <v>1</v>
      </c>
      <c r="Y1621" t="s">
        <v>6620</v>
      </c>
      <c r="Z1621" t="s">
        <v>8278</v>
      </c>
      <c r="AA1621">
        <v>0.9194011797762257</v>
      </c>
      <c r="AB1621">
        <f>HYPERLINK("Melting_Curves/meltCurve_P77791_maa.pdf", "Melting_Curves/meltCurve_P77791_maa.pdf")</f>
        <v>0</v>
      </c>
    </row>
    <row r="1622" spans="1:28">
      <c r="A1622" t="s">
        <v>1648</v>
      </c>
      <c r="B1622">
        <v>0.999998419929286</v>
      </c>
      <c r="C1622">
        <v>1.32228918543592</v>
      </c>
      <c r="D1622">
        <v>1.63323542446391</v>
      </c>
      <c r="E1622">
        <v>2.09527685866257</v>
      </c>
      <c r="F1622">
        <v>2.58841845108259</v>
      </c>
      <c r="G1622">
        <v>3.21142904359542</v>
      </c>
      <c r="H1622">
        <v>2.76356792106903</v>
      </c>
      <c r="I1622">
        <v>1.23189664666501</v>
      </c>
      <c r="J1622">
        <v>0.696417759761617</v>
      </c>
      <c r="K1622">
        <v>0.555938346540943</v>
      </c>
      <c r="L1622">
        <v>860.878985033564</v>
      </c>
      <c r="M1622">
        <v>8.9592902209748</v>
      </c>
      <c r="Q1622">
        <v>0</v>
      </c>
      <c r="R1622">
        <v>-0.667871561576397</v>
      </c>
      <c r="S1622" t="s">
        <v>3306</v>
      </c>
      <c r="T1622" t="s">
        <v>3344</v>
      </c>
      <c r="U1622" t="s">
        <v>3344</v>
      </c>
      <c r="V1622" t="s">
        <v>3344</v>
      </c>
      <c r="W1622" t="s">
        <v>4963</v>
      </c>
      <c r="X1622">
        <v>21</v>
      </c>
      <c r="Y1622" t="s">
        <v>6621</v>
      </c>
      <c r="Z1622" t="s">
        <v>8279</v>
      </c>
      <c r="AA1622">
        <v>0.9969319611702404</v>
      </c>
      <c r="AB1622">
        <f>HYPERLINK("Melting_Curves/meltCurve_P77804_ydgA.pdf", "Melting_Curves/meltCurve_P77804_ydgA.pdf")</f>
        <v>0</v>
      </c>
    </row>
    <row r="1623" spans="1:28">
      <c r="A1623" t="s">
        <v>1649</v>
      </c>
      <c r="B1623">
        <v>0.999998419929286</v>
      </c>
      <c r="C1623">
        <v>1.32835053270148</v>
      </c>
      <c r="D1623">
        <v>1.11812478054979</v>
      </c>
      <c r="E1623">
        <v>1.4213565724382</v>
      </c>
      <c r="F1623">
        <v>1.03799458717049</v>
      </c>
      <c r="G1623">
        <v>0.24296099240042</v>
      </c>
      <c r="H1623">
        <v>0.156336960236997</v>
      </c>
      <c r="I1623">
        <v>0.09884201711004199</v>
      </c>
      <c r="J1623">
        <v>0.0691726816278458</v>
      </c>
      <c r="K1623">
        <v>0.0601185248322688</v>
      </c>
      <c r="L1623">
        <v>13361.7654505365</v>
      </c>
      <c r="M1623">
        <v>250</v>
      </c>
      <c r="N1623">
        <v>53.4927461231859</v>
      </c>
      <c r="O1623">
        <v>53.4436321105967</v>
      </c>
      <c r="P1623">
        <v>-1.05705099429148</v>
      </c>
      <c r="Q1623">
        <v>0.0961175296842918</v>
      </c>
      <c r="R1623">
        <v>0.895981139477335</v>
      </c>
      <c r="S1623" t="s">
        <v>3307</v>
      </c>
      <c r="T1623" t="s">
        <v>3344</v>
      </c>
      <c r="U1623" t="s">
        <v>3344</v>
      </c>
      <c r="V1623" t="s">
        <v>3344</v>
      </c>
      <c r="W1623" t="s">
        <v>4964</v>
      </c>
      <c r="X1623">
        <v>4</v>
      </c>
      <c r="Y1623" t="s">
        <v>6622</v>
      </c>
      <c r="Z1623" t="s">
        <v>8280</v>
      </c>
      <c r="AA1623">
        <v>0.5917426744459729</v>
      </c>
      <c r="AB1623">
        <f>HYPERLINK("Melting_Curves/meltCurve_P77808_yfaY.pdf", "Melting_Curves/meltCurve_P77808_yfaY.pdf")</f>
        <v>0</v>
      </c>
    </row>
    <row r="1624" spans="1:28">
      <c r="A1624" t="s">
        <v>1650</v>
      </c>
      <c r="B1624">
        <v>0.999998419929286</v>
      </c>
      <c r="C1624">
        <v>0.947901264920456</v>
      </c>
      <c r="D1624">
        <v>0.8238941799155211</v>
      </c>
      <c r="E1624">
        <v>0.764463452621044</v>
      </c>
      <c r="F1624">
        <v>0.584581727611728</v>
      </c>
      <c r="G1624">
        <v>0.334083313444124</v>
      </c>
      <c r="H1624">
        <v>0.201318774725457</v>
      </c>
      <c r="I1624">
        <v>0.155810518867832</v>
      </c>
      <c r="J1624">
        <v>0.103871349765582</v>
      </c>
      <c r="K1624">
        <v>0.0831406330564072</v>
      </c>
      <c r="L1624">
        <v>559.66030166311</v>
      </c>
      <c r="M1624">
        <v>10.9870476863439</v>
      </c>
      <c r="N1624">
        <v>50.9979037045598</v>
      </c>
      <c r="O1624">
        <v>49.3379709869887</v>
      </c>
      <c r="P1624">
        <v>-0.0553352935151454</v>
      </c>
      <c r="Q1624">
        <v>0.00639146406266244</v>
      </c>
      <c r="R1624">
        <v>0.993138997057176</v>
      </c>
      <c r="S1624" t="s">
        <v>3308</v>
      </c>
      <c r="T1624" t="s">
        <v>3344</v>
      </c>
      <c r="U1624" t="s">
        <v>3344</v>
      </c>
      <c r="V1624" t="s">
        <v>3344</v>
      </c>
      <c r="W1624" t="s">
        <v>4965</v>
      </c>
      <c r="X1624">
        <v>1</v>
      </c>
      <c r="Y1624" t="s">
        <v>6623</v>
      </c>
      <c r="Z1624" t="s">
        <v>8281</v>
      </c>
      <c r="AA1624">
        <v>0.4962766607264119</v>
      </c>
      <c r="AB1624">
        <f>HYPERLINK("Melting_Curves/meltCurve_P78055_fsaA.pdf", "Melting_Curves/meltCurve_P78055_fsaA.pdf")</f>
        <v>0</v>
      </c>
    </row>
    <row r="1625" spans="1:28">
      <c r="A1625" t="s">
        <v>1651</v>
      </c>
      <c r="B1625">
        <v>0.999998419929286</v>
      </c>
      <c r="C1625">
        <v>1.26209829283452</v>
      </c>
      <c r="D1625">
        <v>1.30264932023025</v>
      </c>
      <c r="E1625">
        <v>1.40683516588048</v>
      </c>
      <c r="F1625">
        <v>1.43857692397016</v>
      </c>
      <c r="G1625">
        <v>1.41569189489917</v>
      </c>
      <c r="H1625">
        <v>0.303540631046887</v>
      </c>
      <c r="I1625">
        <v>0.108321529026157</v>
      </c>
      <c r="J1625">
        <v>0.0904196257774888</v>
      </c>
      <c r="K1625">
        <v>0.0790083974816586</v>
      </c>
      <c r="L1625">
        <v>14281.4443476536</v>
      </c>
      <c r="M1625">
        <v>250</v>
      </c>
      <c r="N1625">
        <v>57.1726075801702</v>
      </c>
      <c r="O1625">
        <v>57.122101635055</v>
      </c>
      <c r="P1625">
        <v>-0.992847560338537</v>
      </c>
      <c r="Q1625">
        <v>0.0925830522552703</v>
      </c>
      <c r="R1625">
        <v>0.796226176840228</v>
      </c>
      <c r="S1625" t="s">
        <v>3309</v>
      </c>
      <c r="T1625" t="s">
        <v>3344</v>
      </c>
      <c r="U1625" t="s">
        <v>3344</v>
      </c>
      <c r="V1625" t="s">
        <v>3344</v>
      </c>
      <c r="W1625" t="s">
        <v>4966</v>
      </c>
      <c r="X1625">
        <v>11</v>
      </c>
      <c r="Y1625" t="s">
        <v>6624</v>
      </c>
      <c r="Z1625" t="s">
        <v>8282</v>
      </c>
      <c r="AA1625">
        <v>0.701423074898185</v>
      </c>
      <c r="AB1625">
        <f>HYPERLINK("Melting_Curves/meltCurve_P78067_ynjE.pdf", "Melting_Curves/meltCurve_P78067_ynjE.pdf")</f>
        <v>0</v>
      </c>
    </row>
    <row r="1626" spans="1:28">
      <c r="A1626" t="s">
        <v>1652</v>
      </c>
      <c r="B1626">
        <v>0.999998419929286</v>
      </c>
      <c r="C1626">
        <v>1.03213986011609</v>
      </c>
      <c r="D1626">
        <v>0.8653806637732711</v>
      </c>
      <c r="E1626">
        <v>0.579320309943175</v>
      </c>
      <c r="F1626">
        <v>0.23923541895781</v>
      </c>
      <c r="G1626">
        <v>0.178721598722514</v>
      </c>
      <c r="H1626">
        <v>0.115833843682694</v>
      </c>
      <c r="I1626">
        <v>0.0842277915154054</v>
      </c>
      <c r="J1626">
        <v>0.0896705203439582</v>
      </c>
      <c r="K1626">
        <v>0.104791221198611</v>
      </c>
      <c r="L1626">
        <v>1037.36195005724</v>
      </c>
      <c r="M1626">
        <v>22.1761994218563</v>
      </c>
      <c r="N1626">
        <v>47.2401882801129</v>
      </c>
      <c r="O1626">
        <v>46.4027681275771</v>
      </c>
      <c r="P1626">
        <v>-0.107831384781829</v>
      </c>
      <c r="Q1626">
        <v>0.0974889117964845</v>
      </c>
      <c r="R1626">
        <v>0.996269295009818</v>
      </c>
      <c r="S1626" t="s">
        <v>3310</v>
      </c>
      <c r="T1626" t="s">
        <v>3344</v>
      </c>
      <c r="U1626" t="s">
        <v>3344</v>
      </c>
      <c r="V1626" t="s">
        <v>3344</v>
      </c>
      <c r="W1626" t="s">
        <v>4967</v>
      </c>
      <c r="X1626">
        <v>3</v>
      </c>
      <c r="Y1626" t="s">
        <v>6625</v>
      </c>
      <c r="Z1626" t="s">
        <v>8283</v>
      </c>
      <c r="AA1626">
        <v>0.4012681170264431</v>
      </c>
      <c r="AB1626">
        <f>HYPERLINK("Melting_Curves/meltCurve_P80668_feaB.pdf", "Melting_Curves/meltCurve_P80668_feaB.pdf")</f>
        <v>0</v>
      </c>
    </row>
    <row r="1627" spans="1:28">
      <c r="A1627" t="s">
        <v>1653</v>
      </c>
      <c r="B1627">
        <v>0.999998419929286</v>
      </c>
      <c r="C1627">
        <v>1.08571023261378</v>
      </c>
      <c r="D1627">
        <v>1.0613305918374</v>
      </c>
      <c r="E1627">
        <v>1.26703243656475</v>
      </c>
      <c r="F1627">
        <v>1.06837736154569</v>
      </c>
      <c r="G1627">
        <v>0.997282693257139</v>
      </c>
      <c r="H1627">
        <v>1.04228071097725</v>
      </c>
      <c r="I1627">
        <v>1.24206301329965</v>
      </c>
      <c r="J1627">
        <v>1.49167968398985</v>
      </c>
      <c r="K1627">
        <v>1.60713156135333</v>
      </c>
      <c r="L1627">
        <v>4494.65256841777</v>
      </c>
      <c r="M1627">
        <v>73.6407533001379</v>
      </c>
      <c r="O1627">
        <v>60.9898892490377</v>
      </c>
      <c r="P1627">
        <v>0.150928227527018</v>
      </c>
      <c r="Q1627">
        <v>1.5</v>
      </c>
      <c r="R1627">
        <v>0.756124422927224</v>
      </c>
      <c r="S1627" t="s">
        <v>3311</v>
      </c>
      <c r="T1627" t="s">
        <v>3344</v>
      </c>
      <c r="U1627" t="s">
        <v>3344</v>
      </c>
      <c r="V1627" t="s">
        <v>3344</v>
      </c>
      <c r="W1627" t="s">
        <v>4968</v>
      </c>
      <c r="X1627">
        <v>3</v>
      </c>
      <c r="Y1627" t="s">
        <v>6626</v>
      </c>
      <c r="Z1627" t="s">
        <v>8284</v>
      </c>
      <c r="AA1627">
        <v>1.098824788284003</v>
      </c>
      <c r="AB1627">
        <f>HYPERLINK("Melting_Curves/meltCurve_Q2M7R5_yibT.pdf", "Melting_Curves/meltCurve_Q2M7R5_yibT.pdf")</f>
        <v>0</v>
      </c>
    </row>
    <row r="1628" spans="1:28">
      <c r="A1628" t="s">
        <v>1654</v>
      </c>
      <c r="B1628">
        <v>0.999998419929286</v>
      </c>
      <c r="C1628">
        <v>0.763252987529517</v>
      </c>
      <c r="D1628">
        <v>0.765315415717678</v>
      </c>
      <c r="E1628">
        <v>0.762210189366526</v>
      </c>
      <c r="F1628">
        <v>0.674148169278012</v>
      </c>
      <c r="G1628">
        <v>0.43571264194735</v>
      </c>
      <c r="H1628">
        <v>0.350165908345411</v>
      </c>
      <c r="I1628">
        <v>0.316683459258457</v>
      </c>
      <c r="J1628">
        <v>0.160673484984777</v>
      </c>
      <c r="K1628">
        <v>0.170383986180301</v>
      </c>
      <c r="L1628">
        <v>358.682883317856</v>
      </c>
      <c r="M1628">
        <v>6.81834544616586</v>
      </c>
      <c r="N1628">
        <v>52.6055604030987</v>
      </c>
      <c r="O1628">
        <v>48.6372061246811</v>
      </c>
      <c r="P1628">
        <v>-0.0351184977010537</v>
      </c>
      <c r="Q1628">
        <v>0</v>
      </c>
      <c r="R1628">
        <v>0.943671969327904</v>
      </c>
      <c r="S1628" t="s">
        <v>3312</v>
      </c>
      <c r="T1628" t="s">
        <v>3344</v>
      </c>
      <c r="U1628" t="s">
        <v>3344</v>
      </c>
      <c r="V1628" t="s">
        <v>3344</v>
      </c>
      <c r="W1628" t="s">
        <v>4969</v>
      </c>
      <c r="X1628">
        <v>1</v>
      </c>
      <c r="Y1628" t="s">
        <v>6627</v>
      </c>
      <c r="Z1628" t="s">
        <v>8285</v>
      </c>
      <c r="AA1628">
        <v>0.543625192048541</v>
      </c>
      <c r="AB1628">
        <f>HYPERLINK("Melting_Curves/meltCurve_Q2MB16_yobH.pdf", "Melting_Curves/meltCurve_Q2MB16_yobH.pdf")</f>
        <v>0</v>
      </c>
    </row>
    <row r="1629" spans="1:28">
      <c r="A1629" t="s">
        <v>1655</v>
      </c>
      <c r="B1629">
        <v>0.999998419929286</v>
      </c>
      <c r="C1629">
        <v>0.870361724335167</v>
      </c>
      <c r="D1629">
        <v>0.545136287923601</v>
      </c>
      <c r="E1629">
        <v>0.356304371436303</v>
      </c>
      <c r="F1629">
        <v>0.456274204131717</v>
      </c>
      <c r="G1629">
        <v>0.460381500527878</v>
      </c>
      <c r="H1629">
        <v>0.343996908656818</v>
      </c>
      <c r="I1629">
        <v>0.304135211555401</v>
      </c>
      <c r="J1629">
        <v>0.259818874678242</v>
      </c>
      <c r="K1629">
        <v>0.24651879199426</v>
      </c>
      <c r="L1629">
        <v>1178.77593881147</v>
      </c>
      <c r="M1629">
        <v>28.1708347168726</v>
      </c>
      <c r="N1629">
        <v>43.6098981497727</v>
      </c>
      <c r="O1629">
        <v>41.6347131148603</v>
      </c>
      <c r="P1629">
        <v>-0.111605512498321</v>
      </c>
      <c r="Q1629">
        <v>0.340222336123138</v>
      </c>
      <c r="R1629">
        <v>0.9269621012556279</v>
      </c>
      <c r="S1629" t="s">
        <v>3313</v>
      </c>
      <c r="T1629" t="s">
        <v>3344</v>
      </c>
      <c r="U1629" t="s">
        <v>3344</v>
      </c>
      <c r="V1629" t="s">
        <v>3344</v>
      </c>
      <c r="W1629" t="s">
        <v>4970</v>
      </c>
      <c r="X1629">
        <v>1</v>
      </c>
      <c r="Y1629" t="s">
        <v>6628</v>
      </c>
      <c r="Z1629" t="s">
        <v>8286</v>
      </c>
      <c r="AA1629">
        <v>0.451227431287833</v>
      </c>
      <c r="AB1629">
        <f>HYPERLINK("Melting_Curves/meltCurve_Q46799_xdhA.pdf", "Melting_Curves/meltCurve_Q46799_xdhA.pdf")</f>
        <v>0</v>
      </c>
    </row>
    <row r="1630" spans="1:28">
      <c r="A1630" t="s">
        <v>1656</v>
      </c>
      <c r="B1630">
        <v>0.999998419929286</v>
      </c>
      <c r="C1630">
        <v>1.32416320629978</v>
      </c>
      <c r="D1630">
        <v>1.46894607321265</v>
      </c>
      <c r="E1630">
        <v>1.87846807723871</v>
      </c>
      <c r="F1630">
        <v>2.21319702001908</v>
      </c>
      <c r="G1630">
        <v>3.07818111747531</v>
      </c>
      <c r="H1630">
        <v>2.70111567508312</v>
      </c>
      <c r="I1630">
        <v>1.79512405519606</v>
      </c>
      <c r="J1630">
        <v>0.992996935243465</v>
      </c>
      <c r="K1630">
        <v>0.58217764128217</v>
      </c>
      <c r="L1630">
        <v>2449.41073430764</v>
      </c>
      <c r="M1630">
        <v>61.9907006042775</v>
      </c>
      <c r="O1630">
        <v>39.4714969291385</v>
      </c>
      <c r="P1630">
        <v>0.196314848372478</v>
      </c>
      <c r="Q1630">
        <v>1.5</v>
      </c>
      <c r="R1630">
        <v>-0.023554125872181</v>
      </c>
      <c r="S1630" t="s">
        <v>3314</v>
      </c>
      <c r="T1630" t="s">
        <v>3344</v>
      </c>
      <c r="U1630" t="s">
        <v>3344</v>
      </c>
      <c r="V1630" t="s">
        <v>3344</v>
      </c>
      <c r="W1630" t="s">
        <v>4971</v>
      </c>
      <c r="X1630">
        <v>5</v>
      </c>
      <c r="Y1630" t="s">
        <v>6629</v>
      </c>
      <c r="Z1630" t="s">
        <v>8287</v>
      </c>
      <c r="AA1630">
        <v>1.45742497285292</v>
      </c>
      <c r="AB1630">
        <f>HYPERLINK("Melting_Curves/meltCurve_Q46803_ygeW.pdf", "Melting_Curves/meltCurve_Q46803_ygeW.pdf")</f>
        <v>0</v>
      </c>
    </row>
    <row r="1631" spans="1:28">
      <c r="A1631" t="s">
        <v>1657</v>
      </c>
      <c r="B1631">
        <v>0.999998419929286</v>
      </c>
      <c r="C1631">
        <v>1.04643181159782</v>
      </c>
      <c r="D1631">
        <v>0.699440757540328</v>
      </c>
      <c r="E1631">
        <v>0.457984296773735</v>
      </c>
      <c r="F1631">
        <v>0.287696129269609</v>
      </c>
      <c r="G1631">
        <v>0.179717212407857</v>
      </c>
      <c r="H1631">
        <v>0.135729299060802</v>
      </c>
      <c r="I1631">
        <v>0.079120672294221</v>
      </c>
      <c r="J1631">
        <v>0.0735471271650492</v>
      </c>
      <c r="K1631">
        <v>0.143653556823617</v>
      </c>
      <c r="L1631">
        <v>800.246556496419</v>
      </c>
      <c r="M1631">
        <v>17.5793653349227</v>
      </c>
      <c r="N1631">
        <v>46.1500477647379</v>
      </c>
      <c r="O1631">
        <v>44.9451129313405</v>
      </c>
      <c r="P1631">
        <v>-0.0873834804448767</v>
      </c>
      <c r="Q1631">
        <v>0.106396021736404</v>
      </c>
      <c r="R1631">
        <v>0.981491021981294</v>
      </c>
      <c r="S1631" t="s">
        <v>3315</v>
      </c>
      <c r="T1631" t="s">
        <v>3344</v>
      </c>
      <c r="U1631" t="s">
        <v>3344</v>
      </c>
      <c r="V1631" t="s">
        <v>3344</v>
      </c>
      <c r="W1631" t="s">
        <v>4972</v>
      </c>
      <c r="X1631">
        <v>1</v>
      </c>
      <c r="Y1631" t="s">
        <v>6630</v>
      </c>
      <c r="Z1631" t="s">
        <v>8288</v>
      </c>
      <c r="AA1631">
        <v>0.375473027156762</v>
      </c>
      <c r="AB1631">
        <f>HYPERLINK("Melting_Curves/meltCurve_Q46807_yqeA.pdf", "Melting_Curves/meltCurve_Q46807_yqeA.pdf")</f>
        <v>0</v>
      </c>
    </row>
    <row r="1632" spans="1:28">
      <c r="A1632" t="s">
        <v>1658</v>
      </c>
      <c r="B1632">
        <v>0.999998419929286</v>
      </c>
      <c r="C1632">
        <v>1.16723674272652</v>
      </c>
      <c r="D1632">
        <v>0.910101909944162</v>
      </c>
      <c r="E1632">
        <v>0.81341881614056</v>
      </c>
      <c r="F1632">
        <v>0.638661287143412</v>
      </c>
      <c r="G1632">
        <v>0.461672421427722</v>
      </c>
      <c r="H1632">
        <v>0.204446725148664</v>
      </c>
      <c r="I1632">
        <v>0.0810757519810229</v>
      </c>
      <c r="J1632">
        <v>0.0425964054825333</v>
      </c>
      <c r="K1632">
        <v>0.0546346348192174</v>
      </c>
      <c r="L1632">
        <v>751.030908476514</v>
      </c>
      <c r="M1632">
        <v>14.3519543266404</v>
      </c>
      <c r="N1632">
        <v>52.3295209185015</v>
      </c>
      <c r="O1632">
        <v>51.3450201699228</v>
      </c>
      <c r="P1632">
        <v>-0.06988836419555799</v>
      </c>
      <c r="Q1632">
        <v>0</v>
      </c>
      <c r="R1632">
        <v>0.97472893077698</v>
      </c>
      <c r="S1632" t="s">
        <v>3316</v>
      </c>
      <c r="T1632" t="s">
        <v>3344</v>
      </c>
      <c r="U1632" t="s">
        <v>3344</v>
      </c>
      <c r="V1632" t="s">
        <v>3344</v>
      </c>
      <c r="W1632" t="s">
        <v>4973</v>
      </c>
      <c r="X1632">
        <v>5</v>
      </c>
      <c r="Y1632" t="s">
        <v>6631</v>
      </c>
      <c r="Z1632" t="s">
        <v>8289</v>
      </c>
      <c r="AA1632">
        <v>0.5306257179727385</v>
      </c>
      <c r="AB1632">
        <f>HYPERLINK("Melting_Curves/meltCurve_Q46811_ygfK.pdf", "Melting_Curves/meltCurve_Q46811_ygfK.pdf")</f>
        <v>0</v>
      </c>
    </row>
    <row r="1633" spans="1:28">
      <c r="A1633" t="s">
        <v>1659</v>
      </c>
      <c r="B1633">
        <v>0.999998419929286</v>
      </c>
      <c r="C1633">
        <v>0.80424585315648</v>
      </c>
      <c r="D1633">
        <v>0.9908765973499279</v>
      </c>
      <c r="E1633">
        <v>0.968215885762552</v>
      </c>
      <c r="F1633">
        <v>0.946687235328859</v>
      </c>
      <c r="G1633">
        <v>0.568269233450483</v>
      </c>
      <c r="H1633">
        <v>0.147480754884713</v>
      </c>
      <c r="I1633">
        <v>0.0573010923959967</v>
      </c>
      <c r="J1633">
        <v>0.0354514552417526</v>
      </c>
      <c r="K1633">
        <v>0.0280014089782839</v>
      </c>
      <c r="L1633">
        <v>1892.3207680636</v>
      </c>
      <c r="M1633">
        <v>34.9528175629847</v>
      </c>
      <c r="N1633">
        <v>54.2412772484486</v>
      </c>
      <c r="O1633">
        <v>53.9629933980114</v>
      </c>
      <c r="P1633">
        <v>-0.156780255623801</v>
      </c>
      <c r="Q1633">
        <v>0.0318031555897103</v>
      </c>
      <c r="R1633">
        <v>0.977355769703082</v>
      </c>
      <c r="S1633" t="s">
        <v>3317</v>
      </c>
      <c r="T1633" t="s">
        <v>3344</v>
      </c>
      <c r="U1633" t="s">
        <v>3344</v>
      </c>
      <c r="V1633" t="s">
        <v>3344</v>
      </c>
      <c r="W1633" t="s">
        <v>4974</v>
      </c>
      <c r="X1633">
        <v>3</v>
      </c>
      <c r="Y1633" t="s">
        <v>6632</v>
      </c>
      <c r="Z1633" t="s">
        <v>8290</v>
      </c>
      <c r="AA1633">
        <v>0.5896024083316687</v>
      </c>
      <c r="AB1633">
        <f>HYPERLINK("Melting_Curves/meltCurve_Q46822_idi.pdf", "Melting_Curves/meltCurve_Q46822_idi.pdf")</f>
        <v>0</v>
      </c>
    </row>
    <row r="1634" spans="1:28">
      <c r="A1634" t="s">
        <v>1660</v>
      </c>
      <c r="B1634">
        <v>0.999998419929286</v>
      </c>
      <c r="C1634">
        <v>1.28982742941619</v>
      </c>
      <c r="D1634">
        <v>1.53024632299536</v>
      </c>
      <c r="E1634">
        <v>1.75287216107403</v>
      </c>
      <c r="F1634">
        <v>2.13586077271318</v>
      </c>
      <c r="G1634">
        <v>2.67715832132113</v>
      </c>
      <c r="H1634">
        <v>1.21032909861318</v>
      </c>
      <c r="I1634">
        <v>0.109442933164255</v>
      </c>
      <c r="J1634">
        <v>0.0737511170877977</v>
      </c>
      <c r="K1634">
        <v>0.0697931976913008</v>
      </c>
      <c r="L1634">
        <v>15000</v>
      </c>
      <c r="M1634">
        <v>249.063578834828</v>
      </c>
      <c r="N1634">
        <v>60.2630712080859</v>
      </c>
      <c r="O1634">
        <v>60.2217041573906</v>
      </c>
      <c r="P1634">
        <v>-0.959748326725676</v>
      </c>
      <c r="Q1634">
        <v>0.0717602489577152</v>
      </c>
      <c r="R1634">
        <v>0.299757999590436</v>
      </c>
      <c r="S1634" t="s">
        <v>3318</v>
      </c>
      <c r="T1634" t="s">
        <v>3344</v>
      </c>
      <c r="U1634" t="s">
        <v>3344</v>
      </c>
      <c r="V1634" t="s">
        <v>3344</v>
      </c>
      <c r="W1634" t="s">
        <v>4975</v>
      </c>
      <c r="X1634">
        <v>16</v>
      </c>
      <c r="Y1634" t="s">
        <v>6633</v>
      </c>
      <c r="Z1634" t="s">
        <v>8291</v>
      </c>
      <c r="AA1634">
        <v>0.7904895057369414</v>
      </c>
      <c r="AB1634">
        <f>HYPERLINK("Melting_Curves/meltCurve_Q46829_bglA.pdf", "Melting_Curves/meltCurve_Q46829_bglA.pdf")</f>
        <v>0</v>
      </c>
    </row>
    <row r="1635" spans="1:28">
      <c r="A1635" t="s">
        <v>1661</v>
      </c>
      <c r="B1635">
        <v>0.999998419929286</v>
      </c>
      <c r="C1635">
        <v>1.08149220480956</v>
      </c>
      <c r="D1635">
        <v>1.14328453848863</v>
      </c>
      <c r="E1635">
        <v>0.987117906282707</v>
      </c>
      <c r="F1635">
        <v>0.593746408135957</v>
      </c>
      <c r="G1635">
        <v>0.288486189582754</v>
      </c>
      <c r="H1635">
        <v>0.208698960467084</v>
      </c>
      <c r="I1635">
        <v>0.101253149313768</v>
      </c>
      <c r="J1635">
        <v>0.102011824811947</v>
      </c>
      <c r="K1635">
        <v>0.08961711230735531</v>
      </c>
      <c r="L1635">
        <v>1434.60810723805</v>
      </c>
      <c r="M1635">
        <v>28.238678225496</v>
      </c>
      <c r="N1635">
        <v>51.2792340087636</v>
      </c>
      <c r="O1635">
        <v>50.5502227162061</v>
      </c>
      <c r="P1635">
        <v>-0.123547701846742</v>
      </c>
      <c r="Q1635">
        <v>0.11535348221264</v>
      </c>
      <c r="R1635">
        <v>0.9790046362361839</v>
      </c>
      <c r="S1635" t="s">
        <v>3319</v>
      </c>
      <c r="T1635" t="s">
        <v>3344</v>
      </c>
      <c r="U1635" t="s">
        <v>3344</v>
      </c>
      <c r="V1635" t="s">
        <v>3344</v>
      </c>
      <c r="W1635" t="s">
        <v>4976</v>
      </c>
      <c r="X1635">
        <v>4</v>
      </c>
      <c r="Y1635" t="s">
        <v>6634</v>
      </c>
      <c r="Z1635" t="s">
        <v>8292</v>
      </c>
      <c r="AA1635">
        <v>0.5285597112490759</v>
      </c>
      <c r="AB1635">
        <f>HYPERLINK("Melting_Curves/meltCurve_Q46845_yghU.pdf", "Melting_Curves/meltCurve_Q46845_yghU.pdf")</f>
        <v>0</v>
      </c>
    </row>
    <row r="1636" spans="1:28">
      <c r="A1636" t="s">
        <v>1662</v>
      </c>
      <c r="B1636">
        <v>0.999998419929286</v>
      </c>
      <c r="C1636">
        <v>1.27906873731403</v>
      </c>
      <c r="D1636">
        <v>1.09438999205339</v>
      </c>
      <c r="E1636">
        <v>1.1610446308308</v>
      </c>
      <c r="F1636">
        <v>1.22913670061549</v>
      </c>
      <c r="G1636">
        <v>1.19653077334665</v>
      </c>
      <c r="H1636">
        <v>0.925859060475032</v>
      </c>
      <c r="I1636">
        <v>0.8960036576714731</v>
      </c>
      <c r="J1636">
        <v>0.718450599948198</v>
      </c>
      <c r="K1636">
        <v>0.9022895742267349</v>
      </c>
      <c r="L1636">
        <v>2809.17082491581</v>
      </c>
      <c r="M1636">
        <v>47.6938118390993</v>
      </c>
      <c r="O1636">
        <v>58.796839564298</v>
      </c>
      <c r="P1636">
        <v>-0.0355862485803762</v>
      </c>
      <c r="Q1636">
        <v>0.824517544875513</v>
      </c>
      <c r="R1636">
        <v>0.229130541598346</v>
      </c>
      <c r="S1636" t="s">
        <v>3320</v>
      </c>
      <c r="T1636" t="s">
        <v>3344</v>
      </c>
      <c r="U1636" t="s">
        <v>3344</v>
      </c>
      <c r="V1636" t="s">
        <v>3344</v>
      </c>
      <c r="W1636" t="s">
        <v>4977</v>
      </c>
      <c r="X1636">
        <v>9</v>
      </c>
      <c r="Y1636" t="s">
        <v>6635</v>
      </c>
      <c r="Z1636" t="s">
        <v>8293</v>
      </c>
      <c r="AA1636">
        <v>0.9530910065099315</v>
      </c>
      <c r="AB1636">
        <f>HYPERLINK("Melting_Curves/meltCurve_Q46851_gpr.pdf", "Melting_Curves/meltCurve_Q46851_gpr.pdf")</f>
        <v>0</v>
      </c>
    </row>
    <row r="1637" spans="1:28">
      <c r="A1637" t="s">
        <v>1663</v>
      </c>
      <c r="B1637">
        <v>0.999998419929286</v>
      </c>
      <c r="C1637">
        <v>1.03845148303342</v>
      </c>
      <c r="D1637">
        <v>1.1112960568609</v>
      </c>
      <c r="E1637">
        <v>1.2974217424865</v>
      </c>
      <c r="F1637">
        <v>1.45356599945953</v>
      </c>
      <c r="G1637">
        <v>1.35439855030084</v>
      </c>
      <c r="H1637">
        <v>0.772250575007093</v>
      </c>
      <c r="I1637">
        <v>0.212588494044421</v>
      </c>
      <c r="J1637">
        <v>0.107458918364404</v>
      </c>
      <c r="K1637">
        <v>0.0896583737081019</v>
      </c>
      <c r="L1637">
        <v>3467.19568133737</v>
      </c>
      <c r="M1637">
        <v>59.1909472805927</v>
      </c>
      <c r="N1637">
        <v>58.8151431339403</v>
      </c>
      <c r="O1637">
        <v>58.5097029434533</v>
      </c>
      <c r="P1637">
        <v>-0.225907344061319</v>
      </c>
      <c r="Q1637">
        <v>0.106771126216108</v>
      </c>
      <c r="R1637">
        <v>0.823593037051833</v>
      </c>
      <c r="S1637" t="s">
        <v>3321</v>
      </c>
      <c r="T1637" t="s">
        <v>3344</v>
      </c>
      <c r="U1637" t="s">
        <v>3344</v>
      </c>
      <c r="V1637" t="s">
        <v>3344</v>
      </c>
      <c r="W1637" t="s">
        <v>4978</v>
      </c>
      <c r="X1637">
        <v>4</v>
      </c>
      <c r="Y1637" t="s">
        <v>6636</v>
      </c>
      <c r="Z1637" t="s">
        <v>8294</v>
      </c>
      <c r="AA1637">
        <v>0.750815478856514</v>
      </c>
      <c r="AB1637">
        <f>HYPERLINK("Melting_Curves/meltCurve_Q46856_yqhD.pdf", "Melting_Curves/meltCurve_Q46856_yqhD.pdf")</f>
        <v>0</v>
      </c>
    </row>
    <row r="1638" spans="1:28">
      <c r="A1638" t="s">
        <v>1664</v>
      </c>
      <c r="B1638">
        <v>0.999998419929286</v>
      </c>
      <c r="C1638">
        <v>0.891480577532113</v>
      </c>
      <c r="D1638">
        <v>1.06839223195931</v>
      </c>
      <c r="E1638">
        <v>1.1491832787396</v>
      </c>
      <c r="F1638">
        <v>0.943176360849486</v>
      </c>
      <c r="G1638">
        <v>0.27094341274998</v>
      </c>
      <c r="H1638">
        <v>0.129678524182309</v>
      </c>
      <c r="I1638">
        <v>0.0665499571336684</v>
      </c>
      <c r="J1638">
        <v>0.0525424265027668</v>
      </c>
      <c r="K1638">
        <v>0.0412694716887079</v>
      </c>
      <c r="L1638">
        <v>2957.08111688677</v>
      </c>
      <c r="M1638">
        <v>56.223594647888</v>
      </c>
      <c r="N1638">
        <v>52.7352522133616</v>
      </c>
      <c r="O1638">
        <v>52.5286077131621</v>
      </c>
      <c r="P1638">
        <v>-0.249003587235676</v>
      </c>
      <c r="Q1638">
        <v>0.0694437200430249</v>
      </c>
      <c r="R1638">
        <v>0.979604658890233</v>
      </c>
      <c r="S1638" t="s">
        <v>3322</v>
      </c>
      <c r="T1638" t="s">
        <v>3344</v>
      </c>
      <c r="U1638" t="s">
        <v>3344</v>
      </c>
      <c r="V1638" t="s">
        <v>3344</v>
      </c>
      <c r="W1638" t="s">
        <v>4979</v>
      </c>
      <c r="X1638">
        <v>17</v>
      </c>
      <c r="Y1638" t="s">
        <v>6637</v>
      </c>
      <c r="Z1638" t="s">
        <v>8295</v>
      </c>
      <c r="AA1638">
        <v>0.5548836304750998</v>
      </c>
      <c r="AB1638">
        <f>HYPERLINK("Melting_Curves/meltCurve_Q46857_dkgA.pdf", "Melting_Curves/meltCurve_Q46857_dkgA.pdf")</f>
        <v>0</v>
      </c>
    </row>
    <row r="1639" spans="1:28">
      <c r="A1639" t="s">
        <v>1665</v>
      </c>
      <c r="B1639">
        <v>0.999998419929286</v>
      </c>
      <c r="C1639">
        <v>1.06834530753618</v>
      </c>
      <c r="D1639">
        <v>1.4548816159699</v>
      </c>
      <c r="E1639">
        <v>1.30563497494641</v>
      </c>
      <c r="F1639">
        <v>1.00898261913752</v>
      </c>
      <c r="G1639">
        <v>0.19060103482947</v>
      </c>
      <c r="H1639">
        <v>0.08791419636496001</v>
      </c>
      <c r="I1639">
        <v>0.0576360027506238</v>
      </c>
      <c r="J1639">
        <v>0.0470933688078844</v>
      </c>
      <c r="K1639">
        <v>0.0358035434216786</v>
      </c>
      <c r="L1639">
        <v>13353.0378342526</v>
      </c>
      <c r="M1639">
        <v>250</v>
      </c>
      <c r="N1639">
        <v>53.4380937489733</v>
      </c>
      <c r="O1639">
        <v>53.4087334847342</v>
      </c>
      <c r="P1639">
        <v>-1.10338723509442</v>
      </c>
      <c r="Q1639">
        <v>0.0571117678124461</v>
      </c>
      <c r="R1639">
        <v>0.901633920093746</v>
      </c>
      <c r="S1639" t="s">
        <v>3323</v>
      </c>
      <c r="T1639" t="s">
        <v>3344</v>
      </c>
      <c r="U1639" t="s">
        <v>3344</v>
      </c>
      <c r="V1639" t="s">
        <v>3344</v>
      </c>
      <c r="W1639" t="s">
        <v>4980</v>
      </c>
      <c r="X1639">
        <v>5</v>
      </c>
      <c r="Y1639" t="s">
        <v>6638</v>
      </c>
      <c r="Z1639" t="s">
        <v>8296</v>
      </c>
      <c r="AA1639">
        <v>0.5730276304776994</v>
      </c>
      <c r="AB1639">
        <f>HYPERLINK("Melting_Curves/meltCurve_Q46863_ygiS.pdf", "Melting_Curves/meltCurve_Q46863_ygiS.pdf")</f>
        <v>0</v>
      </c>
    </row>
    <row r="1640" spans="1:28">
      <c r="A1640" t="s">
        <v>1666</v>
      </c>
      <c r="B1640">
        <v>0.999998419929286</v>
      </c>
      <c r="C1640">
        <v>0.977523488698894</v>
      </c>
      <c r="D1640">
        <v>1.070922010665</v>
      </c>
      <c r="E1640">
        <v>0.833846589112164</v>
      </c>
      <c r="F1640">
        <v>0.799211644825397</v>
      </c>
      <c r="G1640">
        <v>0.652489841212662</v>
      </c>
      <c r="H1640">
        <v>0.443611086648801</v>
      </c>
      <c r="I1640">
        <v>0.274729209699217</v>
      </c>
      <c r="J1640">
        <v>0.275522478202733</v>
      </c>
      <c r="K1640">
        <v>0.280835272153575</v>
      </c>
      <c r="L1640">
        <v>751.940152170432</v>
      </c>
      <c r="M1640">
        <v>13.9087235785041</v>
      </c>
      <c r="N1640">
        <v>56.0489664447285</v>
      </c>
      <c r="O1640">
        <v>52.9816952512904</v>
      </c>
      <c r="P1640">
        <v>-0.052866142367193</v>
      </c>
      <c r="Q1640">
        <v>0.194589600247643</v>
      </c>
      <c r="R1640">
        <v>0.975226569809614</v>
      </c>
      <c r="S1640" t="s">
        <v>3324</v>
      </c>
      <c r="T1640" t="s">
        <v>3344</v>
      </c>
      <c r="U1640" t="s">
        <v>3344</v>
      </c>
      <c r="V1640" t="s">
        <v>3344</v>
      </c>
      <c r="W1640" t="s">
        <v>4981</v>
      </c>
      <c r="X1640">
        <v>2</v>
      </c>
      <c r="Y1640" t="s">
        <v>6639</v>
      </c>
      <c r="Z1640" t="s">
        <v>8297</v>
      </c>
      <c r="AA1640">
        <v>0.6662318978794878</v>
      </c>
      <c r="AB1640">
        <f>HYPERLINK("Melting_Curves/meltCurve_Q46864_mqsA.pdf", "Melting_Curves/meltCurve_Q46864_mqsA.pdf")</f>
        <v>0</v>
      </c>
    </row>
    <row r="1641" spans="1:28">
      <c r="A1641" t="s">
        <v>1667</v>
      </c>
      <c r="B1641">
        <v>0.999998419929286</v>
      </c>
      <c r="C1641">
        <v>0.965706844303864</v>
      </c>
      <c r="D1641">
        <v>0.757362439808631</v>
      </c>
      <c r="E1641">
        <v>0.929689793421526</v>
      </c>
      <c r="F1641">
        <v>1.02655768025584</v>
      </c>
      <c r="G1641">
        <v>1.0624390259773</v>
      </c>
      <c r="H1641">
        <v>1.0469158056861</v>
      </c>
      <c r="I1641">
        <v>0.9936964627960569</v>
      </c>
      <c r="J1641">
        <v>1.08543641406173</v>
      </c>
      <c r="K1641">
        <v>1.00003933830908</v>
      </c>
      <c r="L1641">
        <v>12506.4222331219</v>
      </c>
      <c r="M1641">
        <v>250</v>
      </c>
      <c r="O1641">
        <v>50.0224811356146</v>
      </c>
      <c r="P1641">
        <v>0.0471105739911213</v>
      </c>
      <c r="Q1641">
        <v>1.03770540963376</v>
      </c>
      <c r="R1641">
        <v>0.0783980220609186</v>
      </c>
      <c r="S1641" t="s">
        <v>3325</v>
      </c>
      <c r="T1641" t="s">
        <v>3344</v>
      </c>
      <c r="U1641" t="s">
        <v>3344</v>
      </c>
      <c r="V1641" t="s">
        <v>3344</v>
      </c>
      <c r="W1641" t="s">
        <v>4982</v>
      </c>
      <c r="X1641">
        <v>4</v>
      </c>
      <c r="Y1641" t="s">
        <v>6640</v>
      </c>
      <c r="Z1641" t="s">
        <v>8298</v>
      </c>
      <c r="AA1641">
        <v>1.021330801414795</v>
      </c>
      <c r="AB1641">
        <f>HYPERLINK("Melting_Curves/meltCurve_Q46868_yqiC.pdf", "Melting_Curves/meltCurve_Q46868_yqiC.pdf")</f>
        <v>0</v>
      </c>
    </row>
    <row r="1642" spans="1:28">
      <c r="A1642" t="s">
        <v>1668</v>
      </c>
      <c r="B1642">
        <v>0.999998419929286</v>
      </c>
      <c r="C1642">
        <v>0.935508455817343</v>
      </c>
      <c r="D1642">
        <v>1.03365477028126</v>
      </c>
      <c r="E1642">
        <v>1.0581372195268</v>
      </c>
      <c r="F1642">
        <v>1.35058639608403</v>
      </c>
      <c r="G1642">
        <v>1.6217170894111</v>
      </c>
      <c r="H1642">
        <v>1.42669493097039</v>
      </c>
      <c r="I1642">
        <v>1.11211793969737</v>
      </c>
      <c r="J1642">
        <v>1.01358156654199</v>
      </c>
      <c r="K1642">
        <v>0.905113853103128</v>
      </c>
      <c r="L1642">
        <v>988.445537763214</v>
      </c>
      <c r="M1642">
        <v>7.9703481251599</v>
      </c>
      <c r="Q1642">
        <v>0.657998398490221</v>
      </c>
      <c r="R1642">
        <v>-0.416606062215508</v>
      </c>
      <c r="S1642" t="s">
        <v>3326</v>
      </c>
      <c r="T1642" t="s">
        <v>3344</v>
      </c>
      <c r="U1642" t="s">
        <v>3344</v>
      </c>
      <c r="V1642" t="s">
        <v>3344</v>
      </c>
      <c r="W1642" t="s">
        <v>4983</v>
      </c>
      <c r="X1642">
        <v>4</v>
      </c>
      <c r="Y1642" t="s">
        <v>6641</v>
      </c>
      <c r="Z1642" t="s">
        <v>8299</v>
      </c>
      <c r="AA1642">
        <v>0.9999480224994047</v>
      </c>
      <c r="AB1642">
        <f>HYPERLINK("Melting_Curves/meltCurve_Q46871_yqjH.pdf", "Melting_Curves/meltCurve_Q46871_yqjH.pdf")</f>
        <v>0</v>
      </c>
    </row>
    <row r="1643" spans="1:28">
      <c r="A1643" t="s">
        <v>1669</v>
      </c>
      <c r="B1643">
        <v>0.999998419929286</v>
      </c>
      <c r="C1643">
        <v>0.997593495257303</v>
      </c>
      <c r="D1643">
        <v>1.49548140519323</v>
      </c>
      <c r="E1643">
        <v>0.949088207379613</v>
      </c>
      <c r="F1643">
        <v>0.9902414574251031</v>
      </c>
      <c r="G1643">
        <v>0.825298078667259</v>
      </c>
      <c r="H1643">
        <v>0.7325123290968441</v>
      </c>
      <c r="I1643">
        <v>0.458752918694329</v>
      </c>
      <c r="J1643">
        <v>0.441957330042436</v>
      </c>
      <c r="K1643">
        <v>0.394381169616138</v>
      </c>
      <c r="L1643">
        <v>1194.21768470069</v>
      </c>
      <c r="M1643">
        <v>20.8010618635669</v>
      </c>
      <c r="N1643">
        <v>61.1480705010781</v>
      </c>
      <c r="O1643">
        <v>56.8886697461278</v>
      </c>
      <c r="P1643">
        <v>-0.0585283633796053</v>
      </c>
      <c r="Q1643">
        <v>0.359742696868446</v>
      </c>
      <c r="R1643">
        <v>0.750756685924336</v>
      </c>
      <c r="S1643" t="s">
        <v>3327</v>
      </c>
      <c r="T1643" t="s">
        <v>3344</v>
      </c>
      <c r="U1643" t="s">
        <v>3344</v>
      </c>
      <c r="V1643" t="s">
        <v>3344</v>
      </c>
      <c r="W1643" t="s">
        <v>4984</v>
      </c>
      <c r="X1643">
        <v>2</v>
      </c>
      <c r="Y1643" t="s">
        <v>6642</v>
      </c>
      <c r="Z1643" t="s">
        <v>8300</v>
      </c>
      <c r="AA1643">
        <v>0.8004583705297568</v>
      </c>
      <c r="AB1643">
        <f>HYPERLINK("Melting_Curves/meltCurve_Q46893_ispD.pdf", "Melting_Curves/meltCurve_Q46893_ispD.pdf")</f>
        <v>0</v>
      </c>
    </row>
    <row r="1644" spans="1:28">
      <c r="A1644" t="s">
        <v>1670</v>
      </c>
      <c r="B1644">
        <v>0.999998419929286</v>
      </c>
      <c r="C1644">
        <v>1.02538401564779</v>
      </c>
      <c r="D1644">
        <v>1.03193587472869</v>
      </c>
      <c r="E1644">
        <v>0.890397412114194</v>
      </c>
      <c r="F1644">
        <v>0.536558646448126</v>
      </c>
      <c r="G1644">
        <v>0.502409548400391</v>
      </c>
      <c r="H1644">
        <v>0.378742965748891</v>
      </c>
      <c r="I1644">
        <v>0.298062078023503</v>
      </c>
      <c r="J1644">
        <v>0.256884403750709</v>
      </c>
      <c r="K1644">
        <v>0.249431981374878</v>
      </c>
      <c r="L1644">
        <v>903.980983937651</v>
      </c>
      <c r="M1644">
        <v>18.0209561957513</v>
      </c>
      <c r="N1644">
        <v>52.4068032836766</v>
      </c>
      <c r="O1644">
        <v>49.5573093184731</v>
      </c>
      <c r="P1644">
        <v>-0.0664695967479369</v>
      </c>
      <c r="Q1644">
        <v>0.268875182472129</v>
      </c>
      <c r="R1644">
        <v>0.9764708175268521</v>
      </c>
      <c r="S1644" t="s">
        <v>3328</v>
      </c>
      <c r="T1644" t="s">
        <v>3344</v>
      </c>
      <c r="U1644" t="s">
        <v>3344</v>
      </c>
      <c r="V1644" t="s">
        <v>3344</v>
      </c>
      <c r="W1644" t="s">
        <v>4985</v>
      </c>
      <c r="X1644">
        <v>6</v>
      </c>
      <c r="Y1644" t="s">
        <v>6643</v>
      </c>
      <c r="Z1644" t="s">
        <v>8301</v>
      </c>
      <c r="AA1644">
        <v>0.6011359533489138</v>
      </c>
      <c r="AB1644">
        <f>HYPERLINK("Melting_Curves/meltCurve_Q46920_queF.pdf", "Melting_Curves/meltCurve_Q46920_queF.pdf")</f>
        <v>0</v>
      </c>
    </row>
    <row r="1645" spans="1:28">
      <c r="A1645" t="s">
        <v>1671</v>
      </c>
      <c r="B1645">
        <v>0.999998419929286</v>
      </c>
      <c r="C1645">
        <v>0.984717145019479</v>
      </c>
      <c r="D1645">
        <v>0.772269441415102</v>
      </c>
      <c r="E1645">
        <v>0.499088101385074</v>
      </c>
      <c r="F1645">
        <v>0.457698618786049</v>
      </c>
      <c r="G1645">
        <v>0.385079821491011</v>
      </c>
      <c r="H1645">
        <v>0.297855320545653</v>
      </c>
      <c r="I1645">
        <v>0.193498230360691</v>
      </c>
      <c r="J1645">
        <v>0.14677667916428</v>
      </c>
      <c r="K1645">
        <v>0.172310927648431</v>
      </c>
      <c r="L1645">
        <v>530.3029547800249</v>
      </c>
      <c r="M1645">
        <v>11.2689161130347</v>
      </c>
      <c r="N1645">
        <v>48.6370375800444</v>
      </c>
      <c r="O1645">
        <v>45.6500258662461</v>
      </c>
      <c r="P1645">
        <v>-0.0522798708014379</v>
      </c>
      <c r="Q1645">
        <v>0.15312421520157</v>
      </c>
      <c r="R1645">
        <v>0.969681338469378</v>
      </c>
      <c r="S1645" t="s">
        <v>3329</v>
      </c>
      <c r="T1645" t="s">
        <v>3344</v>
      </c>
      <c r="U1645" t="s">
        <v>3344</v>
      </c>
      <c r="V1645" t="s">
        <v>3344</v>
      </c>
      <c r="W1645" t="s">
        <v>4986</v>
      </c>
      <c r="X1645">
        <v>2</v>
      </c>
      <c r="Y1645" t="s">
        <v>6644</v>
      </c>
      <c r="Z1645" t="s">
        <v>8302</v>
      </c>
      <c r="AA1645">
        <v>0.4676698525988199</v>
      </c>
      <c r="AB1645">
        <f>HYPERLINK("Melting_Curves/meltCurve_Q46938_kduI.pdf", "Melting_Curves/meltCurve_Q46938_kduI.pdf")</f>
        <v>0</v>
      </c>
    </row>
    <row r="1646" spans="1:28">
      <c r="A1646" t="s">
        <v>1672</v>
      </c>
      <c r="B1646">
        <v>0.999998419929286</v>
      </c>
      <c r="C1646">
        <v>0.762758180245672</v>
      </c>
      <c r="D1646">
        <v>1.04261644524001</v>
      </c>
      <c r="E1646">
        <v>1.13182337811326</v>
      </c>
      <c r="F1646">
        <v>1.00417619189864</v>
      </c>
      <c r="G1646">
        <v>0.338522063087775</v>
      </c>
      <c r="H1646">
        <v>0.0805182823400192</v>
      </c>
      <c r="I1646">
        <v>0.0317744739912698</v>
      </c>
      <c r="J1646">
        <v>0.0191842292907596</v>
      </c>
      <c r="K1646">
        <v>0.0195353695911247</v>
      </c>
      <c r="L1646">
        <v>4017.01216967686</v>
      </c>
      <c r="M1646">
        <v>75.4425432255813</v>
      </c>
      <c r="N1646">
        <v>53.2994805304835</v>
      </c>
      <c r="O1646">
        <v>53.2086095515081</v>
      </c>
      <c r="P1646">
        <v>-0.341541479670881</v>
      </c>
      <c r="Q1646">
        <v>0.0364618532907165</v>
      </c>
      <c r="R1646">
        <v>0.963461403940959</v>
      </c>
      <c r="S1646" t="s">
        <v>3330</v>
      </c>
      <c r="T1646" t="s">
        <v>3344</v>
      </c>
      <c r="U1646" t="s">
        <v>3344</v>
      </c>
      <c r="V1646" t="s">
        <v>3344</v>
      </c>
      <c r="W1646" t="s">
        <v>4987</v>
      </c>
      <c r="X1646">
        <v>3</v>
      </c>
      <c r="Y1646" t="s">
        <v>6645</v>
      </c>
      <c r="Z1646" t="s">
        <v>8303</v>
      </c>
      <c r="AA1646">
        <v>0.5592401591041539</v>
      </c>
      <c r="AB1646">
        <f>HYPERLINK("Melting_Curves/meltCurve_Q46948_yajL.pdf", "Melting_Curves/meltCurve_Q46948_yajL.pdf")</f>
        <v>0</v>
      </c>
    </row>
    <row r="1647" spans="1:28">
      <c r="A1647" t="s">
        <v>1673</v>
      </c>
      <c r="B1647">
        <v>0.999998419929286</v>
      </c>
      <c r="C1647">
        <v>0.926657639231306</v>
      </c>
      <c r="D1647">
        <v>0.575070068689492</v>
      </c>
      <c r="E1647">
        <v>0.486264298728913</v>
      </c>
      <c r="F1647">
        <v>0.4116375405786</v>
      </c>
      <c r="G1647">
        <v>0.241458827520268</v>
      </c>
      <c r="H1647">
        <v>0.202970892855111</v>
      </c>
      <c r="I1647">
        <v>0.247960263709319</v>
      </c>
      <c r="J1647">
        <v>0.235535326378979</v>
      </c>
      <c r="K1647">
        <v>0.206832560076506</v>
      </c>
      <c r="L1647">
        <v>638.397869926401</v>
      </c>
      <c r="M1647">
        <v>14.4893519244094</v>
      </c>
      <c r="N1647">
        <v>45.871083715861</v>
      </c>
      <c r="O1647">
        <v>43.2460500975316</v>
      </c>
      <c r="P1647">
        <v>-0.0655221892923664</v>
      </c>
      <c r="Q1647">
        <v>0.217840045003946</v>
      </c>
      <c r="R1647">
        <v>0.965480973547703</v>
      </c>
      <c r="S1647" t="s">
        <v>3331</v>
      </c>
      <c r="T1647" t="s">
        <v>3344</v>
      </c>
      <c r="U1647" t="s">
        <v>3344</v>
      </c>
      <c r="V1647" t="s">
        <v>3344</v>
      </c>
      <c r="W1647" t="s">
        <v>4988</v>
      </c>
      <c r="X1647">
        <v>1</v>
      </c>
      <c r="Y1647" t="s">
        <v>6646</v>
      </c>
      <c r="Z1647" t="s">
        <v>8304</v>
      </c>
      <c r="AA1647">
        <v>0.422703572481372</v>
      </c>
      <c r="AB1647">
        <f>HYPERLINK("Melting_Curves/meltCurve_Q47146_fadE.pdf", "Melting_Curves/meltCurve_Q47146_fadE.pdf")</f>
        <v>0</v>
      </c>
    </row>
    <row r="1648" spans="1:28">
      <c r="A1648" t="s">
        <v>1674</v>
      </c>
      <c r="B1648">
        <v>0.999998419929286</v>
      </c>
      <c r="C1648">
        <v>0.971711113661721</v>
      </c>
      <c r="D1648">
        <v>0.950166644275639</v>
      </c>
      <c r="E1648">
        <v>0.826160871604955</v>
      </c>
      <c r="F1648">
        <v>0.338992956960276</v>
      </c>
      <c r="G1648">
        <v>0.139828771258268</v>
      </c>
      <c r="H1648">
        <v>0.08849750009078131</v>
      </c>
      <c r="I1648">
        <v>0.07529654517242319</v>
      </c>
      <c r="J1648">
        <v>0.0594304757380142</v>
      </c>
      <c r="K1648">
        <v>0.0728879644341411</v>
      </c>
      <c r="L1648">
        <v>1447.40399436446</v>
      </c>
      <c r="M1648">
        <v>29.6837169485659</v>
      </c>
      <c r="N1648">
        <v>49.0186720939758</v>
      </c>
      <c r="O1648">
        <v>48.5411602060154</v>
      </c>
      <c r="P1648">
        <v>-0.141831579226078</v>
      </c>
      <c r="Q1648">
        <v>0.0722691488686481</v>
      </c>
      <c r="R1648">
        <v>0.998480841829794</v>
      </c>
      <c r="S1648" t="s">
        <v>3332</v>
      </c>
      <c r="T1648" t="s">
        <v>3344</v>
      </c>
      <c r="U1648" t="s">
        <v>3344</v>
      </c>
      <c r="V1648" t="s">
        <v>3344</v>
      </c>
      <c r="W1648" t="s">
        <v>4989</v>
      </c>
      <c r="X1648">
        <v>3</v>
      </c>
      <c r="Y1648" t="s">
        <v>6647</v>
      </c>
      <c r="Z1648" t="s">
        <v>8305</v>
      </c>
      <c r="AA1648">
        <v>0.4416577261260538</v>
      </c>
      <c r="AB1648">
        <f>HYPERLINK("Melting_Curves/meltCurve_Q47147_yafJ.pdf", "Melting_Curves/meltCurve_Q47147_yafJ.pdf")</f>
        <v>0</v>
      </c>
    </row>
    <row r="1649" spans="1:28">
      <c r="A1649" t="s">
        <v>1675</v>
      </c>
      <c r="B1649">
        <v>0.999998419929286</v>
      </c>
      <c r="C1649">
        <v>1.05223121561664</v>
      </c>
      <c r="D1649">
        <v>0.663834399170097</v>
      </c>
      <c r="E1649">
        <v>0.796367128597803</v>
      </c>
      <c r="F1649">
        <v>0.888914298509762</v>
      </c>
      <c r="G1649">
        <v>0.88610190260639</v>
      </c>
      <c r="H1649">
        <v>0.752901506107893</v>
      </c>
      <c r="I1649">
        <v>0.87585575082402</v>
      </c>
      <c r="J1649">
        <v>0.853471275291903</v>
      </c>
      <c r="K1649">
        <v>0.795172709844881</v>
      </c>
      <c r="L1649">
        <v>10327.6328778428</v>
      </c>
      <c r="M1649">
        <v>250</v>
      </c>
      <c r="O1649">
        <v>41.3078879218856</v>
      </c>
      <c r="P1649">
        <v>-0.281277349143459</v>
      </c>
      <c r="Q1649">
        <v>0.814096428851139</v>
      </c>
      <c r="R1649">
        <v>0.606013341207688</v>
      </c>
      <c r="S1649" t="s">
        <v>3333</v>
      </c>
      <c r="T1649" t="s">
        <v>3344</v>
      </c>
      <c r="U1649" t="s">
        <v>3344</v>
      </c>
      <c r="V1649" t="s">
        <v>3344</v>
      </c>
      <c r="W1649" t="s">
        <v>4990</v>
      </c>
      <c r="X1649">
        <v>2</v>
      </c>
      <c r="Y1649" t="s">
        <v>6648</v>
      </c>
      <c r="Z1649" t="s">
        <v>8306</v>
      </c>
      <c r="AA1649">
        <v>0.84082134678778</v>
      </c>
      <c r="AB1649">
        <f>HYPERLINK("Melting_Curves/meltCurve_Q47150_dinJ.pdf", "Melting_Curves/meltCurve_Q47150_dinJ.pdf")</f>
        <v>0</v>
      </c>
    </row>
    <row r="1650" spans="1:28">
      <c r="A1650" t="s">
        <v>1676</v>
      </c>
      <c r="B1650">
        <v>0.999998419929286</v>
      </c>
      <c r="C1650">
        <v>0.929663996881924</v>
      </c>
      <c r="D1650">
        <v>0.9537492562313989</v>
      </c>
      <c r="E1650">
        <v>0.996350495474729</v>
      </c>
      <c r="F1650">
        <v>0.920048266726648</v>
      </c>
      <c r="G1650">
        <v>1.26612656021318</v>
      </c>
      <c r="H1650">
        <v>1.0893879355653</v>
      </c>
      <c r="I1650">
        <v>0.823872001658569</v>
      </c>
      <c r="J1650">
        <v>0.772281524775057</v>
      </c>
      <c r="K1650">
        <v>0.972601591192503</v>
      </c>
      <c r="L1650">
        <v>4957.92313274798</v>
      </c>
      <c r="M1650">
        <v>83.4152875657023</v>
      </c>
      <c r="O1650">
        <v>59.4024707432786</v>
      </c>
      <c r="P1650">
        <v>-0.0511622134592483</v>
      </c>
      <c r="Q1650">
        <v>0.854263525105718</v>
      </c>
      <c r="R1650">
        <v>0.307715944841522</v>
      </c>
      <c r="S1650" t="s">
        <v>3334</v>
      </c>
      <c r="T1650" t="s">
        <v>3344</v>
      </c>
      <c r="U1650" t="s">
        <v>3344</v>
      </c>
      <c r="V1650" t="s">
        <v>3344</v>
      </c>
      <c r="W1650" t="s">
        <v>4991</v>
      </c>
      <c r="X1650">
        <v>1</v>
      </c>
      <c r="Y1650" t="s">
        <v>6649</v>
      </c>
      <c r="Z1650" t="s">
        <v>8307</v>
      </c>
      <c r="AA1650">
        <v>0.9633944328455226</v>
      </c>
      <c r="AB1650">
        <f>HYPERLINK("Melting_Curves/meltCurve_Q47157_yafO.pdf", "Melting_Curves/meltCurve_Q47157_yafO.pdf")</f>
        <v>0</v>
      </c>
    </row>
    <row r="1651" spans="1:28">
      <c r="A1651" t="s">
        <v>1677</v>
      </c>
      <c r="B1651">
        <v>0.999998419929286</v>
      </c>
      <c r="C1651">
        <v>1.35822526565069</v>
      </c>
      <c r="D1651">
        <v>1.37236644524122</v>
      </c>
      <c r="E1651">
        <v>1.59068156794327</v>
      </c>
      <c r="F1651">
        <v>1.29956158250931</v>
      </c>
      <c r="G1651">
        <v>0.250315511225459</v>
      </c>
      <c r="H1651">
        <v>0.137270637091422</v>
      </c>
      <c r="I1651">
        <v>0.09010691162037961</v>
      </c>
      <c r="J1651">
        <v>0.0667511228806722</v>
      </c>
      <c r="K1651">
        <v>0.08694696493631029</v>
      </c>
      <c r="L1651">
        <v>13365.2152471851</v>
      </c>
      <c r="M1651">
        <v>250</v>
      </c>
      <c r="N1651">
        <v>53.5060973934893</v>
      </c>
      <c r="O1651">
        <v>53.4574399390868</v>
      </c>
      <c r="P1651">
        <v>-1.05777037370688</v>
      </c>
      <c r="Q1651">
        <v>0.0952688630495394</v>
      </c>
      <c r="R1651">
        <v>0.813087059969117</v>
      </c>
      <c r="S1651" t="s">
        <v>3335</v>
      </c>
      <c r="T1651" t="s">
        <v>3344</v>
      </c>
      <c r="U1651" t="s">
        <v>3344</v>
      </c>
      <c r="V1651" t="s">
        <v>3344</v>
      </c>
      <c r="W1651" t="s">
        <v>4992</v>
      </c>
      <c r="X1651">
        <v>5</v>
      </c>
      <c r="Y1651" t="s">
        <v>6650</v>
      </c>
      <c r="Z1651" t="s">
        <v>8308</v>
      </c>
      <c r="AA1651">
        <v>0.5917755302042321</v>
      </c>
      <c r="AB1651">
        <f>HYPERLINK("Melting_Curves/meltCurve_Q47622_sapA.pdf", "Melting_Curves/meltCurve_Q47622_sapA.pdf")</f>
        <v>0</v>
      </c>
    </row>
    <row r="1652" spans="1:28">
      <c r="A1652" t="s">
        <v>1678</v>
      </c>
      <c r="B1652">
        <v>0.999998419929286</v>
      </c>
      <c r="C1652">
        <v>0.830727219752682</v>
      </c>
      <c r="D1652">
        <v>0.537012613992496</v>
      </c>
      <c r="E1652">
        <v>0.333357139718659</v>
      </c>
      <c r="F1652">
        <v>0.185571090443117</v>
      </c>
      <c r="G1652">
        <v>0.0943291520412813</v>
      </c>
      <c r="H1652">
        <v>0.07045405955205319</v>
      </c>
      <c r="I1652">
        <v>0.0731264727152172</v>
      </c>
      <c r="J1652">
        <v>0.0266714375902785</v>
      </c>
      <c r="K1652">
        <v>0.0276725913067387</v>
      </c>
      <c r="L1652">
        <v>659.742432084719</v>
      </c>
      <c r="M1652">
        <v>15.0770089366348</v>
      </c>
      <c r="N1652">
        <v>44.0080299076991</v>
      </c>
      <c r="O1652">
        <v>43.0100282157742</v>
      </c>
      <c r="P1652">
        <v>-0.08405017532978259</v>
      </c>
      <c r="Q1652">
        <v>0.0410187148706149</v>
      </c>
      <c r="R1652">
        <v>0.993170964848357</v>
      </c>
      <c r="S1652" t="s">
        <v>3336</v>
      </c>
      <c r="T1652" t="s">
        <v>3344</v>
      </c>
      <c r="U1652" t="s">
        <v>3344</v>
      </c>
      <c r="V1652" t="s">
        <v>3344</v>
      </c>
      <c r="W1652" t="s">
        <v>4993</v>
      </c>
      <c r="X1652">
        <v>2</v>
      </c>
      <c r="Y1652" t="s">
        <v>6651</v>
      </c>
      <c r="Z1652" t="s">
        <v>8309</v>
      </c>
      <c r="AA1652">
        <v>0.2809247921876</v>
      </c>
      <c r="AB1652">
        <f>HYPERLINK("Melting_Curves/meltCurve_Q47679_yafV.pdf", "Melting_Curves/meltCurve_Q47679_yafV.pdf")</f>
        <v>0</v>
      </c>
    </row>
    <row r="1653" spans="1:28">
      <c r="A1653" t="s">
        <v>1679</v>
      </c>
      <c r="B1653">
        <v>0.999998419929286</v>
      </c>
      <c r="C1653">
        <v>1.03660386566999</v>
      </c>
      <c r="D1653">
        <v>1.07180594114657</v>
      </c>
      <c r="E1653">
        <v>1.00517543274002</v>
      </c>
      <c r="F1653">
        <v>0.502762129212333</v>
      </c>
      <c r="G1653">
        <v>0.0855868898428235</v>
      </c>
      <c r="H1653">
        <v>0.0375198983781619</v>
      </c>
      <c r="I1653">
        <v>0.0316204283979472</v>
      </c>
      <c r="J1653">
        <v>0.0347978455011142</v>
      </c>
      <c r="K1653">
        <v>0.0188960522495074</v>
      </c>
      <c r="L1653">
        <v>2535.67006985924</v>
      </c>
      <c r="M1653">
        <v>50.5528666948063</v>
      </c>
      <c r="N1653">
        <v>50.2303131700375</v>
      </c>
      <c r="O1653">
        <v>50.0804758809291</v>
      </c>
      <c r="P1653">
        <v>-0.243593580912665</v>
      </c>
      <c r="Q1653">
        <v>0.0347315117307774</v>
      </c>
      <c r="R1653">
        <v>0.996381230499075</v>
      </c>
      <c r="S1653" t="s">
        <v>3337</v>
      </c>
      <c r="T1653" t="s">
        <v>3344</v>
      </c>
      <c r="U1653" t="s">
        <v>3344</v>
      </c>
      <c r="V1653" t="s">
        <v>3344</v>
      </c>
      <c r="W1653" t="s">
        <v>4994</v>
      </c>
      <c r="X1653">
        <v>4</v>
      </c>
      <c r="Y1653" t="s">
        <v>6652</v>
      </c>
      <c r="Z1653" t="s">
        <v>8310</v>
      </c>
      <c r="AA1653">
        <v>0.4602121219071781</v>
      </c>
      <c r="AB1653">
        <f>HYPERLINK("Melting_Curves/meltCurve_Q57261_truD.pdf", "Melting_Curves/meltCurve_Q57261_truD.pdf")</f>
        <v>0</v>
      </c>
    </row>
    <row r="1654" spans="1:28">
      <c r="A1654" t="s">
        <v>1680</v>
      </c>
      <c r="B1654">
        <v>0.999998419929286</v>
      </c>
      <c r="C1654">
        <v>0.998024900606038</v>
      </c>
      <c r="D1654">
        <v>0.850877622611436</v>
      </c>
      <c r="E1654">
        <v>0.794625393010076</v>
      </c>
      <c r="F1654">
        <v>0.693119137632616</v>
      </c>
      <c r="G1654">
        <v>0.757562406214258</v>
      </c>
      <c r="H1654">
        <v>0.5852489535208349</v>
      </c>
      <c r="I1654">
        <v>0.505816668048107</v>
      </c>
      <c r="J1654">
        <v>0.296932245911804</v>
      </c>
      <c r="K1654">
        <v>0.36529345510729</v>
      </c>
      <c r="L1654">
        <v>348.621974986555</v>
      </c>
      <c r="M1654">
        <v>5.83908353850045</v>
      </c>
      <c r="N1654">
        <v>59.7049248013025</v>
      </c>
      <c r="O1654">
        <v>53.8209417150881</v>
      </c>
      <c r="P1654">
        <v>-0.0272194803579473</v>
      </c>
      <c r="Q1654">
        <v>0</v>
      </c>
      <c r="R1654">
        <v>0.934038097438435</v>
      </c>
      <c r="S1654" t="s">
        <v>3338</v>
      </c>
      <c r="T1654" t="s">
        <v>3344</v>
      </c>
      <c r="U1654" t="s">
        <v>3344</v>
      </c>
      <c r="V1654" t="s">
        <v>3344</v>
      </c>
      <c r="W1654" t="s">
        <v>4995</v>
      </c>
      <c r="X1654">
        <v>11</v>
      </c>
      <c r="Y1654" t="s">
        <v>6653</v>
      </c>
      <c r="Z1654" t="s">
        <v>8311</v>
      </c>
      <c r="AA1654">
        <v>0.68887606727175</v>
      </c>
      <c r="AB1654">
        <f>HYPERLINK("Melting_Curves/meltCurve_Q59385_copA.pdf", "Melting_Curves/meltCurve_Q59385_copA.pdf")</f>
        <v>0</v>
      </c>
    </row>
    <row r="1655" spans="1:28">
      <c r="A1655" t="s">
        <v>1681</v>
      </c>
      <c r="B1655">
        <v>0.999998419929286</v>
      </c>
      <c r="C1655">
        <v>0.9174807030502899</v>
      </c>
      <c r="D1655">
        <v>0.964608209782885</v>
      </c>
      <c r="E1655">
        <v>0.959912564788002</v>
      </c>
      <c r="F1655">
        <v>1.10872936103931</v>
      </c>
      <c r="G1655">
        <v>1.06013931727674</v>
      </c>
      <c r="H1655">
        <v>0.620832234723148</v>
      </c>
      <c r="I1655">
        <v>0.224839441233568</v>
      </c>
      <c r="J1655">
        <v>0.0522745132733395</v>
      </c>
      <c r="K1655">
        <v>0.0304250409572501</v>
      </c>
      <c r="L1655">
        <v>2260.43152056583</v>
      </c>
      <c r="M1655">
        <v>38.7820265598124</v>
      </c>
      <c r="N1655">
        <v>58.4033123869329</v>
      </c>
      <c r="O1655">
        <v>58.1312032731437</v>
      </c>
      <c r="P1655">
        <v>-0.160514255058097</v>
      </c>
      <c r="Q1655">
        <v>0.0376091123068944</v>
      </c>
      <c r="R1655">
        <v>0.979202925464264</v>
      </c>
      <c r="S1655" t="s">
        <v>3339</v>
      </c>
      <c r="T1655" t="s">
        <v>3344</v>
      </c>
      <c r="U1655" t="s">
        <v>3344</v>
      </c>
      <c r="V1655" t="s">
        <v>3344</v>
      </c>
      <c r="W1655" t="s">
        <v>4996</v>
      </c>
      <c r="X1655">
        <v>3</v>
      </c>
      <c r="Y1655" t="s">
        <v>6654</v>
      </c>
      <c r="Z1655" t="s">
        <v>8312</v>
      </c>
      <c r="AA1655">
        <v>0.7241350155816796</v>
      </c>
      <c r="AB1655">
        <f>HYPERLINK("Melting_Curves/meltCurve_Q93K97_nudF.pdf", "Melting_Curves/meltCurve_Q93K97_nudF.pdf")</f>
        <v>0</v>
      </c>
    </row>
    <row r="1656" spans="1:28">
      <c r="A1656" t="s">
        <v>1682</v>
      </c>
      <c r="B1656">
        <v>0.999998419929286</v>
      </c>
      <c r="C1656">
        <v>0.9535103189217951</v>
      </c>
      <c r="D1656">
        <v>0.549183808623237</v>
      </c>
      <c r="E1656">
        <v>0.315703751466965</v>
      </c>
      <c r="F1656">
        <v>0.156555034581557</v>
      </c>
      <c r="G1656">
        <v>0.0990801177034473</v>
      </c>
      <c r="H1656">
        <v>0.0551213090461247</v>
      </c>
      <c r="I1656">
        <v>0.0218443032057963</v>
      </c>
      <c r="J1656">
        <v>0.0170475880262481</v>
      </c>
      <c r="K1656">
        <v>0.0108140785715062</v>
      </c>
      <c r="L1656">
        <v>799.813281140554</v>
      </c>
      <c r="M1656">
        <v>18.1531821743053</v>
      </c>
      <c r="N1656">
        <v>44.2266212591669</v>
      </c>
      <c r="O1656">
        <v>43.5348971863621</v>
      </c>
      <c r="P1656">
        <v>-0.10078701453615</v>
      </c>
      <c r="Q1656">
        <v>0.0332178890302577</v>
      </c>
      <c r="R1656">
        <v>0.987840982812301</v>
      </c>
      <c r="S1656" t="s">
        <v>3340</v>
      </c>
      <c r="T1656" t="s">
        <v>3344</v>
      </c>
      <c r="U1656" t="s">
        <v>3344</v>
      </c>
      <c r="V1656" t="s">
        <v>3344</v>
      </c>
      <c r="W1656" t="s">
        <v>4997</v>
      </c>
      <c r="X1656">
        <v>1</v>
      </c>
      <c r="Y1656" t="s">
        <v>6655</v>
      </c>
      <c r="Z1656" t="s">
        <v>8313</v>
      </c>
      <c r="AA1656">
        <v>0.2766601562765135</v>
      </c>
      <c r="AB1656">
        <f>HYPERLINK("Melting_Curves/meltCurve_Q9LBU0_kgtP.pdf", "Melting_Curves/meltCurve_Q9LBU0_kgtP.pdf")</f>
        <v>0</v>
      </c>
    </row>
    <row r="1657" spans="1:28">
      <c r="A1657" t="s">
        <v>1683</v>
      </c>
      <c r="B1657">
        <v>0.999998419929286</v>
      </c>
      <c r="C1657">
        <v>0.9955469450858609</v>
      </c>
      <c r="D1657">
        <v>0.970210881368482</v>
      </c>
      <c r="E1657">
        <v>1.09581184332928</v>
      </c>
      <c r="F1657">
        <v>1.06392837503472</v>
      </c>
      <c r="G1657">
        <v>1.17778620261533</v>
      </c>
      <c r="H1657">
        <v>1.05724520177988</v>
      </c>
      <c r="I1657">
        <v>1.06175962928606</v>
      </c>
      <c r="J1657">
        <v>1.14213745173366</v>
      </c>
      <c r="K1657">
        <v>1.09213023713292</v>
      </c>
      <c r="L1657">
        <v>11493.7680247007</v>
      </c>
      <c r="M1657">
        <v>250</v>
      </c>
      <c r="O1657">
        <v>45.9721306697154</v>
      </c>
      <c r="P1657">
        <v>0.134816084668995</v>
      </c>
      <c r="Q1657">
        <v>1.09916452101012</v>
      </c>
      <c r="R1657">
        <v>0.652015729303258</v>
      </c>
      <c r="S1657" t="s">
        <v>3341</v>
      </c>
      <c r="T1657" t="s">
        <v>3344</v>
      </c>
      <c r="U1657" t="s">
        <v>3344</v>
      </c>
      <c r="V1657" t="s">
        <v>3344</v>
      </c>
      <c r="W1657" t="s">
        <v>4998</v>
      </c>
      <c r="X1657">
        <v>5</v>
      </c>
      <c r="Y1657" t="s">
        <v>6656</v>
      </c>
      <c r="Z1657" t="s">
        <v>8314</v>
      </c>
      <c r="AA1657">
        <v>1.069489562343954</v>
      </c>
      <c r="AB1657">
        <f>HYPERLINK("Melting_Curves/meltCurve_Q9LBU5_yrdA.pdf", "Melting_Curves/meltCurve_Q9LBU5_yrdA.pdf")</f>
        <v>0</v>
      </c>
    </row>
    <row r="1658" spans="1:28">
      <c r="A1658" t="s">
        <v>1684</v>
      </c>
      <c r="B1658">
        <v>0.999998419929286</v>
      </c>
      <c r="C1658">
        <v>0.716119226329057</v>
      </c>
      <c r="D1658">
        <v>0.871232819297196</v>
      </c>
      <c r="E1658">
        <v>0.953189579273416</v>
      </c>
      <c r="F1658">
        <v>1.07523543189264</v>
      </c>
      <c r="G1658">
        <v>1.00184035630224</v>
      </c>
      <c r="H1658">
        <v>0.705849821907229</v>
      </c>
      <c r="I1658">
        <v>0.642455002900522</v>
      </c>
      <c r="J1658">
        <v>0.511053011344651</v>
      </c>
      <c r="K1658">
        <v>0.509377866931258</v>
      </c>
      <c r="L1658">
        <v>2368.76078124249</v>
      </c>
      <c r="M1658">
        <v>41.5614872519165</v>
      </c>
      <c r="O1658">
        <v>56.8626589179588</v>
      </c>
      <c r="P1658">
        <v>-0.08458289148590099</v>
      </c>
      <c r="Q1658">
        <v>0.537109985591785</v>
      </c>
      <c r="R1658">
        <v>0.707281951065998</v>
      </c>
      <c r="S1658" t="s">
        <v>3342</v>
      </c>
      <c r="T1658" t="s">
        <v>3344</v>
      </c>
      <c r="U1658" t="s">
        <v>3344</v>
      </c>
      <c r="V1658" t="s">
        <v>3344</v>
      </c>
      <c r="W1658" t="s">
        <v>4999</v>
      </c>
      <c r="X1658">
        <v>1</v>
      </c>
      <c r="Y1658" t="s">
        <v>6657</v>
      </c>
      <c r="Z1658" t="s">
        <v>8315</v>
      </c>
      <c r="AA1658">
        <v>0.8472387422840101</v>
      </c>
      <c r="AB1658">
        <f>HYPERLINK("Melting_Curves/meltCurve_Q9LBV1_mobB.pdf", "Melting_Curves/meltCurve_Q9LBV1_mobB.pdf")</f>
        <v>0</v>
      </c>
    </row>
    <row r="1659" spans="1:28">
      <c r="A1659" t="s">
        <v>1685</v>
      </c>
      <c r="B1659">
        <v>0.999998419929286</v>
      </c>
      <c r="C1659">
        <v>1.07361881270828</v>
      </c>
      <c r="D1659">
        <v>0.998242484110934</v>
      </c>
      <c r="E1659">
        <v>0.938444242252314</v>
      </c>
      <c r="F1659">
        <v>1.19107014780303</v>
      </c>
      <c r="G1659">
        <v>1.41560535017901</v>
      </c>
      <c r="H1659">
        <v>0.58383432251658</v>
      </c>
      <c r="I1659">
        <v>0.918372504339151</v>
      </c>
      <c r="J1659">
        <v>0.180395826172208</v>
      </c>
      <c r="K1659">
        <v>0.0675241534900432</v>
      </c>
      <c r="L1659">
        <v>5295.16231890502</v>
      </c>
      <c r="M1659">
        <v>84.5214372477774</v>
      </c>
      <c r="N1659">
        <v>62.747052571688</v>
      </c>
      <c r="O1659">
        <v>62.6137009431327</v>
      </c>
      <c r="P1659">
        <v>-0.31654518794054</v>
      </c>
      <c r="Q1659">
        <v>0.0620100590737131</v>
      </c>
      <c r="R1659">
        <v>0.7660801147633171</v>
      </c>
      <c r="S1659" t="s">
        <v>3343</v>
      </c>
      <c r="T1659" t="s">
        <v>3344</v>
      </c>
      <c r="U1659" t="s">
        <v>3344</v>
      </c>
      <c r="V1659" t="s">
        <v>3344</v>
      </c>
      <c r="W1659" t="s">
        <v>5000</v>
      </c>
      <c r="X1659">
        <v>3</v>
      </c>
      <c r="Y1659" t="s">
        <v>6658</v>
      </c>
      <c r="AA1659">
        <v>0.8647439998351083</v>
      </c>
      <c r="AB1659">
        <f>HYPERLINK("Melting_Curves/meltCurve_Q9RFA1_.pdf", "Melting_Curves/meltCurve_Q9RFA1_.pdf")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2019-09-16T15:35:36Z</dcterms:created>
  <dcterms:modified xsi:type="dcterms:W3CDTF">2019-09-16T15:35:36Z</dcterms:modified>
</cp:coreProperties>
</file>