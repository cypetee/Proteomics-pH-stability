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<sst xmlns="http://schemas.openxmlformats.org/spreadsheetml/2006/main" count="17364" uniqueCount="10857">
  <si>
    <t>Protein_ID</t>
  </si>
  <si>
    <t>norm_FC_TMT126</t>
  </si>
  <si>
    <t>norm_FC_TMT127L</t>
  </si>
  <si>
    <t>norm_FC_TMT127H</t>
  </si>
  <si>
    <t>norm_FC_TMT128L</t>
  </si>
  <si>
    <t>norm_FC_TMT128H</t>
  </si>
  <si>
    <t>norm_FC_TMT129L</t>
  </si>
  <si>
    <t>norm_FC_TMT129H</t>
  </si>
  <si>
    <t>norm_FC_TMT130L</t>
  </si>
  <si>
    <t>norm_FC_TMT130H</t>
  </si>
  <si>
    <t>norm_FC_TMT131L</t>
  </si>
  <si>
    <t>a</t>
  </si>
  <si>
    <t>b</t>
  </si>
  <si>
    <t>meltPoint</t>
  </si>
  <si>
    <t>inflPoint</t>
  </si>
  <si>
    <t>slope</t>
  </si>
  <si>
    <t>plateau</t>
  </si>
  <si>
    <t>R_sq</t>
  </si>
  <si>
    <t>plot</t>
  </si>
  <si>
    <t>protein_identified_in</t>
  </si>
  <si>
    <t>model_converged</t>
  </si>
  <si>
    <t>sufficient_data_for_fit</t>
  </si>
  <si>
    <t>Proteinname</t>
  </si>
  <si>
    <t>numSpec</t>
  </si>
  <si>
    <t>uniprot_ac</t>
  </si>
  <si>
    <t>gene_name</t>
  </si>
  <si>
    <t>auc</t>
  </si>
  <si>
    <t>plot_link</t>
  </si>
  <si>
    <t>C1P601_rzoQ</t>
  </si>
  <si>
    <t>G0ZKW2_lacZ</t>
  </si>
  <si>
    <t>G1E6H3_pmrB</t>
  </si>
  <si>
    <t>P00350_gnd</t>
  </si>
  <si>
    <t>P00363_frdA</t>
  </si>
  <si>
    <t>P00370_gdhA</t>
  </si>
  <si>
    <t>P00393_ndh</t>
  </si>
  <si>
    <t>P00448_sodA</t>
  </si>
  <si>
    <t>P00452_nrdA</t>
  </si>
  <si>
    <t>P00490_malP</t>
  </si>
  <si>
    <t>P00509_aspC</t>
  </si>
  <si>
    <t>P00547_thrB</t>
  </si>
  <si>
    <t>P00550_mtlA</t>
  </si>
  <si>
    <t>P00561_thrA</t>
  </si>
  <si>
    <t>P00562_metL</t>
  </si>
  <si>
    <t>P00579_rpoD</t>
  </si>
  <si>
    <t>P00582_polA</t>
  </si>
  <si>
    <t>P00634_phoA</t>
  </si>
  <si>
    <t>P00803_lepB</t>
  </si>
  <si>
    <t>P00805_ansB</t>
  </si>
  <si>
    <t>P00811_ampC</t>
  </si>
  <si>
    <t>P00864_ppc</t>
  </si>
  <si>
    <t>P00887_aroH</t>
  </si>
  <si>
    <t>P00895_trpE</t>
  </si>
  <si>
    <t>P00903_pabA</t>
  </si>
  <si>
    <t>P00904_trpGD</t>
  </si>
  <si>
    <t>P00909_trpC</t>
  </si>
  <si>
    <t>P00926_dsdA</t>
  </si>
  <si>
    <t>P00934_thrC</t>
  </si>
  <si>
    <t>P00935_metB</t>
  </si>
  <si>
    <t>P00944_xylA</t>
  </si>
  <si>
    <t>P00946_manA</t>
  </si>
  <si>
    <t>P00954_trpS</t>
  </si>
  <si>
    <t>P00956_ileS</t>
  </si>
  <si>
    <t>P00957_alaS</t>
  </si>
  <si>
    <t>P00959_metG</t>
  </si>
  <si>
    <t>P00960_glyQ</t>
  </si>
  <si>
    <t>P00961_glyS</t>
  </si>
  <si>
    <t>P00962_glnS</t>
  </si>
  <si>
    <t>P00963_asnA</t>
  </si>
  <si>
    <t>P00968_carB</t>
  </si>
  <si>
    <t>P02358_rpsF</t>
  </si>
  <si>
    <t>P02359_rpsG</t>
  </si>
  <si>
    <t>P02413_rplO</t>
  </si>
  <si>
    <t>P02918_mrcA</t>
  </si>
  <si>
    <t>P02919_mrcB</t>
  </si>
  <si>
    <t>P02924_araF</t>
  </si>
  <si>
    <t>P02925_rbsB</t>
  </si>
  <si>
    <t>P02929_tonB</t>
  </si>
  <si>
    <t>P02930_tolC</t>
  </si>
  <si>
    <t>P02931_ompF</t>
  </si>
  <si>
    <t>P02942_tsr</t>
  </si>
  <si>
    <t>P02943_lamB</t>
  </si>
  <si>
    <t>P03004_dnaA</t>
  </si>
  <si>
    <t>P03007_dnaQ</t>
  </si>
  <si>
    <t>P03018_uvrD</t>
  </si>
  <si>
    <t>P03023_lacI</t>
  </si>
  <si>
    <t>P03024_galR</t>
  </si>
  <si>
    <t>P03813_ygeA</t>
  </si>
  <si>
    <t>P03817_mioC</t>
  </si>
  <si>
    <t>P03819_kefC</t>
  </si>
  <si>
    <t>P03841_malM</t>
  </si>
  <si>
    <t>P04036_dapB</t>
  </si>
  <si>
    <t>P04079_guaA</t>
  </si>
  <si>
    <t>P04335_frsA</t>
  </si>
  <si>
    <t>P04425_gshB</t>
  </si>
  <si>
    <t>P04693_tyrB</t>
  </si>
  <si>
    <t>P04805_gltX</t>
  </si>
  <si>
    <t>P04816_livK</t>
  </si>
  <si>
    <t>P04825_pepN</t>
  </si>
  <si>
    <t>P04846_nlpA</t>
  </si>
  <si>
    <t>P04949_fliC</t>
  </si>
  <si>
    <t>P04951_kdsB</t>
  </si>
  <si>
    <t>P04968_ilvA</t>
  </si>
  <si>
    <t>P04982_rbsD</t>
  </si>
  <si>
    <t>P04983_rbsA</t>
  </si>
  <si>
    <t>P04993_recD</t>
  </si>
  <si>
    <t>P04994_xseA</t>
  </si>
  <si>
    <t>P04995_sbcB</t>
  </si>
  <si>
    <t>P05020_pyrC</t>
  </si>
  <si>
    <t>P05041_pabB</t>
  </si>
  <si>
    <t>P05042_fumC</t>
  </si>
  <si>
    <t>P05050_alkB</t>
  </si>
  <si>
    <t>P05055_pnp</t>
  </si>
  <si>
    <t>P05194_aroD</t>
  </si>
  <si>
    <t>P05458_ptrA</t>
  </si>
  <si>
    <t>P05459_pdxB</t>
  </si>
  <si>
    <t>P05523_mutM</t>
  </si>
  <si>
    <t>P05637_apaH</t>
  </si>
  <si>
    <t>P05704_trg</t>
  </si>
  <si>
    <t>P05707_srlD</t>
  </si>
  <si>
    <t>P05791_ilvD</t>
  </si>
  <si>
    <t>P05793_ilvC</t>
  </si>
  <si>
    <t>P05804_uidA</t>
  </si>
  <si>
    <t>P05825_fepA</t>
  </si>
  <si>
    <t>P05827_ilvY</t>
  </si>
  <si>
    <t>P06129_btuB</t>
  </si>
  <si>
    <t>P06134_ada</t>
  </si>
  <si>
    <t>P06149_dld</t>
  </si>
  <si>
    <t>P06282_cdh</t>
  </si>
  <si>
    <t>P06610_btuE</t>
  </si>
  <si>
    <t>P06612_topA</t>
  </si>
  <si>
    <t>P06616_era</t>
  </si>
  <si>
    <t>P06709_birA</t>
  </si>
  <si>
    <t>P06710_dnaX</t>
  </si>
  <si>
    <t>P06715_gor</t>
  </si>
  <si>
    <t>P06720_melA</t>
  </si>
  <si>
    <t>P06721_metC</t>
  </si>
  <si>
    <t>P06846_ebgR</t>
  </si>
  <si>
    <t>P06959_aceF</t>
  </si>
  <si>
    <t>P06961_cca</t>
  </si>
  <si>
    <t>P06966_dicA</t>
  </si>
  <si>
    <t>P06968_dut</t>
  </si>
  <si>
    <t>P06971_fhuA</t>
  </si>
  <si>
    <t>P06974_fliM</t>
  </si>
  <si>
    <t>P06983_hemC</t>
  </si>
  <si>
    <t>P06986_hisC</t>
  </si>
  <si>
    <t>P06987_hisB</t>
  </si>
  <si>
    <t>P06988_hisD</t>
  </si>
  <si>
    <t>P06989_hisI</t>
  </si>
  <si>
    <t>P06992_rsmA</t>
  </si>
  <si>
    <t>P06996_ompC</t>
  </si>
  <si>
    <t>P06999_pfkB</t>
  </si>
  <si>
    <t>P07000_pldB</t>
  </si>
  <si>
    <t>P07001_pntA</t>
  </si>
  <si>
    <t>P07003_poxB</t>
  </si>
  <si>
    <t>P07004_proA</t>
  </si>
  <si>
    <t>P07012_prfB</t>
  </si>
  <si>
    <t>P07013_priB</t>
  </si>
  <si>
    <t>P07014_sdhB</t>
  </si>
  <si>
    <t>P07017_tar</t>
  </si>
  <si>
    <t>P07018_tap</t>
  </si>
  <si>
    <t>P07023_tyrA</t>
  </si>
  <si>
    <t>P07024_ushA</t>
  </si>
  <si>
    <t>P07102_appA</t>
  </si>
  <si>
    <t>P07117_putP</t>
  </si>
  <si>
    <t>P07118_valS</t>
  </si>
  <si>
    <t>P07330_cheB</t>
  </si>
  <si>
    <t>P07363_cheA</t>
  </si>
  <si>
    <t>P07395_pheT</t>
  </si>
  <si>
    <t>P07464_lacA</t>
  </si>
  <si>
    <t>P07604_tyrR</t>
  </si>
  <si>
    <t>P07639_aroB</t>
  </si>
  <si>
    <t>P07650_deoA</t>
  </si>
  <si>
    <t>P07762_glgB</t>
  </si>
  <si>
    <t>P07813_leuS</t>
  </si>
  <si>
    <t>P07822_fhuD</t>
  </si>
  <si>
    <t>P07862_ddlB</t>
  </si>
  <si>
    <t>P07913_tdh</t>
  </si>
  <si>
    <t>P08142_ilvB</t>
  </si>
  <si>
    <t>P08178_purM</t>
  </si>
  <si>
    <t>P08179_purN</t>
  </si>
  <si>
    <t>P08192_folC</t>
  </si>
  <si>
    <t>P08194_glpT</t>
  </si>
  <si>
    <t>P08200_icd</t>
  </si>
  <si>
    <t>P08201_nirB</t>
  </si>
  <si>
    <t>P08202_araA</t>
  </si>
  <si>
    <t>P08204_araB</t>
  </si>
  <si>
    <t>P08244_pyrF</t>
  </si>
  <si>
    <t>P08245_yciH</t>
  </si>
  <si>
    <t>P08312_pheS</t>
  </si>
  <si>
    <t>P08331_cpdB</t>
  </si>
  <si>
    <t>P08337_mutT</t>
  </si>
  <si>
    <t>P08368_creB</t>
  </si>
  <si>
    <t>P08373_murB</t>
  </si>
  <si>
    <t>P08390_usg</t>
  </si>
  <si>
    <t>P08395_sppA</t>
  </si>
  <si>
    <t>P08506_dacC</t>
  </si>
  <si>
    <t>P08550_cvpA</t>
  </si>
  <si>
    <t>P08622_dnaJ</t>
  </si>
  <si>
    <t>P08660_lysC</t>
  </si>
  <si>
    <t>P08839_ptsI</t>
  </si>
  <si>
    <t>P08956_hsdR</t>
  </si>
  <si>
    <t>P08957_hsdM</t>
  </si>
  <si>
    <t>P08997_aceB</t>
  </si>
  <si>
    <t>P09029_purK</t>
  </si>
  <si>
    <t>P09030_xthA</t>
  </si>
  <si>
    <t>P09053_avtA</t>
  </si>
  <si>
    <t>P09099_xylB</t>
  </si>
  <si>
    <t>P09126_hemD</t>
  </si>
  <si>
    <t>P09127_hemX</t>
  </si>
  <si>
    <t>P09147_galE</t>
  </si>
  <si>
    <t>P09148_galT</t>
  </si>
  <si>
    <t>P09152_narG</t>
  </si>
  <si>
    <t>P09158_speE</t>
  </si>
  <si>
    <t>P09169_ompT</t>
  </si>
  <si>
    <t>P09323_nagE</t>
  </si>
  <si>
    <t>P09372_grpE</t>
  </si>
  <si>
    <t>P09373_pflB</t>
  </si>
  <si>
    <t>P09391_glpG</t>
  </si>
  <si>
    <t>P09394_glpQ</t>
  </si>
  <si>
    <t>P09424_mtlD</t>
  </si>
  <si>
    <t>P09546_putA</t>
  </si>
  <si>
    <t>P09549_dedD</t>
  </si>
  <si>
    <t>P09551_argT</t>
  </si>
  <si>
    <t>P09831_gltB</t>
  </si>
  <si>
    <t>P09832_gltD</t>
  </si>
  <si>
    <t>P09833_modC</t>
  </si>
  <si>
    <t>P0A698_uvrA</t>
  </si>
  <si>
    <t>P0A6A3_ackA</t>
  </si>
  <si>
    <t>P0A6A6_leuC</t>
  </si>
  <si>
    <t>P0A6A8_acpP</t>
  </si>
  <si>
    <t>P0A6B4_alr</t>
  </si>
  <si>
    <t>P0A6B7_iscS</t>
  </si>
  <si>
    <t>P0A6C1_nfo</t>
  </si>
  <si>
    <t>P0A6C8_argB</t>
  </si>
  <si>
    <t>P0A6D0_argR</t>
  </si>
  <si>
    <t>P0A6D3_aroA</t>
  </si>
  <si>
    <t>P0A6D7_aroK</t>
  </si>
  <si>
    <t>P0A6E1_aroL</t>
  </si>
  <si>
    <t>P0A6E4_argG</t>
  </si>
  <si>
    <t>P0A6E9_bioD2</t>
  </si>
  <si>
    <t>P0A6F1_carA</t>
  </si>
  <si>
    <t>P0A6F3_glpK</t>
  </si>
  <si>
    <t>P0A6F5_groL</t>
  </si>
  <si>
    <t>P0A6F9_groS</t>
  </si>
  <si>
    <t>P0A6G3_pncC</t>
  </si>
  <si>
    <t>P0A6G7_clpP</t>
  </si>
  <si>
    <t>P0A6H1_clpX</t>
  </si>
  <si>
    <t>P0A6H5_hslU</t>
  </si>
  <si>
    <t>P0A6H8_clsA</t>
  </si>
  <si>
    <t>P0A6I0_cmk</t>
  </si>
  <si>
    <t>P0A6I3_coaA</t>
  </si>
  <si>
    <t>P0A6I6_coaD</t>
  </si>
  <si>
    <t>P0A6I9_coaE</t>
  </si>
  <si>
    <t>P0A6J3_cysZ</t>
  </si>
  <si>
    <t>P0A6J5_dadA</t>
  </si>
  <si>
    <t>P0A6J8_ddlA</t>
  </si>
  <si>
    <t>P0A6K1_dapF</t>
  </si>
  <si>
    <t>P0A6K3_def</t>
  </si>
  <si>
    <t>P0A6K6_deoB</t>
  </si>
  <si>
    <t>P0A6L0_deoC</t>
  </si>
  <si>
    <t>P0A6L2_dapA</t>
  </si>
  <si>
    <t>P0A6L4_nanA</t>
  </si>
  <si>
    <t>P0A6L7_uxaB</t>
  </si>
  <si>
    <t>P0A6L9_hscB</t>
  </si>
  <si>
    <t>P0A6M2_dsbB</t>
  </si>
  <si>
    <t>P0A6M4_dtd</t>
  </si>
  <si>
    <t>P0A6M8_fusA</t>
  </si>
  <si>
    <t>P0A6N4_efp</t>
  </si>
  <si>
    <t>P0A6N8_yeiP</t>
  </si>
  <si>
    <t>P0A6P1_tsf</t>
  </si>
  <si>
    <t>P0A6P5_der</t>
  </si>
  <si>
    <t>P0A6P7_engB</t>
  </si>
  <si>
    <t>P0A6P9_eno</t>
  </si>
  <si>
    <t>P0A6Q3_fabA</t>
  </si>
  <si>
    <t>P0A6Q6_fabZ</t>
  </si>
  <si>
    <t>P0A6R0_fabH</t>
  </si>
  <si>
    <t>P0A6S0_flgH</t>
  </si>
  <si>
    <t>P0A6S7_gpsA</t>
  </si>
  <si>
    <t>P0A6T1_pgi</t>
  </si>
  <si>
    <t>P0A6T3_galK</t>
  </si>
  <si>
    <t>P0A6T5_folE</t>
  </si>
  <si>
    <t>P0A6T9_gcvH</t>
  </si>
  <si>
    <t>P0A6U3_mnmG</t>
  </si>
  <si>
    <t>P0A6U5_rsmG</t>
  </si>
  <si>
    <t>P0A6U8_glgA</t>
  </si>
  <si>
    <t>P0A6V1_glgC</t>
  </si>
  <si>
    <t>P0A6V5_glpE</t>
  </si>
  <si>
    <t>P0A6V8_glk</t>
  </si>
  <si>
    <t>P0A6W3_mraY</t>
  </si>
  <si>
    <t>P0A6W5_greA</t>
  </si>
  <si>
    <t>P0A6W9_gshA</t>
  </si>
  <si>
    <t>P0A6X3_hfq</t>
  </si>
  <si>
    <t>P0A6X7_ihfA</t>
  </si>
  <si>
    <t>P0A6Y1_ihfB</t>
  </si>
  <si>
    <t>P0A6Y5_hslO</t>
  </si>
  <si>
    <t>P0A6Y8_dnaK</t>
  </si>
  <si>
    <t>P0A6Z1_hscA</t>
  </si>
  <si>
    <t>P0A6Z3_htpG</t>
  </si>
  <si>
    <t>P0A6Z6_nikR</t>
  </si>
  <si>
    <t>P0A705_infB</t>
  </si>
  <si>
    <t>P0A707_infC</t>
  </si>
  <si>
    <t>P0A715_kdsA</t>
  </si>
  <si>
    <t>P0A717_prs</t>
  </si>
  <si>
    <t>P0A720_tmk</t>
  </si>
  <si>
    <t>P0A722_lpxA</t>
  </si>
  <si>
    <t>P0A725_lpxC</t>
  </si>
  <si>
    <t>P0A729_yceF</t>
  </si>
  <si>
    <t>P0A731_mgsA</t>
  </si>
  <si>
    <t>P0A734_minE</t>
  </si>
  <si>
    <t>P0A738_moaC</t>
  </si>
  <si>
    <t>P0A742_mscL</t>
  </si>
  <si>
    <t>P0A744_msrA</t>
  </si>
  <si>
    <t>P0A746_msrB</t>
  </si>
  <si>
    <t>P0A749_murA</t>
  </si>
  <si>
    <t>P0A752_nadD</t>
  </si>
  <si>
    <t>P0A754_kefF</t>
  </si>
  <si>
    <t>P0A759_nagB</t>
  </si>
  <si>
    <t>P0A761_nanE</t>
  </si>
  <si>
    <t>P0A763_ndk</t>
  </si>
  <si>
    <t>P0A780_nusB</t>
  </si>
  <si>
    <t>P0A784_orn</t>
  </si>
  <si>
    <t>P0A786_pyrB</t>
  </si>
  <si>
    <t>P0A790_panD</t>
  </si>
  <si>
    <t>P0A794_pdxJ</t>
  </si>
  <si>
    <t>P0A796_pfkA</t>
  </si>
  <si>
    <t>P0A799_pgk</t>
  </si>
  <si>
    <t>P0A7A2_gpmB</t>
  </si>
  <si>
    <t>P0A7A5_pcm</t>
  </si>
  <si>
    <t>P0A7A7_plsB</t>
  </si>
  <si>
    <t>P0A7A9_ppa</t>
  </si>
  <si>
    <t>P0A7B1_ppk</t>
  </si>
  <si>
    <t>P0A7B3_nadK</t>
  </si>
  <si>
    <t>P0A7B5_proB</t>
  </si>
  <si>
    <t>P0A7B8_hslV</t>
  </si>
  <si>
    <t>P0A7C2_lexA</t>
  </si>
  <si>
    <t>P0A7C6_pepE</t>
  </si>
  <si>
    <t>P0A7D1_pth</t>
  </si>
  <si>
    <t>P0A7D4_purA</t>
  </si>
  <si>
    <t>P0A7D7_purC</t>
  </si>
  <si>
    <t>P0A7E1_pyrD</t>
  </si>
  <si>
    <t>P0A7E3_pyrE</t>
  </si>
  <si>
    <t>P0A7E5_pyrG</t>
  </si>
  <si>
    <t>P0A7E9_pyrH</t>
  </si>
  <si>
    <t>P0A7F3_pyrI</t>
  </si>
  <si>
    <t>P0A7F6_speD</t>
  </si>
  <si>
    <t>P0A7F9_queA</t>
  </si>
  <si>
    <t>P0A7G2_rbfA</t>
  </si>
  <si>
    <t>P0A7G6_recA</t>
  </si>
  <si>
    <t>P0A7H6_recR</t>
  </si>
  <si>
    <t>P0A7I0_prfA</t>
  </si>
  <si>
    <t>P0A7I4_prfC</t>
  </si>
  <si>
    <t>P0A7I7_ribA</t>
  </si>
  <si>
    <t>P0A7J0_ribB</t>
  </si>
  <si>
    <t>P0A7J3_rplJ</t>
  </si>
  <si>
    <t>P0A7J7_rplK</t>
  </si>
  <si>
    <t>P0A7K2_rplL</t>
  </si>
  <si>
    <t>P0A7K6_rplS</t>
  </si>
  <si>
    <t>P0A7L0_rplA</t>
  </si>
  <si>
    <t>P0A7L3_rplT</t>
  </si>
  <si>
    <t>P0A7L8_rpmA</t>
  </si>
  <si>
    <t>P0A7M2_rpmB</t>
  </si>
  <si>
    <t>P0A7M6_rpmC</t>
  </si>
  <si>
    <t>P0A7M9_rpmE</t>
  </si>
  <si>
    <t>P0A7P5_rpmH</t>
  </si>
  <si>
    <t>P0A7Q6_rpmJ</t>
  </si>
  <si>
    <t>P0A7R1_rplI</t>
  </si>
  <si>
    <t>P0A7R5_rpsJ</t>
  </si>
  <si>
    <t>P0A7R9_rpsK</t>
  </si>
  <si>
    <t>P0A7S3_rpsL</t>
  </si>
  <si>
    <t>P0A7S9_rpsM</t>
  </si>
  <si>
    <t>P0A7T3_rpsP</t>
  </si>
  <si>
    <t>P0A7T7_rpsR</t>
  </si>
  <si>
    <t>P0A7U3_rpsS</t>
  </si>
  <si>
    <t>P0A7U7_rpsT</t>
  </si>
  <si>
    <t>P0A7V0_rpsB</t>
  </si>
  <si>
    <t>P0A7V3_rpsC</t>
  </si>
  <si>
    <t>P0A7V8_rpsD</t>
  </si>
  <si>
    <t>P0A7W1_rpsE</t>
  </si>
  <si>
    <t>P0A7W7_rpsH</t>
  </si>
  <si>
    <t>P0A7X3_rpsI</t>
  </si>
  <si>
    <t>P0A7X6_rimM</t>
  </si>
  <si>
    <t>P0A7Y0_rnc</t>
  </si>
  <si>
    <t>P0A7Y4_rnhA</t>
  </si>
  <si>
    <t>P0A7Z0_rpiA</t>
  </si>
  <si>
    <t>P0A7Z4_rpoA</t>
  </si>
  <si>
    <t>P0A800_rpoZ</t>
  </si>
  <si>
    <t>P0A805_frr</t>
  </si>
  <si>
    <t>P0A809_ruvA</t>
  </si>
  <si>
    <t>P0A812_ruvB</t>
  </si>
  <si>
    <t>P0A817_metK</t>
  </si>
  <si>
    <t>P0A821_selA</t>
  </si>
  <si>
    <t>P0A823_sfsA</t>
  </si>
  <si>
    <t>P0A825_glyA</t>
  </si>
  <si>
    <t>P0A830_dctA</t>
  </si>
  <si>
    <t>P0A832_smpB</t>
  </si>
  <si>
    <t>P0A836_sucC</t>
  </si>
  <si>
    <t>P0A840_surE</t>
  </si>
  <si>
    <t>P0A847_tgt</t>
  </si>
  <si>
    <t>P0A850_tig</t>
  </si>
  <si>
    <t>P0A853_tnaA</t>
  </si>
  <si>
    <t>P0A855_tolB</t>
  </si>
  <si>
    <t>P0A858_tpiA</t>
  </si>
  <si>
    <t>P0A862_tpx</t>
  </si>
  <si>
    <t>P0A867_talA</t>
  </si>
  <si>
    <t>P0A870_talB</t>
  </si>
  <si>
    <t>P0A873_trmD</t>
  </si>
  <si>
    <t>P0A877_trpA</t>
  </si>
  <si>
    <t>P0A879_trpB</t>
  </si>
  <si>
    <t>P0A881_trpR</t>
  </si>
  <si>
    <t>P0A884_thyA</t>
  </si>
  <si>
    <t>P0A887_ubiE</t>
  </si>
  <si>
    <t>P0A890_tusA</t>
  </si>
  <si>
    <t>P0A894_rapZ</t>
  </si>
  <si>
    <t>P0A898_ybeY</t>
  </si>
  <si>
    <t>P0A8A0_yebC</t>
  </si>
  <si>
    <t>P0A8A2_yeeN</t>
  </si>
  <si>
    <t>P0A8A4_ppsR</t>
  </si>
  <si>
    <t>P0A8B5_ybaB</t>
  </si>
  <si>
    <t>P0A8C1_ybjQ</t>
  </si>
  <si>
    <t>P0A8D0_nrdR</t>
  </si>
  <si>
    <t>P0A8D3_yaiI</t>
  </si>
  <si>
    <t>P0A8D6_ymdB</t>
  </si>
  <si>
    <t>P0A8E1_ycfP</t>
  </si>
  <si>
    <t>P0A8E5_yacL</t>
  </si>
  <si>
    <t>P0A8E7_yajQ</t>
  </si>
  <si>
    <t>P0A8F0_upp</t>
  </si>
  <si>
    <t>P0A8F4_udk</t>
  </si>
  <si>
    <t>P0A8F8_uvrB</t>
  </si>
  <si>
    <t>P0A8G3_uxaC</t>
  </si>
  <si>
    <t>P0A8G6_wrbA</t>
  </si>
  <si>
    <t>P0A8G9_xseB</t>
  </si>
  <si>
    <t>P0A8H6_yihI</t>
  </si>
  <si>
    <t>P0A8H8_yacG</t>
  </si>
  <si>
    <t>P0A8I1_yqgF</t>
  </si>
  <si>
    <t>P0A8I3_yaaA</t>
  </si>
  <si>
    <t>P0A8I5_trmB</t>
  </si>
  <si>
    <t>P0A8I8_rlmH</t>
  </si>
  <si>
    <t>P0A8J8_rhlB</t>
  </si>
  <si>
    <t>P0A8K1_psd</t>
  </si>
  <si>
    <t>P0A8K5_yaeP</t>
  </si>
  <si>
    <t>P0A8L1_serS</t>
  </si>
  <si>
    <t>P0A8L7_yciU</t>
  </si>
  <si>
    <t>P0A8M0_asnS</t>
  </si>
  <si>
    <t>P0A8M3_thrS</t>
  </si>
  <si>
    <t>P0A8M6_yeeX</t>
  </si>
  <si>
    <t>P0A8N0_matP</t>
  </si>
  <si>
    <t>P0A8N3_lysS</t>
  </si>
  <si>
    <t>P0A8N5_lysU</t>
  </si>
  <si>
    <t>P0A8N7_epmA</t>
  </si>
  <si>
    <t>P0A8P3_yggX</t>
  </si>
  <si>
    <t>P0A8Q0_frdC</t>
  </si>
  <si>
    <t>P0A8Q3_frdD</t>
  </si>
  <si>
    <t>P0A8Q6_clpS</t>
  </si>
  <si>
    <t>P0A8R0_rraA</t>
  </si>
  <si>
    <t>P0A8R4_slyX</t>
  </si>
  <si>
    <t>P0A8R7_ycjF</t>
  </si>
  <si>
    <t>P0A8S1_argP</t>
  </si>
  <si>
    <t>P0A8T1_prmA</t>
  </si>
  <si>
    <t>P0A8T7_rpoC</t>
  </si>
  <si>
    <t>P0A8U0_syd</t>
  </si>
  <si>
    <t>P0A8U2_yafD</t>
  </si>
  <si>
    <t>P0A8U6_metJ</t>
  </si>
  <si>
    <t>P0A8V0_rbn</t>
  </si>
  <si>
    <t>P0A8V2_rpoB</t>
  </si>
  <si>
    <t>P0A8V6_fadR</t>
  </si>
  <si>
    <t>P0A8W0_nanR</t>
  </si>
  <si>
    <t>P0A8W2_slyA</t>
  </si>
  <si>
    <t>P0A8W5_yqgE</t>
  </si>
  <si>
    <t>P0A8W8_yfbU</t>
  </si>
  <si>
    <t>P0A8X0_yjgA</t>
  </si>
  <si>
    <t>P0A8X2_yceI</t>
  </si>
  <si>
    <t>P0A8Y3_yihX</t>
  </si>
  <si>
    <t>P0A8Y5_yidA</t>
  </si>
  <si>
    <t>P0A8Z0_yciA</t>
  </si>
  <si>
    <t>P0A8Z3_ybgC</t>
  </si>
  <si>
    <t>P0A901_blc</t>
  </si>
  <si>
    <t>P0A903_bamC</t>
  </si>
  <si>
    <t>P0A905_slyB</t>
  </si>
  <si>
    <t>P0A910_ompA</t>
  </si>
  <si>
    <t>P0A912_pal</t>
  </si>
  <si>
    <t>P0A915_ompW</t>
  </si>
  <si>
    <t>P0A917_ompX</t>
  </si>
  <si>
    <t>P0A921_pldA</t>
  </si>
  <si>
    <t>P0A924_pgpB</t>
  </si>
  <si>
    <t>P0A927_tsx</t>
  </si>
  <si>
    <t>P0A937_bamE</t>
  </si>
  <si>
    <t>P0A940_bamA</t>
  </si>
  <si>
    <t>P0A944_rimI</t>
  </si>
  <si>
    <t>P0A948_rimJ</t>
  </si>
  <si>
    <t>P0A951_speG</t>
  </si>
  <si>
    <t>P0A953_fabB</t>
  </si>
  <si>
    <t>P0A955_eda</t>
  </si>
  <si>
    <t>P0A959_alaA</t>
  </si>
  <si>
    <t>P0A962_ansA</t>
  </si>
  <si>
    <t>P0A964_cheW</t>
  </si>
  <si>
    <t>P0A968_cspD</t>
  </si>
  <si>
    <t>P0A972_cspE</t>
  </si>
  <si>
    <t>P0A988_dnaN</t>
  </si>
  <si>
    <t>P0A991_fbaB</t>
  </si>
  <si>
    <t>P0A993_fbp</t>
  </si>
  <si>
    <t>P0A998_ftnA</t>
  </si>
  <si>
    <t>P0A9A2_ftnB</t>
  </si>
  <si>
    <t>P0A9A6_ftsZ</t>
  </si>
  <si>
    <t>P0A9A9_fur</t>
  </si>
  <si>
    <t>P0A9B2_gapA</t>
  </si>
  <si>
    <t>P0A9B6_epd</t>
  </si>
  <si>
    <t>P0A9C3_galM</t>
  </si>
  <si>
    <t>P0A9C5_glnA</t>
  </si>
  <si>
    <t>P0A9C9_glpX</t>
  </si>
  <si>
    <t>P0A9D2_gstA</t>
  </si>
  <si>
    <t>P0A9D4_cysE</t>
  </si>
  <si>
    <t>P0A9D8_dapD</t>
  </si>
  <si>
    <t>P0A9E5_fnr</t>
  </si>
  <si>
    <t>P0A9F1_mntR</t>
  </si>
  <si>
    <t>P0A9F3_cysB</t>
  </si>
  <si>
    <t>P0A9F6_gcvA</t>
  </si>
  <si>
    <t>P0A9G6_aceA</t>
  </si>
  <si>
    <t>P0A9G8_modE</t>
  </si>
  <si>
    <t>P0A9H1_mug</t>
  </si>
  <si>
    <t>P0A9H3_cadA</t>
  </si>
  <si>
    <t>P0A9H7_cfa</t>
  </si>
  <si>
    <t>P0A9H9_cheZ</t>
  </si>
  <si>
    <t>P0A9I3_gcvR</t>
  </si>
  <si>
    <t>P0A9J0_rng</t>
  </si>
  <si>
    <t>P0A9J6_rbsK</t>
  </si>
  <si>
    <t>P0A9J8_pheA</t>
  </si>
  <si>
    <t>P0A9K3_ybeZ</t>
  </si>
  <si>
    <t>P0A9K7_phoU</t>
  </si>
  <si>
    <t>P0A9K9_slyD</t>
  </si>
  <si>
    <t>P0A9L3_fklB</t>
  </si>
  <si>
    <t>P0A9L5_ppiC</t>
  </si>
  <si>
    <t>P0A9L8_proC</t>
  </si>
  <si>
    <t>P0A9M0_lon</t>
  </si>
  <si>
    <t>P0A9M2_hpt</t>
  </si>
  <si>
    <t>P0A9M5_gpt</t>
  </si>
  <si>
    <t>P0A9M8_pta</t>
  </si>
  <si>
    <t>P0A9N0_ptsO</t>
  </si>
  <si>
    <t>P0A9N4_pflA</t>
  </si>
  <si>
    <t>P0A9P0_lpdA</t>
  </si>
  <si>
    <t>P0A9P4_trxB</t>
  </si>
  <si>
    <t>P0A9P9_idnO</t>
  </si>
  <si>
    <t>P0A9Q1_arcA</t>
  </si>
  <si>
    <t>P0A9Q5_accD</t>
  </si>
  <si>
    <t>P0A9Q7_adhE</t>
  </si>
  <si>
    <t>P0A9Q9_asd</t>
  </si>
  <si>
    <t>P0A9R4_fdx</t>
  </si>
  <si>
    <t>P0A9R7_ftsE</t>
  </si>
  <si>
    <t>P0A9S1_fucO</t>
  </si>
  <si>
    <t>P0A9S3_gatD</t>
  </si>
  <si>
    <t>P0A9S5_gldA</t>
  </si>
  <si>
    <t>P0A9T0_serA</t>
  </si>
  <si>
    <t>P0A9T4_tas</t>
  </si>
  <si>
    <t>P0A9T8_ybbA</t>
  </si>
  <si>
    <t>P0A9U3_ybiT</t>
  </si>
  <si>
    <t>P0A9U6_puuR</t>
  </si>
  <si>
    <t>P0A9V1_lptB</t>
  </si>
  <si>
    <t>P0A9V5_yiaG</t>
  </si>
  <si>
    <t>P0A9W0_ulaR</t>
  </si>
  <si>
    <t>P0A9W3_ettA</t>
  </si>
  <si>
    <t>P0A9W6_ibaG</t>
  </si>
  <si>
    <t>P0A9X1_znuC</t>
  </si>
  <si>
    <t>P0A9X4_mreB</t>
  </si>
  <si>
    <t>P0A9X9_cspA</t>
  </si>
  <si>
    <t>P0A9Y6_cspC</t>
  </si>
  <si>
    <t>P0A9Z1_glnB</t>
  </si>
  <si>
    <t>P0AA04_ptsH</t>
  </si>
  <si>
    <t>P0AA10_rplM</t>
  </si>
  <si>
    <t>P0AA16_ompR</t>
  </si>
  <si>
    <t>P0AA25_trxA</t>
  </si>
  <si>
    <t>P0AA37_rluA</t>
  </si>
  <si>
    <t>P0AA39_rluC</t>
  </si>
  <si>
    <t>P0AA43_rsuA</t>
  </si>
  <si>
    <t>P0AA53_qmcA</t>
  </si>
  <si>
    <t>P0AA63_yqjA</t>
  </si>
  <si>
    <t>P0AA84_clsB</t>
  </si>
  <si>
    <t>P0AA86_dsbE</t>
  </si>
  <si>
    <t>P0AA91_yeaY</t>
  </si>
  <si>
    <t>P0AA93_ypdA</t>
  </si>
  <si>
    <t>P0AAA1_yagU</t>
  </si>
  <si>
    <t>P0AAB4_ubiD</t>
  </si>
  <si>
    <t>P0AAB6_galF</t>
  </si>
  <si>
    <t>P0AAB8_uspD</t>
  </si>
  <si>
    <t>P0AAC0_uspE</t>
  </si>
  <si>
    <t>P0AAC4_ybhL</t>
  </si>
  <si>
    <t>P0AAC8_iscA</t>
  </si>
  <si>
    <t>P0AAD2_mtr</t>
  </si>
  <si>
    <t>P0AAD6_sdaC</t>
  </si>
  <si>
    <t>P0AAE0_cycA</t>
  </si>
  <si>
    <t>P0AAE2_proY</t>
  </si>
  <si>
    <t>P0AAF6_artP</t>
  </si>
  <si>
    <t>P0AAG0_dppD</t>
  </si>
  <si>
    <t>P0AAG8_mglA</t>
  </si>
  <si>
    <t>P0AAH0_pstB</t>
  </si>
  <si>
    <t>P0AAH4_sapD</t>
  </si>
  <si>
    <t>P0AAH8_sapF</t>
  </si>
  <si>
    <t>P0AAI3_ftsH</t>
  </si>
  <si>
    <t>P0AAI5_fabF</t>
  </si>
  <si>
    <t>P0AAI9_fabD</t>
  </si>
  <si>
    <t>P0AAJ1_ynfG</t>
  </si>
  <si>
    <t>P0AAJ3_fdnH</t>
  </si>
  <si>
    <t>P0AAJ5_fdoH</t>
  </si>
  <si>
    <t>P0AAJ8_hybA</t>
  </si>
  <si>
    <t>P0AAN1_hybE</t>
  </si>
  <si>
    <t>P0AAN3_hypB</t>
  </si>
  <si>
    <t>P0AAP3_frmR</t>
  </si>
  <si>
    <t>P0AAQ2_yajD</t>
  </si>
  <si>
    <t>P0AAQ6_ybaA</t>
  </si>
  <si>
    <t>P0AAR0_tomB</t>
  </si>
  <si>
    <t>P0AAR3_ybaK</t>
  </si>
  <si>
    <t>P0AAS0_ylaC</t>
  </si>
  <si>
    <t>P0AAS3_ybbJ</t>
  </si>
  <si>
    <t>P0AAS7_ybcJ</t>
  </si>
  <si>
    <t>P0AAT2_ybdF</t>
  </si>
  <si>
    <t>P0AAT4_ybdG</t>
  </si>
  <si>
    <t>P0AAT9_ybeL</t>
  </si>
  <si>
    <t>P0AAU7_ybfE</t>
  </si>
  <si>
    <t>P0AAV0_ybgE</t>
  </si>
  <si>
    <t>P0AAV4_ybgJ</t>
  </si>
  <si>
    <t>P0AAV6_ybgS</t>
  </si>
  <si>
    <t>P0AAW1_ybhP</t>
  </si>
  <si>
    <t>P0AAX8_ybiS</t>
  </si>
  <si>
    <t>P0AAY6_ybjN</t>
  </si>
  <si>
    <t>P0AAZ4_rarA</t>
  </si>
  <si>
    <t>P0AAZ7_ycaR</t>
  </si>
  <si>
    <t>P0AB01_elyC</t>
  </si>
  <si>
    <t>P0AB03_ycbJ</t>
  </si>
  <si>
    <t>P0AB10_ymbA</t>
  </si>
  <si>
    <t>P0AB12_yccF</t>
  </si>
  <si>
    <t>P0AB14_yccJ</t>
  </si>
  <si>
    <t>P0AB18_tusE</t>
  </si>
  <si>
    <t>P0AB20_hspQ</t>
  </si>
  <si>
    <t>P0AB24_efeO</t>
  </si>
  <si>
    <t>P0AB26_yceB</t>
  </si>
  <si>
    <t>P0AB28_yceD</t>
  </si>
  <si>
    <t>P0AB38_lpoB</t>
  </si>
  <si>
    <t>P0AB43_ycgL</t>
  </si>
  <si>
    <t>P0AB46_ymgD</t>
  </si>
  <si>
    <t>P0AB49_ychH</t>
  </si>
  <si>
    <t>P0AB52_ychN</t>
  </si>
  <si>
    <t>P0AB55_yciI</t>
  </si>
  <si>
    <t>P0AB58_lapB</t>
  </si>
  <si>
    <t>P0AB61_yciN</t>
  </si>
  <si>
    <t>P0AB65_yccX</t>
  </si>
  <si>
    <t>P0AB67_pntB</t>
  </si>
  <si>
    <t>P0AB71_fbaA</t>
  </si>
  <si>
    <t>P0AB77_kbl</t>
  </si>
  <si>
    <t>P0AB80_ilvE</t>
  </si>
  <si>
    <t>P0AB85_apbE</t>
  </si>
  <si>
    <t>P0AB89_purB</t>
  </si>
  <si>
    <t>P0AB91_aroG</t>
  </si>
  <si>
    <t>P0AB96_arsC</t>
  </si>
  <si>
    <t>P0AB98_atpB</t>
  </si>
  <si>
    <t>P0ABA0_atpF</t>
  </si>
  <si>
    <t>P0ABA4_atpH</t>
  </si>
  <si>
    <t>P0ABA6_atpG</t>
  </si>
  <si>
    <t>P0ABB0_atpA</t>
  </si>
  <si>
    <t>P0ABB4_atpD</t>
  </si>
  <si>
    <t>P0ABB8_mgtA</t>
  </si>
  <si>
    <t>P0ABC3_hflC</t>
  </si>
  <si>
    <t>P0ABC7_hflK</t>
  </si>
  <si>
    <t>P0ABD3_bfr</t>
  </si>
  <si>
    <t>P0ABD5_accA</t>
  </si>
  <si>
    <t>P0ABD8_accB</t>
  </si>
  <si>
    <t>P0ABE2_bolA</t>
  </si>
  <si>
    <t>P0ABE5_cybB</t>
  </si>
  <si>
    <t>P0ABF1_pcnB</t>
  </si>
  <si>
    <t>P0ABF4_eutM</t>
  </si>
  <si>
    <t>P0ABF6_cdd</t>
  </si>
  <si>
    <t>P0ABF8_pgsA</t>
  </si>
  <si>
    <t>P0ABG7_mrdB</t>
  </si>
  <si>
    <t>P0ABH0_ftsA</t>
  </si>
  <si>
    <t>P0ABH7_gltA</t>
  </si>
  <si>
    <t>P0ABH9_clpA</t>
  </si>
  <si>
    <t>P0ABI4_corA</t>
  </si>
  <si>
    <t>P0ABI8_cyoB</t>
  </si>
  <si>
    <t>P0ABJ1_cyoA</t>
  </si>
  <si>
    <t>P0ABJ3_cyoC</t>
  </si>
  <si>
    <t>P0ABJ9_cydA</t>
  </si>
  <si>
    <t>P0ABK2_cydB</t>
  </si>
  <si>
    <t>P0ABK5_cysK</t>
  </si>
  <si>
    <t>P0ABK9_nrfA</t>
  </si>
  <si>
    <t>P0ABL1_nrfB</t>
  </si>
  <si>
    <t>P0ABL3_napB</t>
  </si>
  <si>
    <t>P0ABL5_napC</t>
  </si>
  <si>
    <t>P0ABN1_dgkA</t>
  </si>
  <si>
    <t>P0ABN5_dcuA</t>
  </si>
  <si>
    <t>P0ABP3_dcuC</t>
  </si>
  <si>
    <t>P0ABP6_dedA</t>
  </si>
  <si>
    <t>P0ABP8_deoD</t>
  </si>
  <si>
    <t>P0ABQ0_coaBC</t>
  </si>
  <si>
    <t>P0ABQ2_garR</t>
  </si>
  <si>
    <t>P0ABQ4_folA</t>
  </si>
  <si>
    <t>P0ABR1_dinI</t>
  </si>
  <si>
    <t>P0ABS1_dksA</t>
  </si>
  <si>
    <t>P0ABS5_dnaG</t>
  </si>
  <si>
    <t>P0ABS8_holE</t>
  </si>
  <si>
    <t>P0ABT2_dps</t>
  </si>
  <si>
    <t>P0ABU0_menB</t>
  </si>
  <si>
    <t>P0ABU2_ychF</t>
  </si>
  <si>
    <t>P0ABU5_elbB</t>
  </si>
  <si>
    <t>P0ABU7_exbB</t>
  </si>
  <si>
    <t>P0ABU9_tolQ</t>
  </si>
  <si>
    <t>P0ABV2_exbD</t>
  </si>
  <si>
    <t>P0ABV6_tolR</t>
  </si>
  <si>
    <t>P0ABX8_fliL</t>
  </si>
  <si>
    <t>P0ABZ1_fliG</t>
  </si>
  <si>
    <t>P0ABZ4_kdsC</t>
  </si>
  <si>
    <t>P0ABZ6_surA</t>
  </si>
  <si>
    <t>P0AC02_bamD</t>
  </si>
  <si>
    <t>P0AC05_fliP</t>
  </si>
  <si>
    <t>P0AC13_folP</t>
  </si>
  <si>
    <t>P0AC16_folB</t>
  </si>
  <si>
    <t>P0AC19_folX</t>
  </si>
  <si>
    <t>P0AC23_focA</t>
  </si>
  <si>
    <t>P0AC30_ftsX</t>
  </si>
  <si>
    <t>P0AC33_fumA</t>
  </si>
  <si>
    <t>P0AC38_aspA</t>
  </si>
  <si>
    <t>P0AC41_sdhA</t>
  </si>
  <si>
    <t>P0AC44_sdhD</t>
  </si>
  <si>
    <t>P0AC47_frdB</t>
  </si>
  <si>
    <t>P0AC51_zur</t>
  </si>
  <si>
    <t>P0AC53_zwf</t>
  </si>
  <si>
    <t>P0AC59_grxB</t>
  </si>
  <si>
    <t>P0AC62_grxC</t>
  </si>
  <si>
    <t>P0AC69_grxD</t>
  </si>
  <si>
    <t>P0AC73_ebgC</t>
  </si>
  <si>
    <t>P0AC75_waaA</t>
  </si>
  <si>
    <t>P0AC81_gloA</t>
  </si>
  <si>
    <t>P0AC84_gloB</t>
  </si>
  <si>
    <t>P0AC86_glgP</t>
  </si>
  <si>
    <t>P0AC92_gnsA</t>
  </si>
  <si>
    <t>P0AC98_satP</t>
  </si>
  <si>
    <t>P0ACA1_yibF</t>
  </si>
  <si>
    <t>P0ACA3_sspA</t>
  </si>
  <si>
    <t>P0ACA7_gstB</t>
  </si>
  <si>
    <t>P0ACB0_dnaB</t>
  </si>
  <si>
    <t>P0ACB2_hemB</t>
  </si>
  <si>
    <t>P0ACB7_hemY</t>
  </si>
  <si>
    <t>P0ACC1_prmC</t>
  </si>
  <si>
    <t>P0ACC3_erpA</t>
  </si>
  <si>
    <t>P0ACC7_glmU</t>
  </si>
  <si>
    <t>P0ACD4_iscU</t>
  </si>
  <si>
    <t>P0ACD8_hyaB</t>
  </si>
  <si>
    <t>P0ACE0_hybC</t>
  </si>
  <si>
    <t>P0ACE3_hha</t>
  </si>
  <si>
    <t>P0ACE7_hinT</t>
  </si>
  <si>
    <t>P0ACF0_hupA</t>
  </si>
  <si>
    <t>P0ACF4_hupB</t>
  </si>
  <si>
    <t>P0ACF8_hns</t>
  </si>
  <si>
    <t>P0ACG1_stpA</t>
  </si>
  <si>
    <t>P0ACG8_hslR</t>
  </si>
  <si>
    <t>P0ACI0_rob</t>
  </si>
  <si>
    <t>P0ACJ0_lrp</t>
  </si>
  <si>
    <t>P0ACJ8_crp</t>
  </si>
  <si>
    <t>P0ACK2_agaR</t>
  </si>
  <si>
    <t>P0ACK5_deoR</t>
  </si>
  <si>
    <t>P0ACK8_fucR</t>
  </si>
  <si>
    <t>P0ACL0_glpR</t>
  </si>
  <si>
    <t>P0ACL2_exuR</t>
  </si>
  <si>
    <t>P0ACL5_glcC</t>
  </si>
  <si>
    <t>P0ACL9_pdhR</t>
  </si>
  <si>
    <t>P0ACM5_yegW</t>
  </si>
  <si>
    <t>P0ACM9_yihL</t>
  </si>
  <si>
    <t>P0ACN4_allR</t>
  </si>
  <si>
    <t>P0ACN7_cytR</t>
  </si>
  <si>
    <t>P0ACP1_cra</t>
  </si>
  <si>
    <t>P0ACP5_gntR</t>
  </si>
  <si>
    <t>P0ACP7_purR</t>
  </si>
  <si>
    <t>P0ACQ4_oxyR</t>
  </si>
  <si>
    <t>P0ACR4_yeiE</t>
  </si>
  <si>
    <t>P0ACR9_mprA</t>
  </si>
  <si>
    <t>P0ACS7_rpiR</t>
  </si>
  <si>
    <t>P0ACT6_uidR</t>
  </si>
  <si>
    <t>P0ACU0_ybiH</t>
  </si>
  <si>
    <t>P0ACU2_rutR</t>
  </si>
  <si>
    <t>P0ACU7_yjdC</t>
  </si>
  <si>
    <t>P0ACV0_lpxL</t>
  </si>
  <si>
    <t>P0ACV4_lapA</t>
  </si>
  <si>
    <t>P0ACV6_mpaA</t>
  </si>
  <si>
    <t>P0ACW6_ydcH</t>
  </si>
  <si>
    <t>P0ACX3_ydhR</t>
  </si>
  <si>
    <t>P0ACX5_ydhZ</t>
  </si>
  <si>
    <t>P0ACY1_ydjA</t>
  </si>
  <si>
    <t>P0ACY3_yeaG</t>
  </si>
  <si>
    <t>P0ACY9_yebG</t>
  </si>
  <si>
    <t>P0ACZ4_evgA</t>
  </si>
  <si>
    <t>P0AD01_dcuR</t>
  </si>
  <si>
    <t>P0AD05_yecA</t>
  </si>
  <si>
    <t>P0AD10_yecJ</t>
  </si>
  <si>
    <t>P0AD12_yeeZ</t>
  </si>
  <si>
    <t>P0AD21_yejG</t>
  </si>
  <si>
    <t>P0AD24_yejL</t>
  </si>
  <si>
    <t>P0AD27_yejM</t>
  </si>
  <si>
    <t>P0AD33_yfcZ</t>
  </si>
  <si>
    <t>P0AD37_yfeC</t>
  </si>
  <si>
    <t>P0AD40_ypeB</t>
  </si>
  <si>
    <t>P0AD42_pgpC</t>
  </si>
  <si>
    <t>P0AD44_yfhG</t>
  </si>
  <si>
    <t>P0AD47_yphA</t>
  </si>
  <si>
    <t>P0AD49_raiA</t>
  </si>
  <si>
    <t>P0AD57_ispB</t>
  </si>
  <si>
    <t>P0AD59_ivy</t>
  </si>
  <si>
    <t>P0AD61_pykF</t>
  </si>
  <si>
    <t>P0AD96_livJ</t>
  </si>
  <si>
    <t>P0ADA1_tesA</t>
  </si>
  <si>
    <t>P0ADA3_nlpD</t>
  </si>
  <si>
    <t>P0ADA5_yajG</t>
  </si>
  <si>
    <t>P0ADB1_osmE</t>
  </si>
  <si>
    <t>P0ADC1_lptE</t>
  </si>
  <si>
    <t>P0ADC3_lolC</t>
  </si>
  <si>
    <t>P0ADC6_lptG</t>
  </si>
  <si>
    <t>P0ADE4_tamA</t>
  </si>
  <si>
    <t>P0ADE6_ygaU</t>
  </si>
  <si>
    <t>P0ADE8_ygfZ</t>
  </si>
  <si>
    <t>P0ADF8_ilvN</t>
  </si>
  <si>
    <t>P0ADG4_suhB</t>
  </si>
  <si>
    <t>P0ADG7_guaB</t>
  </si>
  <si>
    <t>P0ADI4_entB</t>
  </si>
  <si>
    <t>P0ADI7_yecD</t>
  </si>
  <si>
    <t>P0ADK0_yiaF</t>
  </si>
  <si>
    <t>P0ADK8_yibL</t>
  </si>
  <si>
    <t>P0ADM4_yidQ</t>
  </si>
  <si>
    <t>P0ADN0_viaA</t>
  </si>
  <si>
    <t>P0ADN2_yifE</t>
  </si>
  <si>
    <t>P0ADN6_yifL</t>
  </si>
  <si>
    <t>P0ADP0_yigB</t>
  </si>
  <si>
    <t>P0ADP2_yigI</t>
  </si>
  <si>
    <t>P0ADP7_ubiJ</t>
  </si>
  <si>
    <t>P0ADP9_yihD</t>
  </si>
  <si>
    <t>P0ADQ2_yiiD</t>
  </si>
  <si>
    <t>P0ADQ7_ygaM</t>
  </si>
  <si>
    <t>P0ADR6_rlmM</t>
  </si>
  <si>
    <t>P0ADR8_ygdH</t>
  </si>
  <si>
    <t>P0ADS2_zapA</t>
  </si>
  <si>
    <t>P0ADS6_yggE</t>
  </si>
  <si>
    <t>P0ADS9_yggN</t>
  </si>
  <si>
    <t>P0ADT2_ygiB</t>
  </si>
  <si>
    <t>P0ADT5_ygiC</t>
  </si>
  <si>
    <t>P0ADT8_ygiM</t>
  </si>
  <si>
    <t>P0ADU2_ygiN</t>
  </si>
  <si>
    <t>P0ADU5_ygiW</t>
  </si>
  <si>
    <t>P0ADV1_lptA</t>
  </si>
  <si>
    <t>P0ADV5_yhbW</t>
  </si>
  <si>
    <t>P0ADV7_mlaC</t>
  </si>
  <si>
    <t>P0ADV9_lptC</t>
  </si>
  <si>
    <t>P0ADW3_yhcB</t>
  </si>
  <si>
    <t>P0ADX1_yhfA</t>
  </si>
  <si>
    <t>P0ADX7_yhhA</t>
  </si>
  <si>
    <t>P0ADX9_rsmD</t>
  </si>
  <si>
    <t>P0ADY1_ppiD</t>
  </si>
  <si>
    <t>P0ADY3_rplN</t>
  </si>
  <si>
    <t>P0ADY7_rplP</t>
  </si>
  <si>
    <t>P0ADZ0_rplW</t>
  </si>
  <si>
    <t>P0ADZ4_rpsO</t>
  </si>
  <si>
    <t>P0ADZ7_yajC</t>
  </si>
  <si>
    <t>P0AE01_trmJ</t>
  </si>
  <si>
    <t>P0AE06_acrA</t>
  </si>
  <si>
    <t>P0AE08_ahpC</t>
  </si>
  <si>
    <t>P0AE12_amn</t>
  </si>
  <si>
    <t>P0AE14_ampE</t>
  </si>
  <si>
    <t>P0AE18_map</t>
  </si>
  <si>
    <t>P0AE22_aphA</t>
  </si>
  <si>
    <t>P0AE26_araH</t>
  </si>
  <si>
    <t>P0AE28_aroM</t>
  </si>
  <si>
    <t>P0AE34_artQ</t>
  </si>
  <si>
    <t>P0AE37_astA</t>
  </si>
  <si>
    <t>P0AE39_ypdB</t>
  </si>
  <si>
    <t>P0AE45_ytfL</t>
  </si>
  <si>
    <t>P0AE48_ytfP</t>
  </si>
  <si>
    <t>P0AE52_bcp</t>
  </si>
  <si>
    <t>P0AE60_cedA</t>
  </si>
  <si>
    <t>P0AE63_chaB</t>
  </si>
  <si>
    <t>P0AE67_cheY</t>
  </si>
  <si>
    <t>P0AE70_mazF</t>
  </si>
  <si>
    <t>P0AE72_mazE</t>
  </si>
  <si>
    <t>P0AE78_corC</t>
  </si>
  <si>
    <t>P0AE82_cpxA</t>
  </si>
  <si>
    <t>P0AE85_cpxP</t>
  </si>
  <si>
    <t>P0AE88_cpxR</t>
  </si>
  <si>
    <t>P0AE91_creA</t>
  </si>
  <si>
    <t>P0AEA8_cysG</t>
  </si>
  <si>
    <t>P0AEB2_dacA</t>
  </si>
  <si>
    <t>P0AEB7_yoaB</t>
  </si>
  <si>
    <t>P0AEC0_yoaE</t>
  </si>
  <si>
    <t>P0AEC3_arcB</t>
  </si>
  <si>
    <t>P0AEC5_barA</t>
  </si>
  <si>
    <t>P0AEC8_dcuS</t>
  </si>
  <si>
    <t>P0AED0_uspA</t>
  </si>
  <si>
    <t>P0AED5_uvrY</t>
  </si>
  <si>
    <t>P0AED7_dapE</t>
  </si>
  <si>
    <t>P0AEE1_dcrB</t>
  </si>
  <si>
    <t>P0AEE3_degS</t>
  </si>
  <si>
    <t>P0AEE5_mglB</t>
  </si>
  <si>
    <t>P0AEF0_dnaC</t>
  </si>
  <si>
    <t>P0AEG1_dppC</t>
  </si>
  <si>
    <t>P0AEG4_dsbA</t>
  </si>
  <si>
    <t>P0AEG6_dsbC</t>
  </si>
  <si>
    <t>P0AEH1_rseP</t>
  </si>
  <si>
    <t>P0AEH3_elaA</t>
  </si>
  <si>
    <t>P0AEH5_elaB</t>
  </si>
  <si>
    <t>P0AEI1_miaB</t>
  </si>
  <si>
    <t>P0AEI4_rimO</t>
  </si>
  <si>
    <t>P0AEI6_nudJ</t>
  </si>
  <si>
    <t>P0AEJ2_entC</t>
  </si>
  <si>
    <t>P0AEJ4_envZ</t>
  </si>
  <si>
    <t>P0AEJ6_eutB</t>
  </si>
  <si>
    <t>P0AEK2_fabG</t>
  </si>
  <si>
    <t>P0AEK4_fabI</t>
  </si>
  <si>
    <t>P0AEL0_fdoI</t>
  </si>
  <si>
    <t>P0AEL6_fepB</t>
  </si>
  <si>
    <t>P0AEM4_flgM</t>
  </si>
  <si>
    <t>P0AEM6_fliA</t>
  </si>
  <si>
    <t>P0AEM9_fliY</t>
  </si>
  <si>
    <t>P0AEN1_fre</t>
  </si>
  <si>
    <t>P0AEN8_fucU</t>
  </si>
  <si>
    <t>P0AEP3_galU</t>
  </si>
  <si>
    <t>P0AEP7_gcl</t>
  </si>
  <si>
    <t>P0AEQ1_glcG</t>
  </si>
  <si>
    <t>P0AEQ3_glnH</t>
  </si>
  <si>
    <t>P0AEQ6_glnP</t>
  </si>
  <si>
    <t>P0AER0_glpF</t>
  </si>
  <si>
    <t>P0AER3_gltJ</t>
  </si>
  <si>
    <t>P0AES0_gss</t>
  </si>
  <si>
    <t>P0AES2_gudD</t>
  </si>
  <si>
    <t>P0AES4_gyrA</t>
  </si>
  <si>
    <t>P0AES6_gyrB</t>
  </si>
  <si>
    <t>P0AES9_hdeA</t>
  </si>
  <si>
    <t>P0AET2_hdeB</t>
  </si>
  <si>
    <t>P0AET5_hdeD</t>
  </si>
  <si>
    <t>P0AET8_hdhA</t>
  </si>
  <si>
    <t>P0AEU0_hisJ</t>
  </si>
  <si>
    <t>P0AEU7_skp</t>
  </si>
  <si>
    <t>P0AEV1_rssB</t>
  </si>
  <si>
    <t>P0AEV9_hycI</t>
  </si>
  <si>
    <t>P0AEW4_cpdA</t>
  </si>
  <si>
    <t>P0AEW6_gsk</t>
  </si>
  <si>
    <t>P0AEW9_fruK</t>
  </si>
  <si>
    <t>P0AEX5_prkB</t>
  </si>
  <si>
    <t>P0AEX9_malE</t>
  </si>
  <si>
    <t>P0AEY1_marC</t>
  </si>
  <si>
    <t>P0AEY3_mazG</t>
  </si>
  <si>
    <t>P0AEY5_mdaB</t>
  </si>
  <si>
    <t>P0AEZ3_minD</t>
  </si>
  <si>
    <t>P0AEZ9_moaB</t>
  </si>
  <si>
    <t>P0AF01_modB</t>
  </si>
  <si>
    <t>P0AF03_mog</t>
  </si>
  <si>
    <t>P0AF06_motB</t>
  </si>
  <si>
    <t>P0AF08_mrp</t>
  </si>
  <si>
    <t>P0AF12_mtnN</t>
  </si>
  <si>
    <t>P0AF18_nagA</t>
  </si>
  <si>
    <t>P0AF20_nagC</t>
  </si>
  <si>
    <t>P0AF24_nagD</t>
  </si>
  <si>
    <t>P0AF26_narJ</t>
  </si>
  <si>
    <t>P0AF28_narL</t>
  </si>
  <si>
    <t>P0AF36_zapB</t>
  </si>
  <si>
    <t>P0AF48_yjbQ</t>
  </si>
  <si>
    <t>P0AF50_yjbR</t>
  </si>
  <si>
    <t>P0AF54_yjcH</t>
  </si>
  <si>
    <t>P0AF56_yjcO</t>
  </si>
  <si>
    <t>P0AF59_yjdI</t>
  </si>
  <si>
    <t>P0AF63_nsrR</t>
  </si>
  <si>
    <t>P0AF67_tsaE</t>
  </si>
  <si>
    <t>P0AF70_yjeI</t>
  </si>
  <si>
    <t>P0AF90_rraB</t>
  </si>
  <si>
    <t>P0AF93_ridA</t>
  </si>
  <si>
    <t>P0AF96_tabA</t>
  </si>
  <si>
    <t>P0AF98_lptF</t>
  </si>
  <si>
    <t>P0AFA2_narX</t>
  </si>
  <si>
    <t>P0AFA7_nhaB</t>
  </si>
  <si>
    <t>P0AFB1_nlpI</t>
  </si>
  <si>
    <t>P0AFB5_glnL</t>
  </si>
  <si>
    <t>P0AFB8_glnG</t>
  </si>
  <si>
    <t>P0AFC0_nudB</t>
  </si>
  <si>
    <t>P0AFC3_nuoA</t>
  </si>
  <si>
    <t>P0AFC7_nuoB</t>
  </si>
  <si>
    <t>P0AFD1_nuoE</t>
  </si>
  <si>
    <t>P0AFD4_nuoH</t>
  </si>
  <si>
    <t>P0AFD6_nuoI</t>
  </si>
  <si>
    <t>P0AFE0_nuoJ</t>
  </si>
  <si>
    <t>P0AFE4_nuoK</t>
  </si>
  <si>
    <t>P0AFE8_nuoM</t>
  </si>
  <si>
    <t>P0AFF0_nuoN</t>
  </si>
  <si>
    <t>P0AFF2_nupC</t>
  </si>
  <si>
    <t>P0AFF6_nusA</t>
  </si>
  <si>
    <t>P0AFG0_nusG</t>
  </si>
  <si>
    <t>P0AFG3_sucA</t>
  </si>
  <si>
    <t>P0AFG6_sucB</t>
  </si>
  <si>
    <t>P0AFG8_aceE</t>
  </si>
  <si>
    <t>P0AFH2_oppB</t>
  </si>
  <si>
    <t>P0AFH6_oppC</t>
  </si>
  <si>
    <t>P0AFH8_osmY</t>
  </si>
  <si>
    <t>P0AFI2_parC</t>
  </si>
  <si>
    <t>P0AFI7_pdxH</t>
  </si>
  <si>
    <t>P0AFI9_perM</t>
  </si>
  <si>
    <t>P0AFJ1_phnA</t>
  </si>
  <si>
    <t>P0AFJ5_phoB</t>
  </si>
  <si>
    <t>P0AFJ7_pitA</t>
  </si>
  <si>
    <t>P0AFK0_pmbA</t>
  </si>
  <si>
    <t>P0AFK2_pnuC</t>
  </si>
  <si>
    <t>P0AFK4_potB</t>
  </si>
  <si>
    <t>P0AFK6_potC</t>
  </si>
  <si>
    <t>P0AFK9_potD</t>
  </si>
  <si>
    <t>P0AFL3_ppiA</t>
  </si>
  <si>
    <t>P0AFL6_ppx</t>
  </si>
  <si>
    <t>P0AFM2_proX</t>
  </si>
  <si>
    <t>P0AFM4_psiF</t>
  </si>
  <si>
    <t>P0AFM6_pspA</t>
  </si>
  <si>
    <t>P0AFM9_pspB</t>
  </si>
  <si>
    <t>P0AFN2_pspC</t>
  </si>
  <si>
    <t>P0AFP6_ybgI</t>
  </si>
  <si>
    <t>P0AFQ7_ycfH</t>
  </si>
  <si>
    <t>P0AFR0_rssA</t>
  </si>
  <si>
    <t>P0AFR2_dauA</t>
  </si>
  <si>
    <t>P0AFR4_yciO</t>
  </si>
  <si>
    <t>P0AFS3_folM</t>
  </si>
  <si>
    <t>P0AFS7_ydiK</t>
  </si>
  <si>
    <t>P0AFT2_yecS</t>
  </si>
  <si>
    <t>P0AFT5_yehT</t>
  </si>
  <si>
    <t>P0AFU0_yejB</t>
  </si>
  <si>
    <t>P0AFU4_glrR</t>
  </si>
  <si>
    <t>P0AFU8_ribC</t>
  </si>
  <si>
    <t>P0AFW0_rfaH</t>
  </si>
  <si>
    <t>P0AFW2_rmf</t>
  </si>
  <si>
    <t>P0AFW4_rnk</t>
  </si>
  <si>
    <t>P0AFW8_rof</t>
  </si>
  <si>
    <t>P0AFX0_hpf</t>
  </si>
  <si>
    <t>P0AFX4_rsd</t>
  </si>
  <si>
    <t>P0AFX9_rseB</t>
  </si>
  <si>
    <t>P0AFY2_sanA</t>
  </si>
  <si>
    <t>P0AFY8_seqA</t>
  </si>
  <si>
    <t>P0AFZ1_sseB</t>
  </si>
  <si>
    <t>P0AFZ3_sspB</t>
  </si>
  <si>
    <t>P0AG00_wzzE</t>
  </si>
  <si>
    <t>P0AG03_ubiX</t>
  </si>
  <si>
    <t>P0AG07_rpe</t>
  </si>
  <si>
    <t>P0AG14_sohB</t>
  </si>
  <si>
    <t>P0AG16_purF</t>
  </si>
  <si>
    <t>P0AG18_purE</t>
  </si>
  <si>
    <t>P0AG20_relA</t>
  </si>
  <si>
    <t>P0AG27_yibN</t>
  </si>
  <si>
    <t>P0AG30_rho</t>
  </si>
  <si>
    <t>P0AG40_ribF</t>
  </si>
  <si>
    <t>P0AG44_rplQ</t>
  </si>
  <si>
    <t>P0AG48_rplU</t>
  </si>
  <si>
    <t>P0AG51_rpmD</t>
  </si>
  <si>
    <t>P0AG55_rplF</t>
  </si>
  <si>
    <t>P0AG59_rpsN</t>
  </si>
  <si>
    <t>P0AG63_rpsQ</t>
  </si>
  <si>
    <t>P0AG67_rpsA</t>
  </si>
  <si>
    <t>P0AG71_rmuC</t>
  </si>
  <si>
    <t>P0AG78_sbp</t>
  </si>
  <si>
    <t>P0AG80_ugpB</t>
  </si>
  <si>
    <t>P0AG82_pstS</t>
  </si>
  <si>
    <t>P0AG84_yghA</t>
  </si>
  <si>
    <t>P0AG86_secB</t>
  </si>
  <si>
    <t>P0AG90_secD</t>
  </si>
  <si>
    <t>P0AG93_secF</t>
  </si>
  <si>
    <t>P0AG96_secE</t>
  </si>
  <si>
    <t>P0AG99_secG</t>
  </si>
  <si>
    <t>P0AGA2_secY</t>
  </si>
  <si>
    <t>P0AGA6_uhpA</t>
  </si>
  <si>
    <t>P0AGB0_serB</t>
  </si>
  <si>
    <t>P0AGB6_rpoE</t>
  </si>
  <si>
    <t>P0AGC3_slt</t>
  </si>
  <si>
    <t>P0AGD1_sodC</t>
  </si>
  <si>
    <t>P0AGD3_sodB</t>
  </si>
  <si>
    <t>P0AGD7_ffh</t>
  </si>
  <si>
    <t>P0AGE0_ssb</t>
  </si>
  <si>
    <t>P0AGE6_chrR</t>
  </si>
  <si>
    <t>P0AGE9_sucD</t>
  </si>
  <si>
    <t>P0AGF2_csdE</t>
  </si>
  <si>
    <t>P0AGG2_tesB</t>
  </si>
  <si>
    <t>P0AGG4_trxC</t>
  </si>
  <si>
    <t>P0AGG8_tldD</t>
  </si>
  <si>
    <t>P0AGI1_rbsC</t>
  </si>
  <si>
    <t>P0AGI8_trkA</t>
  </si>
  <si>
    <t>P0AGJ2_trmH</t>
  </si>
  <si>
    <t>P0AGJ5_yfiF</t>
  </si>
  <si>
    <t>P0AGJ7_trmL</t>
  </si>
  <si>
    <t>P0AGJ9_tyrS</t>
  </si>
  <si>
    <t>P0AGK4_yhbY</t>
  </si>
  <si>
    <t>P0AGK8_iscR</t>
  </si>
  <si>
    <t>P0AGL2_tdcF</t>
  </si>
  <si>
    <t>P0AGL5_ratA</t>
  </si>
  <si>
    <t>P0AGL7_rsmE</t>
  </si>
  <si>
    <t>P0C018_rplR</t>
  </si>
  <si>
    <t>P0C037_yaiE</t>
  </si>
  <si>
    <t>P0C054_ibpA</t>
  </si>
  <si>
    <t>P0C077_relE</t>
  </si>
  <si>
    <t>P0C079_relB</t>
  </si>
  <si>
    <t>P0C093_slmA</t>
  </si>
  <si>
    <t>P0C0K3_srkA</t>
  </si>
  <si>
    <t>P0C0L2_osmC</t>
  </si>
  <si>
    <t>P0C0L7_proP</t>
  </si>
  <si>
    <t>P0C0S1_mscS</t>
  </si>
  <si>
    <t>P0C0T5_mepA</t>
  </si>
  <si>
    <t>P0C0U4_rimK</t>
  </si>
  <si>
    <t>P0C0V0_degP</t>
  </si>
  <si>
    <t>P0C8J6_gatY</t>
  </si>
  <si>
    <t>P0C8J8_gatZ</t>
  </si>
  <si>
    <t>P0CB39_eptC</t>
  </si>
  <si>
    <t>P0CE47_tufA</t>
  </si>
  <si>
    <t>P0CE48_tufB</t>
  </si>
  <si>
    <t>P0CK95_yghJ</t>
  </si>
  <si>
    <t>P0DM85_crfC</t>
  </si>
  <si>
    <t>P0DMC5_rcsC</t>
  </si>
  <si>
    <t>P0DMC7_rcsB</t>
  </si>
  <si>
    <t>P10100_rlpA</t>
  </si>
  <si>
    <t>P10121_ftsY</t>
  </si>
  <si>
    <t>P10346_glnQ</t>
  </si>
  <si>
    <t>P10371_hisA</t>
  </si>
  <si>
    <t>P10378_entE</t>
  </si>
  <si>
    <t>P10384_fadL</t>
  </si>
  <si>
    <t>P10408_secA</t>
  </si>
  <si>
    <t>P10441_lpxB</t>
  </si>
  <si>
    <t>P10443_dnaE</t>
  </si>
  <si>
    <t>P10902_nadB</t>
  </si>
  <si>
    <t>P10907_ugpC</t>
  </si>
  <si>
    <t>P10908_ugpQ</t>
  </si>
  <si>
    <t>P11071_aceK</t>
  </si>
  <si>
    <t>P11289_yfiL</t>
  </si>
  <si>
    <t>P11349_narH</t>
  </si>
  <si>
    <t>P11447_argH</t>
  </si>
  <si>
    <t>P11454_entF</t>
  </si>
  <si>
    <t>P11557_damX</t>
  </si>
  <si>
    <t>P11875_argS</t>
  </si>
  <si>
    <t>P11880_murF</t>
  </si>
  <si>
    <t>P12008_aroC</t>
  </si>
  <si>
    <t>P12281_moeA</t>
  </si>
  <si>
    <t>P12282_moeB</t>
  </si>
  <si>
    <t>P12295_ung</t>
  </si>
  <si>
    <t>P12758_udp</t>
  </si>
  <si>
    <t>P12994_ybhB</t>
  </si>
  <si>
    <t>P13001_bioH</t>
  </si>
  <si>
    <t>P13009_metH</t>
  </si>
  <si>
    <t>P13016_ampD</t>
  </si>
  <si>
    <t>P13024_fdhE</t>
  </si>
  <si>
    <t>P13029_katG</t>
  </si>
  <si>
    <t>P13035_glpD</t>
  </si>
  <si>
    <t>P13036_fecA</t>
  </si>
  <si>
    <t>P13445_rpoS</t>
  </si>
  <si>
    <t>P13458_sbcC</t>
  </si>
  <si>
    <t>P13482_treA</t>
  </si>
  <si>
    <t>P13518_csrD</t>
  </si>
  <si>
    <t>P13656_chiA</t>
  </si>
  <si>
    <t>P13738_nhaA</t>
  </si>
  <si>
    <t>P13857_rimL</t>
  </si>
  <si>
    <t>P14081_selB</t>
  </si>
  <si>
    <t>P14294_topB</t>
  </si>
  <si>
    <t>P14375_zraR</t>
  </si>
  <si>
    <t>P14407_fumB</t>
  </si>
  <si>
    <t>P14900_murD</t>
  </si>
  <si>
    <t>P15028_fecB</t>
  </si>
  <si>
    <t>P15032_recE</t>
  </si>
  <si>
    <t>P15034_pepP</t>
  </si>
  <si>
    <t>P15038_helD</t>
  </si>
  <si>
    <t>P15042_ligA</t>
  </si>
  <si>
    <t>P15047_entA</t>
  </si>
  <si>
    <t>P15067_glgX</t>
  </si>
  <si>
    <t>P15070_fliN</t>
  </si>
  <si>
    <t>P15078_cstA</t>
  </si>
  <si>
    <t>P15082_srlR</t>
  </si>
  <si>
    <t>P15254_purL</t>
  </si>
  <si>
    <t>P15286_flk</t>
  </si>
  <si>
    <t>P15288_pepD</t>
  </si>
  <si>
    <t>P15373_prlF</t>
  </si>
  <si>
    <t>P15639_purH</t>
  </si>
  <si>
    <t>P15640_purD</t>
  </si>
  <si>
    <t>P15723_dgt</t>
  </si>
  <si>
    <t>P15770_aroE</t>
  </si>
  <si>
    <t>P15877_gcd</t>
  </si>
  <si>
    <t>P15977_malQ</t>
  </si>
  <si>
    <t>P16095_sdaA</t>
  </si>
  <si>
    <t>P16256_panF</t>
  </si>
  <si>
    <t>P16384_miaA</t>
  </si>
  <si>
    <t>P16456_selD</t>
  </si>
  <si>
    <t>P16525_tus</t>
  </si>
  <si>
    <t>P16528_iclR</t>
  </si>
  <si>
    <t>P16659_proS</t>
  </si>
  <si>
    <t>P16676_cysA</t>
  </si>
  <si>
    <t>P16677_phnC</t>
  </si>
  <si>
    <t>P16681_phnB</t>
  </si>
  <si>
    <t>P16692_phnP</t>
  </si>
  <si>
    <t>P16700_cysP</t>
  </si>
  <si>
    <t>P16703_cysM</t>
  </si>
  <si>
    <t>P16926_mreC</t>
  </si>
  <si>
    <t>P17109_menD</t>
  </si>
  <si>
    <t>P17115_gutQ</t>
  </si>
  <si>
    <t>P17117_nfsA</t>
  </si>
  <si>
    <t>P17169_glmS</t>
  </si>
  <si>
    <t>P17315_cirA</t>
  </si>
  <si>
    <t>P17443_murG</t>
  </si>
  <si>
    <t>P17445_betB</t>
  </si>
  <si>
    <t>P17846_cysI</t>
  </si>
  <si>
    <t>P17854_cysH</t>
  </si>
  <si>
    <t>P17952_murC</t>
  </si>
  <si>
    <t>P17993_ubiG</t>
  </si>
  <si>
    <t>P18196_minC</t>
  </si>
  <si>
    <t>P18335_argD</t>
  </si>
  <si>
    <t>P18392_rstB</t>
  </si>
  <si>
    <t>P18775_dmsA</t>
  </si>
  <si>
    <t>P18776_dmsB</t>
  </si>
  <si>
    <t>P18843_nadE</t>
  </si>
  <si>
    <t>P18956_ggt</t>
  </si>
  <si>
    <t>P19318_narY</t>
  </si>
  <si>
    <t>P19319_narZ</t>
  </si>
  <si>
    <t>P19624_pdxA</t>
  </si>
  <si>
    <t>P19636_eutC</t>
  </si>
  <si>
    <t>P19926_agp</t>
  </si>
  <si>
    <t>P19934_tolA</t>
  </si>
  <si>
    <t>P20083_parE</t>
  </si>
  <si>
    <t>P20099_bisC</t>
  </si>
  <si>
    <t>P20605_fic</t>
  </si>
  <si>
    <t>P20966_fruA</t>
  </si>
  <si>
    <t>P21151_fadA</t>
  </si>
  <si>
    <t>P21156_cysD</t>
  </si>
  <si>
    <t>P21165_pepQ</t>
  </si>
  <si>
    <t>P21169_speC</t>
  </si>
  <si>
    <t>P21170_speA</t>
  </si>
  <si>
    <t>P21177_fadB</t>
  </si>
  <si>
    <t>P21179_katE</t>
  </si>
  <si>
    <t>P21189_polB</t>
  </si>
  <si>
    <t>P21338_rna</t>
  </si>
  <si>
    <t>P21362_yciF</t>
  </si>
  <si>
    <t>P21363_yciE</t>
  </si>
  <si>
    <t>P21365_yciC</t>
  </si>
  <si>
    <t>P21367_ycaC</t>
  </si>
  <si>
    <t>P21369_pncA</t>
  </si>
  <si>
    <t>P21499_rnr</t>
  </si>
  <si>
    <t>P21507_srmB</t>
  </si>
  <si>
    <t>P21513_rne</t>
  </si>
  <si>
    <t>P21599_pykA</t>
  </si>
  <si>
    <t>P21645_lpxD</t>
  </si>
  <si>
    <t>P21865_kdpD</t>
  </si>
  <si>
    <t>P21866_kdpE</t>
  </si>
  <si>
    <t>P21888_cysS</t>
  </si>
  <si>
    <t>P21889_aspS</t>
  </si>
  <si>
    <t>P22106_asnB</t>
  </si>
  <si>
    <t>P22186_mraZ</t>
  </si>
  <si>
    <t>P22188_murE</t>
  </si>
  <si>
    <t>P22255_cysQ</t>
  </si>
  <si>
    <t>P22256_gabT</t>
  </si>
  <si>
    <t>P22259_pckA</t>
  </si>
  <si>
    <t>P22333_add</t>
  </si>
  <si>
    <t>P22523_mukB</t>
  </si>
  <si>
    <t>P22524_mukE</t>
  </si>
  <si>
    <t>P22525_ycbB</t>
  </si>
  <si>
    <t>P22564_rihC</t>
  </si>
  <si>
    <t>P22634_murI</t>
  </si>
  <si>
    <t>P22939_ispA</t>
  </si>
  <si>
    <t>P23003_trmA</t>
  </si>
  <si>
    <t>P23173_tnaB</t>
  </si>
  <si>
    <t>P23200_mglC</t>
  </si>
  <si>
    <t>P23256_malY</t>
  </si>
  <si>
    <t>P23331_tdk</t>
  </si>
  <si>
    <t>P23367_mutL</t>
  </si>
  <si>
    <t>P23522_garL</t>
  </si>
  <si>
    <t>P23524_garK</t>
  </si>
  <si>
    <t>P23538_ppsA</t>
  </si>
  <si>
    <t>P23721_serC</t>
  </si>
  <si>
    <t>P23827_eco</t>
  </si>
  <si>
    <t>P23830_pssA</t>
  </si>
  <si>
    <t>P23836_phoP</t>
  </si>
  <si>
    <t>P23837_phoQ</t>
  </si>
  <si>
    <t>P23839_yicC</t>
  </si>
  <si>
    <t>P23843_oppA</t>
  </si>
  <si>
    <t>P23845_cysN</t>
  </si>
  <si>
    <t>P23847_dppA</t>
  </si>
  <si>
    <t>P23849_trkG</t>
  </si>
  <si>
    <t>P23857_pspE</t>
  </si>
  <si>
    <t>P23862_priC</t>
  </si>
  <si>
    <t>P23865_prc</t>
  </si>
  <si>
    <t>P23869_ppiB</t>
  </si>
  <si>
    <t>P23871_hemH</t>
  </si>
  <si>
    <t>P23882_fmt</t>
  </si>
  <si>
    <t>P23886_cydC</t>
  </si>
  <si>
    <t>P23893_hemL</t>
  </si>
  <si>
    <t>P23894_htpX</t>
  </si>
  <si>
    <t>P23908_argE</t>
  </si>
  <si>
    <t>P23909_mutS</t>
  </si>
  <si>
    <t>P23917_mak</t>
  </si>
  <si>
    <t>P23930_lnt</t>
  </si>
  <si>
    <t>P24171_dcp</t>
  </si>
  <si>
    <t>P24173_rfaC</t>
  </si>
  <si>
    <t>P24178_yffB</t>
  </si>
  <si>
    <t>P24182_accC</t>
  </si>
  <si>
    <t>P24183_fdnG</t>
  </si>
  <si>
    <t>P24186_folD</t>
  </si>
  <si>
    <t>P24193_hypE</t>
  </si>
  <si>
    <t>P24202_mrr</t>
  </si>
  <si>
    <t>P24203_yjiA</t>
  </si>
  <si>
    <t>P24205_lpxM</t>
  </si>
  <si>
    <t>P24215_uxuA</t>
  </si>
  <si>
    <t>P24216_fliD</t>
  </si>
  <si>
    <t>P24224_acpS</t>
  </si>
  <si>
    <t>P24228_dacB</t>
  </si>
  <si>
    <t>P24232_hmp</t>
  </si>
  <si>
    <t>P24242_ascG</t>
  </si>
  <si>
    <t>P24251_crl</t>
  </si>
  <si>
    <t>P24252_ybgA</t>
  </si>
  <si>
    <t>P24255_rpoN</t>
  </si>
  <si>
    <t>P24554_radA</t>
  </si>
  <si>
    <t>P24555_ptrB</t>
  </si>
  <si>
    <t>P25397_tehB</t>
  </si>
  <si>
    <t>P25437_frmA</t>
  </si>
  <si>
    <t>P25516_acnA</t>
  </si>
  <si>
    <t>P25519_hflX</t>
  </si>
  <si>
    <t>P25522_mnmE</t>
  </si>
  <si>
    <t>P25524_codA</t>
  </si>
  <si>
    <t>P25526_gabD</t>
  </si>
  <si>
    <t>P25535_ubiI</t>
  </si>
  <si>
    <t>P25536_yhdE</t>
  </si>
  <si>
    <t>P25539_ribD</t>
  </si>
  <si>
    <t>P25552_gppA</t>
  </si>
  <si>
    <t>P25553_aldA</t>
  </si>
  <si>
    <t>P25665_metE</t>
  </si>
  <si>
    <t>P25714_yidC</t>
  </si>
  <si>
    <t>P25718_malS</t>
  </si>
  <si>
    <t>P25740_rfaG</t>
  </si>
  <si>
    <t>P25741_rfaP</t>
  </si>
  <si>
    <t>P25742_rfaQ</t>
  </si>
  <si>
    <t>P25745_mnmA</t>
  </si>
  <si>
    <t>P25746_hflD</t>
  </si>
  <si>
    <t>P25748_galS</t>
  </si>
  <si>
    <t>P25798_fliF</t>
  </si>
  <si>
    <t>P25889_preA</t>
  </si>
  <si>
    <t>P25894_loiP</t>
  </si>
  <si>
    <t>P25906_ydbC</t>
  </si>
  <si>
    <t>P26281_folK</t>
  </si>
  <si>
    <t>P26612_amyA</t>
  </si>
  <si>
    <t>P26616_maeA</t>
  </si>
  <si>
    <t>P26646_acuI</t>
  </si>
  <si>
    <t>P26648_ftsP</t>
  </si>
  <si>
    <t>P26649_glgS</t>
  </si>
  <si>
    <t>P27111_cynR</t>
  </si>
  <si>
    <t>P27128_rfaI</t>
  </si>
  <si>
    <t>P27238_yfeD</t>
  </si>
  <si>
    <t>P27240_rfaY</t>
  </si>
  <si>
    <t>P27247_plsX</t>
  </si>
  <si>
    <t>P27248_gcvT</t>
  </si>
  <si>
    <t>P27249_glnD</t>
  </si>
  <si>
    <t>P27250_ahr</t>
  </si>
  <si>
    <t>P27278_nadR</t>
  </si>
  <si>
    <t>P27298_prlC</t>
  </si>
  <si>
    <t>P27302_tktA</t>
  </si>
  <si>
    <t>P27303_emrA</t>
  </si>
  <si>
    <t>P27306_sthA</t>
  </si>
  <si>
    <t>P27431_roxA</t>
  </si>
  <si>
    <t>P27434_rodZ</t>
  </si>
  <si>
    <t>P27550_acs</t>
  </si>
  <si>
    <t>P27828_wecB</t>
  </si>
  <si>
    <t>P27829_wecC</t>
  </si>
  <si>
    <t>P27830_rffG</t>
  </si>
  <si>
    <t>P27832_wecD</t>
  </si>
  <si>
    <t>P27836_wecG</t>
  </si>
  <si>
    <t>P27837_yifK</t>
  </si>
  <si>
    <t>P27838_cyaY</t>
  </si>
  <si>
    <t>P27848_yigL</t>
  </si>
  <si>
    <t>P27859_tatD</t>
  </si>
  <si>
    <t>P27862_yigZ</t>
  </si>
  <si>
    <t>P28224_mliC</t>
  </si>
  <si>
    <t>P28248_dcd</t>
  </si>
  <si>
    <t>P28249_asmA</t>
  </si>
  <si>
    <t>P28304_qorA</t>
  </si>
  <si>
    <t>P28305_pabC</t>
  </si>
  <si>
    <t>P28306_mltG</t>
  </si>
  <si>
    <t>P28629_adiA</t>
  </si>
  <si>
    <t>P28630_holA</t>
  </si>
  <si>
    <t>P28634_trmO</t>
  </si>
  <si>
    <t>P28635_metQ</t>
  </si>
  <si>
    <t>P28861_fpr</t>
  </si>
  <si>
    <t>P28903_nrdD</t>
  </si>
  <si>
    <t>P28904_treC</t>
  </si>
  <si>
    <t>P28905_holC</t>
  </si>
  <si>
    <t>P29012_dadX</t>
  </si>
  <si>
    <t>P29013_ycgB</t>
  </si>
  <si>
    <t>P29018_cydD</t>
  </si>
  <si>
    <t>P29131_ftsN</t>
  </si>
  <si>
    <t>P29208_menC</t>
  </si>
  <si>
    <t>P29217_yceH</t>
  </si>
  <si>
    <t>P29680_hemE</t>
  </si>
  <si>
    <t>P29745_pepT</t>
  </si>
  <si>
    <t>P30011_nadC</t>
  </si>
  <si>
    <t>P30014_rnt</t>
  </si>
  <si>
    <t>P30125_leuB</t>
  </si>
  <si>
    <t>P30126_leuD</t>
  </si>
  <si>
    <t>P30128_greB</t>
  </si>
  <si>
    <t>P30136_thiC</t>
  </si>
  <si>
    <t>P30147_hyi</t>
  </si>
  <si>
    <t>P30177_ybiB</t>
  </si>
  <si>
    <t>P30744_sdaB</t>
  </si>
  <si>
    <t>P30749_moaE</t>
  </si>
  <si>
    <t>P30750_metN</t>
  </si>
  <si>
    <t>P30847_baeS</t>
  </si>
  <si>
    <t>P30850_rnb</t>
  </si>
  <si>
    <t>P30859_artI</t>
  </si>
  <si>
    <t>P30860_artJ</t>
  </si>
  <si>
    <t>P30863_dkgB</t>
  </si>
  <si>
    <t>P30864_yafC</t>
  </si>
  <si>
    <t>P30870_glnE</t>
  </si>
  <si>
    <t>P30871_ygiF</t>
  </si>
  <si>
    <t>P30958_mfd</t>
  </si>
  <si>
    <t>P31057_panB</t>
  </si>
  <si>
    <t>P31060_modF</t>
  </si>
  <si>
    <t>P31063_yedD</t>
  </si>
  <si>
    <t>P31064_yedE</t>
  </si>
  <si>
    <t>P31068_fliH</t>
  </si>
  <si>
    <t>P31069_kch</t>
  </si>
  <si>
    <t>P31119_aas</t>
  </si>
  <si>
    <t>P31120_glmM</t>
  </si>
  <si>
    <t>P31130_ydeI</t>
  </si>
  <si>
    <t>P31131_ydeJ</t>
  </si>
  <si>
    <t>P31133_potF</t>
  </si>
  <si>
    <t>P31142_sseA</t>
  </si>
  <si>
    <t>P31224_acrB</t>
  </si>
  <si>
    <t>P31433_yicH</t>
  </si>
  <si>
    <t>P31441_ade</t>
  </si>
  <si>
    <t>P31455_yidR</t>
  </si>
  <si>
    <t>P31460_dgoR</t>
  </si>
  <si>
    <t>P31473_ravA</t>
  </si>
  <si>
    <t>P31475_yieP</t>
  </si>
  <si>
    <t>P31545_efeB</t>
  </si>
  <si>
    <t>P31550_thiB</t>
  </si>
  <si>
    <t>P31554_lptD</t>
  </si>
  <si>
    <t>P31658_hchA</t>
  </si>
  <si>
    <t>P31660_prpC</t>
  </si>
  <si>
    <t>P31663_panC</t>
  </si>
  <si>
    <t>P31677_otsA</t>
  </si>
  <si>
    <t>P31678_otsB</t>
  </si>
  <si>
    <t>P31697_fimC</t>
  </si>
  <si>
    <t>P31802_narP</t>
  </si>
  <si>
    <t>P31806_nnr</t>
  </si>
  <si>
    <t>P31808_yciK</t>
  </si>
  <si>
    <t>P31828_pqqL</t>
  </si>
  <si>
    <t>P31979_nuoF</t>
  </si>
  <si>
    <t>P32099_lplA</t>
  </si>
  <si>
    <t>P32131_hemN</t>
  </si>
  <si>
    <t>P32132_typA</t>
  </si>
  <si>
    <t>P32138_yihQ</t>
  </si>
  <si>
    <t>P32141_yihT</t>
  </si>
  <si>
    <t>P32144_yihW</t>
  </si>
  <si>
    <t>P32157_yiiM</t>
  </si>
  <si>
    <t>P32160_yiiQ</t>
  </si>
  <si>
    <t>P32162_yiiS</t>
  </si>
  <si>
    <t>P32166_menA</t>
  </si>
  <si>
    <t>P32173_mobA</t>
  </si>
  <si>
    <t>P32176_fdoG</t>
  </si>
  <si>
    <t>P32177_fdhD</t>
  </si>
  <si>
    <t>P32662_gph</t>
  </si>
  <si>
    <t>P32664_nudC</t>
  </si>
  <si>
    <t>P32669_fsaB</t>
  </si>
  <si>
    <t>P32670_ptsA</t>
  </si>
  <si>
    <t>P32675_pflC</t>
  </si>
  <si>
    <t>P32680_yjaG</t>
  </si>
  <si>
    <t>P32684_rluF</t>
  </si>
  <si>
    <t>P32685_yjbD</t>
  </si>
  <si>
    <t>P32695_dusA</t>
  </si>
  <si>
    <t>P32703_yjcE</t>
  </si>
  <si>
    <t>P32705_actP</t>
  </si>
  <si>
    <t>P32715_mdtO</t>
  </si>
  <si>
    <t>P32718_alsK</t>
  </si>
  <si>
    <t>P32719_alsE</t>
  </si>
  <si>
    <t>P33012_sbmC</t>
  </si>
  <si>
    <t>P33018_yeiG</t>
  </si>
  <si>
    <t>P33022_rihB</t>
  </si>
  <si>
    <t>P33025_psuG</t>
  </si>
  <si>
    <t>P33030_yeiR</t>
  </si>
  <si>
    <t>P33136_mdoG</t>
  </si>
  <si>
    <t>P33195_gcvP</t>
  </si>
  <si>
    <t>P33218_yebE</t>
  </si>
  <si>
    <t>P33219_yebF</t>
  </si>
  <si>
    <t>P33221_purT</t>
  </si>
  <si>
    <t>P33224_aidB</t>
  </si>
  <si>
    <t>P33225_torA</t>
  </si>
  <si>
    <t>P33232_lldD</t>
  </si>
  <si>
    <t>P33235_flgK</t>
  </si>
  <si>
    <t>P33355_yehS</t>
  </si>
  <si>
    <t>P33360_yehX</t>
  </si>
  <si>
    <t>P33362_yehZ</t>
  </si>
  <si>
    <t>P33363_bglX</t>
  </si>
  <si>
    <t>P33368_yohF</t>
  </si>
  <si>
    <t>P33371_dusC</t>
  </si>
  <si>
    <t>P33570_tktB</t>
  </si>
  <si>
    <t>P33590_nikA</t>
  </si>
  <si>
    <t>P33596_recX</t>
  </si>
  <si>
    <t>P33599_nuoC</t>
  </si>
  <si>
    <t>P33602_nuoG</t>
  </si>
  <si>
    <t>P33607_nuoL</t>
  </si>
  <si>
    <t>P33643_rluD</t>
  </si>
  <si>
    <t>P33644_yfiH</t>
  </si>
  <si>
    <t>P33913_yejA</t>
  </si>
  <si>
    <t>P33916_yejF</t>
  </si>
  <si>
    <t>P33920_yejK</t>
  </si>
  <si>
    <t>P33927_ccmF</t>
  </si>
  <si>
    <t>P33937_napA</t>
  </si>
  <si>
    <t>P34209_ydcF</t>
  </si>
  <si>
    <t>P35340_ahpF</t>
  </si>
  <si>
    <t>P36553_hemF</t>
  </si>
  <si>
    <t>P36562_cobT</t>
  </si>
  <si>
    <t>P36649_cueO</t>
  </si>
  <si>
    <t>P36655_dsbD</t>
  </si>
  <si>
    <t>P36659_cbpA</t>
  </si>
  <si>
    <t>P36672_treB</t>
  </si>
  <si>
    <t>P36673_treR</t>
  </si>
  <si>
    <t>P36680_zapD</t>
  </si>
  <si>
    <t>P36683_acnB</t>
  </si>
  <si>
    <t>P36767_rdgC</t>
  </si>
  <si>
    <t>P36771_lrhA</t>
  </si>
  <si>
    <t>P36837_dtpB</t>
  </si>
  <si>
    <t>P36879_yadG</t>
  </si>
  <si>
    <t>P36929_rsmB</t>
  </si>
  <si>
    <t>P36938_pgm</t>
  </si>
  <si>
    <t>P36979_rlmN</t>
  </si>
  <si>
    <t>P36999_rlmA</t>
  </si>
  <si>
    <t>P37005_lasT</t>
  </si>
  <si>
    <t>P37025_thpR</t>
  </si>
  <si>
    <t>P37028_btuF</t>
  </si>
  <si>
    <t>P37051_purU</t>
  </si>
  <si>
    <t>P37052_ychJ</t>
  </si>
  <si>
    <t>P37095_pepB</t>
  </si>
  <si>
    <t>P37128_nudK</t>
  </si>
  <si>
    <t>P37147_fxsA</t>
  </si>
  <si>
    <t>P37180_hybB</t>
  </si>
  <si>
    <t>P37182_hybD</t>
  </si>
  <si>
    <t>P37188_gatB</t>
  </si>
  <si>
    <t>P37194_slp</t>
  </si>
  <si>
    <t>P37195_dctR</t>
  </si>
  <si>
    <t>P37197_yhjA</t>
  </si>
  <si>
    <t>P37313_dppF</t>
  </si>
  <si>
    <t>P37325_ybcH</t>
  </si>
  <si>
    <t>P37327_yfdC</t>
  </si>
  <si>
    <t>P37329_modA</t>
  </si>
  <si>
    <t>P37330_glcB</t>
  </si>
  <si>
    <t>P37339_lhgO</t>
  </si>
  <si>
    <t>P37340_mdtK</t>
  </si>
  <si>
    <t>P37342_yjjI</t>
  </si>
  <si>
    <t>P37349_dhaM</t>
  </si>
  <si>
    <t>P37351_rpiB</t>
  </si>
  <si>
    <t>P37353_menE</t>
  </si>
  <si>
    <t>P37387_xylF</t>
  </si>
  <si>
    <t>P37440_ucpA</t>
  </si>
  <si>
    <t>P37590_pmrD</t>
  </si>
  <si>
    <t>P37595_iaaA</t>
  </si>
  <si>
    <t>P37613_panM</t>
  </si>
  <si>
    <t>P37614_yhhL</t>
  </si>
  <si>
    <t>P37615_yhhM</t>
  </si>
  <si>
    <t>P37617_zntA</t>
  </si>
  <si>
    <t>P37624_rbbA</t>
  </si>
  <si>
    <t>P37626_yhiI</t>
  </si>
  <si>
    <t>P37631_yhiN</t>
  </si>
  <si>
    <t>P37634_rlmJ</t>
  </si>
  <si>
    <t>P37636_mdtE</t>
  </si>
  <si>
    <t>P37637_mdtF</t>
  </si>
  <si>
    <t>P37641_yhjC</t>
  </si>
  <si>
    <t>P37642_yhjD</t>
  </si>
  <si>
    <t>P37645_yhjG</t>
  </si>
  <si>
    <t>P37647_kdgK</t>
  </si>
  <si>
    <t>P37648_yhjJ</t>
  </si>
  <si>
    <t>P37649_yhjK</t>
  </si>
  <si>
    <t>P37651_bcsZ</t>
  </si>
  <si>
    <t>P37652_bcsB</t>
  </si>
  <si>
    <t>P37659_bcsG</t>
  </si>
  <si>
    <t>P37661_eptB</t>
  </si>
  <si>
    <t>P37666_ghrB</t>
  </si>
  <si>
    <t>P37672_dlgD</t>
  </si>
  <si>
    <t>P37676_yiaO</t>
  </si>
  <si>
    <t>P37685_aldB</t>
  </si>
  <si>
    <t>P37689_gpmI</t>
  </si>
  <si>
    <t>P37690_envC</t>
  </si>
  <si>
    <t>P37691_yibQ</t>
  </si>
  <si>
    <t>P37692_rfaF</t>
  </si>
  <si>
    <t>P37744_rfbA</t>
  </si>
  <si>
    <t>P37745_rfbC</t>
  </si>
  <si>
    <t>P37747_glf</t>
  </si>
  <si>
    <t>P37749_wbbI</t>
  </si>
  <si>
    <t>P37750_wbbJ</t>
  </si>
  <si>
    <t>P37751_wbbK</t>
  </si>
  <si>
    <t>P37757_yddE</t>
  </si>
  <si>
    <t>P37759_rfbB</t>
  </si>
  <si>
    <t>P37760_rfbD</t>
  </si>
  <si>
    <t>P37765_rluB</t>
  </si>
  <si>
    <t>P37767_yfhH</t>
  </si>
  <si>
    <t>P37769_kduD</t>
  </si>
  <si>
    <t>P37773_mpl</t>
  </si>
  <si>
    <t>P37774_yecC</t>
  </si>
  <si>
    <t>P37794_chbG</t>
  </si>
  <si>
    <t>P37902_gltI</t>
  </si>
  <si>
    <t>P37903_uspF</t>
  </si>
  <si>
    <t>P38038_cysJ</t>
  </si>
  <si>
    <t>P38051_menF</t>
  </si>
  <si>
    <t>P38097_yegE</t>
  </si>
  <si>
    <t>P38104_rspA</t>
  </si>
  <si>
    <t>P38392_sieB</t>
  </si>
  <si>
    <t>P38489_nfsB</t>
  </si>
  <si>
    <t>P38521_yggL</t>
  </si>
  <si>
    <t>P39099_degQ</t>
  </si>
  <si>
    <t>P39160_uxuB</t>
  </si>
  <si>
    <t>P39161_uxuR</t>
  </si>
  <si>
    <t>P39172_znuA</t>
  </si>
  <si>
    <t>P39173_yeaD</t>
  </si>
  <si>
    <t>P39176_erfK</t>
  </si>
  <si>
    <t>P39177_uspG</t>
  </si>
  <si>
    <t>P39180_flu</t>
  </si>
  <si>
    <t>P39187_ytfJ</t>
  </si>
  <si>
    <t>P39196_lplT</t>
  </si>
  <si>
    <t>P39199_prmB</t>
  </si>
  <si>
    <t>P39265_alsB</t>
  </si>
  <si>
    <t>P39267_yjcZ</t>
  </si>
  <si>
    <t>P39274_yjdJ</t>
  </si>
  <si>
    <t>P39285_mscM</t>
  </si>
  <si>
    <t>P39286_rsgA</t>
  </si>
  <si>
    <t>P39297_bsmA</t>
  </si>
  <si>
    <t>P39298_yjfP</t>
  </si>
  <si>
    <t>P39310_ytfB</t>
  </si>
  <si>
    <t>P39315_qorB</t>
  </si>
  <si>
    <t>P39321_tamB</t>
  </si>
  <si>
    <t>P39325_ytfQ</t>
  </si>
  <si>
    <t>P39332_yjgH</t>
  </si>
  <si>
    <t>P39337_yjgM</t>
  </si>
  <si>
    <t>P39342_yjgR</t>
  </si>
  <si>
    <t>P39346_idnD</t>
  </si>
  <si>
    <t>P39356_yjhU</t>
  </si>
  <si>
    <t>P39358_yjhG</t>
  </si>
  <si>
    <t>P39363_sgcA</t>
  </si>
  <si>
    <t>P39365_sgcC</t>
  </si>
  <si>
    <t>P39366_sgcX</t>
  </si>
  <si>
    <t>P39371_nanM</t>
  </si>
  <si>
    <t>P39377_iadA</t>
  </si>
  <si>
    <t>P39383_yjiL</t>
  </si>
  <si>
    <t>P39384_yjiM</t>
  </si>
  <si>
    <t>P39385_yjiN</t>
  </si>
  <si>
    <t>P39396_yjiY</t>
  </si>
  <si>
    <t>P39401_mdoB</t>
  </si>
  <si>
    <t>P39405_fhuF</t>
  </si>
  <si>
    <t>P39406_rsmC</t>
  </si>
  <si>
    <t>P39407_yjjU</t>
  </si>
  <si>
    <t>P39408_yjjV</t>
  </si>
  <si>
    <t>P39411_yjjX</t>
  </si>
  <si>
    <t>P39451_adhP</t>
  </si>
  <si>
    <t>P39829_garD</t>
  </si>
  <si>
    <t>P39830_ybaL</t>
  </si>
  <si>
    <t>P39831_ydfG</t>
  </si>
  <si>
    <t>P39835_gntT</t>
  </si>
  <si>
    <t>P39838_rcsD</t>
  </si>
  <si>
    <t>P40120_mdoD</t>
  </si>
  <si>
    <t>P40191_pdxK</t>
  </si>
  <si>
    <t>P40710_nlpE</t>
  </si>
  <si>
    <t>P40874_solA</t>
  </si>
  <si>
    <t>P41039_ybiI</t>
  </si>
  <si>
    <t>P41407_azoR</t>
  </si>
  <si>
    <t>P41409_rihA</t>
  </si>
  <si>
    <t>P42588_patA</t>
  </si>
  <si>
    <t>P42589_ygjH</t>
  </si>
  <si>
    <t>P42592_ygjK</t>
  </si>
  <si>
    <t>P42593_fadH</t>
  </si>
  <si>
    <t>P42596_rlmG</t>
  </si>
  <si>
    <t>P42599_ygjR</t>
  </si>
  <si>
    <t>P42604_uxaA</t>
  </si>
  <si>
    <t>P42616_yqjC</t>
  </si>
  <si>
    <t>P42619_yqjF</t>
  </si>
  <si>
    <t>P42620_yqjG</t>
  </si>
  <si>
    <t>P42624_yhaK</t>
  </si>
  <si>
    <t>P42628_dlsT</t>
  </si>
  <si>
    <t>P42632_tdcE</t>
  </si>
  <si>
    <t>P42641_obgE</t>
  </si>
  <si>
    <t>P42904_agaV</t>
  </si>
  <si>
    <t>P43329_hrpA</t>
  </si>
  <si>
    <t>P43337_nudL</t>
  </si>
  <si>
    <t>P43340_ycaK</t>
  </si>
  <si>
    <t>P43341_lpxH</t>
  </si>
  <si>
    <t>P43671_pqiB</t>
  </si>
  <si>
    <t>P43672_uup</t>
  </si>
  <si>
    <t>P45395_kdsD</t>
  </si>
  <si>
    <t>P45424_yhcH</t>
  </si>
  <si>
    <t>P45425_nanK</t>
  </si>
  <si>
    <t>P45464_lpoA</t>
  </si>
  <si>
    <t>P45468_yraQ</t>
  </si>
  <si>
    <t>P45469_yraR</t>
  </si>
  <si>
    <t>P45470_yhbO</t>
  </si>
  <si>
    <t>P45523_fkpA</t>
  </si>
  <si>
    <t>P45530_tusB</t>
  </si>
  <si>
    <t>P45531_tusC</t>
  </si>
  <si>
    <t>P45537_yhfK</t>
  </si>
  <si>
    <t>P45544_frlR</t>
  </si>
  <si>
    <t>P45552_yhfZ</t>
  </si>
  <si>
    <t>P45568_dxr</t>
  </si>
  <si>
    <t>P45577_proQ</t>
  </si>
  <si>
    <t>P45578_luxS</t>
  </si>
  <si>
    <t>P45748_tsaC</t>
  </si>
  <si>
    <t>P45771_yrdD</t>
  </si>
  <si>
    <t>P45799_nudE</t>
  </si>
  <si>
    <t>P45800_yrfF</t>
  </si>
  <si>
    <t>P45955_cpoB</t>
  </si>
  <si>
    <t>P46118_hexR</t>
  </si>
  <si>
    <t>P46122_yajI</t>
  </si>
  <si>
    <t>P46125_yedI</t>
  </si>
  <si>
    <t>P46130_ybhC</t>
  </si>
  <si>
    <t>P46474_yhdP</t>
  </si>
  <si>
    <t>P46837_yhgF</t>
  </si>
  <si>
    <t>P46849_rtcA</t>
  </si>
  <si>
    <t>P46852_yhhW</t>
  </si>
  <si>
    <t>P46853_yhhX</t>
  </si>
  <si>
    <t>P46854_yhhY</t>
  </si>
  <si>
    <t>P46859_gntK</t>
  </si>
  <si>
    <t>P46887_yecH</t>
  </si>
  <si>
    <t>P46888_uspC</t>
  </si>
  <si>
    <t>P46889_ftsK</t>
  </si>
  <si>
    <t>P46923_torZ</t>
  </si>
  <si>
    <t>P50456_mlc</t>
  </si>
  <si>
    <t>P50457_puuE</t>
  </si>
  <si>
    <t>P50466_aer</t>
  </si>
  <si>
    <t>P51024_yaiL</t>
  </si>
  <si>
    <t>P51025_frmB</t>
  </si>
  <si>
    <t>P51981_ycjG</t>
  </si>
  <si>
    <t>P52006_nudI</t>
  </si>
  <si>
    <t>P52007_yecM</t>
  </si>
  <si>
    <t>P52060_yggU</t>
  </si>
  <si>
    <t>P52061_rdgB</t>
  </si>
  <si>
    <t>P52073_glcE</t>
  </si>
  <si>
    <t>P52076_qseB</t>
  </si>
  <si>
    <t>P52095_ldcC</t>
  </si>
  <si>
    <t>P52096_yaeR</t>
  </si>
  <si>
    <t>P52097_tilS</t>
  </si>
  <si>
    <t>P52101_glrK</t>
  </si>
  <si>
    <t>P52107_csgC</t>
  </si>
  <si>
    <t>P52108_rstA</t>
  </si>
  <si>
    <t>P52119_ratB</t>
  </si>
  <si>
    <t>P52598_ygbI</t>
  </si>
  <si>
    <t>P52612_fliI</t>
  </si>
  <si>
    <t>P52643_ldhA</t>
  </si>
  <si>
    <t>P52644_hslJ</t>
  </si>
  <si>
    <t>P52647_ydbK</t>
  </si>
  <si>
    <t>P52697_pgl</t>
  </si>
  <si>
    <t>P55135_rlmD</t>
  </si>
  <si>
    <t>P55734_ygaP</t>
  </si>
  <si>
    <t>P56258_wecF</t>
  </si>
  <si>
    <t>P56262_ysgA</t>
  </si>
  <si>
    <t>P56580_srlE</t>
  </si>
  <si>
    <t>P56614_ymdF</t>
  </si>
  <si>
    <t>P60240_rapA</t>
  </si>
  <si>
    <t>P60293_mukF</t>
  </si>
  <si>
    <t>P60340_truB</t>
  </si>
  <si>
    <t>P60390_rsmH</t>
  </si>
  <si>
    <t>P60422_rplB</t>
  </si>
  <si>
    <t>P60438_rplC</t>
  </si>
  <si>
    <t>P60472_ispU</t>
  </si>
  <si>
    <t>P60546_gmk</t>
  </si>
  <si>
    <t>P60560_guaC</t>
  </si>
  <si>
    <t>P60566_fixA</t>
  </si>
  <si>
    <t>P60595_hisH</t>
  </si>
  <si>
    <t>P60624_rplX</t>
  </si>
  <si>
    <t>P60651_speB</t>
  </si>
  <si>
    <t>P60664_hisF</t>
  </si>
  <si>
    <t>P60716_lipA</t>
  </si>
  <si>
    <t>P60720_lipB</t>
  </si>
  <si>
    <t>P60723_rplD</t>
  </si>
  <si>
    <t>P60752_msbA</t>
  </si>
  <si>
    <t>P60757_hisG</t>
  </si>
  <si>
    <t>P60782_plsY</t>
  </si>
  <si>
    <t>P60785_lepA</t>
  </si>
  <si>
    <t>P60872_yidE</t>
  </si>
  <si>
    <t>P60906_hisS</t>
  </si>
  <si>
    <t>P61175_rplV</t>
  </si>
  <si>
    <t>P61316_lolA</t>
  </si>
  <si>
    <t>P61320_lolB</t>
  </si>
  <si>
    <t>P61517_can</t>
  </si>
  <si>
    <t>P61714_ribE</t>
  </si>
  <si>
    <t>P61889_mdh</t>
  </si>
  <si>
    <t>P61949_fldA</t>
  </si>
  <si>
    <t>P62399_rplE</t>
  </si>
  <si>
    <t>P62517_mdoH</t>
  </si>
  <si>
    <t>P62601_treF</t>
  </si>
  <si>
    <t>P62615_ispE</t>
  </si>
  <si>
    <t>P62617_ispF</t>
  </si>
  <si>
    <t>P62620_ispG</t>
  </si>
  <si>
    <t>P62623_ispH</t>
  </si>
  <si>
    <t>P62672_apaG</t>
  </si>
  <si>
    <t>P62707_gpmA</t>
  </si>
  <si>
    <t>P62768_yaeH</t>
  </si>
  <si>
    <t>P63020_nfuA</t>
  </si>
  <si>
    <t>P63177_rlmB</t>
  </si>
  <si>
    <t>P63204_gadE</t>
  </si>
  <si>
    <t>P63224_gmhA</t>
  </si>
  <si>
    <t>P63229_gmhB</t>
  </si>
  <si>
    <t>P63235_gadC</t>
  </si>
  <si>
    <t>P63284_clpB</t>
  </si>
  <si>
    <t>P63340_yqeG</t>
  </si>
  <si>
    <t>P63386_mlaF</t>
  </si>
  <si>
    <t>P63389_yheS</t>
  </si>
  <si>
    <t>P63417_yhbS</t>
  </si>
  <si>
    <t>P63883_amiC</t>
  </si>
  <si>
    <t>P64423_zntB</t>
  </si>
  <si>
    <t>P64429_ypfJ</t>
  </si>
  <si>
    <t>P64432_ypjD</t>
  </si>
  <si>
    <t>P64451_ydcL</t>
  </si>
  <si>
    <t>P64455_ydcY</t>
  </si>
  <si>
    <t>P64461_lsrG</t>
  </si>
  <si>
    <t>P64463_ydfZ</t>
  </si>
  <si>
    <t>P64467_cnu</t>
  </si>
  <si>
    <t>P64476_ydiH</t>
  </si>
  <si>
    <t>P64479_ydiZ</t>
  </si>
  <si>
    <t>P64483_yeaK</t>
  </si>
  <si>
    <t>P64490_yoaC</t>
  </si>
  <si>
    <t>P64493_yoaF</t>
  </si>
  <si>
    <t>P64503_yebV</t>
  </si>
  <si>
    <t>P64506_yebY</t>
  </si>
  <si>
    <t>P64515_yecN</t>
  </si>
  <si>
    <t>P64519_yodD</t>
  </si>
  <si>
    <t>P64530_rcnR</t>
  </si>
  <si>
    <t>P64534_rcnB</t>
  </si>
  <si>
    <t>P64540_yfcL</t>
  </si>
  <si>
    <t>P64548_yfiR</t>
  </si>
  <si>
    <t>P64554_queE</t>
  </si>
  <si>
    <t>P64557_ygfM</t>
  </si>
  <si>
    <t>P64564_yggT</t>
  </si>
  <si>
    <t>P64578_higB</t>
  </si>
  <si>
    <t>P64581_yqjD</t>
  </si>
  <si>
    <t>P64585_yqjE</t>
  </si>
  <si>
    <t>P64588_yqjI</t>
  </si>
  <si>
    <t>P64594_yhaV</t>
  </si>
  <si>
    <t>P64596_yraP</t>
  </si>
  <si>
    <t>P64602_mlaB</t>
  </si>
  <si>
    <t>P64604_mlaD</t>
  </si>
  <si>
    <t>P64606_mlaE</t>
  </si>
  <si>
    <t>P64624_yheO</t>
  </si>
  <si>
    <t>P65292_ygdI</t>
  </si>
  <si>
    <t>P65367_yqcA</t>
  </si>
  <si>
    <t>P65556_yfcD</t>
  </si>
  <si>
    <t>P65807_ygeY</t>
  </si>
  <si>
    <t>P65870_queD</t>
  </si>
  <si>
    <t>P66817_diaA</t>
  </si>
  <si>
    <t>P66899_ygeX</t>
  </si>
  <si>
    <t>P66948_bepA</t>
  </si>
  <si>
    <t>P67080_yggS</t>
  </si>
  <si>
    <t>P67087_rsmI</t>
  </si>
  <si>
    <t>P67095_yfcE</t>
  </si>
  <si>
    <t>P67143_yhgN</t>
  </si>
  <si>
    <t>P67244_yqhA</t>
  </si>
  <si>
    <t>P67430_nemR</t>
  </si>
  <si>
    <t>P67603_yqfB</t>
  </si>
  <si>
    <t>P67660_yhaJ</t>
  </si>
  <si>
    <t>P67662_aaeR</t>
  </si>
  <si>
    <t>P67762_yhbP</t>
  </si>
  <si>
    <t>P67826_cutC</t>
  </si>
  <si>
    <t>P67910_hldD</t>
  </si>
  <si>
    <t>P68066_grcA</t>
  </si>
  <si>
    <t>P68183_malG</t>
  </si>
  <si>
    <t>P68187_malK</t>
  </si>
  <si>
    <t>P68191_sra</t>
  </si>
  <si>
    <t>P68206_yjbJ</t>
  </si>
  <si>
    <t>P68679_rpsU</t>
  </si>
  <si>
    <t>P68688_grxA</t>
  </si>
  <si>
    <t>P68699_atpE</t>
  </si>
  <si>
    <t>P68739_nfi</t>
  </si>
  <si>
    <t>P68767_pepA</t>
  </si>
  <si>
    <t>P68919_rplY</t>
  </si>
  <si>
    <t>P69054_sdhC</t>
  </si>
  <si>
    <t>P69222_infA</t>
  </si>
  <si>
    <t>P69228_baeR</t>
  </si>
  <si>
    <t>P69346_yefM</t>
  </si>
  <si>
    <t>P69348_yoeB</t>
  </si>
  <si>
    <t>P69380_fieF</t>
  </si>
  <si>
    <t>P69411_rcsF</t>
  </si>
  <si>
    <t>P69425_tatB</t>
  </si>
  <si>
    <t>P69428_tatA</t>
  </si>
  <si>
    <t>P69441_adk</t>
  </si>
  <si>
    <t>P69451_fadD</t>
  </si>
  <si>
    <t>P69488_cutA</t>
  </si>
  <si>
    <t>P69490_ccmE</t>
  </si>
  <si>
    <t>P69503_apt</t>
  </si>
  <si>
    <t>P69506_ytfE</t>
  </si>
  <si>
    <t>P69739_hyaA</t>
  </si>
  <si>
    <t>P69741_hybO</t>
  </si>
  <si>
    <t>P69776_lpp</t>
  </si>
  <si>
    <t>P69783_crr</t>
  </si>
  <si>
    <t>P69786_ptsG</t>
  </si>
  <si>
    <t>P69795_chbB</t>
  </si>
  <si>
    <t>P69797_manX</t>
  </si>
  <si>
    <t>P69801_manY</t>
  </si>
  <si>
    <t>P69805_manZ</t>
  </si>
  <si>
    <t>P69811_fruB</t>
  </si>
  <si>
    <t>P69820_ulaC</t>
  </si>
  <si>
    <t>P69822_ulaB</t>
  </si>
  <si>
    <t>P69826_cmtA</t>
  </si>
  <si>
    <t>P69828_gatA</t>
  </si>
  <si>
    <t>P69829_ptsN</t>
  </si>
  <si>
    <t>P69831_gatC</t>
  </si>
  <si>
    <t>P69853_dmsD</t>
  </si>
  <si>
    <t>P69874_potA</t>
  </si>
  <si>
    <t>P69908_gadA</t>
  </si>
  <si>
    <t>P69910_gadB</t>
  </si>
  <si>
    <t>P69913_csrA</t>
  </si>
  <si>
    <t>P69922_fucI</t>
  </si>
  <si>
    <t>P69924_nrdB</t>
  </si>
  <si>
    <t>P75682_yagE</t>
  </si>
  <si>
    <t>P75691_yahK</t>
  </si>
  <si>
    <t>P75694_yahO</t>
  </si>
  <si>
    <t>P75713_allE</t>
  </si>
  <si>
    <t>P75728_ubiF</t>
  </si>
  <si>
    <t>P75736_ybfF</t>
  </si>
  <si>
    <t>P75745_ybgK</t>
  </si>
  <si>
    <t>P75746_ybgL</t>
  </si>
  <si>
    <t>P75767_ybhK</t>
  </si>
  <si>
    <t>P75777_ybhG</t>
  </si>
  <si>
    <t>P75779_ybiX</t>
  </si>
  <si>
    <t>P75782_rlmF</t>
  </si>
  <si>
    <t>P75785_opgE</t>
  </si>
  <si>
    <t>P75791_ybiU</t>
  </si>
  <si>
    <t>P75792_ybiV</t>
  </si>
  <si>
    <t>P75797_gsiB</t>
  </si>
  <si>
    <t>P75798_gsiC</t>
  </si>
  <si>
    <t>P75818_ybjP</t>
  </si>
  <si>
    <t>P75823_ltaE</t>
  </si>
  <si>
    <t>P75838_ycaO</t>
  </si>
  <si>
    <t>P75839_ycaP</t>
  </si>
  <si>
    <t>P75849_gloC</t>
  </si>
  <si>
    <t>P75853_ssuA</t>
  </si>
  <si>
    <t>P75862_zapC</t>
  </si>
  <si>
    <t>P75863_ycbX</t>
  </si>
  <si>
    <t>P75864_rlmL</t>
  </si>
  <si>
    <t>P75867_ycbZ</t>
  </si>
  <si>
    <t>P75874_yccU</t>
  </si>
  <si>
    <t>P75876_rlmI</t>
  </si>
  <si>
    <t>P75913_ghrA</t>
  </si>
  <si>
    <t>P75914_ycdX</t>
  </si>
  <si>
    <t>P75915_ycdY</t>
  </si>
  <si>
    <t>P75931_yceM</t>
  </si>
  <si>
    <t>P75937_flgE</t>
  </si>
  <si>
    <t>P75949_nagZ</t>
  </si>
  <si>
    <t>P75952_comR</t>
  </si>
  <si>
    <t>P75957_lolD</t>
  </si>
  <si>
    <t>P75958_lolE</t>
  </si>
  <si>
    <t>P75959_nagK</t>
  </si>
  <si>
    <t>P75960_cobB</t>
  </si>
  <si>
    <t>P75966_rluE</t>
  </si>
  <si>
    <t>P75974_cohE</t>
  </si>
  <si>
    <t>P75981_jayE</t>
  </si>
  <si>
    <t>P75989_bluR</t>
  </si>
  <si>
    <t>P75992_ymgA</t>
  </si>
  <si>
    <t>P75993_ariR</t>
  </si>
  <si>
    <t>P76001_ycgJ</t>
  </si>
  <si>
    <t>P76002_pliG</t>
  </si>
  <si>
    <t>P76004_ycgM</t>
  </si>
  <si>
    <t>P76007_cvrA</t>
  </si>
  <si>
    <t>P76008_ldcA</t>
  </si>
  <si>
    <t>P76014_dhaL</t>
  </si>
  <si>
    <t>P76015_dhaK</t>
  </si>
  <si>
    <t>P76027_oppD</t>
  </si>
  <si>
    <t>P76046_ycjX</t>
  </si>
  <si>
    <t>P76049_ycjY</t>
  </si>
  <si>
    <t>P76055_ttcA</t>
  </si>
  <si>
    <t>P76062_racR</t>
  </si>
  <si>
    <t>P76063_ydaS</t>
  </si>
  <si>
    <t>P76076_ydbL</t>
  </si>
  <si>
    <t>P76086_paaX</t>
  </si>
  <si>
    <t>P76097_ydcJ</t>
  </si>
  <si>
    <t>P76100_ydcK</t>
  </si>
  <si>
    <t>P76108_ydcS</t>
  </si>
  <si>
    <t>P76113_curA</t>
  </si>
  <si>
    <t>P76114_mcbR</t>
  </si>
  <si>
    <t>P76115_yncD</t>
  </si>
  <si>
    <t>P76116_yncE</t>
  </si>
  <si>
    <t>P76117_yncG</t>
  </si>
  <si>
    <t>P76121_yddH</t>
  </si>
  <si>
    <t>P76128_ddpA</t>
  </si>
  <si>
    <t>P76141_lsrR</t>
  </si>
  <si>
    <t>P76142_lsrB</t>
  </si>
  <si>
    <t>P76143_lsrF</t>
  </si>
  <si>
    <t>P76145_tam</t>
  </si>
  <si>
    <t>P76149_sad</t>
  </si>
  <si>
    <t>P76172_ynfD</t>
  </si>
  <si>
    <t>P76173_ynfH</t>
  </si>
  <si>
    <t>P76176_ydgD</t>
  </si>
  <si>
    <t>P76177_ydgH</t>
  </si>
  <si>
    <t>P76185_ydhJ</t>
  </si>
  <si>
    <t>P76187_ydhF</t>
  </si>
  <si>
    <t>P76192_ydhV</t>
  </si>
  <si>
    <t>P76193_ynhG</t>
  </si>
  <si>
    <t>P76194_sufE</t>
  </si>
  <si>
    <t>P76201_ydiQ</t>
  </si>
  <si>
    <t>P76206_ydiY</t>
  </si>
  <si>
    <t>P76208_yniB</t>
  </si>
  <si>
    <t>P76215_astE</t>
  </si>
  <si>
    <t>P76216_astB</t>
  </si>
  <si>
    <t>P76217_astD</t>
  </si>
  <si>
    <t>P76220_ydjY</t>
  </si>
  <si>
    <t>P76223_ynjB</t>
  </si>
  <si>
    <t>P76227_ynjH</t>
  </si>
  <si>
    <t>P76234_yeaE</t>
  </si>
  <si>
    <t>P76235_yeaH</t>
  </si>
  <si>
    <t>P76237_yeaJ</t>
  </si>
  <si>
    <t>P76243_yeaO</t>
  </si>
  <si>
    <t>P76251_dmlA</t>
  </si>
  <si>
    <t>P76256_tsaB</t>
  </si>
  <si>
    <t>P76268_kdgR</t>
  </si>
  <si>
    <t>P76270_msrC</t>
  </si>
  <si>
    <t>P76272_yebT</t>
  </si>
  <si>
    <t>P76273_rsmF</t>
  </si>
  <si>
    <t>P76290_cmoA</t>
  </si>
  <si>
    <t>P76291_cmoB</t>
  </si>
  <si>
    <t>P76297_flhE</t>
  </si>
  <si>
    <t>P76298_flhA</t>
  </si>
  <si>
    <t>P76299_flhB</t>
  </si>
  <si>
    <t>P76308_yecR</t>
  </si>
  <si>
    <t>P76316_dcyD</t>
  </si>
  <si>
    <t>P76318_yedK</t>
  </si>
  <si>
    <t>P76329_yedP</t>
  </si>
  <si>
    <t>P76330_yedQ</t>
  </si>
  <si>
    <t>P76340_yedW</t>
  </si>
  <si>
    <t>P76341_hiuH</t>
  </si>
  <si>
    <t>P76342_msrP</t>
  </si>
  <si>
    <t>P76344_zinT</t>
  </si>
  <si>
    <t>P76346_mtfA</t>
  </si>
  <si>
    <t>P76372_wzzB</t>
  </si>
  <si>
    <t>P76389_yegH</t>
  </si>
  <si>
    <t>P76394_yegJ</t>
  </si>
  <si>
    <t>P76397_mdtA</t>
  </si>
  <si>
    <t>P76398_mdtB</t>
  </si>
  <si>
    <t>P76402_yegP</t>
  </si>
  <si>
    <t>P76403_yegQ</t>
  </si>
  <si>
    <t>P76406_yegR</t>
  </si>
  <si>
    <t>P76407_yegS</t>
  </si>
  <si>
    <t>P76418_yegU</t>
  </si>
  <si>
    <t>P76419_yegV</t>
  </si>
  <si>
    <t>P76440_preT</t>
  </si>
  <si>
    <t>P76491_yfbR</t>
  </si>
  <si>
    <t>P76501_yfcR</t>
  </si>
  <si>
    <t>P76502_sixA</t>
  </si>
  <si>
    <t>P76503_fadI</t>
  </si>
  <si>
    <t>P76506_mlaA</t>
  </si>
  <si>
    <t>P76513_yfdQ</t>
  </si>
  <si>
    <t>P76535_murQ</t>
  </si>
  <si>
    <t>P76536_yfeX</t>
  </si>
  <si>
    <t>P76537_yfeY</t>
  </si>
  <si>
    <t>P76539_ypeA</t>
  </si>
  <si>
    <t>P76541_eutL</t>
  </si>
  <si>
    <t>P76550_yffS</t>
  </si>
  <si>
    <t>P76555_eutQ</t>
  </si>
  <si>
    <t>P76558_maeB</t>
  </si>
  <si>
    <t>P76559_ypfG</t>
  </si>
  <si>
    <t>P76561_ypfH</t>
  </si>
  <si>
    <t>P76569_yfgD</t>
  </si>
  <si>
    <t>P76573_yfgI</t>
  </si>
  <si>
    <t>P76575_yfgJ</t>
  </si>
  <si>
    <t>P76576_yfgM</t>
  </si>
  <si>
    <t>P76578_yfhM</t>
  </si>
  <si>
    <t>P76584_yphB</t>
  </si>
  <si>
    <t>P76594_pka</t>
  </si>
  <si>
    <t>P76621_csiD</t>
  </si>
  <si>
    <t>P76641_guaD</t>
  </si>
  <si>
    <t>P76658_hldE</t>
  </si>
  <si>
    <t>P76909_ynjD</t>
  </si>
  <si>
    <t>P77129_ylbE</t>
  </si>
  <si>
    <t>P77148_ydhS</t>
  </si>
  <si>
    <t>P77150_pdxY</t>
  </si>
  <si>
    <t>P77161_glxR</t>
  </si>
  <si>
    <t>P77162_ykfB</t>
  </si>
  <si>
    <t>P77173_zipA</t>
  </si>
  <si>
    <t>P77181_paaY</t>
  </si>
  <si>
    <t>P77182_mnmC</t>
  </si>
  <si>
    <t>P77202_dsbG</t>
  </si>
  <si>
    <t>P77212_rclA</t>
  </si>
  <si>
    <t>P77213_ybdK</t>
  </si>
  <si>
    <t>P77215_rhmD</t>
  </si>
  <si>
    <t>P77243_prpD</t>
  </si>
  <si>
    <t>P77245_murR</t>
  </si>
  <si>
    <t>P77247_yniC</t>
  </si>
  <si>
    <t>P77252_ykgE</t>
  </si>
  <si>
    <t>P77256_ydjG</t>
  </si>
  <si>
    <t>P77257_lsrA</t>
  </si>
  <si>
    <t>P77258_nemA</t>
  </si>
  <si>
    <t>P77269_yphF</t>
  </si>
  <si>
    <t>P77272_murP</t>
  </si>
  <si>
    <t>P77279_fetA</t>
  </si>
  <si>
    <t>P77285_rsxG</t>
  </si>
  <si>
    <t>P77286_ydeU</t>
  </si>
  <si>
    <t>P77293_yfdH</t>
  </si>
  <si>
    <t>P77307_fetB</t>
  </si>
  <si>
    <t>P77316_ybdR</t>
  </si>
  <si>
    <t>P77318_ydeN</t>
  </si>
  <si>
    <t>P77330_borD</t>
  </si>
  <si>
    <t>P77335_hlyE</t>
  </si>
  <si>
    <t>P77338_mscK</t>
  </si>
  <si>
    <t>P77348_mppA</t>
  </si>
  <si>
    <t>P77364_glxK</t>
  </si>
  <si>
    <t>P77368_ybcL</t>
  </si>
  <si>
    <t>P77374_ynfE</t>
  </si>
  <si>
    <t>P77376_ydgJ</t>
  </si>
  <si>
    <t>P77379_rclR</t>
  </si>
  <si>
    <t>P77395_ybbN</t>
  </si>
  <si>
    <t>P77399_fadJ</t>
  </si>
  <si>
    <t>P77433_ykgG</t>
  </si>
  <si>
    <t>P77434_alaC</t>
  </si>
  <si>
    <t>P77444_sufS</t>
  </si>
  <si>
    <t>P77454_glsA1</t>
  </si>
  <si>
    <t>P77473_ylaB</t>
  </si>
  <si>
    <t>P77475_yqaB</t>
  </si>
  <si>
    <t>P77485_cusS</t>
  </si>
  <si>
    <t>P77488_dxs</t>
  </si>
  <si>
    <t>P77493_ydjH</t>
  </si>
  <si>
    <t>P77499_sufC</t>
  </si>
  <si>
    <t>P77504_ybbP</t>
  </si>
  <si>
    <t>P77522_sufB</t>
  </si>
  <si>
    <t>P77526_yfcG</t>
  </si>
  <si>
    <t>P77529_ydjN</t>
  </si>
  <si>
    <t>P77536_ykgF</t>
  </si>
  <si>
    <t>P77539_ydjL</t>
  </si>
  <si>
    <t>P77541_prpB</t>
  </si>
  <si>
    <t>P77544_yfcF</t>
  </si>
  <si>
    <t>P77552_ydhQ</t>
  </si>
  <si>
    <t>P77554_yahJ</t>
  </si>
  <si>
    <t>P77555_allD</t>
  </si>
  <si>
    <t>P77562_yaiW</t>
  </si>
  <si>
    <t>P77569_mhpR</t>
  </si>
  <si>
    <t>P77581_astC</t>
  </si>
  <si>
    <t>P77596_yagF</t>
  </si>
  <si>
    <t>P77611_rsxC</t>
  </si>
  <si>
    <t>P77615_ycjW</t>
  </si>
  <si>
    <t>P77619_yfeW</t>
  </si>
  <si>
    <t>P77625_yfbT</t>
  </si>
  <si>
    <t>P77649_ydiU</t>
  </si>
  <si>
    <t>P77667_sufA</t>
  </si>
  <si>
    <t>P77671_allB</t>
  </si>
  <si>
    <t>P77674_prr</t>
  </si>
  <si>
    <t>P77689_sufD</t>
  </si>
  <si>
    <t>P77695_gnsB</t>
  </si>
  <si>
    <t>P77712_fadM</t>
  </si>
  <si>
    <t>P77713_yagH</t>
  </si>
  <si>
    <t>P77717_ybaY</t>
  </si>
  <si>
    <t>P77718_thiI</t>
  </si>
  <si>
    <t>P77721_ydjF</t>
  </si>
  <si>
    <t>P77730_ydcR</t>
  </si>
  <si>
    <t>P77735_yajO</t>
  </si>
  <si>
    <t>P77737_oppF</t>
  </si>
  <si>
    <t>P77739_yniA</t>
  </si>
  <si>
    <t>P77748_ydiJ</t>
  </si>
  <si>
    <t>P77754_spy</t>
  </si>
  <si>
    <t>P77756_queC</t>
  </si>
  <si>
    <t>P77774_bamB</t>
  </si>
  <si>
    <t>P77775_yfcH</t>
  </si>
  <si>
    <t>P77781_menI</t>
  </si>
  <si>
    <t>P77783_ynfF</t>
  </si>
  <si>
    <t>P77791_maa</t>
  </si>
  <si>
    <t>P77795_ydcT</t>
  </si>
  <si>
    <t>P77804_ydgA</t>
  </si>
  <si>
    <t>P77808_yfaY</t>
  </si>
  <si>
    <t>P78055_fsaA</t>
  </si>
  <si>
    <t>P78067_ynjE</t>
  </si>
  <si>
    <t>P80668_feaB</t>
  </si>
  <si>
    <t>Q2M7R5_yibT</t>
  </si>
  <si>
    <t>Q2M7X4_yicS</t>
  </si>
  <si>
    <t>Q2MB16_yobH</t>
  </si>
  <si>
    <t>Q46798_ygeR</t>
  </si>
  <si>
    <t>Q46799_xdhA</t>
  </si>
  <si>
    <t>Q46800_xdhB</t>
  </si>
  <si>
    <t>Q46801_xdhC</t>
  </si>
  <si>
    <t>Q46803_ygeW</t>
  </si>
  <si>
    <t>Q46806_hyuA</t>
  </si>
  <si>
    <t>Q46807_yqeA</t>
  </si>
  <si>
    <t>Q46811_ygfK</t>
  </si>
  <si>
    <t>Q46812_ssnA</t>
  </si>
  <si>
    <t>Q46814_xdhD</t>
  </si>
  <si>
    <t>Q46822_idi</t>
  </si>
  <si>
    <t>Q46829_bglA</t>
  </si>
  <si>
    <t>Q46845_yghU</t>
  </si>
  <si>
    <t>Q46851_gpr</t>
  </si>
  <si>
    <t>Q46856_yqhD</t>
  </si>
  <si>
    <t>Q46857_dkgA</t>
  </si>
  <si>
    <t>Q46858_yqhG</t>
  </si>
  <si>
    <t>Q46863_ygiS</t>
  </si>
  <si>
    <t>Q46864_mqsA</t>
  </si>
  <si>
    <t>Q46868_yqiC</t>
  </si>
  <si>
    <t>Q46871_yqjH</t>
  </si>
  <si>
    <t>Q46891_ygbM</t>
  </si>
  <si>
    <t>Q46893_ispD</t>
  </si>
  <si>
    <t>Q46920_queF</t>
  </si>
  <si>
    <t>Q46927_tcdA</t>
  </si>
  <si>
    <t>Q46938_kduI</t>
  </si>
  <si>
    <t>Q46948_yajL</t>
  </si>
  <si>
    <t>Q47146_fadE</t>
  </si>
  <si>
    <t>Q47147_yafJ</t>
  </si>
  <si>
    <t>Q47150_dinJ</t>
  </si>
  <si>
    <t>Q47156_yafN</t>
  </si>
  <si>
    <t>Q47537_tauA</t>
  </si>
  <si>
    <t>Q47622_sapA</t>
  </si>
  <si>
    <t>Q47679_yafV</t>
  </si>
  <si>
    <t>Q47690_mmuM</t>
  </si>
  <si>
    <t>Q47710_yqjK</t>
  </si>
  <si>
    <t>Q57261_truD</t>
  </si>
  <si>
    <t>Q59385_copA</t>
  </si>
  <si>
    <t>Q6BF16_dgoA</t>
  </si>
  <si>
    <t>Q93K97_nudF</t>
  </si>
  <si>
    <t>Q9LBU0_kgtP</t>
  </si>
  <si>
    <t>Q9LBU5_yrdA</t>
  </si>
  <si>
    <t>Q9LBV1_mobB</t>
  </si>
  <si>
    <t>Melting_Curves/meltCurve_C1P601_rzoQ.pdf</t>
  </si>
  <si>
    <t>Melting_Curves/meltCurve_G0ZKW2_lacZ.pdf</t>
  </si>
  <si>
    <t>Melting_Curves/meltCurve_G1E6H3_pmrB.pdf</t>
  </si>
  <si>
    <t>Melting_Curves/meltCurve_P00350_gnd.pdf</t>
  </si>
  <si>
    <t>Melting_Curves/meltCurve_P00363_frdA.pdf</t>
  </si>
  <si>
    <t>Melting_Curves/meltCurve_P00370_gdhA.pdf</t>
  </si>
  <si>
    <t>Melting_Curves/meltCurve_P00393_ndh.pdf</t>
  </si>
  <si>
    <t>Melting_Curves/meltCurve_P00448_sodA.pdf</t>
  </si>
  <si>
    <t>Melting_Curves/meltCurve_P00452_nrdA.pdf</t>
  </si>
  <si>
    <t>Melting_Curves/meltCurve_P00490_malP.pdf</t>
  </si>
  <si>
    <t>Melting_Curves/meltCurve_P00509_aspC.pdf</t>
  </si>
  <si>
    <t>Melting_Curves/meltCurve_P00547_thrB.pdf</t>
  </si>
  <si>
    <t>Melting_Curves/meltCurve_P00550_mtlA.pdf</t>
  </si>
  <si>
    <t>Melting_Curves/meltCurve_P00561_thrA.pdf</t>
  </si>
  <si>
    <t>Melting_Curves/meltCurve_P00562_metL.pdf</t>
  </si>
  <si>
    <t>Melting_Curves/meltCurve_P00579_rpoD.pdf</t>
  </si>
  <si>
    <t>Melting_Curves/meltCurve_P00582_polA.pdf</t>
  </si>
  <si>
    <t>Melting_Curves/meltCurve_P00634_phoA.pdf</t>
  </si>
  <si>
    <t>Melting_Curves/meltCurve_P00803_lepB.pdf</t>
  </si>
  <si>
    <t>Melting_Curves/meltCurve_P00805_ansB.pdf</t>
  </si>
  <si>
    <t>Melting_Curves/meltCurve_P00811_ampC.pdf</t>
  </si>
  <si>
    <t>Melting_Curves/meltCurve_P00864_ppc.pdf</t>
  </si>
  <si>
    <t>Melting_Curves/meltCurve_P00887_aroH.pdf</t>
  </si>
  <si>
    <t>Melting_Curves/meltCurve_P00895_trpE.pdf</t>
  </si>
  <si>
    <t>Melting_Curves/meltCurve_P00903_pabA.pdf</t>
  </si>
  <si>
    <t>Melting_Curves/meltCurve_P00904_trpGD.pdf</t>
  </si>
  <si>
    <t>Melting_Curves/meltCurve_P00909_trpC.pdf</t>
  </si>
  <si>
    <t>Melting_Curves/meltCurve_P00926_dsdA.pdf</t>
  </si>
  <si>
    <t>Melting_Curves/meltCurve_P00934_thrC.pdf</t>
  </si>
  <si>
    <t>Melting_Curves/meltCurve_P00935_metB.pdf</t>
  </si>
  <si>
    <t>Melting_Curves/meltCurve_P00944_xylA.pdf</t>
  </si>
  <si>
    <t>Melting_Curves/meltCurve_P00946_manA.pdf</t>
  </si>
  <si>
    <t>Melting_Curves/meltCurve_P00954_trpS.pdf</t>
  </si>
  <si>
    <t>Melting_Curves/meltCurve_P00956_ileS.pdf</t>
  </si>
  <si>
    <t>Melting_Curves/meltCurve_P00957_alaS.pdf</t>
  </si>
  <si>
    <t>Melting_Curves/meltCurve_P00959_metG.pdf</t>
  </si>
  <si>
    <t>Melting_Curves/meltCurve_P00960_glyQ.pdf</t>
  </si>
  <si>
    <t>Melting_Curves/meltCurve_P00961_glyS.pdf</t>
  </si>
  <si>
    <t>Melting_Curves/meltCurve_P00962_glnS.pdf</t>
  </si>
  <si>
    <t>Melting_Curves/meltCurve_P00963_asnA.pdf</t>
  </si>
  <si>
    <t>Melting_Curves/meltCurve_P00968_carB.pdf</t>
  </si>
  <si>
    <t>Melting_Curves/meltCurve_P02358_rpsF.pdf</t>
  </si>
  <si>
    <t>Melting_Curves/meltCurve_P02359_rpsG.pdf</t>
  </si>
  <si>
    <t>Melting_Curves/meltCurve_P02413_rplO.pdf</t>
  </si>
  <si>
    <t>Melting_Curves/meltCurve_P02918_mrcA.pdf</t>
  </si>
  <si>
    <t>Melting_Curves/meltCurve_P02919_mrcB.pdf</t>
  </si>
  <si>
    <t>Melting_Curves/meltCurve_P02924_araF.pdf</t>
  </si>
  <si>
    <t>Melting_Curves/meltCurve_P02925_rbsB.pdf</t>
  </si>
  <si>
    <t>Melting_Curves/meltCurve_P02929_tonB.pdf</t>
  </si>
  <si>
    <t>Melting_Curves/meltCurve_P02930_tolC.pdf</t>
  </si>
  <si>
    <t>Melting_Curves/meltCurve_P02931_ompF.pdf</t>
  </si>
  <si>
    <t>Melting_Curves/meltCurve_P02942_tsr.pdf</t>
  </si>
  <si>
    <t>Melting_Curves/meltCurve_P02943_lamB.pdf</t>
  </si>
  <si>
    <t>Melting_Curves/meltCurve_P03004_dnaA.pdf</t>
  </si>
  <si>
    <t>Melting_Curves/meltCurve_P03007_dnaQ.pdf</t>
  </si>
  <si>
    <t>Melting_Curves/meltCurve_P03018_uvrD.pdf</t>
  </si>
  <si>
    <t>Melting_Curves/meltCurve_P03023_lacI.pdf</t>
  </si>
  <si>
    <t>Melting_Curves/meltCurve_P03024_galR.pdf</t>
  </si>
  <si>
    <t>Melting_Curves/meltCurve_P03813_ygeA.pdf</t>
  </si>
  <si>
    <t>Melting_Curves/meltCurve_P03817_mioC.pdf</t>
  </si>
  <si>
    <t>Melting_Curves/meltCurve_P03819_kefC.pdf</t>
  </si>
  <si>
    <t>Melting_Curves/meltCurve_P03841_malM.pdf</t>
  </si>
  <si>
    <t>Melting_Curves/meltCurve_P04036_dapB.pdf</t>
  </si>
  <si>
    <t>Melting_Curves/meltCurve_P04079_guaA.pdf</t>
  </si>
  <si>
    <t>Melting_Curves/meltCurve_P04335_frsA.pdf</t>
  </si>
  <si>
    <t>Melting_Curves/meltCurve_P04425_gshB.pdf</t>
  </si>
  <si>
    <t>Melting_Curves/meltCurve_P04693_tyrB.pdf</t>
  </si>
  <si>
    <t>Melting_Curves/meltCurve_P04805_gltX.pdf</t>
  </si>
  <si>
    <t>Melting_Curves/meltCurve_P04816_livK.pdf</t>
  </si>
  <si>
    <t>Melting_Curves/meltCurve_P04825_pepN.pdf</t>
  </si>
  <si>
    <t>Melting_Curves/meltCurve_P04846_nlpA.pdf</t>
  </si>
  <si>
    <t>Melting_Curves/meltCurve_P04949_fliC.pdf</t>
  </si>
  <si>
    <t>Melting_Curves/meltCurve_P04951_kdsB.pdf</t>
  </si>
  <si>
    <t>Melting_Curves/meltCurve_P04968_ilvA.pdf</t>
  </si>
  <si>
    <t>Melting_Curves/meltCurve_P04982_rbsD.pdf</t>
  </si>
  <si>
    <t>Melting_Curves/meltCurve_P04983_rbsA.pdf</t>
  </si>
  <si>
    <t>Melting_Curves/meltCurve_P04993_recD.pdf</t>
  </si>
  <si>
    <t>Melting_Curves/meltCurve_P04994_xseA.pdf</t>
  </si>
  <si>
    <t>Melting_Curves/meltCurve_P04995_sbcB.pdf</t>
  </si>
  <si>
    <t>Melting_Curves/meltCurve_P05020_pyrC.pdf</t>
  </si>
  <si>
    <t>Melting_Curves/meltCurve_P05041_pabB.pdf</t>
  </si>
  <si>
    <t>Melting_Curves/meltCurve_P05042_fumC.pdf</t>
  </si>
  <si>
    <t>Melting_Curves/meltCurve_P05050_alkB.pdf</t>
  </si>
  <si>
    <t>Melting_Curves/meltCurve_P05055_pnp.pdf</t>
  </si>
  <si>
    <t>Melting_Curves/meltCurve_P05194_aroD.pdf</t>
  </si>
  <si>
    <t>Melting_Curves/meltCurve_P05458_ptrA.pdf</t>
  </si>
  <si>
    <t>Melting_Curves/meltCurve_P05459_pdxB.pdf</t>
  </si>
  <si>
    <t>Melting_Curves/meltCurve_P05523_mutM.pdf</t>
  </si>
  <si>
    <t>Melting_Curves/meltCurve_P05637_apaH.pdf</t>
  </si>
  <si>
    <t>Melting_Curves/meltCurve_P05704_trg.pdf</t>
  </si>
  <si>
    <t>Melting_Curves/meltCurve_P05707_srlD.pdf</t>
  </si>
  <si>
    <t>Melting_Curves/meltCurve_P05791_ilvD.pdf</t>
  </si>
  <si>
    <t>Melting_Curves/meltCurve_P05793_ilvC.pdf</t>
  </si>
  <si>
    <t>Melting_Curves/meltCurve_P05804_uidA.pdf</t>
  </si>
  <si>
    <t>Melting_Curves/meltCurve_P05825_fepA.pdf</t>
  </si>
  <si>
    <t>Melting_Curves/meltCurve_P05827_ilvY.pdf</t>
  </si>
  <si>
    <t>Melting_Curves/meltCurve_P06129_btuB.pdf</t>
  </si>
  <si>
    <t>Melting_Curves/meltCurve_P06134_ada.pdf</t>
  </si>
  <si>
    <t>Melting_Curves/meltCurve_P06149_dld.pdf</t>
  </si>
  <si>
    <t>Melting_Curves/meltCurve_P06282_cdh.pdf</t>
  </si>
  <si>
    <t>Melting_Curves/meltCurve_P06610_btuE.pdf</t>
  </si>
  <si>
    <t>Melting_Curves/meltCurve_P06612_topA.pdf</t>
  </si>
  <si>
    <t>Melting_Curves/meltCurve_P06616_era.pdf</t>
  </si>
  <si>
    <t>Melting_Curves/meltCurve_P06709_birA.pdf</t>
  </si>
  <si>
    <t>Melting_Curves/meltCurve_P06710_dnaX.pdf</t>
  </si>
  <si>
    <t>Melting_Curves/meltCurve_P06715_gor.pdf</t>
  </si>
  <si>
    <t>Melting_Curves/meltCurve_P06720_melA.pdf</t>
  </si>
  <si>
    <t>Melting_Curves/meltCurve_P06721_metC.pdf</t>
  </si>
  <si>
    <t>Melting_Curves/meltCurve_P06846_ebgR.pdf</t>
  </si>
  <si>
    <t>Melting_Curves/meltCurve_P06959_aceF.pdf</t>
  </si>
  <si>
    <t>Melting_Curves/meltCurve_P06961_cca.pdf</t>
  </si>
  <si>
    <t>Melting_Curves/meltCurve_P06966_dicA.pdf</t>
  </si>
  <si>
    <t>Melting_Curves/meltCurve_P06968_dut.pdf</t>
  </si>
  <si>
    <t>Melting_Curves/meltCurve_P06971_fhuA.pdf</t>
  </si>
  <si>
    <t>Melting_Curves/meltCurve_P06974_fliM.pdf</t>
  </si>
  <si>
    <t>Melting_Curves/meltCurve_P06983_hemC.pdf</t>
  </si>
  <si>
    <t>Melting_Curves/meltCurve_P06986_hisC.pdf</t>
  </si>
  <si>
    <t>Melting_Curves/meltCurve_P06987_hisB.pdf</t>
  </si>
  <si>
    <t>Melting_Curves/meltCurve_P06988_hisD.pdf</t>
  </si>
  <si>
    <t>Melting_Curves/meltCurve_P06989_hisI.pdf</t>
  </si>
  <si>
    <t>Melting_Curves/meltCurve_P06992_rsmA.pdf</t>
  </si>
  <si>
    <t>Melting_Curves/meltCurve_P06996_ompC.pdf</t>
  </si>
  <si>
    <t>Melting_Curves/meltCurve_P06999_pfkB.pdf</t>
  </si>
  <si>
    <t>Melting_Curves/meltCurve_P07000_pldB.pdf</t>
  </si>
  <si>
    <t>Melting_Curves/meltCurve_P07001_pntA.pdf</t>
  </si>
  <si>
    <t>Melting_Curves/meltCurve_P07003_poxB.pdf</t>
  </si>
  <si>
    <t>Melting_Curves/meltCurve_P07004_proA.pdf</t>
  </si>
  <si>
    <t>Melting_Curves/meltCurve_P07012_prfB.pdf</t>
  </si>
  <si>
    <t>Melting_Curves/meltCurve_P07013_priB.pdf</t>
  </si>
  <si>
    <t>Melting_Curves/meltCurve_P07014_sdhB.pdf</t>
  </si>
  <si>
    <t>Melting_Curves/meltCurve_P07017_tar.pdf</t>
  </si>
  <si>
    <t>Melting_Curves/meltCurve_P07018_tap.pdf</t>
  </si>
  <si>
    <t>Melting_Curves/meltCurve_P07023_tyrA.pdf</t>
  </si>
  <si>
    <t>Melting_Curves/meltCurve_P07024_ushA.pdf</t>
  </si>
  <si>
    <t>Melting_Curves/meltCurve_P07102_appA.pdf</t>
  </si>
  <si>
    <t>Melting_Curves/meltCurve_P07117_putP.pdf</t>
  </si>
  <si>
    <t>Melting_Curves/meltCurve_P07118_valS.pdf</t>
  </si>
  <si>
    <t>Melting_Curves/meltCurve_P07330_cheB.pdf</t>
  </si>
  <si>
    <t>Melting_Curves/meltCurve_P07363_cheA.pdf</t>
  </si>
  <si>
    <t>Melting_Curves/meltCurve_P07395_pheT.pdf</t>
  </si>
  <si>
    <t>Melting_Curves/meltCurve_P07464_lacA.pdf</t>
  </si>
  <si>
    <t>Melting_Curves/meltCurve_P07604_tyrR.pdf</t>
  </si>
  <si>
    <t>Melting_Curves/meltCurve_P07639_aroB.pdf</t>
  </si>
  <si>
    <t>Melting_Curves/meltCurve_P07650_deoA.pdf</t>
  </si>
  <si>
    <t>Melting_Curves/meltCurve_P07762_glgB.pdf</t>
  </si>
  <si>
    <t>Melting_Curves/meltCurve_P07813_leuS.pdf</t>
  </si>
  <si>
    <t>Melting_Curves/meltCurve_P07822_fhuD.pdf</t>
  </si>
  <si>
    <t>Melting_Curves/meltCurve_P07862_ddlB.pdf</t>
  </si>
  <si>
    <t>Melting_Curves/meltCurve_P07913_tdh.pdf</t>
  </si>
  <si>
    <t>Melting_Curves/meltCurve_P08142_ilvB.pdf</t>
  </si>
  <si>
    <t>Melting_Curves/meltCurve_P08178_purM.pdf</t>
  </si>
  <si>
    <t>Melting_Curves/meltCurve_P08179_purN.pdf</t>
  </si>
  <si>
    <t>Melting_Curves/meltCurve_P08192_folC.pdf</t>
  </si>
  <si>
    <t>Melting_Curves/meltCurve_P08194_glpT.pdf</t>
  </si>
  <si>
    <t>Melting_Curves/meltCurve_P08200_icd.pdf</t>
  </si>
  <si>
    <t>Melting_Curves/meltCurve_P08201_nirB.pdf</t>
  </si>
  <si>
    <t>Melting_Curves/meltCurve_P08202_araA.pdf</t>
  </si>
  <si>
    <t>Melting_Curves/meltCurve_P08204_araB.pdf</t>
  </si>
  <si>
    <t>Melting_Curves/meltCurve_P08244_pyrF.pdf</t>
  </si>
  <si>
    <t>Melting_Curves/meltCurve_P08245_yciH.pdf</t>
  </si>
  <si>
    <t>Melting_Curves/meltCurve_P08312_pheS.pdf</t>
  </si>
  <si>
    <t>Melting_Curves/meltCurve_P08331_cpdB.pdf</t>
  </si>
  <si>
    <t>Melting_Curves/meltCurve_P08337_mutT.pdf</t>
  </si>
  <si>
    <t>Melting_Curves/meltCurve_P08368_creB.pdf</t>
  </si>
  <si>
    <t>Melting_Curves/meltCurve_P08373_murB.pdf</t>
  </si>
  <si>
    <t>Melting_Curves/meltCurve_P08390_usg.pdf</t>
  </si>
  <si>
    <t>Melting_Curves/meltCurve_P08395_sppA.pdf</t>
  </si>
  <si>
    <t>Melting_Curves/meltCurve_P08506_dacC.pdf</t>
  </si>
  <si>
    <t>Melting_Curves/meltCurve_P08550_cvpA.pdf</t>
  </si>
  <si>
    <t>Melting_Curves/meltCurve_P08622_dnaJ.pdf</t>
  </si>
  <si>
    <t>Melting_Curves/meltCurve_P08660_lysC.pdf</t>
  </si>
  <si>
    <t>Melting_Curves/meltCurve_P08839_ptsI.pdf</t>
  </si>
  <si>
    <t>Melting_Curves/meltCurve_P08956_hsdR.pdf</t>
  </si>
  <si>
    <t>Melting_Curves/meltCurve_P08957_hsdM.pdf</t>
  </si>
  <si>
    <t>Melting_Curves/meltCurve_P08997_aceB.pdf</t>
  </si>
  <si>
    <t>Melting_Curves/meltCurve_P09029_purK.pdf</t>
  </si>
  <si>
    <t>Melting_Curves/meltCurve_P09030_xthA.pdf</t>
  </si>
  <si>
    <t>Melting_Curves/meltCurve_P09053_avtA.pdf</t>
  </si>
  <si>
    <t>Melting_Curves/meltCurve_P09099_xylB.pdf</t>
  </si>
  <si>
    <t>Melting_Curves/meltCurve_P09126_hemD.pdf</t>
  </si>
  <si>
    <t>Melting_Curves/meltCurve_P09127_hemX.pdf</t>
  </si>
  <si>
    <t>Melting_Curves/meltCurve_P09147_galE.pdf</t>
  </si>
  <si>
    <t>Melting_Curves/meltCurve_P09148_galT.pdf</t>
  </si>
  <si>
    <t>Melting_Curves/meltCurve_P09152_narG.pdf</t>
  </si>
  <si>
    <t>Melting_Curves/meltCurve_P09158_speE.pdf</t>
  </si>
  <si>
    <t>Melting_Curves/meltCurve_P09169_ompT.pdf</t>
  </si>
  <si>
    <t>Melting_Curves/meltCurve_P09323_nagE.pdf</t>
  </si>
  <si>
    <t>Melting_Curves/meltCurve_P09372_grpE.pdf</t>
  </si>
  <si>
    <t>Melting_Curves/meltCurve_P09373_pflB.pdf</t>
  </si>
  <si>
    <t>Melting_Curves/meltCurve_P09391_glpG.pdf</t>
  </si>
  <si>
    <t>Melting_Curves/meltCurve_P09394_glpQ.pdf</t>
  </si>
  <si>
    <t>Melting_Curves/meltCurve_P09424_mtlD.pdf</t>
  </si>
  <si>
    <t>Melting_Curves/meltCurve_P09546_putA.pdf</t>
  </si>
  <si>
    <t>Melting_Curves/meltCurve_P09549_dedD.pdf</t>
  </si>
  <si>
    <t>Melting_Curves/meltCurve_P09551_argT.pdf</t>
  </si>
  <si>
    <t>Melting_Curves/meltCurve_P09831_gltB.pdf</t>
  </si>
  <si>
    <t>Melting_Curves/meltCurve_P09832_gltD.pdf</t>
  </si>
  <si>
    <t>Melting_Curves/meltCurve_P09833_modC.pdf</t>
  </si>
  <si>
    <t>Melting_Curves/meltCurve_P0A698_uvrA.pdf</t>
  </si>
  <si>
    <t>Melting_Curves/meltCurve_P0A6A3_ackA.pdf</t>
  </si>
  <si>
    <t>Melting_Curves/meltCurve_P0A6A6_leuC.pdf</t>
  </si>
  <si>
    <t>Melting_Curves/meltCurve_P0A6A8_acpP.pdf</t>
  </si>
  <si>
    <t>Melting_Curves/meltCurve_P0A6B4_alr.pdf</t>
  </si>
  <si>
    <t>Melting_Curves/meltCurve_P0A6B7_iscS.pdf</t>
  </si>
  <si>
    <t>Melting_Curves/meltCurve_P0A6C1_nfo.pdf</t>
  </si>
  <si>
    <t>Melting_Curves/meltCurve_P0A6C8_argB.pdf</t>
  </si>
  <si>
    <t>Melting_Curves/meltCurve_P0A6D0_argR.pdf</t>
  </si>
  <si>
    <t>Melting_Curves/meltCurve_P0A6D3_aroA.pdf</t>
  </si>
  <si>
    <t>Melting_Curves/meltCurve_P0A6D7_aroK.pdf</t>
  </si>
  <si>
    <t>Melting_Curves/meltCurve_P0A6E1_aroL.pdf</t>
  </si>
  <si>
    <t>Melting_Curves/meltCurve_P0A6E4_argG.pdf</t>
  </si>
  <si>
    <t>Melting_Curves/meltCurve_P0A6E9_bioD2.pdf</t>
  </si>
  <si>
    <t>Melting_Curves/meltCurve_P0A6F1_carA.pdf</t>
  </si>
  <si>
    <t>Melting_Curves/meltCurve_P0A6F3_glpK.pdf</t>
  </si>
  <si>
    <t>Melting_Curves/meltCurve_P0A6F5_groL.pdf</t>
  </si>
  <si>
    <t>Melting_Curves/meltCurve_P0A6F9_groS.pdf</t>
  </si>
  <si>
    <t>Melting_Curves/meltCurve_P0A6G3_pncC.pdf</t>
  </si>
  <si>
    <t>Melting_Curves/meltCurve_P0A6G7_clpP.pdf</t>
  </si>
  <si>
    <t>Melting_Curves/meltCurve_P0A6H1_clpX.pdf</t>
  </si>
  <si>
    <t>Melting_Curves/meltCurve_P0A6H5_hslU.pdf</t>
  </si>
  <si>
    <t>Melting_Curves/meltCurve_P0A6H8_clsA.pdf</t>
  </si>
  <si>
    <t>Melting_Curves/meltCurve_P0A6I0_cmk.pdf</t>
  </si>
  <si>
    <t>Melting_Curves/meltCurve_P0A6I3_coaA.pdf</t>
  </si>
  <si>
    <t>Melting_Curves/meltCurve_P0A6I6_coaD.pdf</t>
  </si>
  <si>
    <t>Melting_Curves/meltCurve_P0A6I9_coaE.pdf</t>
  </si>
  <si>
    <t>Melting_Curves/meltCurve_P0A6J3_cysZ.pdf</t>
  </si>
  <si>
    <t>Melting_Curves/meltCurve_P0A6J5_dadA.pdf</t>
  </si>
  <si>
    <t>Melting_Curves/meltCurve_P0A6J8_ddlA.pdf</t>
  </si>
  <si>
    <t>Melting_Curves/meltCurve_P0A6K1_dapF.pdf</t>
  </si>
  <si>
    <t>Melting_Curves/meltCurve_P0A6K3_def.pdf</t>
  </si>
  <si>
    <t>Melting_Curves/meltCurve_P0A6K6_deoB.pdf</t>
  </si>
  <si>
    <t>Melting_Curves/meltCurve_P0A6L0_deoC.pdf</t>
  </si>
  <si>
    <t>Melting_Curves/meltCurve_P0A6L2_dapA.pdf</t>
  </si>
  <si>
    <t>Melting_Curves/meltCurve_P0A6L4_nanA.pdf</t>
  </si>
  <si>
    <t>Melting_Curves/meltCurve_P0A6L7_uxaB.pdf</t>
  </si>
  <si>
    <t>Melting_Curves/meltCurve_P0A6L9_hscB.pdf</t>
  </si>
  <si>
    <t>Melting_Curves/meltCurve_P0A6M2_dsbB.pdf</t>
  </si>
  <si>
    <t>Melting_Curves/meltCurve_P0A6M4_dtd.pdf</t>
  </si>
  <si>
    <t>Melting_Curves/meltCurve_P0A6M8_fusA.pdf</t>
  </si>
  <si>
    <t>Melting_Curves/meltCurve_P0A6N4_efp.pdf</t>
  </si>
  <si>
    <t>Melting_Curves/meltCurve_P0A6N8_yeiP.pdf</t>
  </si>
  <si>
    <t>Melting_Curves/meltCurve_P0A6P1_tsf.pdf</t>
  </si>
  <si>
    <t>Melting_Curves/meltCurve_P0A6P5_der.pdf</t>
  </si>
  <si>
    <t>Melting_Curves/meltCurve_P0A6P7_engB.pdf</t>
  </si>
  <si>
    <t>Melting_Curves/meltCurve_P0A6P9_eno.pdf</t>
  </si>
  <si>
    <t>Melting_Curves/meltCurve_P0A6Q3_fabA.pdf</t>
  </si>
  <si>
    <t>Melting_Curves/meltCurve_P0A6Q6_fabZ.pdf</t>
  </si>
  <si>
    <t>Melting_Curves/meltCurve_P0A6R0_fabH.pdf</t>
  </si>
  <si>
    <t>Melting_Curves/meltCurve_P0A6S0_flgH.pdf</t>
  </si>
  <si>
    <t>Melting_Curves/meltCurve_P0A6S7_gpsA.pdf</t>
  </si>
  <si>
    <t>Melting_Curves/meltCurve_P0A6T1_pgi.pdf</t>
  </si>
  <si>
    <t>Melting_Curves/meltCurve_P0A6T3_galK.pdf</t>
  </si>
  <si>
    <t>Melting_Curves/meltCurve_P0A6T5_folE.pdf</t>
  </si>
  <si>
    <t>Melting_Curves/meltCurve_P0A6T9_gcvH.pdf</t>
  </si>
  <si>
    <t>Melting_Curves/meltCurve_P0A6U3_mnmG.pdf</t>
  </si>
  <si>
    <t>Melting_Curves/meltCurve_P0A6U5_rsmG.pdf</t>
  </si>
  <si>
    <t>Melting_Curves/meltCurve_P0A6U8_glgA.pdf</t>
  </si>
  <si>
    <t>Melting_Curves/meltCurve_P0A6V1_glgC.pdf</t>
  </si>
  <si>
    <t>Melting_Curves/meltCurve_P0A6V5_glpE.pdf</t>
  </si>
  <si>
    <t>Melting_Curves/meltCurve_P0A6V8_glk.pdf</t>
  </si>
  <si>
    <t>Melting_Curves/meltCurve_P0A6W3_mraY.pdf</t>
  </si>
  <si>
    <t>Melting_Curves/meltCurve_P0A6W5_greA.pdf</t>
  </si>
  <si>
    <t>Melting_Curves/meltCurve_P0A6W9_gshA.pdf</t>
  </si>
  <si>
    <t>Melting_Curves/meltCurve_P0A6X3_hfq.pdf</t>
  </si>
  <si>
    <t>Melting_Curves/meltCurve_P0A6X7_ihfA.pdf</t>
  </si>
  <si>
    <t>Melting_Curves/meltCurve_P0A6Y1_ihfB.pdf</t>
  </si>
  <si>
    <t>Melting_Curves/meltCurve_P0A6Y5_hslO.pdf</t>
  </si>
  <si>
    <t>Melting_Curves/meltCurve_P0A6Y8_dnaK.pdf</t>
  </si>
  <si>
    <t>Melting_Curves/meltCurve_P0A6Z1_hscA.pdf</t>
  </si>
  <si>
    <t>Melting_Curves/meltCurve_P0A6Z3_htpG.pdf</t>
  </si>
  <si>
    <t>Melting_Curves/meltCurve_P0A6Z6_nikR.pdf</t>
  </si>
  <si>
    <t>Melting_Curves/meltCurve_P0A705_infB.pdf</t>
  </si>
  <si>
    <t>Melting_Curves/meltCurve_P0A707_infC.pdf</t>
  </si>
  <si>
    <t>Melting_Curves/meltCurve_P0A715_kdsA.pdf</t>
  </si>
  <si>
    <t>Melting_Curves/meltCurve_P0A717_prs.pdf</t>
  </si>
  <si>
    <t>Melting_Curves/meltCurve_P0A720_tmk.pdf</t>
  </si>
  <si>
    <t>Melting_Curves/meltCurve_P0A722_lpxA.pdf</t>
  </si>
  <si>
    <t>Melting_Curves/meltCurve_P0A725_lpxC.pdf</t>
  </si>
  <si>
    <t>Melting_Curves/meltCurve_P0A729_yceF.pdf</t>
  </si>
  <si>
    <t>Melting_Curves/meltCurve_P0A731_mgsA.pdf</t>
  </si>
  <si>
    <t>Melting_Curves/meltCurve_P0A734_minE.pdf</t>
  </si>
  <si>
    <t>Melting_Curves/meltCurve_P0A738_moaC.pdf</t>
  </si>
  <si>
    <t>Melting_Curves/meltCurve_P0A742_mscL.pdf</t>
  </si>
  <si>
    <t>Melting_Curves/meltCurve_P0A744_msrA.pdf</t>
  </si>
  <si>
    <t>Melting_Curves/meltCurve_P0A746_msrB.pdf</t>
  </si>
  <si>
    <t>Melting_Curves/meltCurve_P0A749_murA.pdf</t>
  </si>
  <si>
    <t>Melting_Curves/meltCurve_P0A752_nadD.pdf</t>
  </si>
  <si>
    <t>Melting_Curves/meltCurve_P0A754_kefF.pdf</t>
  </si>
  <si>
    <t>Melting_Curves/meltCurve_P0A759_nagB.pdf</t>
  </si>
  <si>
    <t>Melting_Curves/meltCurve_P0A761_nanE.pdf</t>
  </si>
  <si>
    <t>Melting_Curves/meltCurve_P0A763_ndk.pdf</t>
  </si>
  <si>
    <t>Melting_Curves/meltCurve_P0A780_nusB.pdf</t>
  </si>
  <si>
    <t>Melting_Curves/meltCurve_P0A784_orn.pdf</t>
  </si>
  <si>
    <t>Melting_Curves/meltCurve_P0A786_pyrB.pdf</t>
  </si>
  <si>
    <t>Melting_Curves/meltCurve_P0A790_panD.pdf</t>
  </si>
  <si>
    <t>Melting_Curves/meltCurve_P0A794_pdxJ.pdf</t>
  </si>
  <si>
    <t>Melting_Curves/meltCurve_P0A796_pfkA.pdf</t>
  </si>
  <si>
    <t>Melting_Curves/meltCurve_P0A799_pgk.pdf</t>
  </si>
  <si>
    <t>Melting_Curves/meltCurve_P0A7A2_gpmB.pdf</t>
  </si>
  <si>
    <t>Melting_Curves/meltCurve_P0A7A5_pcm.pdf</t>
  </si>
  <si>
    <t>Melting_Curves/meltCurve_P0A7A7_plsB.pdf</t>
  </si>
  <si>
    <t>Melting_Curves/meltCurve_P0A7A9_ppa.pdf</t>
  </si>
  <si>
    <t>Melting_Curves/meltCurve_P0A7B1_ppk.pdf</t>
  </si>
  <si>
    <t>Melting_Curves/meltCurve_P0A7B3_nadK.pdf</t>
  </si>
  <si>
    <t>Melting_Curves/meltCurve_P0A7B5_proB.pdf</t>
  </si>
  <si>
    <t>Melting_Curves/meltCurve_P0A7B8_hslV.pdf</t>
  </si>
  <si>
    <t>Melting_Curves/meltCurve_P0A7C2_lexA.pdf</t>
  </si>
  <si>
    <t>Melting_Curves/meltCurve_P0A7C6_pepE.pdf</t>
  </si>
  <si>
    <t>Melting_Curves/meltCurve_P0A7D1_pth.pdf</t>
  </si>
  <si>
    <t>Melting_Curves/meltCurve_P0A7D4_purA.pdf</t>
  </si>
  <si>
    <t>Melting_Curves/meltCurve_P0A7D7_purC.pdf</t>
  </si>
  <si>
    <t>Melting_Curves/meltCurve_P0A7E1_pyrD.pdf</t>
  </si>
  <si>
    <t>Melting_Curves/meltCurve_P0A7E3_pyrE.pdf</t>
  </si>
  <si>
    <t>Melting_Curves/meltCurve_P0A7E5_pyrG.pdf</t>
  </si>
  <si>
    <t>Melting_Curves/meltCurve_P0A7E9_pyrH.pdf</t>
  </si>
  <si>
    <t>Melting_Curves/meltCurve_P0A7F3_pyrI.pdf</t>
  </si>
  <si>
    <t>Melting_Curves/meltCurve_P0A7F6_speD.pdf</t>
  </si>
  <si>
    <t>Melting_Curves/meltCurve_P0A7F9_queA.pdf</t>
  </si>
  <si>
    <t>Melting_Curves/meltCurve_P0A7G2_rbfA.pdf</t>
  </si>
  <si>
    <t>Melting_Curves/meltCurve_P0A7G6_recA.pdf</t>
  </si>
  <si>
    <t>Melting_Curves/meltCurve_P0A7H6_recR.pdf</t>
  </si>
  <si>
    <t>Melting_Curves/meltCurve_P0A7I0_prfA.pdf</t>
  </si>
  <si>
    <t>Melting_Curves/meltCurve_P0A7I4_prfC.pdf</t>
  </si>
  <si>
    <t>Melting_Curves/meltCurve_P0A7I7_ribA.pdf</t>
  </si>
  <si>
    <t>Melting_Curves/meltCurve_P0A7J0_ribB.pdf</t>
  </si>
  <si>
    <t>Melting_Curves/meltCurve_P0A7J3_rplJ.pdf</t>
  </si>
  <si>
    <t>Melting_Curves/meltCurve_P0A7J7_rplK.pdf</t>
  </si>
  <si>
    <t>Melting_Curves/meltCurve_P0A7K2_rplL.pdf</t>
  </si>
  <si>
    <t>Melting_Curves/meltCurve_P0A7K6_rplS.pdf</t>
  </si>
  <si>
    <t>Melting_Curves/meltCurve_P0A7L0_rplA.pdf</t>
  </si>
  <si>
    <t>Melting_Curves/meltCurve_P0A7L3_rplT.pdf</t>
  </si>
  <si>
    <t>Melting_Curves/meltCurve_P0A7L8_rpmA.pdf</t>
  </si>
  <si>
    <t>Melting_Curves/meltCurve_P0A7M2_rpmB.pdf</t>
  </si>
  <si>
    <t>Melting_Curves/meltCurve_P0A7M6_rpmC.pdf</t>
  </si>
  <si>
    <t>Melting_Curves/meltCurve_P0A7M9_rpmE.pdf</t>
  </si>
  <si>
    <t>Melting_Curves/meltCurve_P0A7P5_rpmH.pdf</t>
  </si>
  <si>
    <t>Melting_Curves/meltCurve_P0A7Q6_rpmJ.pdf</t>
  </si>
  <si>
    <t>Melting_Curves/meltCurve_P0A7R1_rplI.pdf</t>
  </si>
  <si>
    <t>Melting_Curves/meltCurve_P0A7R5_rpsJ.pdf</t>
  </si>
  <si>
    <t>Melting_Curves/meltCurve_P0A7R9_rpsK.pdf</t>
  </si>
  <si>
    <t>Melting_Curves/meltCurve_P0A7S3_rpsL.pdf</t>
  </si>
  <si>
    <t>Melting_Curves/meltCurve_P0A7S9_rpsM.pdf</t>
  </si>
  <si>
    <t>Melting_Curves/meltCurve_P0A7T3_rpsP.pdf</t>
  </si>
  <si>
    <t>Melting_Curves/meltCurve_P0A7T7_rpsR.pdf</t>
  </si>
  <si>
    <t>Melting_Curves/meltCurve_P0A7U3_rpsS.pdf</t>
  </si>
  <si>
    <t>Melting_Curves/meltCurve_P0A7U7_rpsT.pdf</t>
  </si>
  <si>
    <t>Melting_Curves/meltCurve_P0A7V0_rpsB.pdf</t>
  </si>
  <si>
    <t>Melting_Curves/meltCurve_P0A7V3_rpsC.pdf</t>
  </si>
  <si>
    <t>Melting_Curves/meltCurve_P0A7V8_rpsD.pdf</t>
  </si>
  <si>
    <t>Melting_Curves/meltCurve_P0A7W1_rpsE.pdf</t>
  </si>
  <si>
    <t>Melting_Curves/meltCurve_P0A7W7_rpsH.pdf</t>
  </si>
  <si>
    <t>Melting_Curves/meltCurve_P0A7X3_rpsI.pdf</t>
  </si>
  <si>
    <t>Melting_Curves/meltCurve_P0A7X6_rimM.pdf</t>
  </si>
  <si>
    <t>Melting_Curves/meltCurve_P0A7Y0_rnc.pdf</t>
  </si>
  <si>
    <t>Melting_Curves/meltCurve_P0A7Y4_rnhA.pdf</t>
  </si>
  <si>
    <t>Melting_Curves/meltCurve_P0A7Z0_rpiA.pdf</t>
  </si>
  <si>
    <t>Melting_Curves/meltCurve_P0A7Z4_rpoA.pdf</t>
  </si>
  <si>
    <t>Melting_Curves/meltCurve_P0A800_rpoZ.pdf</t>
  </si>
  <si>
    <t>Melting_Curves/meltCurve_P0A805_frr.pdf</t>
  </si>
  <si>
    <t>Melting_Curves/meltCurve_P0A809_ruvA.pdf</t>
  </si>
  <si>
    <t>Melting_Curves/meltCurve_P0A812_ruvB.pdf</t>
  </si>
  <si>
    <t>Melting_Curves/meltCurve_P0A817_metK.pdf</t>
  </si>
  <si>
    <t>Melting_Curves/meltCurve_P0A821_selA.pdf</t>
  </si>
  <si>
    <t>Melting_Curves/meltCurve_P0A823_sfsA.pdf</t>
  </si>
  <si>
    <t>Melting_Curves/meltCurve_P0A825_glyA.pdf</t>
  </si>
  <si>
    <t>Melting_Curves/meltCurve_P0A830_dctA.pdf</t>
  </si>
  <si>
    <t>Melting_Curves/meltCurve_P0A832_smpB.pdf</t>
  </si>
  <si>
    <t>Melting_Curves/meltCurve_P0A836_sucC.pdf</t>
  </si>
  <si>
    <t>Melting_Curves/meltCurve_P0A840_surE.pdf</t>
  </si>
  <si>
    <t>Melting_Curves/meltCurve_P0A847_tgt.pdf</t>
  </si>
  <si>
    <t>Melting_Curves/meltCurve_P0A850_tig.pdf</t>
  </si>
  <si>
    <t>Melting_Curves/meltCurve_P0A853_tnaA.pdf</t>
  </si>
  <si>
    <t>Melting_Curves/meltCurve_P0A855_tolB.pdf</t>
  </si>
  <si>
    <t>Melting_Curves/meltCurve_P0A858_tpiA.pdf</t>
  </si>
  <si>
    <t>Melting_Curves/meltCurve_P0A862_tpx.pdf</t>
  </si>
  <si>
    <t>Melting_Curves/meltCurve_P0A867_talA.pdf</t>
  </si>
  <si>
    <t>Melting_Curves/meltCurve_P0A870_talB.pdf</t>
  </si>
  <si>
    <t>Melting_Curves/meltCurve_P0A873_trmD.pdf</t>
  </si>
  <si>
    <t>Melting_Curves/meltCurve_P0A877_trpA.pdf</t>
  </si>
  <si>
    <t>Melting_Curves/meltCurve_P0A879_trpB.pdf</t>
  </si>
  <si>
    <t>Melting_Curves/meltCurve_P0A881_trpR.pdf</t>
  </si>
  <si>
    <t>Melting_Curves/meltCurve_P0A884_thyA.pdf</t>
  </si>
  <si>
    <t>Melting_Curves/meltCurve_P0A887_ubiE.pdf</t>
  </si>
  <si>
    <t>Melting_Curves/meltCurve_P0A890_tusA.pdf</t>
  </si>
  <si>
    <t>Melting_Curves/meltCurve_P0A894_rapZ.pdf</t>
  </si>
  <si>
    <t>Melting_Curves/meltCurve_P0A898_ybeY.pdf</t>
  </si>
  <si>
    <t>Melting_Curves/meltCurve_P0A8A0_yebC.pdf</t>
  </si>
  <si>
    <t>Melting_Curves/meltCurve_P0A8A2_yeeN.pdf</t>
  </si>
  <si>
    <t>Melting_Curves/meltCurve_P0A8A4_ppsR.pdf</t>
  </si>
  <si>
    <t>Melting_Curves/meltCurve_P0A8B5_ybaB.pdf</t>
  </si>
  <si>
    <t>Melting_Curves/meltCurve_P0A8C1_ybjQ.pdf</t>
  </si>
  <si>
    <t>Melting_Curves/meltCurve_P0A8D0_nrdR.pdf</t>
  </si>
  <si>
    <t>Melting_Curves/meltCurve_P0A8D3_yaiI.pdf</t>
  </si>
  <si>
    <t>Melting_Curves/meltCurve_P0A8D6_ymdB.pdf</t>
  </si>
  <si>
    <t>Melting_Curves/meltCurve_P0A8E1_ycfP.pdf</t>
  </si>
  <si>
    <t>Melting_Curves/meltCurve_P0A8E5_yacL.pdf</t>
  </si>
  <si>
    <t>Melting_Curves/meltCurve_P0A8E7_yajQ.pdf</t>
  </si>
  <si>
    <t>Melting_Curves/meltCurve_P0A8F0_upp.pdf</t>
  </si>
  <si>
    <t>Melting_Curves/meltCurve_P0A8F4_udk.pdf</t>
  </si>
  <si>
    <t>Melting_Curves/meltCurve_P0A8F8_uvrB.pdf</t>
  </si>
  <si>
    <t>Melting_Curves/meltCurve_P0A8G3_uxaC.pdf</t>
  </si>
  <si>
    <t>Melting_Curves/meltCurve_P0A8G6_wrbA.pdf</t>
  </si>
  <si>
    <t>Melting_Curves/meltCurve_P0A8G9_xseB.pdf</t>
  </si>
  <si>
    <t>Melting_Curves/meltCurve_P0A8H6_yihI.pdf</t>
  </si>
  <si>
    <t>Melting_Curves/meltCurve_P0A8H8_yacG.pdf</t>
  </si>
  <si>
    <t>Melting_Curves/meltCurve_P0A8I1_yqgF.pdf</t>
  </si>
  <si>
    <t>Melting_Curves/meltCurve_P0A8I3_yaaA.pdf</t>
  </si>
  <si>
    <t>Melting_Curves/meltCurve_P0A8I5_trmB.pdf</t>
  </si>
  <si>
    <t>Melting_Curves/meltCurve_P0A8I8_rlmH.pdf</t>
  </si>
  <si>
    <t>Melting_Curves/meltCurve_P0A8J8_rhlB.pdf</t>
  </si>
  <si>
    <t>Melting_Curves/meltCurve_P0A8K1_psd.pdf</t>
  </si>
  <si>
    <t>Melting_Curves/meltCurve_P0A8K5_yaeP.pdf</t>
  </si>
  <si>
    <t>Melting_Curves/meltCurve_P0A8L1_serS.pdf</t>
  </si>
  <si>
    <t>Melting_Curves/meltCurve_P0A8L7_yciU.pdf</t>
  </si>
  <si>
    <t>Melting_Curves/meltCurve_P0A8M0_asnS.pdf</t>
  </si>
  <si>
    <t>Melting_Curves/meltCurve_P0A8M3_thrS.pdf</t>
  </si>
  <si>
    <t>Melting_Curves/meltCurve_P0A8M6_yeeX.pdf</t>
  </si>
  <si>
    <t>Melting_Curves/meltCurve_P0A8N0_matP.pdf</t>
  </si>
  <si>
    <t>Melting_Curves/meltCurve_P0A8N3_lysS.pdf</t>
  </si>
  <si>
    <t>Melting_Curves/meltCurve_P0A8N5_lysU.pdf</t>
  </si>
  <si>
    <t>Melting_Curves/meltCurve_P0A8N7_epmA.pdf</t>
  </si>
  <si>
    <t>Melting_Curves/meltCurve_P0A8P3_yggX.pdf</t>
  </si>
  <si>
    <t>Melting_Curves/meltCurve_P0A8Q0_frdC.pdf</t>
  </si>
  <si>
    <t>Melting_Curves/meltCurve_P0A8Q3_frdD.pdf</t>
  </si>
  <si>
    <t>Melting_Curves/meltCurve_P0A8Q6_clpS.pdf</t>
  </si>
  <si>
    <t>Melting_Curves/meltCurve_P0A8R0_rraA.pdf</t>
  </si>
  <si>
    <t>Melting_Curves/meltCurve_P0A8R4_slyX.pdf</t>
  </si>
  <si>
    <t>Melting_Curves/meltCurve_P0A8R7_ycjF.pdf</t>
  </si>
  <si>
    <t>Melting_Curves/meltCurve_P0A8S1_argP.pdf</t>
  </si>
  <si>
    <t>Melting_Curves/meltCurve_P0A8T1_prmA.pdf</t>
  </si>
  <si>
    <t>Melting_Curves/meltCurve_P0A8T7_rpoC.pdf</t>
  </si>
  <si>
    <t>Melting_Curves/meltCurve_P0A8U0_syd.pdf</t>
  </si>
  <si>
    <t>Melting_Curves/meltCurve_P0A8U2_yafD.pdf</t>
  </si>
  <si>
    <t>Melting_Curves/meltCurve_P0A8U6_metJ.pdf</t>
  </si>
  <si>
    <t>Melting_Curves/meltCurve_P0A8V0_rbn.pdf</t>
  </si>
  <si>
    <t>Melting_Curves/meltCurve_P0A8V2_rpoB.pdf</t>
  </si>
  <si>
    <t>Melting_Curves/meltCurve_P0A8V6_fadR.pdf</t>
  </si>
  <si>
    <t>Melting_Curves/meltCurve_P0A8W0_nanR.pdf</t>
  </si>
  <si>
    <t>Melting_Curves/meltCurve_P0A8W2_slyA.pdf</t>
  </si>
  <si>
    <t>Melting_Curves/meltCurve_P0A8W5_yqgE.pdf</t>
  </si>
  <si>
    <t>Melting_Curves/meltCurve_P0A8W8_yfbU.pdf</t>
  </si>
  <si>
    <t>Melting_Curves/meltCurve_P0A8X0_yjgA.pdf</t>
  </si>
  <si>
    <t>Melting_Curves/meltCurve_P0A8X2_yceI.pdf</t>
  </si>
  <si>
    <t>Melting_Curves/meltCurve_P0A8Y3_yihX.pdf</t>
  </si>
  <si>
    <t>Melting_Curves/meltCurve_P0A8Y5_yidA.pdf</t>
  </si>
  <si>
    <t>Melting_Curves/meltCurve_P0A8Z0_yciA.pdf</t>
  </si>
  <si>
    <t>Melting_Curves/meltCurve_P0A8Z3_ybgC.pdf</t>
  </si>
  <si>
    <t>Melting_Curves/meltCurve_P0A901_blc.pdf</t>
  </si>
  <si>
    <t>Melting_Curves/meltCurve_P0A903_bamC.pdf</t>
  </si>
  <si>
    <t>Melting_Curves/meltCurve_P0A905_slyB.pdf</t>
  </si>
  <si>
    <t>Melting_Curves/meltCurve_P0A910_ompA.pdf</t>
  </si>
  <si>
    <t>Melting_Curves/meltCurve_P0A912_pal.pdf</t>
  </si>
  <si>
    <t>Melting_Curves/meltCurve_P0A915_ompW.pdf</t>
  </si>
  <si>
    <t>Melting_Curves/meltCurve_P0A917_ompX.pdf</t>
  </si>
  <si>
    <t>Melting_Curves/meltCurve_P0A921_pldA.pdf</t>
  </si>
  <si>
    <t>Melting_Curves/meltCurve_P0A924_pgpB.pdf</t>
  </si>
  <si>
    <t>Melting_Curves/meltCurve_P0A927_tsx.pdf</t>
  </si>
  <si>
    <t>Melting_Curves/meltCurve_P0A937_bamE.pdf</t>
  </si>
  <si>
    <t>Melting_Curves/meltCurve_P0A940_bamA.pdf</t>
  </si>
  <si>
    <t>Melting_Curves/meltCurve_P0A944_rimI.pdf</t>
  </si>
  <si>
    <t>Melting_Curves/meltCurve_P0A948_rimJ.pdf</t>
  </si>
  <si>
    <t>Melting_Curves/meltCurve_P0A951_speG.pdf</t>
  </si>
  <si>
    <t>Melting_Curves/meltCurve_P0A953_fabB.pdf</t>
  </si>
  <si>
    <t>Melting_Curves/meltCurve_P0A955_eda.pdf</t>
  </si>
  <si>
    <t>Melting_Curves/meltCurve_P0A959_alaA.pdf</t>
  </si>
  <si>
    <t>Melting_Curves/meltCurve_P0A962_ansA.pdf</t>
  </si>
  <si>
    <t>Melting_Curves/meltCurve_P0A964_cheW.pdf</t>
  </si>
  <si>
    <t>Melting_Curves/meltCurve_P0A968_cspD.pdf</t>
  </si>
  <si>
    <t>Melting_Curves/meltCurve_P0A972_cspE.pdf</t>
  </si>
  <si>
    <t>Melting_Curves/meltCurve_P0A988_dnaN.pdf</t>
  </si>
  <si>
    <t>Melting_Curves/meltCurve_P0A991_fbaB.pdf</t>
  </si>
  <si>
    <t>Melting_Curves/meltCurve_P0A993_fbp.pdf</t>
  </si>
  <si>
    <t>Melting_Curves/meltCurve_P0A998_ftnA.pdf</t>
  </si>
  <si>
    <t>Melting_Curves/meltCurve_P0A9A2_ftnB.pdf</t>
  </si>
  <si>
    <t>Melting_Curves/meltCurve_P0A9A6_ftsZ.pdf</t>
  </si>
  <si>
    <t>Melting_Curves/meltCurve_P0A9A9_fur.pdf</t>
  </si>
  <si>
    <t>Melting_Curves/meltCurve_P0A9B2_gapA.pdf</t>
  </si>
  <si>
    <t>Melting_Curves/meltCurve_P0A9B6_epd.pdf</t>
  </si>
  <si>
    <t>Melting_Curves/meltCurve_P0A9C3_galM.pdf</t>
  </si>
  <si>
    <t>Melting_Curves/meltCurve_P0A9C5_glnA.pdf</t>
  </si>
  <si>
    <t>Melting_Curves/meltCurve_P0A9C9_glpX.pdf</t>
  </si>
  <si>
    <t>Melting_Curves/meltCurve_P0A9D2_gstA.pdf</t>
  </si>
  <si>
    <t>Melting_Curves/meltCurve_P0A9D4_cysE.pdf</t>
  </si>
  <si>
    <t>Melting_Curves/meltCurve_P0A9D8_dapD.pdf</t>
  </si>
  <si>
    <t>Melting_Curves/meltCurve_P0A9E5_fnr.pdf</t>
  </si>
  <si>
    <t>Melting_Curves/meltCurve_P0A9F1_mntR.pdf</t>
  </si>
  <si>
    <t>Melting_Curves/meltCurve_P0A9F3_cysB.pdf</t>
  </si>
  <si>
    <t>Melting_Curves/meltCurve_P0A9F6_gcvA.pdf</t>
  </si>
  <si>
    <t>Melting_Curves/meltCurve_P0A9G6_aceA.pdf</t>
  </si>
  <si>
    <t>Melting_Curves/meltCurve_P0A9G8_modE.pdf</t>
  </si>
  <si>
    <t>Melting_Curves/meltCurve_P0A9H1_mug.pdf</t>
  </si>
  <si>
    <t>Melting_Curves/meltCurve_P0A9H3_cadA.pdf</t>
  </si>
  <si>
    <t>Melting_Curves/meltCurve_P0A9H7_cfa.pdf</t>
  </si>
  <si>
    <t>Melting_Curves/meltCurve_P0A9H9_cheZ.pdf</t>
  </si>
  <si>
    <t>Melting_Curves/meltCurve_P0A9I3_gcvR.pdf</t>
  </si>
  <si>
    <t>Melting_Curves/meltCurve_P0A9J0_rng.pdf</t>
  </si>
  <si>
    <t>Melting_Curves/meltCurve_P0A9J6_rbsK.pdf</t>
  </si>
  <si>
    <t>Melting_Curves/meltCurve_P0A9J8_pheA.pdf</t>
  </si>
  <si>
    <t>Melting_Curves/meltCurve_P0A9K3_ybeZ.pdf</t>
  </si>
  <si>
    <t>Melting_Curves/meltCurve_P0A9K7_phoU.pdf</t>
  </si>
  <si>
    <t>Melting_Curves/meltCurve_P0A9K9_slyD.pdf</t>
  </si>
  <si>
    <t>Melting_Curves/meltCurve_P0A9L3_fklB.pdf</t>
  </si>
  <si>
    <t>Melting_Curves/meltCurve_P0A9L5_ppiC.pdf</t>
  </si>
  <si>
    <t>Melting_Curves/meltCurve_P0A9L8_proC.pdf</t>
  </si>
  <si>
    <t>Melting_Curves/meltCurve_P0A9M0_lon.pdf</t>
  </si>
  <si>
    <t>Melting_Curves/meltCurve_P0A9M2_hpt.pdf</t>
  </si>
  <si>
    <t>Melting_Curves/meltCurve_P0A9M5_gpt.pdf</t>
  </si>
  <si>
    <t>Melting_Curves/meltCurve_P0A9M8_pta.pdf</t>
  </si>
  <si>
    <t>Melting_Curves/meltCurve_P0A9N0_ptsO.pdf</t>
  </si>
  <si>
    <t>Melting_Curves/meltCurve_P0A9N4_pflA.pdf</t>
  </si>
  <si>
    <t>Melting_Curves/meltCurve_P0A9P0_lpdA.pdf</t>
  </si>
  <si>
    <t>Melting_Curves/meltCurve_P0A9P4_trxB.pdf</t>
  </si>
  <si>
    <t>Melting_Curves/meltCurve_P0A9P9_idnO.pdf</t>
  </si>
  <si>
    <t>Melting_Curves/meltCurve_P0A9Q1_arcA.pdf</t>
  </si>
  <si>
    <t>Melting_Curves/meltCurve_P0A9Q5_accD.pdf</t>
  </si>
  <si>
    <t>Melting_Curves/meltCurve_P0A9Q7_adhE.pdf</t>
  </si>
  <si>
    <t>Melting_Curves/meltCurve_P0A9Q9_asd.pdf</t>
  </si>
  <si>
    <t>Melting_Curves/meltCurve_P0A9R4_fdx.pdf</t>
  </si>
  <si>
    <t>Melting_Curves/meltCurve_P0A9R7_ftsE.pdf</t>
  </si>
  <si>
    <t>Melting_Curves/meltCurve_P0A9S1_fucO.pdf</t>
  </si>
  <si>
    <t>Melting_Curves/meltCurve_P0A9S3_gatD.pdf</t>
  </si>
  <si>
    <t>Melting_Curves/meltCurve_P0A9S5_gldA.pdf</t>
  </si>
  <si>
    <t>Melting_Curves/meltCurve_P0A9T0_serA.pdf</t>
  </si>
  <si>
    <t>Melting_Curves/meltCurve_P0A9T4_tas.pdf</t>
  </si>
  <si>
    <t>Melting_Curves/meltCurve_P0A9T8_ybbA.pdf</t>
  </si>
  <si>
    <t>Melting_Curves/meltCurve_P0A9U3_ybiT.pdf</t>
  </si>
  <si>
    <t>Melting_Curves/meltCurve_P0A9U6_puuR.pdf</t>
  </si>
  <si>
    <t>Melting_Curves/meltCurve_P0A9V1_lptB.pdf</t>
  </si>
  <si>
    <t>Melting_Curves/meltCurve_P0A9V5_yiaG.pdf</t>
  </si>
  <si>
    <t>Melting_Curves/meltCurve_P0A9W0_ulaR.pdf</t>
  </si>
  <si>
    <t>Melting_Curves/meltCurve_P0A9W3_ettA.pdf</t>
  </si>
  <si>
    <t>Melting_Curves/meltCurve_P0A9W6_ibaG.pdf</t>
  </si>
  <si>
    <t>Melting_Curves/meltCurve_P0A9X1_znuC.pdf</t>
  </si>
  <si>
    <t>Melting_Curves/meltCurve_P0A9X4_mreB.pdf</t>
  </si>
  <si>
    <t>Melting_Curves/meltCurve_P0A9X9_cspA.pdf</t>
  </si>
  <si>
    <t>Melting_Curves/meltCurve_P0A9Y6_cspC.pdf</t>
  </si>
  <si>
    <t>Melting_Curves/meltCurve_P0A9Z1_glnB.pdf</t>
  </si>
  <si>
    <t>Melting_Curves/meltCurve_P0AA04_ptsH.pdf</t>
  </si>
  <si>
    <t>Melting_Curves/meltCurve_P0AA10_rplM.pdf</t>
  </si>
  <si>
    <t>Melting_Curves/meltCurve_P0AA16_ompR.pdf</t>
  </si>
  <si>
    <t>Melting_Curves/meltCurve_P0AA25_trxA.pdf</t>
  </si>
  <si>
    <t>Melting_Curves/meltCurve_P0AA37_rluA.pdf</t>
  </si>
  <si>
    <t>Melting_Curves/meltCurve_P0AA39_rluC.pdf</t>
  </si>
  <si>
    <t>Melting_Curves/meltCurve_P0AA43_rsuA.pdf</t>
  </si>
  <si>
    <t>Melting_Curves/meltCurve_P0AA53_qmcA.pdf</t>
  </si>
  <si>
    <t>Melting_Curves/meltCurve_P0AA63_yqjA.pdf</t>
  </si>
  <si>
    <t>Melting_Curves/meltCurve_P0AA84_clsB.pdf</t>
  </si>
  <si>
    <t>Melting_Curves/meltCurve_P0AA86_dsbE.pdf</t>
  </si>
  <si>
    <t>Melting_Curves/meltCurve_P0AA91_yeaY.pdf</t>
  </si>
  <si>
    <t>Melting_Curves/meltCurve_P0AA93_ypdA.pdf</t>
  </si>
  <si>
    <t>Melting_Curves/meltCurve_P0AAA1_yagU.pdf</t>
  </si>
  <si>
    <t>Melting_Curves/meltCurve_P0AAB4_ubiD.pdf</t>
  </si>
  <si>
    <t>Melting_Curves/meltCurve_P0AAB6_galF.pdf</t>
  </si>
  <si>
    <t>Melting_Curves/meltCurve_P0AAB8_uspD.pdf</t>
  </si>
  <si>
    <t>Melting_Curves/meltCurve_P0AAC0_uspE.pdf</t>
  </si>
  <si>
    <t>Melting_Curves/meltCurve_P0AAC4_ybhL.pdf</t>
  </si>
  <si>
    <t>Melting_Curves/meltCurve_P0AAC8_iscA.pdf</t>
  </si>
  <si>
    <t>Melting_Curves/meltCurve_P0AAD2_mtr.pdf</t>
  </si>
  <si>
    <t>Melting_Curves/meltCurve_P0AAD6_sdaC.pdf</t>
  </si>
  <si>
    <t>Melting_Curves/meltCurve_P0AAE0_cycA.pdf</t>
  </si>
  <si>
    <t>Melting_Curves/meltCurve_P0AAE2_proY.pdf</t>
  </si>
  <si>
    <t>Melting_Curves/meltCurve_P0AAF6_artP.pdf</t>
  </si>
  <si>
    <t>Melting_Curves/meltCurve_P0AAG0_dppD.pdf</t>
  </si>
  <si>
    <t>Melting_Curves/meltCurve_P0AAG8_mglA.pdf</t>
  </si>
  <si>
    <t>Melting_Curves/meltCurve_P0AAH0_pstB.pdf</t>
  </si>
  <si>
    <t>Melting_Curves/meltCurve_P0AAH4_sapD.pdf</t>
  </si>
  <si>
    <t>Melting_Curves/meltCurve_P0AAH8_sapF.pdf</t>
  </si>
  <si>
    <t>Melting_Curves/meltCurve_P0AAI3_ftsH.pdf</t>
  </si>
  <si>
    <t>Melting_Curves/meltCurve_P0AAI5_fabF.pdf</t>
  </si>
  <si>
    <t>Melting_Curves/meltCurve_P0AAI9_fabD.pdf</t>
  </si>
  <si>
    <t>Melting_Curves/meltCurve_P0AAJ1_ynfG.pdf</t>
  </si>
  <si>
    <t>Melting_Curves/meltCurve_P0AAJ3_fdnH.pdf</t>
  </si>
  <si>
    <t>Melting_Curves/meltCurve_P0AAJ5_fdoH.pdf</t>
  </si>
  <si>
    <t>Melting_Curves/meltCurve_P0AAJ8_hybA.pdf</t>
  </si>
  <si>
    <t>Melting_Curves/meltCurve_P0AAN1_hybE.pdf</t>
  </si>
  <si>
    <t>Melting_Curves/meltCurve_P0AAN3_hypB.pdf</t>
  </si>
  <si>
    <t>Melting_Curves/meltCurve_P0AAP3_frmR.pdf</t>
  </si>
  <si>
    <t>Melting_Curves/meltCurve_P0AAQ2_yajD.pdf</t>
  </si>
  <si>
    <t>Melting_Curves/meltCurve_P0AAQ6_ybaA.pdf</t>
  </si>
  <si>
    <t>Melting_Curves/meltCurve_P0AAR0_tomB.pdf</t>
  </si>
  <si>
    <t>Melting_Curves/meltCurve_P0AAR3_ybaK.pdf</t>
  </si>
  <si>
    <t>Melting_Curves/meltCurve_P0AAS0_ylaC.pdf</t>
  </si>
  <si>
    <t>Melting_Curves/meltCurve_P0AAS3_ybbJ.pdf</t>
  </si>
  <si>
    <t>Melting_Curves/meltCurve_P0AAS7_ybcJ.pdf</t>
  </si>
  <si>
    <t>Melting_Curves/meltCurve_P0AAT2_ybdF.pdf</t>
  </si>
  <si>
    <t>Melting_Curves/meltCurve_P0AAT4_ybdG.pdf</t>
  </si>
  <si>
    <t>Melting_Curves/meltCurve_P0AAT9_ybeL.pdf</t>
  </si>
  <si>
    <t>Melting_Curves/meltCurve_P0AAU7_ybfE.pdf</t>
  </si>
  <si>
    <t>Melting_Curves/meltCurve_P0AAV0_ybgE.pdf</t>
  </si>
  <si>
    <t>Melting_Curves/meltCurve_P0AAV4_ybgJ.pdf</t>
  </si>
  <si>
    <t>Melting_Curves/meltCurve_P0AAV6_ybgS.pdf</t>
  </si>
  <si>
    <t>Melting_Curves/meltCurve_P0AAW1_ybhP.pdf</t>
  </si>
  <si>
    <t>Melting_Curves/meltCurve_P0AAX8_ybiS.pdf</t>
  </si>
  <si>
    <t>Melting_Curves/meltCurve_P0AAY6_ybjN.pdf</t>
  </si>
  <si>
    <t>Melting_Curves/meltCurve_P0AAZ4_rarA.pdf</t>
  </si>
  <si>
    <t>Melting_Curves/meltCurve_P0AAZ7_ycaR.pdf</t>
  </si>
  <si>
    <t>Melting_Curves/meltCurve_P0AB01_elyC.pdf</t>
  </si>
  <si>
    <t>Melting_Curves/meltCurve_P0AB03_ycbJ.pdf</t>
  </si>
  <si>
    <t>Melting_Curves/meltCurve_P0AB10_ymbA.pdf</t>
  </si>
  <si>
    <t>Melting_Curves/meltCurve_P0AB12_yccF.pdf</t>
  </si>
  <si>
    <t>Melting_Curves/meltCurve_P0AB14_yccJ.pdf</t>
  </si>
  <si>
    <t>Melting_Curves/meltCurve_P0AB18_tusE.pdf</t>
  </si>
  <si>
    <t>Melting_Curves/meltCurve_P0AB20_hspQ.pdf</t>
  </si>
  <si>
    <t>Melting_Curves/meltCurve_P0AB24_efeO.pdf</t>
  </si>
  <si>
    <t>Melting_Curves/meltCurve_P0AB26_yceB.pdf</t>
  </si>
  <si>
    <t>Melting_Curves/meltCurve_P0AB28_yceD.pdf</t>
  </si>
  <si>
    <t>Melting_Curves/meltCurve_P0AB38_lpoB.pdf</t>
  </si>
  <si>
    <t>Melting_Curves/meltCurve_P0AB43_ycgL.pdf</t>
  </si>
  <si>
    <t>Melting_Curves/meltCurve_P0AB46_ymgD.pdf</t>
  </si>
  <si>
    <t>Melting_Curves/meltCurve_P0AB49_ychH.pdf</t>
  </si>
  <si>
    <t>Melting_Curves/meltCurve_P0AB52_ychN.pdf</t>
  </si>
  <si>
    <t>Melting_Curves/meltCurve_P0AB55_yciI.pdf</t>
  </si>
  <si>
    <t>Melting_Curves/meltCurve_P0AB58_lapB.pdf</t>
  </si>
  <si>
    <t>Melting_Curves/meltCurve_P0AB61_yciN.pdf</t>
  </si>
  <si>
    <t>Melting_Curves/meltCurve_P0AB65_yccX.pdf</t>
  </si>
  <si>
    <t>Melting_Curves/meltCurve_P0AB67_pntB.pdf</t>
  </si>
  <si>
    <t>Melting_Curves/meltCurve_P0AB71_fbaA.pdf</t>
  </si>
  <si>
    <t>Melting_Curves/meltCurve_P0AB77_kbl.pdf</t>
  </si>
  <si>
    <t>Melting_Curves/meltCurve_P0AB80_ilvE.pdf</t>
  </si>
  <si>
    <t>Melting_Curves/meltCurve_P0AB85_apbE.pdf</t>
  </si>
  <si>
    <t>Melting_Curves/meltCurve_P0AB89_purB.pdf</t>
  </si>
  <si>
    <t>Melting_Curves/meltCurve_P0AB91_aroG.pdf</t>
  </si>
  <si>
    <t>Melting_Curves/meltCurve_P0AB96_arsC.pdf</t>
  </si>
  <si>
    <t>Melting_Curves/meltCurve_P0AB98_atpB.pdf</t>
  </si>
  <si>
    <t>Melting_Curves/meltCurve_P0ABA0_atpF.pdf</t>
  </si>
  <si>
    <t>Melting_Curves/meltCurve_P0ABA4_atpH.pdf</t>
  </si>
  <si>
    <t>Melting_Curves/meltCurve_P0ABA6_atpG.pdf</t>
  </si>
  <si>
    <t>Melting_Curves/meltCurve_P0ABB0_atpA.pdf</t>
  </si>
  <si>
    <t>Melting_Curves/meltCurve_P0ABB4_atpD.pdf</t>
  </si>
  <si>
    <t>Melting_Curves/meltCurve_P0ABB8_mgtA.pdf</t>
  </si>
  <si>
    <t>Melting_Curves/meltCurve_P0ABC3_hflC.pdf</t>
  </si>
  <si>
    <t>Melting_Curves/meltCurve_P0ABC7_hflK.pdf</t>
  </si>
  <si>
    <t>Melting_Curves/meltCurve_P0ABD3_bfr.pdf</t>
  </si>
  <si>
    <t>Melting_Curves/meltCurve_P0ABD5_accA.pdf</t>
  </si>
  <si>
    <t>Melting_Curves/meltCurve_P0ABD8_accB.pdf</t>
  </si>
  <si>
    <t>Melting_Curves/meltCurve_P0ABE2_bolA.pdf</t>
  </si>
  <si>
    <t>Melting_Curves/meltCurve_P0ABE5_cybB.pdf</t>
  </si>
  <si>
    <t>Melting_Curves/meltCurve_P0ABF1_pcnB.pdf</t>
  </si>
  <si>
    <t>Melting_Curves/meltCurve_P0ABF4_eutM.pdf</t>
  </si>
  <si>
    <t>Melting_Curves/meltCurve_P0ABF6_cdd.pdf</t>
  </si>
  <si>
    <t>Melting_Curves/meltCurve_P0ABF8_pgsA.pdf</t>
  </si>
  <si>
    <t>Melting_Curves/meltCurve_P0ABG7_mrdB.pdf</t>
  </si>
  <si>
    <t>Melting_Curves/meltCurve_P0ABH0_ftsA.pdf</t>
  </si>
  <si>
    <t>Melting_Curves/meltCurve_P0ABH7_gltA.pdf</t>
  </si>
  <si>
    <t>Melting_Curves/meltCurve_P0ABH9_clpA.pdf</t>
  </si>
  <si>
    <t>Melting_Curves/meltCurve_P0ABI4_corA.pdf</t>
  </si>
  <si>
    <t>Melting_Curves/meltCurve_P0ABI8_cyoB.pdf</t>
  </si>
  <si>
    <t>Melting_Curves/meltCurve_P0ABJ1_cyoA.pdf</t>
  </si>
  <si>
    <t>Melting_Curves/meltCurve_P0ABJ3_cyoC.pdf</t>
  </si>
  <si>
    <t>Melting_Curves/meltCurve_P0ABJ9_cydA.pdf</t>
  </si>
  <si>
    <t>Melting_Curves/meltCurve_P0ABK2_cydB.pdf</t>
  </si>
  <si>
    <t>Melting_Curves/meltCurve_P0ABK5_cysK.pdf</t>
  </si>
  <si>
    <t>Melting_Curves/meltCurve_P0ABK9_nrfA.pdf</t>
  </si>
  <si>
    <t>Melting_Curves/meltCurve_P0ABL1_nrfB.pdf</t>
  </si>
  <si>
    <t>Melting_Curves/meltCurve_P0ABL3_napB.pdf</t>
  </si>
  <si>
    <t>Melting_Curves/meltCurve_P0ABL5_napC.pdf</t>
  </si>
  <si>
    <t>Melting_Curves/meltCurve_P0ABN1_dgkA.pdf</t>
  </si>
  <si>
    <t>Melting_Curves/meltCurve_P0ABN5_dcuA.pdf</t>
  </si>
  <si>
    <t>Melting_Curves/meltCurve_P0ABP3_dcuC.pdf</t>
  </si>
  <si>
    <t>Melting_Curves/meltCurve_P0ABP6_dedA.pdf</t>
  </si>
  <si>
    <t>Melting_Curves/meltCurve_P0ABP8_deoD.pdf</t>
  </si>
  <si>
    <t>Melting_Curves/meltCurve_P0ABQ0_coaBC.pdf</t>
  </si>
  <si>
    <t>Melting_Curves/meltCurve_P0ABQ2_garR.pdf</t>
  </si>
  <si>
    <t>Melting_Curves/meltCurve_P0ABQ4_folA.pdf</t>
  </si>
  <si>
    <t>Melting_Curves/meltCurve_P0ABR1_dinI.pdf</t>
  </si>
  <si>
    <t>Melting_Curves/meltCurve_P0ABS1_dksA.pdf</t>
  </si>
  <si>
    <t>Melting_Curves/meltCurve_P0ABS5_dnaG.pdf</t>
  </si>
  <si>
    <t>Melting_Curves/meltCurve_P0ABS8_holE.pdf</t>
  </si>
  <si>
    <t>Melting_Curves/meltCurve_P0ABT2_dps.pdf</t>
  </si>
  <si>
    <t>Melting_Curves/meltCurve_P0ABU0_menB.pdf</t>
  </si>
  <si>
    <t>Melting_Curves/meltCurve_P0ABU2_ychF.pdf</t>
  </si>
  <si>
    <t>Melting_Curves/meltCurve_P0ABU5_elbB.pdf</t>
  </si>
  <si>
    <t>Melting_Curves/meltCurve_P0ABU7_exbB.pdf</t>
  </si>
  <si>
    <t>Melting_Curves/meltCurve_P0ABU9_tolQ.pdf</t>
  </si>
  <si>
    <t>Melting_Curves/meltCurve_P0ABV2_exbD.pdf</t>
  </si>
  <si>
    <t>Melting_Curves/meltCurve_P0ABV6_tolR.pdf</t>
  </si>
  <si>
    <t>Melting_Curves/meltCurve_P0ABX8_fliL.pdf</t>
  </si>
  <si>
    <t>Melting_Curves/meltCurve_P0ABZ1_fliG.pdf</t>
  </si>
  <si>
    <t>Melting_Curves/meltCurve_P0ABZ4_kdsC.pdf</t>
  </si>
  <si>
    <t>Melting_Curves/meltCurve_P0ABZ6_surA.pdf</t>
  </si>
  <si>
    <t>Melting_Curves/meltCurve_P0AC02_bamD.pdf</t>
  </si>
  <si>
    <t>Melting_Curves/meltCurve_P0AC05_fliP.pdf</t>
  </si>
  <si>
    <t>Melting_Curves/meltCurve_P0AC13_folP.pdf</t>
  </si>
  <si>
    <t>Melting_Curves/meltCurve_P0AC16_folB.pdf</t>
  </si>
  <si>
    <t>Melting_Curves/meltCurve_P0AC19_folX.pdf</t>
  </si>
  <si>
    <t>Melting_Curves/meltCurve_P0AC23_focA.pdf</t>
  </si>
  <si>
    <t>Melting_Curves/meltCurve_P0AC30_ftsX.pdf</t>
  </si>
  <si>
    <t>Melting_Curves/meltCurve_P0AC33_fumA.pdf</t>
  </si>
  <si>
    <t>Melting_Curves/meltCurve_P0AC38_aspA.pdf</t>
  </si>
  <si>
    <t>Melting_Curves/meltCurve_P0AC41_sdhA.pdf</t>
  </si>
  <si>
    <t>Melting_Curves/meltCurve_P0AC44_sdhD.pdf</t>
  </si>
  <si>
    <t>Melting_Curves/meltCurve_P0AC47_frdB.pdf</t>
  </si>
  <si>
    <t>Melting_Curves/meltCurve_P0AC51_zur.pdf</t>
  </si>
  <si>
    <t>Melting_Curves/meltCurve_P0AC53_zwf.pdf</t>
  </si>
  <si>
    <t>Melting_Curves/meltCurve_P0AC59_grxB.pdf</t>
  </si>
  <si>
    <t>Melting_Curves/meltCurve_P0AC62_grxC.pdf</t>
  </si>
  <si>
    <t>Melting_Curves/meltCurve_P0AC69_grxD.pdf</t>
  </si>
  <si>
    <t>Melting_Curves/meltCurve_P0AC73_ebgC.pdf</t>
  </si>
  <si>
    <t>Melting_Curves/meltCurve_P0AC75_waaA.pdf</t>
  </si>
  <si>
    <t>Melting_Curves/meltCurve_P0AC81_gloA.pdf</t>
  </si>
  <si>
    <t>Melting_Curves/meltCurve_P0AC84_gloB.pdf</t>
  </si>
  <si>
    <t>Melting_Curves/meltCurve_P0AC86_glgP.pdf</t>
  </si>
  <si>
    <t>Melting_Curves/meltCurve_P0AC92_gnsA.pdf</t>
  </si>
  <si>
    <t>Melting_Curves/meltCurve_P0AC98_satP.pdf</t>
  </si>
  <si>
    <t>Melting_Curves/meltCurve_P0ACA1_yibF.pdf</t>
  </si>
  <si>
    <t>Melting_Curves/meltCurve_P0ACA3_sspA.pdf</t>
  </si>
  <si>
    <t>Melting_Curves/meltCurve_P0ACA7_gstB.pdf</t>
  </si>
  <si>
    <t>Melting_Curves/meltCurve_P0ACB0_dnaB.pdf</t>
  </si>
  <si>
    <t>Melting_Curves/meltCurve_P0ACB2_hemB.pdf</t>
  </si>
  <si>
    <t>Melting_Curves/meltCurve_P0ACB7_hemY.pdf</t>
  </si>
  <si>
    <t>Melting_Curves/meltCurve_P0ACC1_prmC.pdf</t>
  </si>
  <si>
    <t>Melting_Curves/meltCurve_P0ACC3_erpA.pdf</t>
  </si>
  <si>
    <t>Melting_Curves/meltCurve_P0ACC7_glmU.pdf</t>
  </si>
  <si>
    <t>Melting_Curves/meltCurve_P0ACD4_iscU.pdf</t>
  </si>
  <si>
    <t>Melting_Curves/meltCurve_P0ACD8_hyaB.pdf</t>
  </si>
  <si>
    <t>Melting_Curves/meltCurve_P0ACE0_hybC.pdf</t>
  </si>
  <si>
    <t>Melting_Curves/meltCurve_P0ACE3_hha.pdf</t>
  </si>
  <si>
    <t>Melting_Curves/meltCurve_P0ACE7_hinT.pdf</t>
  </si>
  <si>
    <t>Melting_Curves/meltCurve_P0ACF0_hupA.pdf</t>
  </si>
  <si>
    <t>Melting_Curves/meltCurve_P0ACF4_hupB.pdf</t>
  </si>
  <si>
    <t>Melting_Curves/meltCurve_P0ACF8_hns.pdf</t>
  </si>
  <si>
    <t>Melting_Curves/meltCurve_P0ACG1_stpA.pdf</t>
  </si>
  <si>
    <t>Melting_Curves/meltCurve_P0ACG8_hslR.pdf</t>
  </si>
  <si>
    <t>Melting_Curves/meltCurve_P0ACI0_rob.pdf</t>
  </si>
  <si>
    <t>Melting_Curves/meltCurve_P0ACJ0_lrp.pdf</t>
  </si>
  <si>
    <t>Melting_Curves/meltCurve_P0ACJ8_crp.pdf</t>
  </si>
  <si>
    <t>Melting_Curves/meltCurve_P0ACK2_agaR.pdf</t>
  </si>
  <si>
    <t>Melting_Curves/meltCurve_P0ACK5_deoR.pdf</t>
  </si>
  <si>
    <t>Melting_Curves/meltCurve_P0ACK8_fucR.pdf</t>
  </si>
  <si>
    <t>Melting_Curves/meltCurve_P0ACL0_glpR.pdf</t>
  </si>
  <si>
    <t>Melting_Curves/meltCurve_P0ACL2_exuR.pdf</t>
  </si>
  <si>
    <t>Melting_Curves/meltCurve_P0ACL5_glcC.pdf</t>
  </si>
  <si>
    <t>Melting_Curves/meltCurve_P0ACL9_pdhR.pdf</t>
  </si>
  <si>
    <t>Melting_Curves/meltCurve_P0ACM5_yegW.pdf</t>
  </si>
  <si>
    <t>Melting_Curves/meltCurve_P0ACM9_yihL.pdf</t>
  </si>
  <si>
    <t>Melting_Curves/meltCurve_P0ACN4_allR.pdf</t>
  </si>
  <si>
    <t>Melting_Curves/meltCurve_P0ACN7_cytR.pdf</t>
  </si>
  <si>
    <t>Melting_Curves/meltCurve_P0ACP1_cra.pdf</t>
  </si>
  <si>
    <t>Melting_Curves/meltCurve_P0ACP5_gntR.pdf</t>
  </si>
  <si>
    <t>Melting_Curves/meltCurve_P0ACP7_purR.pdf</t>
  </si>
  <si>
    <t>Melting_Curves/meltCurve_P0ACQ4_oxyR.pdf</t>
  </si>
  <si>
    <t>Melting_Curves/meltCurve_P0ACR4_yeiE.pdf</t>
  </si>
  <si>
    <t>Melting_Curves/meltCurve_P0ACR9_mprA.pdf</t>
  </si>
  <si>
    <t>Melting_Curves/meltCurve_P0ACS7_rpiR.pdf</t>
  </si>
  <si>
    <t>Melting_Curves/meltCurve_P0ACT6_uidR.pdf</t>
  </si>
  <si>
    <t>Melting_Curves/meltCurve_P0ACU0_ybiH.pdf</t>
  </si>
  <si>
    <t>Melting_Curves/meltCurve_P0ACU2_rutR.pdf</t>
  </si>
  <si>
    <t>Melting_Curves/meltCurve_P0ACU7_yjdC.pdf</t>
  </si>
  <si>
    <t>Melting_Curves/meltCurve_P0ACV0_lpxL.pdf</t>
  </si>
  <si>
    <t>Melting_Curves/meltCurve_P0ACV4_lapA.pdf</t>
  </si>
  <si>
    <t>Melting_Curves/meltCurve_P0ACV6_mpaA.pdf</t>
  </si>
  <si>
    <t>Melting_Curves/meltCurve_P0ACW6_ydcH.pdf</t>
  </si>
  <si>
    <t>Melting_Curves/meltCurve_P0ACX3_ydhR.pdf</t>
  </si>
  <si>
    <t>Melting_Curves/meltCurve_P0ACX5_ydhZ.pdf</t>
  </si>
  <si>
    <t>Melting_Curves/meltCurve_P0ACY1_ydjA.pdf</t>
  </si>
  <si>
    <t>Melting_Curves/meltCurve_P0ACY3_yeaG.pdf</t>
  </si>
  <si>
    <t>Melting_Curves/meltCurve_P0ACY9_yebG.pdf</t>
  </si>
  <si>
    <t>Melting_Curves/meltCurve_P0ACZ4_evgA.pdf</t>
  </si>
  <si>
    <t>Melting_Curves/meltCurve_P0AD01_dcuR.pdf</t>
  </si>
  <si>
    <t>Melting_Curves/meltCurve_P0AD05_yecA.pdf</t>
  </si>
  <si>
    <t>Melting_Curves/meltCurve_P0AD10_yecJ.pdf</t>
  </si>
  <si>
    <t>Melting_Curves/meltCurve_P0AD12_yeeZ.pdf</t>
  </si>
  <si>
    <t>Melting_Curves/meltCurve_P0AD21_yejG.pdf</t>
  </si>
  <si>
    <t>Melting_Curves/meltCurve_P0AD24_yejL.pdf</t>
  </si>
  <si>
    <t>Melting_Curves/meltCurve_P0AD27_yejM.pdf</t>
  </si>
  <si>
    <t>Melting_Curves/meltCurve_P0AD33_yfcZ.pdf</t>
  </si>
  <si>
    <t>Melting_Curves/meltCurve_P0AD37_yfeC.pdf</t>
  </si>
  <si>
    <t>Melting_Curves/meltCurve_P0AD40_ypeB.pdf</t>
  </si>
  <si>
    <t>Melting_Curves/meltCurve_P0AD42_pgpC.pdf</t>
  </si>
  <si>
    <t>Melting_Curves/meltCurve_P0AD44_yfhG.pdf</t>
  </si>
  <si>
    <t>Melting_Curves/meltCurve_P0AD47_yphA.pdf</t>
  </si>
  <si>
    <t>Melting_Curves/meltCurve_P0AD49_raiA.pdf</t>
  </si>
  <si>
    <t>Melting_Curves/meltCurve_P0AD57_ispB.pdf</t>
  </si>
  <si>
    <t>Melting_Curves/meltCurve_P0AD59_ivy.pdf</t>
  </si>
  <si>
    <t>Melting_Curves/meltCurve_P0AD61_pykF.pdf</t>
  </si>
  <si>
    <t>Melting_Curves/meltCurve_P0AD96_livJ.pdf</t>
  </si>
  <si>
    <t>Melting_Curves/meltCurve_P0ADA1_tesA.pdf</t>
  </si>
  <si>
    <t>Melting_Curves/meltCurve_P0ADA3_nlpD.pdf</t>
  </si>
  <si>
    <t>Melting_Curves/meltCurve_P0ADA5_yajG.pdf</t>
  </si>
  <si>
    <t>Melting_Curves/meltCurve_P0ADB1_osmE.pdf</t>
  </si>
  <si>
    <t>Melting_Curves/meltCurve_P0ADC1_lptE.pdf</t>
  </si>
  <si>
    <t>Melting_Curves/meltCurve_P0ADC3_lolC.pdf</t>
  </si>
  <si>
    <t>Melting_Curves/meltCurve_P0ADC6_lptG.pdf</t>
  </si>
  <si>
    <t>Melting_Curves/meltCurve_P0ADE4_tamA.pdf</t>
  </si>
  <si>
    <t>Melting_Curves/meltCurve_P0ADE6_ygaU.pdf</t>
  </si>
  <si>
    <t>Melting_Curves/meltCurve_P0ADE8_ygfZ.pdf</t>
  </si>
  <si>
    <t>Melting_Curves/meltCurve_P0ADF8_ilvN.pdf</t>
  </si>
  <si>
    <t>Melting_Curves/meltCurve_P0ADG4_suhB.pdf</t>
  </si>
  <si>
    <t>Melting_Curves/meltCurve_P0ADG7_guaB.pdf</t>
  </si>
  <si>
    <t>Melting_Curves/meltCurve_P0ADI4_entB.pdf</t>
  </si>
  <si>
    <t>Melting_Curves/meltCurve_P0ADI7_yecD.pdf</t>
  </si>
  <si>
    <t>Melting_Curves/meltCurve_P0ADK0_yiaF.pdf</t>
  </si>
  <si>
    <t>Melting_Curves/meltCurve_P0ADK8_yibL.pdf</t>
  </si>
  <si>
    <t>Melting_Curves/meltCurve_P0ADM4_yidQ.pdf</t>
  </si>
  <si>
    <t>Melting_Curves/meltCurve_P0ADN0_viaA.pdf</t>
  </si>
  <si>
    <t>Melting_Curves/meltCurve_P0ADN2_yifE.pdf</t>
  </si>
  <si>
    <t>Melting_Curves/meltCurve_P0ADN6_yifL.pdf</t>
  </si>
  <si>
    <t>Melting_Curves/meltCurve_P0ADP0_yigB.pdf</t>
  </si>
  <si>
    <t>Melting_Curves/meltCurve_P0ADP2_yigI.pdf</t>
  </si>
  <si>
    <t>Melting_Curves/meltCurve_P0ADP7_ubiJ.pdf</t>
  </si>
  <si>
    <t>Melting_Curves/meltCurve_P0ADP9_yihD.pdf</t>
  </si>
  <si>
    <t>Melting_Curves/meltCurve_P0ADQ2_yiiD.pdf</t>
  </si>
  <si>
    <t>Melting_Curves/meltCurve_P0ADQ7_ygaM.pdf</t>
  </si>
  <si>
    <t>Melting_Curves/meltCurve_P0ADR6_rlmM.pdf</t>
  </si>
  <si>
    <t>Melting_Curves/meltCurve_P0ADR8_ygdH.pdf</t>
  </si>
  <si>
    <t>Melting_Curves/meltCurve_P0ADS2_zapA.pdf</t>
  </si>
  <si>
    <t>Melting_Curves/meltCurve_P0ADS6_yggE.pdf</t>
  </si>
  <si>
    <t>Melting_Curves/meltCurve_P0ADS9_yggN.pdf</t>
  </si>
  <si>
    <t>Melting_Curves/meltCurve_P0ADT2_ygiB.pdf</t>
  </si>
  <si>
    <t>Melting_Curves/meltCurve_P0ADT5_ygiC.pdf</t>
  </si>
  <si>
    <t>Melting_Curves/meltCurve_P0ADT8_ygiM.pdf</t>
  </si>
  <si>
    <t>Melting_Curves/meltCurve_P0ADU2_ygiN.pdf</t>
  </si>
  <si>
    <t>Melting_Curves/meltCurve_P0ADU5_ygiW.pdf</t>
  </si>
  <si>
    <t>Melting_Curves/meltCurve_P0ADV1_lptA.pdf</t>
  </si>
  <si>
    <t>Melting_Curves/meltCurve_P0ADV5_yhbW.pdf</t>
  </si>
  <si>
    <t>Melting_Curves/meltCurve_P0ADV7_mlaC.pdf</t>
  </si>
  <si>
    <t>Melting_Curves/meltCurve_P0ADV9_lptC.pdf</t>
  </si>
  <si>
    <t>Melting_Curves/meltCurve_P0ADW3_yhcB.pdf</t>
  </si>
  <si>
    <t>Melting_Curves/meltCurve_P0ADX1_yhfA.pdf</t>
  </si>
  <si>
    <t>Melting_Curves/meltCurve_P0ADX7_yhhA.pdf</t>
  </si>
  <si>
    <t>Melting_Curves/meltCurve_P0ADX9_rsmD.pdf</t>
  </si>
  <si>
    <t>Melting_Curves/meltCurve_P0ADY1_ppiD.pdf</t>
  </si>
  <si>
    <t>Melting_Curves/meltCurve_P0ADY3_rplN.pdf</t>
  </si>
  <si>
    <t>Melting_Curves/meltCurve_P0ADY7_rplP.pdf</t>
  </si>
  <si>
    <t>Melting_Curves/meltCurve_P0ADZ0_rplW.pdf</t>
  </si>
  <si>
    <t>Melting_Curves/meltCurve_P0ADZ4_rpsO.pdf</t>
  </si>
  <si>
    <t>Melting_Curves/meltCurve_P0ADZ7_yajC.pdf</t>
  </si>
  <si>
    <t>Melting_Curves/meltCurve_P0AE01_trmJ.pdf</t>
  </si>
  <si>
    <t>Melting_Curves/meltCurve_P0AE06_acrA.pdf</t>
  </si>
  <si>
    <t>Melting_Curves/meltCurve_P0AE08_ahpC.pdf</t>
  </si>
  <si>
    <t>Melting_Curves/meltCurve_P0AE12_amn.pdf</t>
  </si>
  <si>
    <t>Melting_Curves/meltCurve_P0AE14_ampE.pdf</t>
  </si>
  <si>
    <t>Melting_Curves/meltCurve_P0AE18_map.pdf</t>
  </si>
  <si>
    <t>Melting_Curves/meltCurve_P0AE22_aphA.pdf</t>
  </si>
  <si>
    <t>Melting_Curves/meltCurve_P0AE26_araH.pdf</t>
  </si>
  <si>
    <t>Melting_Curves/meltCurve_P0AE28_aroM.pdf</t>
  </si>
  <si>
    <t>Melting_Curves/meltCurve_P0AE34_artQ.pdf</t>
  </si>
  <si>
    <t>Melting_Curves/meltCurve_P0AE37_astA.pdf</t>
  </si>
  <si>
    <t>Melting_Curves/meltCurve_P0AE39_ypdB.pdf</t>
  </si>
  <si>
    <t>Melting_Curves/meltCurve_P0AE45_ytfL.pdf</t>
  </si>
  <si>
    <t>Melting_Curves/meltCurve_P0AE48_ytfP.pdf</t>
  </si>
  <si>
    <t>Melting_Curves/meltCurve_P0AE52_bcp.pdf</t>
  </si>
  <si>
    <t>Melting_Curves/meltCurve_P0AE60_cedA.pdf</t>
  </si>
  <si>
    <t>Melting_Curves/meltCurve_P0AE63_chaB.pdf</t>
  </si>
  <si>
    <t>Melting_Curves/meltCurve_P0AE67_cheY.pdf</t>
  </si>
  <si>
    <t>Melting_Curves/meltCurve_P0AE70_mazF.pdf</t>
  </si>
  <si>
    <t>Melting_Curves/meltCurve_P0AE72_mazE.pdf</t>
  </si>
  <si>
    <t>Melting_Curves/meltCurve_P0AE78_corC.pdf</t>
  </si>
  <si>
    <t>Melting_Curves/meltCurve_P0AE82_cpxA.pdf</t>
  </si>
  <si>
    <t>Melting_Curves/meltCurve_P0AE85_cpxP.pdf</t>
  </si>
  <si>
    <t>Melting_Curves/meltCurve_P0AE88_cpxR.pdf</t>
  </si>
  <si>
    <t>Melting_Curves/meltCurve_P0AE91_creA.pdf</t>
  </si>
  <si>
    <t>Melting_Curves/meltCurve_P0AEA8_cysG.pdf</t>
  </si>
  <si>
    <t>Melting_Curves/meltCurve_P0AEB2_dacA.pdf</t>
  </si>
  <si>
    <t>Melting_Curves/meltCurve_P0AEB7_yoaB.pdf</t>
  </si>
  <si>
    <t>Melting_Curves/meltCurve_P0AEC0_yoaE.pdf</t>
  </si>
  <si>
    <t>Melting_Curves/meltCurve_P0AEC3_arcB.pdf</t>
  </si>
  <si>
    <t>Melting_Curves/meltCurve_P0AEC5_barA.pdf</t>
  </si>
  <si>
    <t>Melting_Curves/meltCurve_P0AEC8_dcuS.pdf</t>
  </si>
  <si>
    <t>Melting_Curves/meltCurve_P0AED0_uspA.pdf</t>
  </si>
  <si>
    <t>Melting_Curves/meltCurve_P0AED5_uvrY.pdf</t>
  </si>
  <si>
    <t>Melting_Curves/meltCurve_P0AED7_dapE.pdf</t>
  </si>
  <si>
    <t>Melting_Curves/meltCurve_P0AEE1_dcrB.pdf</t>
  </si>
  <si>
    <t>Melting_Curves/meltCurve_P0AEE3_degS.pdf</t>
  </si>
  <si>
    <t>Melting_Curves/meltCurve_P0AEE5_mglB.pdf</t>
  </si>
  <si>
    <t>Melting_Curves/meltCurve_P0AEF0_dnaC.pdf</t>
  </si>
  <si>
    <t>Melting_Curves/meltCurve_P0AEG1_dppC.pdf</t>
  </si>
  <si>
    <t>Melting_Curves/meltCurve_P0AEG4_dsbA.pdf</t>
  </si>
  <si>
    <t>Melting_Curves/meltCurve_P0AEG6_dsbC.pdf</t>
  </si>
  <si>
    <t>Melting_Curves/meltCurve_P0AEH1_rseP.pdf</t>
  </si>
  <si>
    <t>Melting_Curves/meltCurve_P0AEH3_elaA.pdf</t>
  </si>
  <si>
    <t>Melting_Curves/meltCurve_P0AEH5_elaB.pdf</t>
  </si>
  <si>
    <t>Melting_Curves/meltCurve_P0AEI1_miaB.pdf</t>
  </si>
  <si>
    <t>Melting_Curves/meltCurve_P0AEI4_rimO.pdf</t>
  </si>
  <si>
    <t>Melting_Curves/meltCurve_P0AEI6_nudJ.pdf</t>
  </si>
  <si>
    <t>Melting_Curves/meltCurve_P0AEJ2_entC.pdf</t>
  </si>
  <si>
    <t>Melting_Curves/meltCurve_P0AEJ4_envZ.pdf</t>
  </si>
  <si>
    <t>Melting_Curves/meltCurve_P0AEJ6_eutB.pdf</t>
  </si>
  <si>
    <t>Melting_Curves/meltCurve_P0AEK2_fabG.pdf</t>
  </si>
  <si>
    <t>Melting_Curves/meltCurve_P0AEK4_fabI.pdf</t>
  </si>
  <si>
    <t>Melting_Curves/meltCurve_P0AEL0_fdoI.pdf</t>
  </si>
  <si>
    <t>Melting_Curves/meltCurve_P0AEL6_fepB.pdf</t>
  </si>
  <si>
    <t>Melting_Curves/meltCurve_P0AEM4_flgM.pdf</t>
  </si>
  <si>
    <t>Melting_Curves/meltCurve_P0AEM6_fliA.pdf</t>
  </si>
  <si>
    <t>Melting_Curves/meltCurve_P0AEM9_fliY.pdf</t>
  </si>
  <si>
    <t>Melting_Curves/meltCurve_P0AEN1_fre.pdf</t>
  </si>
  <si>
    <t>Melting_Curves/meltCurve_P0AEN8_fucU.pdf</t>
  </si>
  <si>
    <t>Melting_Curves/meltCurve_P0AEP3_galU.pdf</t>
  </si>
  <si>
    <t>Melting_Curves/meltCurve_P0AEP7_gcl.pdf</t>
  </si>
  <si>
    <t>Melting_Curves/meltCurve_P0AEQ1_glcG.pdf</t>
  </si>
  <si>
    <t>Melting_Curves/meltCurve_P0AEQ3_glnH.pdf</t>
  </si>
  <si>
    <t>Melting_Curves/meltCurve_P0AEQ6_glnP.pdf</t>
  </si>
  <si>
    <t>Melting_Curves/meltCurve_P0AER0_glpF.pdf</t>
  </si>
  <si>
    <t>Melting_Curves/meltCurve_P0AER3_gltJ.pdf</t>
  </si>
  <si>
    <t>Melting_Curves/meltCurve_P0AES0_gss.pdf</t>
  </si>
  <si>
    <t>Melting_Curves/meltCurve_P0AES2_gudD.pdf</t>
  </si>
  <si>
    <t>Melting_Curves/meltCurve_P0AES4_gyrA.pdf</t>
  </si>
  <si>
    <t>Melting_Curves/meltCurve_P0AES6_gyrB.pdf</t>
  </si>
  <si>
    <t>Melting_Curves/meltCurve_P0AES9_hdeA.pdf</t>
  </si>
  <si>
    <t>Melting_Curves/meltCurve_P0AET2_hdeB.pdf</t>
  </si>
  <si>
    <t>Melting_Curves/meltCurve_P0AET5_hdeD.pdf</t>
  </si>
  <si>
    <t>Melting_Curves/meltCurve_P0AET8_hdhA.pdf</t>
  </si>
  <si>
    <t>Melting_Curves/meltCurve_P0AEU0_hisJ.pdf</t>
  </si>
  <si>
    <t>Melting_Curves/meltCurve_P0AEU7_skp.pdf</t>
  </si>
  <si>
    <t>Melting_Curves/meltCurve_P0AEV1_rssB.pdf</t>
  </si>
  <si>
    <t>Melting_Curves/meltCurve_P0AEV9_hycI.pdf</t>
  </si>
  <si>
    <t>Melting_Curves/meltCurve_P0AEW4_cpdA.pdf</t>
  </si>
  <si>
    <t>Melting_Curves/meltCurve_P0AEW6_gsk.pdf</t>
  </si>
  <si>
    <t>Melting_Curves/meltCurve_P0AEW9_fruK.pdf</t>
  </si>
  <si>
    <t>Melting_Curves/meltCurve_P0AEX5_prkB.pdf</t>
  </si>
  <si>
    <t>Melting_Curves/meltCurve_P0AEX9_malE.pdf</t>
  </si>
  <si>
    <t>Melting_Curves/meltCurve_P0AEY1_marC.pdf</t>
  </si>
  <si>
    <t>Melting_Curves/meltCurve_P0AEY3_mazG.pdf</t>
  </si>
  <si>
    <t>Melting_Curves/meltCurve_P0AEY5_mdaB.pdf</t>
  </si>
  <si>
    <t>Melting_Curves/meltCurve_P0AEZ3_minD.pdf</t>
  </si>
  <si>
    <t>Melting_Curves/meltCurve_P0AEZ9_moaB.pdf</t>
  </si>
  <si>
    <t>Melting_Curves/meltCurve_P0AF01_modB.pdf</t>
  </si>
  <si>
    <t>Melting_Curves/meltCurve_P0AF03_mog.pdf</t>
  </si>
  <si>
    <t>Melting_Curves/meltCurve_P0AF06_motB.pdf</t>
  </si>
  <si>
    <t>Melting_Curves/meltCurve_P0AF08_mrp.pdf</t>
  </si>
  <si>
    <t>Melting_Curves/meltCurve_P0AF12_mtnN.pdf</t>
  </si>
  <si>
    <t>Melting_Curves/meltCurve_P0AF18_nagA.pdf</t>
  </si>
  <si>
    <t>Melting_Curves/meltCurve_P0AF20_nagC.pdf</t>
  </si>
  <si>
    <t>Melting_Curves/meltCurve_P0AF24_nagD.pdf</t>
  </si>
  <si>
    <t>Melting_Curves/meltCurve_P0AF26_narJ.pdf</t>
  </si>
  <si>
    <t>Melting_Curves/meltCurve_P0AF28_narL.pdf</t>
  </si>
  <si>
    <t>Melting_Curves/meltCurve_P0AF36_zapB.pdf</t>
  </si>
  <si>
    <t>Melting_Curves/meltCurve_P0AF48_yjbQ.pdf</t>
  </si>
  <si>
    <t>Melting_Curves/meltCurve_P0AF50_yjbR.pdf</t>
  </si>
  <si>
    <t>Melting_Curves/meltCurve_P0AF54_yjcH.pdf</t>
  </si>
  <si>
    <t>Melting_Curves/meltCurve_P0AF56_yjcO.pdf</t>
  </si>
  <si>
    <t>Melting_Curves/meltCurve_P0AF59_yjdI.pdf</t>
  </si>
  <si>
    <t>Melting_Curves/meltCurve_P0AF63_nsrR.pdf</t>
  </si>
  <si>
    <t>Melting_Curves/meltCurve_P0AF67_tsaE.pdf</t>
  </si>
  <si>
    <t>Melting_Curves/meltCurve_P0AF70_yjeI.pdf</t>
  </si>
  <si>
    <t>Melting_Curves/meltCurve_P0AF90_rraB.pdf</t>
  </si>
  <si>
    <t>Melting_Curves/meltCurve_P0AF93_ridA.pdf</t>
  </si>
  <si>
    <t>Melting_Curves/meltCurve_P0AF96_tabA.pdf</t>
  </si>
  <si>
    <t>Melting_Curves/meltCurve_P0AF98_lptF.pdf</t>
  </si>
  <si>
    <t>Melting_Curves/meltCurve_P0AFA2_narX.pdf</t>
  </si>
  <si>
    <t>Melting_Curves/meltCurve_P0AFA7_nhaB.pdf</t>
  </si>
  <si>
    <t>Melting_Curves/meltCurve_P0AFB1_nlpI.pdf</t>
  </si>
  <si>
    <t>Melting_Curves/meltCurve_P0AFB5_glnL.pdf</t>
  </si>
  <si>
    <t>Melting_Curves/meltCurve_P0AFB8_glnG.pdf</t>
  </si>
  <si>
    <t>Melting_Curves/meltCurve_P0AFC0_nudB.pdf</t>
  </si>
  <si>
    <t>Melting_Curves/meltCurve_P0AFC3_nuoA.pdf</t>
  </si>
  <si>
    <t>Melting_Curves/meltCurve_P0AFC7_nuoB.pdf</t>
  </si>
  <si>
    <t>Melting_Curves/meltCurve_P0AFD1_nuoE.pdf</t>
  </si>
  <si>
    <t>Melting_Curves/meltCurve_P0AFD4_nuoH.pdf</t>
  </si>
  <si>
    <t>Melting_Curves/meltCurve_P0AFD6_nuoI.pdf</t>
  </si>
  <si>
    <t>Melting_Curves/meltCurve_P0AFE0_nuoJ.pdf</t>
  </si>
  <si>
    <t>Melting_Curves/meltCurve_P0AFE4_nuoK.pdf</t>
  </si>
  <si>
    <t>Melting_Curves/meltCurve_P0AFE8_nuoM.pdf</t>
  </si>
  <si>
    <t>Melting_Curves/meltCurve_P0AFF0_nuoN.pdf</t>
  </si>
  <si>
    <t>Melting_Curves/meltCurve_P0AFF2_nupC.pdf</t>
  </si>
  <si>
    <t>Melting_Curves/meltCurve_P0AFF6_nusA.pdf</t>
  </si>
  <si>
    <t>Melting_Curves/meltCurve_P0AFG0_nusG.pdf</t>
  </si>
  <si>
    <t>Melting_Curves/meltCurve_P0AFG3_sucA.pdf</t>
  </si>
  <si>
    <t>Melting_Curves/meltCurve_P0AFG6_sucB.pdf</t>
  </si>
  <si>
    <t>Melting_Curves/meltCurve_P0AFG8_aceE.pdf</t>
  </si>
  <si>
    <t>Melting_Curves/meltCurve_P0AFH2_oppB.pdf</t>
  </si>
  <si>
    <t>Melting_Curves/meltCurve_P0AFH6_oppC.pdf</t>
  </si>
  <si>
    <t>Melting_Curves/meltCurve_P0AFH8_osmY.pdf</t>
  </si>
  <si>
    <t>Melting_Curves/meltCurve_P0AFI2_parC.pdf</t>
  </si>
  <si>
    <t>Melting_Curves/meltCurve_P0AFI7_pdxH.pdf</t>
  </si>
  <si>
    <t>Melting_Curves/meltCurve_P0AFI9_perM.pdf</t>
  </si>
  <si>
    <t>Melting_Curves/meltCurve_P0AFJ1_phnA.pdf</t>
  </si>
  <si>
    <t>Melting_Curves/meltCurve_P0AFJ5_phoB.pdf</t>
  </si>
  <si>
    <t>Melting_Curves/meltCurve_P0AFJ7_pitA.pdf</t>
  </si>
  <si>
    <t>Melting_Curves/meltCurve_P0AFK0_pmbA.pdf</t>
  </si>
  <si>
    <t>Melting_Curves/meltCurve_P0AFK2_pnuC.pdf</t>
  </si>
  <si>
    <t>Melting_Curves/meltCurve_P0AFK4_potB.pdf</t>
  </si>
  <si>
    <t>Melting_Curves/meltCurve_P0AFK6_potC.pdf</t>
  </si>
  <si>
    <t>Melting_Curves/meltCurve_P0AFK9_potD.pdf</t>
  </si>
  <si>
    <t>Melting_Curves/meltCurve_P0AFL3_ppiA.pdf</t>
  </si>
  <si>
    <t>Melting_Curves/meltCurve_P0AFL6_ppx.pdf</t>
  </si>
  <si>
    <t>Melting_Curves/meltCurve_P0AFM2_proX.pdf</t>
  </si>
  <si>
    <t>Melting_Curves/meltCurve_P0AFM4_psiF.pdf</t>
  </si>
  <si>
    <t>Melting_Curves/meltCurve_P0AFM6_pspA.pdf</t>
  </si>
  <si>
    <t>Melting_Curves/meltCurve_P0AFM9_pspB.pdf</t>
  </si>
  <si>
    <t>Melting_Curves/meltCurve_P0AFN2_pspC.pdf</t>
  </si>
  <si>
    <t>Melting_Curves/meltCurve_P0AFP6_ybgI.pdf</t>
  </si>
  <si>
    <t>Melting_Curves/meltCurve_P0AFQ7_ycfH.pdf</t>
  </si>
  <si>
    <t>Melting_Curves/meltCurve_P0AFR0_rssA.pdf</t>
  </si>
  <si>
    <t>Melting_Curves/meltCurve_P0AFR2_dauA.pdf</t>
  </si>
  <si>
    <t>Melting_Curves/meltCurve_P0AFR4_yciO.pdf</t>
  </si>
  <si>
    <t>Melting_Curves/meltCurve_P0AFS3_folM.pdf</t>
  </si>
  <si>
    <t>Melting_Curves/meltCurve_P0AFS7_ydiK.pdf</t>
  </si>
  <si>
    <t>Melting_Curves/meltCurve_P0AFT2_yecS.pdf</t>
  </si>
  <si>
    <t>Melting_Curves/meltCurve_P0AFT5_yehT.pdf</t>
  </si>
  <si>
    <t>Melting_Curves/meltCurve_P0AFU0_yejB.pdf</t>
  </si>
  <si>
    <t>Melting_Curves/meltCurve_P0AFU4_glrR.pdf</t>
  </si>
  <si>
    <t>Melting_Curves/meltCurve_P0AFU8_ribC.pdf</t>
  </si>
  <si>
    <t>Melting_Curves/meltCurve_P0AFW0_rfaH.pdf</t>
  </si>
  <si>
    <t>Melting_Curves/meltCurve_P0AFW2_rmf.pdf</t>
  </si>
  <si>
    <t>Melting_Curves/meltCurve_P0AFW4_rnk.pdf</t>
  </si>
  <si>
    <t>Melting_Curves/meltCurve_P0AFW8_rof.pdf</t>
  </si>
  <si>
    <t>Melting_Curves/meltCurve_P0AFX0_hpf.pdf</t>
  </si>
  <si>
    <t>Melting_Curves/meltCurve_P0AFX4_rsd.pdf</t>
  </si>
  <si>
    <t>Melting_Curves/meltCurve_P0AFX9_rseB.pdf</t>
  </si>
  <si>
    <t>Melting_Curves/meltCurve_P0AFY2_sanA.pdf</t>
  </si>
  <si>
    <t>Melting_Curves/meltCurve_P0AFY8_seqA.pdf</t>
  </si>
  <si>
    <t>Melting_Curves/meltCurve_P0AFZ1_sseB.pdf</t>
  </si>
  <si>
    <t>Melting_Curves/meltCurve_P0AFZ3_sspB.pdf</t>
  </si>
  <si>
    <t>Melting_Curves/meltCurve_P0AG00_wzzE.pdf</t>
  </si>
  <si>
    <t>Melting_Curves/meltCurve_P0AG03_ubiX.pdf</t>
  </si>
  <si>
    <t>Melting_Curves/meltCurve_P0AG07_rpe.pdf</t>
  </si>
  <si>
    <t>Melting_Curves/meltCurve_P0AG14_sohB.pdf</t>
  </si>
  <si>
    <t>Melting_Curves/meltCurve_P0AG16_purF.pdf</t>
  </si>
  <si>
    <t>Melting_Curves/meltCurve_P0AG18_purE.pdf</t>
  </si>
  <si>
    <t>Melting_Curves/meltCurve_P0AG20_relA.pdf</t>
  </si>
  <si>
    <t>Melting_Curves/meltCurve_P0AG27_yibN.pdf</t>
  </si>
  <si>
    <t>Melting_Curves/meltCurve_P0AG30_rho.pdf</t>
  </si>
  <si>
    <t>Melting_Curves/meltCurve_P0AG40_ribF.pdf</t>
  </si>
  <si>
    <t>Melting_Curves/meltCurve_P0AG44_rplQ.pdf</t>
  </si>
  <si>
    <t>Melting_Curves/meltCurve_P0AG48_rplU.pdf</t>
  </si>
  <si>
    <t>Melting_Curves/meltCurve_P0AG51_rpmD.pdf</t>
  </si>
  <si>
    <t>Melting_Curves/meltCurve_P0AG55_rplF.pdf</t>
  </si>
  <si>
    <t>Melting_Curves/meltCurve_P0AG59_rpsN.pdf</t>
  </si>
  <si>
    <t>Melting_Curves/meltCurve_P0AG63_rpsQ.pdf</t>
  </si>
  <si>
    <t>Melting_Curves/meltCurve_P0AG67_rpsA.pdf</t>
  </si>
  <si>
    <t>Melting_Curves/meltCurve_P0AG71_rmuC.pdf</t>
  </si>
  <si>
    <t>Melting_Curves/meltCurve_P0AG78_sbp.pdf</t>
  </si>
  <si>
    <t>Melting_Curves/meltCurve_P0AG80_ugpB.pdf</t>
  </si>
  <si>
    <t>Melting_Curves/meltCurve_P0AG82_pstS.pdf</t>
  </si>
  <si>
    <t>Melting_Curves/meltCurve_P0AG84_yghA.pdf</t>
  </si>
  <si>
    <t>Melting_Curves/meltCurve_P0AG86_secB.pdf</t>
  </si>
  <si>
    <t>Melting_Curves/meltCurve_P0AG90_secD.pdf</t>
  </si>
  <si>
    <t>Melting_Curves/meltCurve_P0AG93_secF.pdf</t>
  </si>
  <si>
    <t>Melting_Curves/meltCurve_P0AG96_secE.pdf</t>
  </si>
  <si>
    <t>Melting_Curves/meltCurve_P0AG99_secG.pdf</t>
  </si>
  <si>
    <t>Melting_Curves/meltCurve_P0AGA2_secY.pdf</t>
  </si>
  <si>
    <t>Melting_Curves/meltCurve_P0AGA6_uhpA.pdf</t>
  </si>
  <si>
    <t>Melting_Curves/meltCurve_P0AGB0_serB.pdf</t>
  </si>
  <si>
    <t>Melting_Curves/meltCurve_P0AGB6_rpoE.pdf</t>
  </si>
  <si>
    <t>Melting_Curves/meltCurve_P0AGC3_slt.pdf</t>
  </si>
  <si>
    <t>Melting_Curves/meltCurve_P0AGD1_sodC.pdf</t>
  </si>
  <si>
    <t>Melting_Curves/meltCurve_P0AGD3_sodB.pdf</t>
  </si>
  <si>
    <t>Melting_Curves/meltCurve_P0AGD7_ffh.pdf</t>
  </si>
  <si>
    <t>Melting_Curves/meltCurve_P0AGE0_ssb.pdf</t>
  </si>
  <si>
    <t>Melting_Curves/meltCurve_P0AGE6_chrR.pdf</t>
  </si>
  <si>
    <t>Melting_Curves/meltCurve_P0AGE9_sucD.pdf</t>
  </si>
  <si>
    <t>Melting_Curves/meltCurve_P0AGF2_csdE.pdf</t>
  </si>
  <si>
    <t>Melting_Curves/meltCurve_P0AGG2_tesB.pdf</t>
  </si>
  <si>
    <t>Melting_Curves/meltCurve_P0AGG4_trxC.pdf</t>
  </si>
  <si>
    <t>Melting_Curves/meltCurve_P0AGG8_tldD.pdf</t>
  </si>
  <si>
    <t>Melting_Curves/meltCurve_P0AGI1_rbsC.pdf</t>
  </si>
  <si>
    <t>Melting_Curves/meltCurve_P0AGI8_trkA.pdf</t>
  </si>
  <si>
    <t>Melting_Curves/meltCurve_P0AGJ2_trmH.pdf</t>
  </si>
  <si>
    <t>Melting_Curves/meltCurve_P0AGJ5_yfiF.pdf</t>
  </si>
  <si>
    <t>Melting_Curves/meltCurve_P0AGJ7_trmL.pdf</t>
  </si>
  <si>
    <t>Melting_Curves/meltCurve_P0AGJ9_tyrS.pdf</t>
  </si>
  <si>
    <t>Melting_Curves/meltCurve_P0AGK4_yhbY.pdf</t>
  </si>
  <si>
    <t>Melting_Curves/meltCurve_P0AGK8_iscR.pdf</t>
  </si>
  <si>
    <t>Melting_Curves/meltCurve_P0AGL2_tdcF.pdf</t>
  </si>
  <si>
    <t>Melting_Curves/meltCurve_P0AGL5_ratA.pdf</t>
  </si>
  <si>
    <t>Melting_Curves/meltCurve_P0AGL7_rsmE.pdf</t>
  </si>
  <si>
    <t>Melting_Curves/meltCurve_P0C018_rplR.pdf</t>
  </si>
  <si>
    <t>Melting_Curves/meltCurve_P0C037_yaiE.pdf</t>
  </si>
  <si>
    <t>Melting_Curves/meltCurve_P0C054_ibpA.pdf</t>
  </si>
  <si>
    <t>Melting_Curves/meltCurve_P0C077_relE.pdf</t>
  </si>
  <si>
    <t>Melting_Curves/meltCurve_P0C079_relB.pdf</t>
  </si>
  <si>
    <t>Melting_Curves/meltCurve_P0C093_slmA.pdf</t>
  </si>
  <si>
    <t>Melting_Curves/meltCurve_P0C0K3_srkA.pdf</t>
  </si>
  <si>
    <t>Melting_Curves/meltCurve_P0C0L2_osmC.pdf</t>
  </si>
  <si>
    <t>Melting_Curves/meltCurve_P0C0L7_proP.pdf</t>
  </si>
  <si>
    <t>Melting_Curves/meltCurve_P0C0S1_mscS.pdf</t>
  </si>
  <si>
    <t>Melting_Curves/meltCurve_P0C0T5_mepA.pdf</t>
  </si>
  <si>
    <t>Melting_Curves/meltCurve_P0C0U4_rimK.pdf</t>
  </si>
  <si>
    <t>Melting_Curves/meltCurve_P0C0V0_degP.pdf</t>
  </si>
  <si>
    <t>Melting_Curves/meltCurve_P0C8J6_gatY.pdf</t>
  </si>
  <si>
    <t>Melting_Curves/meltCurve_P0C8J8_gatZ.pdf</t>
  </si>
  <si>
    <t>Melting_Curves/meltCurve_P0CB39_eptC.pdf</t>
  </si>
  <si>
    <t>Melting_Curves/meltCurve_P0CE47_tufA.pdf</t>
  </si>
  <si>
    <t>Melting_Curves/meltCurve_P0CE48_tufB.pdf</t>
  </si>
  <si>
    <t>Melting_Curves/meltCurve_P0CK95_yghJ.pdf</t>
  </si>
  <si>
    <t>Melting_Curves/meltCurve_P0DM85_crfC.pdf</t>
  </si>
  <si>
    <t>Melting_Curves/meltCurve_P0DMC5_rcsC.pdf</t>
  </si>
  <si>
    <t>Melting_Curves/meltCurve_P0DMC7_rcsB.pdf</t>
  </si>
  <si>
    <t>Melting_Curves/meltCurve_P10100_rlpA.pdf</t>
  </si>
  <si>
    <t>Melting_Curves/meltCurve_P10121_ftsY.pdf</t>
  </si>
  <si>
    <t>Melting_Curves/meltCurve_P10346_glnQ.pdf</t>
  </si>
  <si>
    <t>Melting_Curves/meltCurve_P10371_hisA.pdf</t>
  </si>
  <si>
    <t>Melting_Curves/meltCurve_P10378_entE.pdf</t>
  </si>
  <si>
    <t>Melting_Curves/meltCurve_P10384_fadL.pdf</t>
  </si>
  <si>
    <t>Melting_Curves/meltCurve_P10408_secA.pdf</t>
  </si>
  <si>
    <t>Melting_Curves/meltCurve_P10441_lpxB.pdf</t>
  </si>
  <si>
    <t>Melting_Curves/meltCurve_P10443_dnaE.pdf</t>
  </si>
  <si>
    <t>Melting_Curves/meltCurve_P10902_nadB.pdf</t>
  </si>
  <si>
    <t>Melting_Curves/meltCurve_P10907_ugpC.pdf</t>
  </si>
  <si>
    <t>Melting_Curves/meltCurve_P10908_ugpQ.pdf</t>
  </si>
  <si>
    <t>Melting_Curves/meltCurve_P11071_aceK.pdf</t>
  </si>
  <si>
    <t>Melting_Curves/meltCurve_P11289_yfiL.pdf</t>
  </si>
  <si>
    <t>Melting_Curves/meltCurve_P11349_narH.pdf</t>
  </si>
  <si>
    <t>Melting_Curves/meltCurve_P11447_argH.pdf</t>
  </si>
  <si>
    <t>Melting_Curves/meltCurve_P11454_entF.pdf</t>
  </si>
  <si>
    <t>Melting_Curves/meltCurve_P11557_damX.pdf</t>
  </si>
  <si>
    <t>Melting_Curves/meltCurve_P11875_argS.pdf</t>
  </si>
  <si>
    <t>Melting_Curves/meltCurve_P11880_murF.pdf</t>
  </si>
  <si>
    <t>Melting_Curves/meltCurve_P12008_aroC.pdf</t>
  </si>
  <si>
    <t>Melting_Curves/meltCurve_P12281_moeA.pdf</t>
  </si>
  <si>
    <t>Melting_Curves/meltCurve_P12282_moeB.pdf</t>
  </si>
  <si>
    <t>Melting_Curves/meltCurve_P12295_ung.pdf</t>
  </si>
  <si>
    <t>Melting_Curves/meltCurve_P12758_udp.pdf</t>
  </si>
  <si>
    <t>Melting_Curves/meltCurve_P12994_ybhB.pdf</t>
  </si>
  <si>
    <t>Melting_Curves/meltCurve_P13001_bioH.pdf</t>
  </si>
  <si>
    <t>Melting_Curves/meltCurve_P13009_metH.pdf</t>
  </si>
  <si>
    <t>Melting_Curves/meltCurve_P13016_ampD.pdf</t>
  </si>
  <si>
    <t>Melting_Curves/meltCurve_P13024_fdhE.pdf</t>
  </si>
  <si>
    <t>Melting_Curves/meltCurve_P13029_katG.pdf</t>
  </si>
  <si>
    <t>Melting_Curves/meltCurve_P13035_glpD.pdf</t>
  </si>
  <si>
    <t>Melting_Curves/meltCurve_P13036_fecA.pdf</t>
  </si>
  <si>
    <t>Melting_Curves/meltCurve_P13445_rpoS.pdf</t>
  </si>
  <si>
    <t>Melting_Curves/meltCurve_P13458_sbcC.pdf</t>
  </si>
  <si>
    <t>Melting_Curves/meltCurve_P13482_treA.pdf</t>
  </si>
  <si>
    <t>Melting_Curves/meltCurve_P13518_csrD.pdf</t>
  </si>
  <si>
    <t>Melting_Curves/meltCurve_P13656_chiA.pdf</t>
  </si>
  <si>
    <t>Melting_Curves/meltCurve_P13738_nhaA.pdf</t>
  </si>
  <si>
    <t>Melting_Curves/meltCurve_P13857_rimL.pdf</t>
  </si>
  <si>
    <t>Melting_Curves/meltCurve_P14081_selB.pdf</t>
  </si>
  <si>
    <t>Melting_Curves/meltCurve_P14294_topB.pdf</t>
  </si>
  <si>
    <t>Melting_Curves/meltCurve_P14375_zraR.pdf</t>
  </si>
  <si>
    <t>Melting_Curves/meltCurve_P14407_fumB.pdf</t>
  </si>
  <si>
    <t>Melting_Curves/meltCurve_P14900_murD.pdf</t>
  </si>
  <si>
    <t>Melting_Curves/meltCurve_P15028_fecB.pdf</t>
  </si>
  <si>
    <t>Melting_Curves/meltCurve_P15032_recE.pdf</t>
  </si>
  <si>
    <t>Melting_Curves/meltCurve_P15034_pepP.pdf</t>
  </si>
  <si>
    <t>Melting_Curves/meltCurve_P15038_helD.pdf</t>
  </si>
  <si>
    <t>Melting_Curves/meltCurve_P15042_ligA.pdf</t>
  </si>
  <si>
    <t>Melting_Curves/meltCurve_P15047_entA.pdf</t>
  </si>
  <si>
    <t>Melting_Curves/meltCurve_P15067_glgX.pdf</t>
  </si>
  <si>
    <t>Melting_Curves/meltCurve_P15070_fliN.pdf</t>
  </si>
  <si>
    <t>Melting_Curves/meltCurve_P15078_cstA.pdf</t>
  </si>
  <si>
    <t>Melting_Curves/meltCurve_P15082_srlR.pdf</t>
  </si>
  <si>
    <t>Melting_Curves/meltCurve_P15254_purL.pdf</t>
  </si>
  <si>
    <t>Melting_Curves/meltCurve_P15286_flk.pdf</t>
  </si>
  <si>
    <t>Melting_Curves/meltCurve_P15288_pepD.pdf</t>
  </si>
  <si>
    <t>Melting_Curves/meltCurve_P15373_prlF.pdf</t>
  </si>
  <si>
    <t>Melting_Curves/meltCurve_P15639_purH.pdf</t>
  </si>
  <si>
    <t>Melting_Curves/meltCurve_P15640_purD.pdf</t>
  </si>
  <si>
    <t>Melting_Curves/meltCurve_P15723_dgt.pdf</t>
  </si>
  <si>
    <t>Melting_Curves/meltCurve_P15770_aroE.pdf</t>
  </si>
  <si>
    <t>Melting_Curves/meltCurve_P15877_gcd.pdf</t>
  </si>
  <si>
    <t>Melting_Curves/meltCurve_P15977_malQ.pdf</t>
  </si>
  <si>
    <t>Melting_Curves/meltCurve_P16095_sdaA.pdf</t>
  </si>
  <si>
    <t>Melting_Curves/meltCurve_P16256_panF.pdf</t>
  </si>
  <si>
    <t>Melting_Curves/meltCurve_P16384_miaA.pdf</t>
  </si>
  <si>
    <t>Melting_Curves/meltCurve_P16456_selD.pdf</t>
  </si>
  <si>
    <t>Melting_Curves/meltCurve_P16525_tus.pdf</t>
  </si>
  <si>
    <t>Melting_Curves/meltCurve_P16528_iclR.pdf</t>
  </si>
  <si>
    <t>Melting_Curves/meltCurve_P16659_proS.pdf</t>
  </si>
  <si>
    <t>Melting_Curves/meltCurve_P16676_cysA.pdf</t>
  </si>
  <si>
    <t>Melting_Curves/meltCurve_P16677_phnC.pdf</t>
  </si>
  <si>
    <t>Melting_Curves/meltCurve_P16681_phnB.pdf</t>
  </si>
  <si>
    <t>Melting_Curves/meltCurve_P16692_phnP.pdf</t>
  </si>
  <si>
    <t>Melting_Curves/meltCurve_P16700_cysP.pdf</t>
  </si>
  <si>
    <t>Melting_Curves/meltCurve_P16703_cysM.pdf</t>
  </si>
  <si>
    <t>Melting_Curves/meltCurve_P16926_mreC.pdf</t>
  </si>
  <si>
    <t>Melting_Curves/meltCurve_P17109_menD.pdf</t>
  </si>
  <si>
    <t>Melting_Curves/meltCurve_P17115_gutQ.pdf</t>
  </si>
  <si>
    <t>Melting_Curves/meltCurve_P17117_nfsA.pdf</t>
  </si>
  <si>
    <t>Melting_Curves/meltCurve_P17169_glmS.pdf</t>
  </si>
  <si>
    <t>Melting_Curves/meltCurve_P17315_cirA.pdf</t>
  </si>
  <si>
    <t>Melting_Curves/meltCurve_P17443_murG.pdf</t>
  </si>
  <si>
    <t>Melting_Curves/meltCurve_P17445_betB.pdf</t>
  </si>
  <si>
    <t>Melting_Curves/meltCurve_P17846_cysI.pdf</t>
  </si>
  <si>
    <t>Melting_Curves/meltCurve_P17854_cysH.pdf</t>
  </si>
  <si>
    <t>Melting_Curves/meltCurve_P17952_murC.pdf</t>
  </si>
  <si>
    <t>Melting_Curves/meltCurve_P17993_ubiG.pdf</t>
  </si>
  <si>
    <t>Melting_Curves/meltCurve_P18196_minC.pdf</t>
  </si>
  <si>
    <t>Melting_Curves/meltCurve_P18335_argD.pdf</t>
  </si>
  <si>
    <t>Melting_Curves/meltCurve_P18392_rstB.pdf</t>
  </si>
  <si>
    <t>Melting_Curves/meltCurve_P18775_dmsA.pdf</t>
  </si>
  <si>
    <t>Melting_Curves/meltCurve_P18776_dmsB.pdf</t>
  </si>
  <si>
    <t>Melting_Curves/meltCurve_P18843_nadE.pdf</t>
  </si>
  <si>
    <t>Melting_Curves/meltCurve_P18956_ggt.pdf</t>
  </si>
  <si>
    <t>Melting_Curves/meltCurve_P19318_narY.pdf</t>
  </si>
  <si>
    <t>Melting_Curves/meltCurve_P19319_narZ.pdf</t>
  </si>
  <si>
    <t>Melting_Curves/meltCurve_P19624_pdxA.pdf</t>
  </si>
  <si>
    <t>Melting_Curves/meltCurve_P19636_eutC.pdf</t>
  </si>
  <si>
    <t>Melting_Curves/meltCurve_P19926_agp.pdf</t>
  </si>
  <si>
    <t>Melting_Curves/meltCurve_P19934_tolA.pdf</t>
  </si>
  <si>
    <t>Melting_Curves/meltCurve_P20083_parE.pdf</t>
  </si>
  <si>
    <t>Melting_Curves/meltCurve_P20099_bisC.pdf</t>
  </si>
  <si>
    <t>Melting_Curves/meltCurve_P20605_fic.pdf</t>
  </si>
  <si>
    <t>Melting_Curves/meltCurve_P20966_fruA.pdf</t>
  </si>
  <si>
    <t>Melting_Curves/meltCurve_P21151_fadA.pdf</t>
  </si>
  <si>
    <t>Melting_Curves/meltCurve_P21156_cysD.pdf</t>
  </si>
  <si>
    <t>Melting_Curves/meltCurve_P21165_pepQ.pdf</t>
  </si>
  <si>
    <t>Melting_Curves/meltCurve_P21169_speC.pdf</t>
  </si>
  <si>
    <t>Melting_Curves/meltCurve_P21170_speA.pdf</t>
  </si>
  <si>
    <t>Melting_Curves/meltCurve_P21177_fadB.pdf</t>
  </si>
  <si>
    <t>Melting_Curves/meltCurve_P21179_katE.pdf</t>
  </si>
  <si>
    <t>Melting_Curves/meltCurve_P21189_polB.pdf</t>
  </si>
  <si>
    <t>Melting_Curves/meltCurve_P21338_rna.pdf</t>
  </si>
  <si>
    <t>Melting_Curves/meltCurve_P21362_yciF.pdf</t>
  </si>
  <si>
    <t>Melting_Curves/meltCurve_P21363_yciE.pdf</t>
  </si>
  <si>
    <t>Melting_Curves/meltCurve_P21365_yciC.pdf</t>
  </si>
  <si>
    <t>Melting_Curves/meltCurve_P21367_ycaC.pdf</t>
  </si>
  <si>
    <t>Melting_Curves/meltCurve_P21369_pncA.pdf</t>
  </si>
  <si>
    <t>Melting_Curves/meltCurve_P21499_rnr.pdf</t>
  </si>
  <si>
    <t>Melting_Curves/meltCurve_P21507_srmB.pdf</t>
  </si>
  <si>
    <t>Melting_Curves/meltCurve_P21513_rne.pdf</t>
  </si>
  <si>
    <t>Melting_Curves/meltCurve_P21599_pykA.pdf</t>
  </si>
  <si>
    <t>Melting_Curves/meltCurve_P21645_lpxD.pdf</t>
  </si>
  <si>
    <t>Melting_Curves/meltCurve_P21865_kdpD.pdf</t>
  </si>
  <si>
    <t>Melting_Curves/meltCurve_P21866_kdpE.pdf</t>
  </si>
  <si>
    <t>Melting_Curves/meltCurve_P21888_cysS.pdf</t>
  </si>
  <si>
    <t>Melting_Curves/meltCurve_P21889_aspS.pdf</t>
  </si>
  <si>
    <t>Melting_Curves/meltCurve_P22106_asnB.pdf</t>
  </si>
  <si>
    <t>Melting_Curves/meltCurve_P22186_mraZ.pdf</t>
  </si>
  <si>
    <t>Melting_Curves/meltCurve_P22188_murE.pdf</t>
  </si>
  <si>
    <t>Melting_Curves/meltCurve_P22255_cysQ.pdf</t>
  </si>
  <si>
    <t>Melting_Curves/meltCurve_P22256_gabT.pdf</t>
  </si>
  <si>
    <t>Melting_Curves/meltCurve_P22259_pckA.pdf</t>
  </si>
  <si>
    <t>Melting_Curves/meltCurve_P22333_add.pdf</t>
  </si>
  <si>
    <t>Melting_Curves/meltCurve_P22523_mukB.pdf</t>
  </si>
  <si>
    <t>Melting_Curves/meltCurve_P22524_mukE.pdf</t>
  </si>
  <si>
    <t>Melting_Curves/meltCurve_P22525_ycbB.pdf</t>
  </si>
  <si>
    <t>Melting_Curves/meltCurve_P22564_rihC.pdf</t>
  </si>
  <si>
    <t>Melting_Curves/meltCurve_P22634_murI.pdf</t>
  </si>
  <si>
    <t>Melting_Curves/meltCurve_P22939_ispA.pdf</t>
  </si>
  <si>
    <t>Melting_Curves/meltCurve_P23003_trmA.pdf</t>
  </si>
  <si>
    <t>Melting_Curves/meltCurve_P23173_tnaB.pdf</t>
  </si>
  <si>
    <t>Melting_Curves/meltCurve_P23200_mglC.pdf</t>
  </si>
  <si>
    <t>Melting_Curves/meltCurve_P23256_malY.pdf</t>
  </si>
  <si>
    <t>Melting_Curves/meltCurve_P23331_tdk.pdf</t>
  </si>
  <si>
    <t>Melting_Curves/meltCurve_P23367_mutL.pdf</t>
  </si>
  <si>
    <t>Melting_Curves/meltCurve_P23522_garL.pdf</t>
  </si>
  <si>
    <t>Melting_Curves/meltCurve_P23524_garK.pdf</t>
  </si>
  <si>
    <t>Melting_Curves/meltCurve_P23538_ppsA.pdf</t>
  </si>
  <si>
    <t>Melting_Curves/meltCurve_P23721_serC.pdf</t>
  </si>
  <si>
    <t>Melting_Curves/meltCurve_P23827_eco.pdf</t>
  </si>
  <si>
    <t>Melting_Curves/meltCurve_P23830_pssA.pdf</t>
  </si>
  <si>
    <t>Melting_Curves/meltCurve_P23836_phoP.pdf</t>
  </si>
  <si>
    <t>Melting_Curves/meltCurve_P23837_phoQ.pdf</t>
  </si>
  <si>
    <t>Melting_Curves/meltCurve_P23839_yicC.pdf</t>
  </si>
  <si>
    <t>Melting_Curves/meltCurve_P23843_oppA.pdf</t>
  </si>
  <si>
    <t>Melting_Curves/meltCurve_P23845_cysN.pdf</t>
  </si>
  <si>
    <t>Melting_Curves/meltCurve_P23847_dppA.pdf</t>
  </si>
  <si>
    <t>Melting_Curves/meltCurve_P23849_trkG.pdf</t>
  </si>
  <si>
    <t>Melting_Curves/meltCurve_P23857_pspE.pdf</t>
  </si>
  <si>
    <t>Melting_Curves/meltCurve_P23862_priC.pdf</t>
  </si>
  <si>
    <t>Melting_Curves/meltCurve_P23865_prc.pdf</t>
  </si>
  <si>
    <t>Melting_Curves/meltCurve_P23869_ppiB.pdf</t>
  </si>
  <si>
    <t>Melting_Curves/meltCurve_P23871_hemH.pdf</t>
  </si>
  <si>
    <t>Melting_Curves/meltCurve_P23882_fmt.pdf</t>
  </si>
  <si>
    <t>Melting_Curves/meltCurve_P23886_cydC.pdf</t>
  </si>
  <si>
    <t>Melting_Curves/meltCurve_P23893_hemL.pdf</t>
  </si>
  <si>
    <t>Melting_Curves/meltCurve_P23894_htpX.pdf</t>
  </si>
  <si>
    <t>Melting_Curves/meltCurve_P23908_argE.pdf</t>
  </si>
  <si>
    <t>Melting_Curves/meltCurve_P23909_mutS.pdf</t>
  </si>
  <si>
    <t>Melting_Curves/meltCurve_P23917_mak.pdf</t>
  </si>
  <si>
    <t>Melting_Curves/meltCurve_P23930_lnt.pdf</t>
  </si>
  <si>
    <t>Melting_Curves/meltCurve_P24171_dcp.pdf</t>
  </si>
  <si>
    <t>Melting_Curves/meltCurve_P24173_rfaC.pdf</t>
  </si>
  <si>
    <t>Melting_Curves/meltCurve_P24178_yffB.pdf</t>
  </si>
  <si>
    <t>Melting_Curves/meltCurve_P24182_accC.pdf</t>
  </si>
  <si>
    <t>Melting_Curves/meltCurve_P24183_fdnG.pdf</t>
  </si>
  <si>
    <t>Melting_Curves/meltCurve_P24186_folD.pdf</t>
  </si>
  <si>
    <t>Melting_Curves/meltCurve_P24193_hypE.pdf</t>
  </si>
  <si>
    <t>Melting_Curves/meltCurve_P24202_mrr.pdf</t>
  </si>
  <si>
    <t>Melting_Curves/meltCurve_P24203_yjiA.pdf</t>
  </si>
  <si>
    <t>Melting_Curves/meltCurve_P24205_lpxM.pdf</t>
  </si>
  <si>
    <t>Melting_Curves/meltCurve_P24215_uxuA.pdf</t>
  </si>
  <si>
    <t>Melting_Curves/meltCurve_P24216_fliD.pdf</t>
  </si>
  <si>
    <t>Melting_Curves/meltCurve_P24224_acpS.pdf</t>
  </si>
  <si>
    <t>Melting_Curves/meltCurve_P24228_dacB.pdf</t>
  </si>
  <si>
    <t>Melting_Curves/meltCurve_P24232_hmp.pdf</t>
  </si>
  <si>
    <t>Melting_Curves/meltCurve_P24242_ascG.pdf</t>
  </si>
  <si>
    <t>Melting_Curves/meltCurve_P24251_crl.pdf</t>
  </si>
  <si>
    <t>Melting_Curves/meltCurve_P24252_ybgA.pdf</t>
  </si>
  <si>
    <t>Melting_Curves/meltCurve_P24255_rpoN.pdf</t>
  </si>
  <si>
    <t>Melting_Curves/meltCurve_P24554_radA.pdf</t>
  </si>
  <si>
    <t>Melting_Curves/meltCurve_P24555_ptrB.pdf</t>
  </si>
  <si>
    <t>Melting_Curves/meltCurve_P25397_tehB.pdf</t>
  </si>
  <si>
    <t>Melting_Curves/meltCurve_P25437_frmA.pdf</t>
  </si>
  <si>
    <t>Melting_Curves/meltCurve_P25516_acnA.pdf</t>
  </si>
  <si>
    <t>Melting_Curves/meltCurve_P25519_hflX.pdf</t>
  </si>
  <si>
    <t>Melting_Curves/meltCurve_P25522_mnmE.pdf</t>
  </si>
  <si>
    <t>Melting_Curves/meltCurve_P25524_codA.pdf</t>
  </si>
  <si>
    <t>Melting_Curves/meltCurve_P25526_gabD.pdf</t>
  </si>
  <si>
    <t>Melting_Curves/meltCurve_P25535_ubiI.pdf</t>
  </si>
  <si>
    <t>Melting_Curves/meltCurve_P25536_yhdE.pdf</t>
  </si>
  <si>
    <t>Melting_Curves/meltCurve_P25539_ribD.pdf</t>
  </si>
  <si>
    <t>Melting_Curves/meltCurve_P25552_gppA.pdf</t>
  </si>
  <si>
    <t>Melting_Curves/meltCurve_P25553_aldA.pdf</t>
  </si>
  <si>
    <t>Melting_Curves/meltCurve_P25665_metE.pdf</t>
  </si>
  <si>
    <t>Melting_Curves/meltCurve_P25714_yidC.pdf</t>
  </si>
  <si>
    <t>Melting_Curves/meltCurve_P25718_malS.pdf</t>
  </si>
  <si>
    <t>Melting_Curves/meltCurve_P25740_rfaG.pdf</t>
  </si>
  <si>
    <t>Melting_Curves/meltCurve_P25741_rfaP.pdf</t>
  </si>
  <si>
    <t>Melting_Curves/meltCurve_P25742_rfaQ.pdf</t>
  </si>
  <si>
    <t>Melting_Curves/meltCurve_P25745_mnmA.pdf</t>
  </si>
  <si>
    <t>Melting_Curves/meltCurve_P25746_hflD.pdf</t>
  </si>
  <si>
    <t>Melting_Curves/meltCurve_P25748_galS.pdf</t>
  </si>
  <si>
    <t>Melting_Curves/meltCurve_P25798_fliF.pdf</t>
  </si>
  <si>
    <t>Melting_Curves/meltCurve_P25889_preA.pdf</t>
  </si>
  <si>
    <t>Melting_Curves/meltCurve_P25894_loiP.pdf</t>
  </si>
  <si>
    <t>Melting_Curves/meltCurve_P25906_ydbC.pdf</t>
  </si>
  <si>
    <t>Melting_Curves/meltCurve_P26281_folK.pdf</t>
  </si>
  <si>
    <t>Melting_Curves/meltCurve_P26612_amyA.pdf</t>
  </si>
  <si>
    <t>Melting_Curves/meltCurve_P26616_maeA.pdf</t>
  </si>
  <si>
    <t>Melting_Curves/meltCurve_P26646_acuI.pdf</t>
  </si>
  <si>
    <t>Melting_Curves/meltCurve_P26648_ftsP.pdf</t>
  </si>
  <si>
    <t>Melting_Curves/meltCurve_P26649_glgS.pdf</t>
  </si>
  <si>
    <t>Melting_Curves/meltCurve_P27111_cynR.pdf</t>
  </si>
  <si>
    <t>Melting_Curves/meltCurve_P27128_rfaI.pdf</t>
  </si>
  <si>
    <t>Melting_Curves/meltCurve_P27238_yfeD.pdf</t>
  </si>
  <si>
    <t>Melting_Curves/meltCurve_P27240_rfaY.pdf</t>
  </si>
  <si>
    <t>Melting_Curves/meltCurve_P27247_plsX.pdf</t>
  </si>
  <si>
    <t>Melting_Curves/meltCurve_P27248_gcvT.pdf</t>
  </si>
  <si>
    <t>Melting_Curves/meltCurve_P27249_glnD.pdf</t>
  </si>
  <si>
    <t>Melting_Curves/meltCurve_P27250_ahr.pdf</t>
  </si>
  <si>
    <t>Melting_Curves/meltCurve_P27278_nadR.pdf</t>
  </si>
  <si>
    <t>Melting_Curves/meltCurve_P27298_prlC.pdf</t>
  </si>
  <si>
    <t>Melting_Curves/meltCurve_P27302_tktA.pdf</t>
  </si>
  <si>
    <t>Melting_Curves/meltCurve_P27303_emrA.pdf</t>
  </si>
  <si>
    <t>Melting_Curves/meltCurve_P27306_sthA.pdf</t>
  </si>
  <si>
    <t>Melting_Curves/meltCurve_P27431_roxA.pdf</t>
  </si>
  <si>
    <t>Melting_Curves/meltCurve_P27434_rodZ.pdf</t>
  </si>
  <si>
    <t>Melting_Curves/meltCurve_P27550_acs.pdf</t>
  </si>
  <si>
    <t>Melting_Curves/meltCurve_P27828_wecB.pdf</t>
  </si>
  <si>
    <t>Melting_Curves/meltCurve_P27829_wecC.pdf</t>
  </si>
  <si>
    <t>Melting_Curves/meltCurve_P27830_rffG.pdf</t>
  </si>
  <si>
    <t>Melting_Curves/meltCurve_P27832_wecD.pdf</t>
  </si>
  <si>
    <t>Melting_Curves/meltCurve_P27836_wecG.pdf</t>
  </si>
  <si>
    <t>Melting_Curves/meltCurve_P27837_yifK.pdf</t>
  </si>
  <si>
    <t>Melting_Curves/meltCurve_P27838_cyaY.pdf</t>
  </si>
  <si>
    <t>Melting_Curves/meltCurve_P27848_yigL.pdf</t>
  </si>
  <si>
    <t>Melting_Curves/meltCurve_P27859_tatD.pdf</t>
  </si>
  <si>
    <t>Melting_Curves/meltCurve_P27862_yigZ.pdf</t>
  </si>
  <si>
    <t>Melting_Curves/meltCurve_P28224_mliC.pdf</t>
  </si>
  <si>
    <t>Melting_Curves/meltCurve_P28248_dcd.pdf</t>
  </si>
  <si>
    <t>Melting_Curves/meltCurve_P28249_asmA.pdf</t>
  </si>
  <si>
    <t>Melting_Curves/meltCurve_P28304_qorA.pdf</t>
  </si>
  <si>
    <t>Melting_Curves/meltCurve_P28305_pabC.pdf</t>
  </si>
  <si>
    <t>Melting_Curves/meltCurve_P28306_mltG.pdf</t>
  </si>
  <si>
    <t>Melting_Curves/meltCurve_P28629_adiA.pdf</t>
  </si>
  <si>
    <t>Melting_Curves/meltCurve_P28630_holA.pdf</t>
  </si>
  <si>
    <t>Melting_Curves/meltCurve_P28634_trmO.pdf</t>
  </si>
  <si>
    <t>Melting_Curves/meltCurve_P28635_metQ.pdf</t>
  </si>
  <si>
    <t>Melting_Curves/meltCurve_P28861_fpr.pdf</t>
  </si>
  <si>
    <t>Melting_Curves/meltCurve_P28903_nrdD.pdf</t>
  </si>
  <si>
    <t>Melting_Curves/meltCurve_P28904_treC.pdf</t>
  </si>
  <si>
    <t>Melting_Curves/meltCurve_P28905_holC.pdf</t>
  </si>
  <si>
    <t>Melting_Curves/meltCurve_P29012_dadX.pdf</t>
  </si>
  <si>
    <t>Melting_Curves/meltCurve_P29013_ycgB.pdf</t>
  </si>
  <si>
    <t>Melting_Curves/meltCurve_P29018_cydD.pdf</t>
  </si>
  <si>
    <t>Melting_Curves/meltCurve_P29131_ftsN.pdf</t>
  </si>
  <si>
    <t>Melting_Curves/meltCurve_P29208_menC.pdf</t>
  </si>
  <si>
    <t>Melting_Curves/meltCurve_P29217_yceH.pdf</t>
  </si>
  <si>
    <t>Melting_Curves/meltCurve_P29680_hemE.pdf</t>
  </si>
  <si>
    <t>Melting_Curves/meltCurve_P29745_pepT.pdf</t>
  </si>
  <si>
    <t>Melting_Curves/meltCurve_P30011_nadC.pdf</t>
  </si>
  <si>
    <t>Melting_Curves/meltCurve_P30014_rnt.pdf</t>
  </si>
  <si>
    <t>Melting_Curves/meltCurve_P30125_leuB.pdf</t>
  </si>
  <si>
    <t>Melting_Curves/meltCurve_P30126_leuD.pdf</t>
  </si>
  <si>
    <t>Melting_Curves/meltCurve_P30128_greB.pdf</t>
  </si>
  <si>
    <t>Melting_Curves/meltCurve_P30136_thiC.pdf</t>
  </si>
  <si>
    <t>Melting_Curves/meltCurve_P30147_hyi.pdf</t>
  </si>
  <si>
    <t>Melting_Curves/meltCurve_P30177_ybiB.pdf</t>
  </si>
  <si>
    <t>Melting_Curves/meltCurve_P30744_sdaB.pdf</t>
  </si>
  <si>
    <t>Melting_Curves/meltCurve_P30749_moaE.pdf</t>
  </si>
  <si>
    <t>Melting_Curves/meltCurve_P30750_metN.pdf</t>
  </si>
  <si>
    <t>Melting_Curves/meltCurve_P30847_baeS.pdf</t>
  </si>
  <si>
    <t>Melting_Curves/meltCurve_P30850_rnb.pdf</t>
  </si>
  <si>
    <t>Melting_Curves/meltCurve_P30859_artI.pdf</t>
  </si>
  <si>
    <t>Melting_Curves/meltCurve_P30860_artJ.pdf</t>
  </si>
  <si>
    <t>Melting_Curves/meltCurve_P30863_dkgB.pdf</t>
  </si>
  <si>
    <t>Melting_Curves/meltCurve_P30864_yafC.pdf</t>
  </si>
  <si>
    <t>Melting_Curves/meltCurve_P30870_glnE.pdf</t>
  </si>
  <si>
    <t>Melting_Curves/meltCurve_P30871_ygiF.pdf</t>
  </si>
  <si>
    <t>Melting_Curves/meltCurve_P30958_mfd.pdf</t>
  </si>
  <si>
    <t>Melting_Curves/meltCurve_P31057_panB.pdf</t>
  </si>
  <si>
    <t>Melting_Curves/meltCurve_P31060_modF.pdf</t>
  </si>
  <si>
    <t>Melting_Curves/meltCurve_P31063_yedD.pdf</t>
  </si>
  <si>
    <t>Melting_Curves/meltCurve_P31064_yedE.pdf</t>
  </si>
  <si>
    <t>Melting_Curves/meltCurve_P31068_fliH.pdf</t>
  </si>
  <si>
    <t>Melting_Curves/meltCurve_P31069_kch.pdf</t>
  </si>
  <si>
    <t>Melting_Curves/meltCurve_P31119_aas.pdf</t>
  </si>
  <si>
    <t>Melting_Curves/meltCurve_P31120_glmM.pdf</t>
  </si>
  <si>
    <t>Melting_Curves/meltCurve_P31130_ydeI.pdf</t>
  </si>
  <si>
    <t>Melting_Curves/meltCurve_P31131_ydeJ.pdf</t>
  </si>
  <si>
    <t>Melting_Curves/meltCurve_P31133_potF.pdf</t>
  </si>
  <si>
    <t>Melting_Curves/meltCurve_P31142_sseA.pdf</t>
  </si>
  <si>
    <t>Melting_Curves/meltCurve_P31224_acrB.pdf</t>
  </si>
  <si>
    <t>Melting_Curves/meltCurve_P31433_yicH.pdf</t>
  </si>
  <si>
    <t>Melting_Curves/meltCurve_P31441_ade.pdf</t>
  </si>
  <si>
    <t>Melting_Curves/meltCurve_P31455_yidR.pdf</t>
  </si>
  <si>
    <t>Melting_Curves/meltCurve_P31460_dgoR.pdf</t>
  </si>
  <si>
    <t>Melting_Curves/meltCurve_P31473_ravA.pdf</t>
  </si>
  <si>
    <t>Melting_Curves/meltCurve_P31475_yieP.pdf</t>
  </si>
  <si>
    <t>Melting_Curves/meltCurve_P31545_efeB.pdf</t>
  </si>
  <si>
    <t>Melting_Curves/meltCurve_P31550_thiB.pdf</t>
  </si>
  <si>
    <t>Melting_Curves/meltCurve_P31554_lptD.pdf</t>
  </si>
  <si>
    <t>Melting_Curves/meltCurve_P31658_hchA.pdf</t>
  </si>
  <si>
    <t>Melting_Curves/meltCurve_P31660_prpC.pdf</t>
  </si>
  <si>
    <t>Melting_Curves/meltCurve_P31663_panC.pdf</t>
  </si>
  <si>
    <t>Melting_Curves/meltCurve_P31677_otsA.pdf</t>
  </si>
  <si>
    <t>Melting_Curves/meltCurve_P31678_otsB.pdf</t>
  </si>
  <si>
    <t>Melting_Curves/meltCurve_P31697_fimC.pdf</t>
  </si>
  <si>
    <t>Melting_Curves/meltCurve_P31802_narP.pdf</t>
  </si>
  <si>
    <t>Melting_Curves/meltCurve_P31806_nnr.pdf</t>
  </si>
  <si>
    <t>Melting_Curves/meltCurve_P31808_yciK.pdf</t>
  </si>
  <si>
    <t>Melting_Curves/meltCurve_P31828_pqqL.pdf</t>
  </si>
  <si>
    <t>Melting_Curves/meltCurve_P31979_nuoF.pdf</t>
  </si>
  <si>
    <t>Melting_Curves/meltCurve_P32099_lplA.pdf</t>
  </si>
  <si>
    <t>Melting_Curves/meltCurve_P32131_hemN.pdf</t>
  </si>
  <si>
    <t>Melting_Curves/meltCurve_P32132_typA.pdf</t>
  </si>
  <si>
    <t>Melting_Curves/meltCurve_P32138_yihQ.pdf</t>
  </si>
  <si>
    <t>Melting_Curves/meltCurve_P32141_yihT.pdf</t>
  </si>
  <si>
    <t>Melting_Curves/meltCurve_P32144_yihW.pdf</t>
  </si>
  <si>
    <t>Melting_Curves/meltCurve_P32157_yiiM.pdf</t>
  </si>
  <si>
    <t>Melting_Curves/meltCurve_P32160_yiiQ.pdf</t>
  </si>
  <si>
    <t>Melting_Curves/meltCurve_P32162_yiiS.pdf</t>
  </si>
  <si>
    <t>Melting_Curves/meltCurve_P32166_menA.pdf</t>
  </si>
  <si>
    <t>Melting_Curves/meltCurve_P32173_mobA.pdf</t>
  </si>
  <si>
    <t>Melting_Curves/meltCurve_P32176_fdoG.pdf</t>
  </si>
  <si>
    <t>Melting_Curves/meltCurve_P32177_fdhD.pdf</t>
  </si>
  <si>
    <t>Melting_Curves/meltCurve_P32662_gph.pdf</t>
  </si>
  <si>
    <t>Melting_Curves/meltCurve_P32664_nudC.pdf</t>
  </si>
  <si>
    <t>Melting_Curves/meltCurve_P32669_fsaB.pdf</t>
  </si>
  <si>
    <t>Melting_Curves/meltCurve_P32670_ptsA.pdf</t>
  </si>
  <si>
    <t>Melting_Curves/meltCurve_P32675_pflC.pdf</t>
  </si>
  <si>
    <t>Melting_Curves/meltCurve_P32680_yjaG.pdf</t>
  </si>
  <si>
    <t>Melting_Curves/meltCurve_P32684_rluF.pdf</t>
  </si>
  <si>
    <t>Melting_Curves/meltCurve_P32685_yjbD.pdf</t>
  </si>
  <si>
    <t>Melting_Curves/meltCurve_P32695_dusA.pdf</t>
  </si>
  <si>
    <t>Melting_Curves/meltCurve_P32703_yjcE.pdf</t>
  </si>
  <si>
    <t>Melting_Curves/meltCurve_P32705_actP.pdf</t>
  </si>
  <si>
    <t>Melting_Curves/meltCurve_P32715_mdtO.pdf</t>
  </si>
  <si>
    <t>Melting_Curves/meltCurve_P32718_alsK.pdf</t>
  </si>
  <si>
    <t>Melting_Curves/meltCurve_P32719_alsE.pdf</t>
  </si>
  <si>
    <t>Melting_Curves/meltCurve_P33012_sbmC.pdf</t>
  </si>
  <si>
    <t>Melting_Curves/meltCurve_P33018_yeiG.pdf</t>
  </si>
  <si>
    <t>Melting_Curves/meltCurve_P33022_rihB.pdf</t>
  </si>
  <si>
    <t>Melting_Curves/meltCurve_P33025_psuG.pdf</t>
  </si>
  <si>
    <t>Melting_Curves/meltCurve_P33030_yeiR.pdf</t>
  </si>
  <si>
    <t>Melting_Curves/meltCurve_P33136_mdoG.pdf</t>
  </si>
  <si>
    <t>Melting_Curves/meltCurve_P33195_gcvP.pdf</t>
  </si>
  <si>
    <t>Melting_Curves/meltCurve_P33218_yebE.pdf</t>
  </si>
  <si>
    <t>Melting_Curves/meltCurve_P33219_yebF.pdf</t>
  </si>
  <si>
    <t>Melting_Curves/meltCurve_P33221_purT.pdf</t>
  </si>
  <si>
    <t>Melting_Curves/meltCurve_P33224_aidB.pdf</t>
  </si>
  <si>
    <t>Melting_Curves/meltCurve_P33225_torA.pdf</t>
  </si>
  <si>
    <t>Melting_Curves/meltCurve_P33232_lldD.pdf</t>
  </si>
  <si>
    <t>Melting_Curves/meltCurve_P33235_flgK.pdf</t>
  </si>
  <si>
    <t>Melting_Curves/meltCurve_P33355_yehS.pdf</t>
  </si>
  <si>
    <t>Melting_Curves/meltCurve_P33360_yehX.pdf</t>
  </si>
  <si>
    <t>Melting_Curves/meltCurve_P33362_yehZ.pdf</t>
  </si>
  <si>
    <t>Melting_Curves/meltCurve_P33363_bglX.pdf</t>
  </si>
  <si>
    <t>Melting_Curves/meltCurve_P33368_yohF.pdf</t>
  </si>
  <si>
    <t>Melting_Curves/meltCurve_P33371_dusC.pdf</t>
  </si>
  <si>
    <t>Melting_Curves/meltCurve_P33570_tktB.pdf</t>
  </si>
  <si>
    <t>Melting_Curves/meltCurve_P33590_nikA.pdf</t>
  </si>
  <si>
    <t>Melting_Curves/meltCurve_P33596_recX.pdf</t>
  </si>
  <si>
    <t>Melting_Curves/meltCurve_P33599_nuoC.pdf</t>
  </si>
  <si>
    <t>Melting_Curves/meltCurve_P33602_nuoG.pdf</t>
  </si>
  <si>
    <t>Melting_Curves/meltCurve_P33607_nuoL.pdf</t>
  </si>
  <si>
    <t>Melting_Curves/meltCurve_P33643_rluD.pdf</t>
  </si>
  <si>
    <t>Melting_Curves/meltCurve_P33644_yfiH.pdf</t>
  </si>
  <si>
    <t>Melting_Curves/meltCurve_P33913_yejA.pdf</t>
  </si>
  <si>
    <t>Melting_Curves/meltCurve_P33916_yejF.pdf</t>
  </si>
  <si>
    <t>Melting_Curves/meltCurve_P33920_yejK.pdf</t>
  </si>
  <si>
    <t>Melting_Curves/meltCurve_P33927_ccmF.pdf</t>
  </si>
  <si>
    <t>Melting_Curves/meltCurve_P33937_napA.pdf</t>
  </si>
  <si>
    <t>Melting_Curves/meltCurve_P34209_ydcF.pdf</t>
  </si>
  <si>
    <t>Melting_Curves/meltCurve_P35340_ahpF.pdf</t>
  </si>
  <si>
    <t>Melting_Curves/meltCurve_P36553_hemF.pdf</t>
  </si>
  <si>
    <t>Melting_Curves/meltCurve_P36562_cobT.pdf</t>
  </si>
  <si>
    <t>Melting_Curves/meltCurve_P36649_cueO.pdf</t>
  </si>
  <si>
    <t>Melting_Curves/meltCurve_P36655_dsbD.pdf</t>
  </si>
  <si>
    <t>Melting_Curves/meltCurve_P36659_cbpA.pdf</t>
  </si>
  <si>
    <t>Melting_Curves/meltCurve_P36672_treB.pdf</t>
  </si>
  <si>
    <t>Melting_Curves/meltCurve_P36673_treR.pdf</t>
  </si>
  <si>
    <t>Melting_Curves/meltCurve_P36680_zapD.pdf</t>
  </si>
  <si>
    <t>Melting_Curves/meltCurve_P36683_acnB.pdf</t>
  </si>
  <si>
    <t>Melting_Curves/meltCurve_P36767_rdgC.pdf</t>
  </si>
  <si>
    <t>Melting_Curves/meltCurve_P36771_lrhA.pdf</t>
  </si>
  <si>
    <t>Melting_Curves/meltCurve_P36837_dtpB.pdf</t>
  </si>
  <si>
    <t>Melting_Curves/meltCurve_P36879_yadG.pdf</t>
  </si>
  <si>
    <t>Melting_Curves/meltCurve_P36929_rsmB.pdf</t>
  </si>
  <si>
    <t>Melting_Curves/meltCurve_P36938_pgm.pdf</t>
  </si>
  <si>
    <t>Melting_Curves/meltCurve_P36979_rlmN.pdf</t>
  </si>
  <si>
    <t>Melting_Curves/meltCurve_P36999_rlmA.pdf</t>
  </si>
  <si>
    <t>Melting_Curves/meltCurve_P37005_lasT.pdf</t>
  </si>
  <si>
    <t>Melting_Curves/meltCurve_P37025_thpR.pdf</t>
  </si>
  <si>
    <t>Melting_Curves/meltCurve_P37028_btuF.pdf</t>
  </si>
  <si>
    <t>Melting_Curves/meltCurve_P37051_purU.pdf</t>
  </si>
  <si>
    <t>Melting_Curves/meltCurve_P37052_ychJ.pdf</t>
  </si>
  <si>
    <t>Melting_Curves/meltCurve_P37095_pepB.pdf</t>
  </si>
  <si>
    <t>Melting_Curves/meltCurve_P37128_nudK.pdf</t>
  </si>
  <si>
    <t>Melting_Curves/meltCurve_P37147_fxsA.pdf</t>
  </si>
  <si>
    <t>Melting_Curves/meltCurve_P37180_hybB.pdf</t>
  </si>
  <si>
    <t>Melting_Curves/meltCurve_P37182_hybD.pdf</t>
  </si>
  <si>
    <t>Melting_Curves/meltCurve_P37188_gatB.pdf</t>
  </si>
  <si>
    <t>Melting_Curves/meltCurve_P37194_slp.pdf</t>
  </si>
  <si>
    <t>Melting_Curves/meltCurve_P37195_dctR.pdf</t>
  </si>
  <si>
    <t>Melting_Curves/meltCurve_P37197_yhjA.pdf</t>
  </si>
  <si>
    <t>Melting_Curves/meltCurve_P37313_dppF.pdf</t>
  </si>
  <si>
    <t>Melting_Curves/meltCurve_P37325_ybcH.pdf</t>
  </si>
  <si>
    <t>Melting_Curves/meltCurve_P37327_yfdC.pdf</t>
  </si>
  <si>
    <t>Melting_Curves/meltCurve_P37329_modA.pdf</t>
  </si>
  <si>
    <t>Melting_Curves/meltCurve_P37330_glcB.pdf</t>
  </si>
  <si>
    <t>Melting_Curves/meltCurve_P37339_lhgO.pdf</t>
  </si>
  <si>
    <t>Melting_Curves/meltCurve_P37340_mdtK.pdf</t>
  </si>
  <si>
    <t>Melting_Curves/meltCurve_P37342_yjjI.pdf</t>
  </si>
  <si>
    <t>Melting_Curves/meltCurve_P37349_dhaM.pdf</t>
  </si>
  <si>
    <t>Melting_Curves/meltCurve_P37351_rpiB.pdf</t>
  </si>
  <si>
    <t>Melting_Curves/meltCurve_P37353_menE.pdf</t>
  </si>
  <si>
    <t>Melting_Curves/meltCurve_P37387_xylF.pdf</t>
  </si>
  <si>
    <t>Melting_Curves/meltCurve_P37440_ucpA.pdf</t>
  </si>
  <si>
    <t>Melting_Curves/meltCurve_P37590_pmrD.pdf</t>
  </si>
  <si>
    <t>Melting_Curves/meltCurve_P37595_iaaA.pdf</t>
  </si>
  <si>
    <t>Melting_Curves/meltCurve_P37613_panM.pdf</t>
  </si>
  <si>
    <t>Melting_Curves/meltCurve_P37614_yhhL.pdf</t>
  </si>
  <si>
    <t>Melting_Curves/meltCurve_P37615_yhhM.pdf</t>
  </si>
  <si>
    <t>Melting_Curves/meltCurve_P37617_zntA.pdf</t>
  </si>
  <si>
    <t>Melting_Curves/meltCurve_P37624_rbbA.pdf</t>
  </si>
  <si>
    <t>Melting_Curves/meltCurve_P37626_yhiI.pdf</t>
  </si>
  <si>
    <t>Melting_Curves/meltCurve_P37631_yhiN.pdf</t>
  </si>
  <si>
    <t>Melting_Curves/meltCurve_P37634_rlmJ.pdf</t>
  </si>
  <si>
    <t>Melting_Curves/meltCurve_P37636_mdtE.pdf</t>
  </si>
  <si>
    <t>Melting_Curves/meltCurve_P37637_mdtF.pdf</t>
  </si>
  <si>
    <t>Melting_Curves/meltCurve_P37641_yhjC.pdf</t>
  </si>
  <si>
    <t>Melting_Curves/meltCurve_P37642_yhjD.pdf</t>
  </si>
  <si>
    <t>Melting_Curves/meltCurve_P37645_yhjG.pdf</t>
  </si>
  <si>
    <t>Melting_Curves/meltCurve_P37647_kdgK.pdf</t>
  </si>
  <si>
    <t>Melting_Curves/meltCurve_P37648_yhjJ.pdf</t>
  </si>
  <si>
    <t>Melting_Curves/meltCurve_P37649_yhjK.pdf</t>
  </si>
  <si>
    <t>Melting_Curves/meltCurve_P37651_bcsZ.pdf</t>
  </si>
  <si>
    <t>Melting_Curves/meltCurve_P37652_bcsB.pdf</t>
  </si>
  <si>
    <t>Melting_Curves/meltCurve_P37659_bcsG.pdf</t>
  </si>
  <si>
    <t>Melting_Curves/meltCurve_P37661_eptB.pdf</t>
  </si>
  <si>
    <t>Melting_Curves/meltCurve_P37666_ghrB.pdf</t>
  </si>
  <si>
    <t>Melting_Curves/meltCurve_P37672_dlgD.pdf</t>
  </si>
  <si>
    <t>Melting_Curves/meltCurve_P37676_yiaO.pdf</t>
  </si>
  <si>
    <t>Melting_Curves/meltCurve_P37685_aldB.pdf</t>
  </si>
  <si>
    <t>Melting_Curves/meltCurve_P37689_gpmI.pdf</t>
  </si>
  <si>
    <t>Melting_Curves/meltCurve_P37690_envC.pdf</t>
  </si>
  <si>
    <t>Melting_Curves/meltCurve_P37691_yibQ.pdf</t>
  </si>
  <si>
    <t>Melting_Curves/meltCurve_P37692_rfaF.pdf</t>
  </si>
  <si>
    <t>Melting_Curves/meltCurve_P37744_rfbA.pdf</t>
  </si>
  <si>
    <t>Melting_Curves/meltCurve_P37745_rfbC.pdf</t>
  </si>
  <si>
    <t>Melting_Curves/meltCurve_P37747_glf.pdf</t>
  </si>
  <si>
    <t>Melting_Curves/meltCurve_P37749_wbbI.pdf</t>
  </si>
  <si>
    <t>Melting_Curves/meltCurve_P37750_wbbJ.pdf</t>
  </si>
  <si>
    <t>Melting_Curves/meltCurve_P37751_wbbK.pdf</t>
  </si>
  <si>
    <t>Melting_Curves/meltCurve_P37757_yddE.pdf</t>
  </si>
  <si>
    <t>Melting_Curves/meltCurve_P37759_rfbB.pdf</t>
  </si>
  <si>
    <t>Melting_Curves/meltCurve_P37760_rfbD.pdf</t>
  </si>
  <si>
    <t>Melting_Curves/meltCurve_P37765_rluB.pdf</t>
  </si>
  <si>
    <t>Melting_Curves/meltCurve_P37767_yfhH.pdf</t>
  </si>
  <si>
    <t>Melting_Curves/meltCurve_P37769_kduD.pdf</t>
  </si>
  <si>
    <t>Melting_Curves/meltCurve_P37773_mpl.pdf</t>
  </si>
  <si>
    <t>Melting_Curves/meltCurve_P37774_yecC.pdf</t>
  </si>
  <si>
    <t>Melting_Curves/meltCurve_P37794_chbG.pdf</t>
  </si>
  <si>
    <t>Melting_Curves/meltCurve_P37902_gltI.pdf</t>
  </si>
  <si>
    <t>Melting_Curves/meltCurve_P37903_uspF.pdf</t>
  </si>
  <si>
    <t>Melting_Curves/meltCurve_P38038_cysJ.pdf</t>
  </si>
  <si>
    <t>Melting_Curves/meltCurve_P38051_menF.pdf</t>
  </si>
  <si>
    <t>Melting_Curves/meltCurve_P38097_yegE.pdf</t>
  </si>
  <si>
    <t>Melting_Curves/meltCurve_P38104_rspA.pdf</t>
  </si>
  <si>
    <t>Melting_Curves/meltCurve_P38392_sieB.pdf</t>
  </si>
  <si>
    <t>Melting_Curves/meltCurve_P38489_nfsB.pdf</t>
  </si>
  <si>
    <t>Melting_Curves/meltCurve_P38521_yggL.pdf</t>
  </si>
  <si>
    <t>Melting_Curves/meltCurve_P39099_degQ.pdf</t>
  </si>
  <si>
    <t>Melting_Curves/meltCurve_P39160_uxuB.pdf</t>
  </si>
  <si>
    <t>Melting_Curves/meltCurve_P39161_uxuR.pdf</t>
  </si>
  <si>
    <t>Melting_Curves/meltCurve_P39172_znuA.pdf</t>
  </si>
  <si>
    <t>Melting_Curves/meltCurve_P39173_yeaD.pdf</t>
  </si>
  <si>
    <t>Melting_Curves/meltCurve_P39176_erfK.pdf</t>
  </si>
  <si>
    <t>Melting_Curves/meltCurve_P39177_uspG.pdf</t>
  </si>
  <si>
    <t>Melting_Curves/meltCurve_P39180_flu.pdf</t>
  </si>
  <si>
    <t>Melting_Curves/meltCurve_P39187_ytfJ.pdf</t>
  </si>
  <si>
    <t>Melting_Curves/meltCurve_P39196_lplT.pdf</t>
  </si>
  <si>
    <t>Melting_Curves/meltCurve_P39199_prmB.pdf</t>
  </si>
  <si>
    <t>Melting_Curves/meltCurve_P39265_alsB.pdf</t>
  </si>
  <si>
    <t>Melting_Curves/meltCurve_P39267_yjcZ.pdf</t>
  </si>
  <si>
    <t>Melting_Curves/meltCurve_P39274_yjdJ.pdf</t>
  </si>
  <si>
    <t>Melting_Curves/meltCurve_P39285_mscM.pdf</t>
  </si>
  <si>
    <t>Melting_Curves/meltCurve_P39286_rsgA.pdf</t>
  </si>
  <si>
    <t>Melting_Curves/meltCurve_P39297_bsmA.pdf</t>
  </si>
  <si>
    <t>Melting_Curves/meltCurve_P39298_yjfP.pdf</t>
  </si>
  <si>
    <t>Melting_Curves/meltCurve_P39310_ytfB.pdf</t>
  </si>
  <si>
    <t>Melting_Curves/meltCurve_P39315_qorB.pdf</t>
  </si>
  <si>
    <t>Melting_Curves/meltCurve_P39321_tamB.pdf</t>
  </si>
  <si>
    <t>Melting_Curves/meltCurve_P39325_ytfQ.pdf</t>
  </si>
  <si>
    <t>Melting_Curves/meltCurve_P39332_yjgH.pdf</t>
  </si>
  <si>
    <t>Melting_Curves/meltCurve_P39337_yjgM.pdf</t>
  </si>
  <si>
    <t>Melting_Curves/meltCurve_P39342_yjgR.pdf</t>
  </si>
  <si>
    <t>Melting_Curves/meltCurve_P39346_idnD.pdf</t>
  </si>
  <si>
    <t>Melting_Curves/meltCurve_P39356_yjhU.pdf</t>
  </si>
  <si>
    <t>Melting_Curves/meltCurve_P39358_yjhG.pdf</t>
  </si>
  <si>
    <t>Melting_Curves/meltCurve_P39363_sgcA.pdf</t>
  </si>
  <si>
    <t>Melting_Curves/meltCurve_P39365_sgcC.pdf</t>
  </si>
  <si>
    <t>Melting_Curves/meltCurve_P39366_sgcX.pdf</t>
  </si>
  <si>
    <t>Melting_Curves/meltCurve_P39371_nanM.pdf</t>
  </si>
  <si>
    <t>Melting_Curves/meltCurve_P39377_iadA.pdf</t>
  </si>
  <si>
    <t>Melting_Curves/meltCurve_P39383_yjiL.pdf</t>
  </si>
  <si>
    <t>Melting_Curves/meltCurve_P39384_yjiM.pdf</t>
  </si>
  <si>
    <t>Melting_Curves/meltCurve_P39385_yjiN.pdf</t>
  </si>
  <si>
    <t>Melting_Curves/meltCurve_P39396_yjiY.pdf</t>
  </si>
  <si>
    <t>Melting_Curves/meltCurve_P39401_mdoB.pdf</t>
  </si>
  <si>
    <t>Melting_Curves/meltCurve_P39405_fhuF.pdf</t>
  </si>
  <si>
    <t>Melting_Curves/meltCurve_P39406_rsmC.pdf</t>
  </si>
  <si>
    <t>Melting_Curves/meltCurve_P39407_yjjU.pdf</t>
  </si>
  <si>
    <t>Melting_Curves/meltCurve_P39408_yjjV.pdf</t>
  </si>
  <si>
    <t>Melting_Curves/meltCurve_P39411_yjjX.pdf</t>
  </si>
  <si>
    <t>Melting_Curves/meltCurve_P39451_adhP.pdf</t>
  </si>
  <si>
    <t>Melting_Curves/meltCurve_P39829_garD.pdf</t>
  </si>
  <si>
    <t>Melting_Curves/meltCurve_P39830_ybaL.pdf</t>
  </si>
  <si>
    <t>Melting_Curves/meltCurve_P39831_ydfG.pdf</t>
  </si>
  <si>
    <t>Melting_Curves/meltCurve_P39835_gntT.pdf</t>
  </si>
  <si>
    <t>Melting_Curves/meltCurve_P39838_rcsD.pdf</t>
  </si>
  <si>
    <t>Melting_Curves/meltCurve_P40120_mdoD.pdf</t>
  </si>
  <si>
    <t>Melting_Curves/meltCurve_P40191_pdxK.pdf</t>
  </si>
  <si>
    <t>Melting_Curves/meltCurve_P40710_nlpE.pdf</t>
  </si>
  <si>
    <t>Melting_Curves/meltCurve_P40874_solA.pdf</t>
  </si>
  <si>
    <t>Melting_Curves/meltCurve_P41039_ybiI.pdf</t>
  </si>
  <si>
    <t>Melting_Curves/meltCurve_P41407_azoR.pdf</t>
  </si>
  <si>
    <t>Melting_Curves/meltCurve_P41409_rihA.pdf</t>
  </si>
  <si>
    <t>Melting_Curves/meltCurve_P42588_patA.pdf</t>
  </si>
  <si>
    <t>Melting_Curves/meltCurve_P42589_ygjH.pdf</t>
  </si>
  <si>
    <t>Melting_Curves/meltCurve_P42592_ygjK.pdf</t>
  </si>
  <si>
    <t>Melting_Curves/meltCurve_P42593_fadH.pdf</t>
  </si>
  <si>
    <t>Melting_Curves/meltCurve_P42596_rlmG.pdf</t>
  </si>
  <si>
    <t>Melting_Curves/meltCurve_P42599_ygjR.pdf</t>
  </si>
  <si>
    <t>Melting_Curves/meltCurve_P42604_uxaA.pdf</t>
  </si>
  <si>
    <t>Melting_Curves/meltCurve_P42616_yqjC.pdf</t>
  </si>
  <si>
    <t>Melting_Curves/meltCurve_P42619_yqjF.pdf</t>
  </si>
  <si>
    <t>Melting_Curves/meltCurve_P42620_yqjG.pdf</t>
  </si>
  <si>
    <t>Melting_Curves/meltCurve_P42624_yhaK.pdf</t>
  </si>
  <si>
    <t>Melting_Curves/meltCurve_P42628_dlsT.pdf</t>
  </si>
  <si>
    <t>Melting_Curves/meltCurve_P42632_tdcE.pdf</t>
  </si>
  <si>
    <t>Melting_Curves/meltCurve_P42641_obgE.pdf</t>
  </si>
  <si>
    <t>Melting_Curves/meltCurve_P42904_agaV.pdf</t>
  </si>
  <si>
    <t>Melting_Curves/meltCurve_P43329_hrpA.pdf</t>
  </si>
  <si>
    <t>Melting_Curves/meltCurve_P43337_nudL.pdf</t>
  </si>
  <si>
    <t>Melting_Curves/meltCurve_P43340_ycaK.pdf</t>
  </si>
  <si>
    <t>Melting_Curves/meltCurve_P43341_lpxH.pdf</t>
  </si>
  <si>
    <t>Melting_Curves/meltCurve_P43671_pqiB.pdf</t>
  </si>
  <si>
    <t>Melting_Curves/meltCurve_P43672_uup.pdf</t>
  </si>
  <si>
    <t>Melting_Curves/meltCurve_P45395_kdsD.pdf</t>
  </si>
  <si>
    <t>Melting_Curves/meltCurve_P45424_yhcH.pdf</t>
  </si>
  <si>
    <t>Melting_Curves/meltCurve_P45425_nanK.pdf</t>
  </si>
  <si>
    <t>Melting_Curves/meltCurve_P45464_lpoA.pdf</t>
  </si>
  <si>
    <t>Melting_Curves/meltCurve_P45468_yraQ.pdf</t>
  </si>
  <si>
    <t>Melting_Curves/meltCurve_P45469_yraR.pdf</t>
  </si>
  <si>
    <t>Melting_Curves/meltCurve_P45470_yhbO.pdf</t>
  </si>
  <si>
    <t>Melting_Curves/meltCurve_P45523_fkpA.pdf</t>
  </si>
  <si>
    <t>Melting_Curves/meltCurve_P45530_tusB.pdf</t>
  </si>
  <si>
    <t>Melting_Curves/meltCurve_P45531_tusC.pdf</t>
  </si>
  <si>
    <t>Melting_Curves/meltCurve_P45537_yhfK.pdf</t>
  </si>
  <si>
    <t>Melting_Curves/meltCurve_P45544_frlR.pdf</t>
  </si>
  <si>
    <t>Melting_Curves/meltCurve_P45552_yhfZ.pdf</t>
  </si>
  <si>
    <t>Melting_Curves/meltCurve_P45568_dxr.pdf</t>
  </si>
  <si>
    <t>Melting_Curves/meltCurve_P45577_proQ.pdf</t>
  </si>
  <si>
    <t>Melting_Curves/meltCurve_P45578_luxS.pdf</t>
  </si>
  <si>
    <t>Melting_Curves/meltCurve_P45748_tsaC.pdf</t>
  </si>
  <si>
    <t>Melting_Curves/meltCurve_P45771_yrdD.pdf</t>
  </si>
  <si>
    <t>Melting_Curves/meltCurve_P45799_nudE.pdf</t>
  </si>
  <si>
    <t>Melting_Curves/meltCurve_P45800_yrfF.pdf</t>
  </si>
  <si>
    <t>Melting_Curves/meltCurve_P45955_cpoB.pdf</t>
  </si>
  <si>
    <t>Melting_Curves/meltCurve_P46118_hexR.pdf</t>
  </si>
  <si>
    <t>Melting_Curves/meltCurve_P46122_yajI.pdf</t>
  </si>
  <si>
    <t>Melting_Curves/meltCurve_P46125_yedI.pdf</t>
  </si>
  <si>
    <t>Melting_Curves/meltCurve_P46130_ybhC.pdf</t>
  </si>
  <si>
    <t>Melting_Curves/meltCurve_P46474_yhdP.pdf</t>
  </si>
  <si>
    <t>Melting_Curves/meltCurve_P46837_yhgF.pdf</t>
  </si>
  <si>
    <t>Melting_Curves/meltCurve_P46849_rtcA.pdf</t>
  </si>
  <si>
    <t>Melting_Curves/meltCurve_P46852_yhhW.pdf</t>
  </si>
  <si>
    <t>Melting_Curves/meltCurve_P46853_yhhX.pdf</t>
  </si>
  <si>
    <t>Melting_Curves/meltCurve_P46854_yhhY.pdf</t>
  </si>
  <si>
    <t>Melting_Curves/meltCurve_P46859_gntK.pdf</t>
  </si>
  <si>
    <t>Melting_Curves/meltCurve_P46887_yecH.pdf</t>
  </si>
  <si>
    <t>Melting_Curves/meltCurve_P46888_uspC.pdf</t>
  </si>
  <si>
    <t>Melting_Curves/meltCurve_P46889_ftsK.pdf</t>
  </si>
  <si>
    <t>Melting_Curves/meltCurve_P46923_torZ.pdf</t>
  </si>
  <si>
    <t>Melting_Curves/meltCurve_P50456_mlc.pdf</t>
  </si>
  <si>
    <t>Melting_Curves/meltCurve_P50457_puuE.pdf</t>
  </si>
  <si>
    <t>Melting_Curves/meltCurve_P50466_aer.pdf</t>
  </si>
  <si>
    <t>Melting_Curves/meltCurve_P51024_yaiL.pdf</t>
  </si>
  <si>
    <t>Melting_Curves/meltCurve_P51025_frmB.pdf</t>
  </si>
  <si>
    <t>Melting_Curves/meltCurve_P51981_ycjG.pdf</t>
  </si>
  <si>
    <t>Melting_Curves/meltCurve_P52006_nudI.pdf</t>
  </si>
  <si>
    <t>Melting_Curves/meltCurve_P52007_yecM.pdf</t>
  </si>
  <si>
    <t>Melting_Curves/meltCurve_P52060_yggU.pdf</t>
  </si>
  <si>
    <t>Melting_Curves/meltCurve_P52061_rdgB.pdf</t>
  </si>
  <si>
    <t>Melting_Curves/meltCurve_P52073_glcE.pdf</t>
  </si>
  <si>
    <t>Melting_Curves/meltCurve_P52076_qseB.pdf</t>
  </si>
  <si>
    <t>Melting_Curves/meltCurve_P52095_ldcC.pdf</t>
  </si>
  <si>
    <t>Melting_Curves/meltCurve_P52096_yaeR.pdf</t>
  </si>
  <si>
    <t>Melting_Curves/meltCurve_P52097_tilS.pdf</t>
  </si>
  <si>
    <t>Melting_Curves/meltCurve_P52101_glrK.pdf</t>
  </si>
  <si>
    <t>Melting_Curves/meltCurve_P52107_csgC.pdf</t>
  </si>
  <si>
    <t>Melting_Curves/meltCurve_P52108_rstA.pdf</t>
  </si>
  <si>
    <t>Melting_Curves/meltCurve_P52119_ratB.pdf</t>
  </si>
  <si>
    <t>Melting_Curves/meltCurve_P52598_ygbI.pdf</t>
  </si>
  <si>
    <t>Melting_Curves/meltCurve_P52612_fliI.pdf</t>
  </si>
  <si>
    <t>Melting_Curves/meltCurve_P52643_ldhA.pdf</t>
  </si>
  <si>
    <t>Melting_Curves/meltCurve_P52644_hslJ.pdf</t>
  </si>
  <si>
    <t>Melting_Curves/meltCurve_P52647_ydbK.pdf</t>
  </si>
  <si>
    <t>Melting_Curves/meltCurve_P52697_pgl.pdf</t>
  </si>
  <si>
    <t>Melting_Curves/meltCurve_P55135_rlmD.pdf</t>
  </si>
  <si>
    <t>Melting_Curves/meltCurve_P55734_ygaP.pdf</t>
  </si>
  <si>
    <t>Melting_Curves/meltCurve_P56258_wecF.pdf</t>
  </si>
  <si>
    <t>Melting_Curves/meltCurve_P56262_ysgA.pdf</t>
  </si>
  <si>
    <t>Melting_Curves/meltCurve_P56580_srlE.pdf</t>
  </si>
  <si>
    <t>Melting_Curves/meltCurve_P56614_ymdF.pdf</t>
  </si>
  <si>
    <t>Melting_Curves/meltCurve_P60240_rapA.pdf</t>
  </si>
  <si>
    <t>Melting_Curves/meltCurve_P60293_mukF.pdf</t>
  </si>
  <si>
    <t>Melting_Curves/meltCurve_P60340_truB.pdf</t>
  </si>
  <si>
    <t>Melting_Curves/meltCurve_P60390_rsmH.pdf</t>
  </si>
  <si>
    <t>Melting_Curves/meltCurve_P60422_rplB.pdf</t>
  </si>
  <si>
    <t>Melting_Curves/meltCurve_P60438_rplC.pdf</t>
  </si>
  <si>
    <t>Melting_Curves/meltCurve_P60472_ispU.pdf</t>
  </si>
  <si>
    <t>Melting_Curves/meltCurve_P60546_gmk.pdf</t>
  </si>
  <si>
    <t>Melting_Curves/meltCurve_P60560_guaC.pdf</t>
  </si>
  <si>
    <t>Melting_Curves/meltCurve_P60566_fixA.pdf</t>
  </si>
  <si>
    <t>Melting_Curves/meltCurve_P60595_hisH.pdf</t>
  </si>
  <si>
    <t>Melting_Curves/meltCurve_P60624_rplX.pdf</t>
  </si>
  <si>
    <t>Melting_Curves/meltCurve_P60651_speB.pdf</t>
  </si>
  <si>
    <t>Melting_Curves/meltCurve_P60664_hisF.pdf</t>
  </si>
  <si>
    <t>Melting_Curves/meltCurve_P60716_lipA.pdf</t>
  </si>
  <si>
    <t>Melting_Curves/meltCurve_P60720_lipB.pdf</t>
  </si>
  <si>
    <t>Melting_Curves/meltCurve_P60723_rplD.pdf</t>
  </si>
  <si>
    <t>Melting_Curves/meltCurve_P60752_msbA.pdf</t>
  </si>
  <si>
    <t>Melting_Curves/meltCurve_P60757_hisG.pdf</t>
  </si>
  <si>
    <t>Melting_Curves/meltCurve_P60782_plsY.pdf</t>
  </si>
  <si>
    <t>Melting_Curves/meltCurve_P60785_lepA.pdf</t>
  </si>
  <si>
    <t>Melting_Curves/meltCurve_P60872_yidE.pdf</t>
  </si>
  <si>
    <t>Melting_Curves/meltCurve_P60906_hisS.pdf</t>
  </si>
  <si>
    <t>Melting_Curves/meltCurve_P61175_rplV.pdf</t>
  </si>
  <si>
    <t>Melting_Curves/meltCurve_P61316_lolA.pdf</t>
  </si>
  <si>
    <t>Melting_Curves/meltCurve_P61320_lolB.pdf</t>
  </si>
  <si>
    <t>Melting_Curves/meltCurve_P61517_can.pdf</t>
  </si>
  <si>
    <t>Melting_Curves/meltCurve_P61714_ribE.pdf</t>
  </si>
  <si>
    <t>Melting_Curves/meltCurve_P61889_mdh.pdf</t>
  </si>
  <si>
    <t>Melting_Curves/meltCurve_P61949_fldA.pdf</t>
  </si>
  <si>
    <t>Melting_Curves/meltCurve_P62399_rplE.pdf</t>
  </si>
  <si>
    <t>Melting_Curves/meltCurve_P62517_mdoH.pdf</t>
  </si>
  <si>
    <t>Melting_Curves/meltCurve_P62601_treF.pdf</t>
  </si>
  <si>
    <t>Melting_Curves/meltCurve_P62615_ispE.pdf</t>
  </si>
  <si>
    <t>Melting_Curves/meltCurve_P62617_ispF.pdf</t>
  </si>
  <si>
    <t>Melting_Curves/meltCurve_P62620_ispG.pdf</t>
  </si>
  <si>
    <t>Melting_Curves/meltCurve_P62623_ispH.pdf</t>
  </si>
  <si>
    <t>Melting_Curves/meltCurve_P62672_apaG.pdf</t>
  </si>
  <si>
    <t>Melting_Curves/meltCurve_P62707_gpmA.pdf</t>
  </si>
  <si>
    <t>Melting_Curves/meltCurve_P62768_yaeH.pdf</t>
  </si>
  <si>
    <t>Melting_Curves/meltCurve_P63020_nfuA.pdf</t>
  </si>
  <si>
    <t>Melting_Curves/meltCurve_P63177_rlmB.pdf</t>
  </si>
  <si>
    <t>Melting_Curves/meltCurve_P63204_gadE.pdf</t>
  </si>
  <si>
    <t>Melting_Curves/meltCurve_P63224_gmhA.pdf</t>
  </si>
  <si>
    <t>Melting_Curves/meltCurve_P63229_gmhB.pdf</t>
  </si>
  <si>
    <t>Melting_Curves/meltCurve_P63235_gadC.pdf</t>
  </si>
  <si>
    <t>Melting_Curves/meltCurve_P63284_clpB.pdf</t>
  </si>
  <si>
    <t>Melting_Curves/meltCurve_P63340_yqeG.pdf</t>
  </si>
  <si>
    <t>Melting_Curves/meltCurve_P63386_mlaF.pdf</t>
  </si>
  <si>
    <t>Melting_Curves/meltCurve_P63389_yheS.pdf</t>
  </si>
  <si>
    <t>Melting_Curves/meltCurve_P63417_yhbS.pdf</t>
  </si>
  <si>
    <t>Melting_Curves/meltCurve_P63883_amiC.pdf</t>
  </si>
  <si>
    <t>Melting_Curves/meltCurve_P64423_zntB.pdf</t>
  </si>
  <si>
    <t>Melting_Curves/meltCurve_P64429_ypfJ.pdf</t>
  </si>
  <si>
    <t>Melting_Curves/meltCurve_P64432_ypjD.pdf</t>
  </si>
  <si>
    <t>Melting_Curves/meltCurve_P64451_ydcL.pdf</t>
  </si>
  <si>
    <t>Melting_Curves/meltCurve_P64455_ydcY.pdf</t>
  </si>
  <si>
    <t>Melting_Curves/meltCurve_P64461_lsrG.pdf</t>
  </si>
  <si>
    <t>Melting_Curves/meltCurve_P64463_ydfZ.pdf</t>
  </si>
  <si>
    <t>Melting_Curves/meltCurve_P64467_cnu.pdf</t>
  </si>
  <si>
    <t>Melting_Curves/meltCurve_P64476_ydiH.pdf</t>
  </si>
  <si>
    <t>Melting_Curves/meltCurve_P64479_ydiZ.pdf</t>
  </si>
  <si>
    <t>Melting_Curves/meltCurve_P64483_yeaK.pdf</t>
  </si>
  <si>
    <t>Melting_Curves/meltCurve_P64490_yoaC.pdf</t>
  </si>
  <si>
    <t>Melting_Curves/meltCurve_P64493_yoaF.pdf</t>
  </si>
  <si>
    <t>Melting_Curves/meltCurve_P64503_yebV.pdf</t>
  </si>
  <si>
    <t>Melting_Curves/meltCurve_P64506_yebY.pdf</t>
  </si>
  <si>
    <t>Melting_Curves/meltCurve_P64515_yecN.pdf</t>
  </si>
  <si>
    <t>Melting_Curves/meltCurve_P64519_yodD.pdf</t>
  </si>
  <si>
    <t>Melting_Curves/meltCurve_P64530_rcnR.pdf</t>
  </si>
  <si>
    <t>Melting_Curves/meltCurve_P64534_rcnB.pdf</t>
  </si>
  <si>
    <t>Melting_Curves/meltCurve_P64540_yfcL.pdf</t>
  </si>
  <si>
    <t>Melting_Curves/meltCurve_P64548_yfiR.pdf</t>
  </si>
  <si>
    <t>Melting_Curves/meltCurve_P64554_queE.pdf</t>
  </si>
  <si>
    <t>Melting_Curves/meltCurve_P64557_ygfM.pdf</t>
  </si>
  <si>
    <t>Melting_Curves/meltCurve_P64564_yggT.pdf</t>
  </si>
  <si>
    <t>Melting_Curves/meltCurve_P64578_higB.pdf</t>
  </si>
  <si>
    <t>Melting_Curves/meltCurve_P64581_yqjD.pdf</t>
  </si>
  <si>
    <t>Melting_Curves/meltCurve_P64585_yqjE.pdf</t>
  </si>
  <si>
    <t>Melting_Curves/meltCurve_P64588_yqjI.pdf</t>
  </si>
  <si>
    <t>Melting_Curves/meltCurve_P64594_yhaV.pdf</t>
  </si>
  <si>
    <t>Melting_Curves/meltCurve_P64596_yraP.pdf</t>
  </si>
  <si>
    <t>Melting_Curves/meltCurve_P64602_mlaB.pdf</t>
  </si>
  <si>
    <t>Melting_Curves/meltCurve_P64604_mlaD.pdf</t>
  </si>
  <si>
    <t>Melting_Curves/meltCurve_P64606_mlaE.pdf</t>
  </si>
  <si>
    <t>Melting_Curves/meltCurve_P64624_yheO.pdf</t>
  </si>
  <si>
    <t>Melting_Curves/meltCurve_P65292_ygdI.pdf</t>
  </si>
  <si>
    <t>Melting_Curves/meltCurve_P65367_yqcA.pdf</t>
  </si>
  <si>
    <t>Melting_Curves/meltCurve_P65556_yfcD.pdf</t>
  </si>
  <si>
    <t>Melting_Curves/meltCurve_P65807_ygeY.pdf</t>
  </si>
  <si>
    <t>Melting_Curves/meltCurve_P65870_queD.pdf</t>
  </si>
  <si>
    <t>Melting_Curves/meltCurve_P66817_diaA.pdf</t>
  </si>
  <si>
    <t>Melting_Curves/meltCurve_P66899_ygeX.pdf</t>
  </si>
  <si>
    <t>Melting_Curves/meltCurve_P66948_bepA.pdf</t>
  </si>
  <si>
    <t>Melting_Curves/meltCurve_P67080_yggS.pdf</t>
  </si>
  <si>
    <t>Melting_Curves/meltCurve_P67087_rsmI.pdf</t>
  </si>
  <si>
    <t>Melting_Curves/meltCurve_P67095_yfcE.pdf</t>
  </si>
  <si>
    <t>Melting_Curves/meltCurve_P67143_yhgN.pdf</t>
  </si>
  <si>
    <t>Melting_Curves/meltCurve_P67244_yqhA.pdf</t>
  </si>
  <si>
    <t>Melting_Curves/meltCurve_P67430_nemR.pdf</t>
  </si>
  <si>
    <t>Melting_Curves/meltCurve_P67603_yqfB.pdf</t>
  </si>
  <si>
    <t>Melting_Curves/meltCurve_P67660_yhaJ.pdf</t>
  </si>
  <si>
    <t>Melting_Curves/meltCurve_P67662_aaeR.pdf</t>
  </si>
  <si>
    <t>Melting_Curves/meltCurve_P67762_yhbP.pdf</t>
  </si>
  <si>
    <t>Melting_Curves/meltCurve_P67826_cutC.pdf</t>
  </si>
  <si>
    <t>Melting_Curves/meltCurve_P67910_hldD.pdf</t>
  </si>
  <si>
    <t>Melting_Curves/meltCurve_P68066_grcA.pdf</t>
  </si>
  <si>
    <t>Melting_Curves/meltCurve_P68183_malG.pdf</t>
  </si>
  <si>
    <t>Melting_Curves/meltCurve_P68187_malK.pdf</t>
  </si>
  <si>
    <t>Melting_Curves/meltCurve_P68191_sra.pdf</t>
  </si>
  <si>
    <t>Melting_Curves/meltCurve_P68206_yjbJ.pdf</t>
  </si>
  <si>
    <t>Melting_Curves/meltCurve_P68679_rpsU.pdf</t>
  </si>
  <si>
    <t>Melting_Curves/meltCurve_P68688_grxA.pdf</t>
  </si>
  <si>
    <t>Melting_Curves/meltCurve_P68699_atpE.pdf</t>
  </si>
  <si>
    <t>Melting_Curves/meltCurve_P68739_nfi.pdf</t>
  </si>
  <si>
    <t>Melting_Curves/meltCurve_P68767_pepA.pdf</t>
  </si>
  <si>
    <t>Melting_Curves/meltCurve_P68919_rplY.pdf</t>
  </si>
  <si>
    <t>Melting_Curves/meltCurve_P69054_sdhC.pdf</t>
  </si>
  <si>
    <t>Melting_Curves/meltCurve_P69222_infA.pdf</t>
  </si>
  <si>
    <t>Melting_Curves/meltCurve_P69228_baeR.pdf</t>
  </si>
  <si>
    <t>Melting_Curves/meltCurve_P69346_yefM.pdf</t>
  </si>
  <si>
    <t>Melting_Curves/meltCurve_P69348_yoeB.pdf</t>
  </si>
  <si>
    <t>Melting_Curves/meltCurve_P69380_fieF.pdf</t>
  </si>
  <si>
    <t>Melting_Curves/meltCurve_P69411_rcsF.pdf</t>
  </si>
  <si>
    <t>Melting_Curves/meltCurve_P69425_tatB.pdf</t>
  </si>
  <si>
    <t>Melting_Curves/meltCurve_P69428_tatA.pdf</t>
  </si>
  <si>
    <t>Melting_Curves/meltCurve_P69441_adk.pdf</t>
  </si>
  <si>
    <t>Melting_Curves/meltCurve_P69451_fadD.pdf</t>
  </si>
  <si>
    <t>Melting_Curves/meltCurve_P69488_cutA.pdf</t>
  </si>
  <si>
    <t>Melting_Curves/meltCurve_P69490_ccmE.pdf</t>
  </si>
  <si>
    <t>Melting_Curves/meltCurve_P69503_apt.pdf</t>
  </si>
  <si>
    <t>Melting_Curves/meltCurve_P69506_ytfE.pdf</t>
  </si>
  <si>
    <t>Melting_Curves/meltCurve_P69739_hyaA.pdf</t>
  </si>
  <si>
    <t>Melting_Curves/meltCurve_P69741_hybO.pdf</t>
  </si>
  <si>
    <t>Melting_Curves/meltCurve_P69776_lpp.pdf</t>
  </si>
  <si>
    <t>Melting_Curves/meltCurve_P69783_crr.pdf</t>
  </si>
  <si>
    <t>Melting_Curves/meltCurve_P69786_ptsG.pdf</t>
  </si>
  <si>
    <t>Melting_Curves/meltCurve_P69795_chbB.pdf</t>
  </si>
  <si>
    <t>Melting_Curves/meltCurve_P69797_manX.pdf</t>
  </si>
  <si>
    <t>Melting_Curves/meltCurve_P69801_manY.pdf</t>
  </si>
  <si>
    <t>Melting_Curves/meltCurve_P69805_manZ.pdf</t>
  </si>
  <si>
    <t>Melting_Curves/meltCurve_P69811_fruB.pdf</t>
  </si>
  <si>
    <t>Melting_Curves/meltCurve_P69820_ulaC.pdf</t>
  </si>
  <si>
    <t>Melting_Curves/meltCurve_P69822_ulaB.pdf</t>
  </si>
  <si>
    <t>Melting_Curves/meltCurve_P69826_cmtA.pdf</t>
  </si>
  <si>
    <t>Melting_Curves/meltCurve_P69828_gatA.pdf</t>
  </si>
  <si>
    <t>Melting_Curves/meltCurve_P69829_ptsN.pdf</t>
  </si>
  <si>
    <t>Melting_Curves/meltCurve_P69831_gatC.pdf</t>
  </si>
  <si>
    <t>Melting_Curves/meltCurve_P69853_dmsD.pdf</t>
  </si>
  <si>
    <t>Melting_Curves/meltCurve_P69874_potA.pdf</t>
  </si>
  <si>
    <t>Melting_Curves/meltCurve_P69908_gadA.pdf</t>
  </si>
  <si>
    <t>Melting_Curves/meltCurve_P69910_gadB.pdf</t>
  </si>
  <si>
    <t>Melting_Curves/meltCurve_P69913_csrA.pdf</t>
  </si>
  <si>
    <t>Melting_Curves/meltCurve_P69922_fucI.pdf</t>
  </si>
  <si>
    <t>Melting_Curves/meltCurve_P69924_nrdB.pdf</t>
  </si>
  <si>
    <t>Melting_Curves/meltCurve_P75682_yagE.pdf</t>
  </si>
  <si>
    <t>Melting_Curves/meltCurve_P75691_yahK.pdf</t>
  </si>
  <si>
    <t>Melting_Curves/meltCurve_P75694_yahO.pdf</t>
  </si>
  <si>
    <t>Melting_Curves/meltCurve_P75713_allE.pdf</t>
  </si>
  <si>
    <t>Melting_Curves/meltCurve_P75728_ubiF.pdf</t>
  </si>
  <si>
    <t>Melting_Curves/meltCurve_P75736_ybfF.pdf</t>
  </si>
  <si>
    <t>Melting_Curves/meltCurve_P75745_ybgK.pdf</t>
  </si>
  <si>
    <t>Melting_Curves/meltCurve_P75746_ybgL.pdf</t>
  </si>
  <si>
    <t>Melting_Curves/meltCurve_P75767_ybhK.pdf</t>
  </si>
  <si>
    <t>Melting_Curves/meltCurve_P75777_ybhG.pdf</t>
  </si>
  <si>
    <t>Melting_Curves/meltCurve_P75779_ybiX.pdf</t>
  </si>
  <si>
    <t>Melting_Curves/meltCurve_P75782_rlmF.pdf</t>
  </si>
  <si>
    <t>Melting_Curves/meltCurve_P75785_opgE.pdf</t>
  </si>
  <si>
    <t>Melting_Curves/meltCurve_P75791_ybiU.pdf</t>
  </si>
  <si>
    <t>Melting_Curves/meltCurve_P75792_ybiV.pdf</t>
  </si>
  <si>
    <t>Melting_Curves/meltCurve_P75797_gsiB.pdf</t>
  </si>
  <si>
    <t>Melting_Curves/meltCurve_P75798_gsiC.pdf</t>
  </si>
  <si>
    <t>Melting_Curves/meltCurve_P75818_ybjP.pdf</t>
  </si>
  <si>
    <t>Melting_Curves/meltCurve_P75823_ltaE.pdf</t>
  </si>
  <si>
    <t>Melting_Curves/meltCurve_P75838_ycaO.pdf</t>
  </si>
  <si>
    <t>Melting_Curves/meltCurve_P75839_ycaP.pdf</t>
  </si>
  <si>
    <t>Melting_Curves/meltCurve_P75849_gloC.pdf</t>
  </si>
  <si>
    <t>Melting_Curves/meltCurve_P75853_ssuA.pdf</t>
  </si>
  <si>
    <t>Melting_Curves/meltCurve_P75862_zapC.pdf</t>
  </si>
  <si>
    <t>Melting_Curves/meltCurve_P75863_ycbX.pdf</t>
  </si>
  <si>
    <t>Melting_Curves/meltCurve_P75864_rlmL.pdf</t>
  </si>
  <si>
    <t>Melting_Curves/meltCurve_P75867_ycbZ.pdf</t>
  </si>
  <si>
    <t>Melting_Curves/meltCurve_P75874_yccU.pdf</t>
  </si>
  <si>
    <t>Melting_Curves/meltCurve_P75876_rlmI.pdf</t>
  </si>
  <si>
    <t>Melting_Curves/meltCurve_P75913_ghrA.pdf</t>
  </si>
  <si>
    <t>Melting_Curves/meltCurve_P75914_ycdX.pdf</t>
  </si>
  <si>
    <t>Melting_Curves/meltCurve_P75915_ycdY.pdf</t>
  </si>
  <si>
    <t>Melting_Curves/meltCurve_P75931_yceM.pdf</t>
  </si>
  <si>
    <t>Melting_Curves/meltCurve_P75937_flgE.pdf</t>
  </si>
  <si>
    <t>Melting_Curves/meltCurve_P75949_nagZ.pdf</t>
  </si>
  <si>
    <t>Melting_Curves/meltCurve_P75952_comR.pdf</t>
  </si>
  <si>
    <t>Melting_Curves/meltCurve_P75957_lolD.pdf</t>
  </si>
  <si>
    <t>Melting_Curves/meltCurve_P75958_lolE.pdf</t>
  </si>
  <si>
    <t>Melting_Curves/meltCurve_P75959_nagK.pdf</t>
  </si>
  <si>
    <t>Melting_Curves/meltCurve_P75960_cobB.pdf</t>
  </si>
  <si>
    <t>Melting_Curves/meltCurve_P75966_rluE.pdf</t>
  </si>
  <si>
    <t>Melting_Curves/meltCurve_P75974_cohE.pdf</t>
  </si>
  <si>
    <t>Melting_Curves/meltCurve_P75981_jayE.pdf</t>
  </si>
  <si>
    <t>Melting_Curves/meltCurve_P75989_bluR.pdf</t>
  </si>
  <si>
    <t>Melting_Curves/meltCurve_P75992_ymgA.pdf</t>
  </si>
  <si>
    <t>Melting_Curves/meltCurve_P75993_ariR.pdf</t>
  </si>
  <si>
    <t>Melting_Curves/meltCurve_P76001_ycgJ.pdf</t>
  </si>
  <si>
    <t>Melting_Curves/meltCurve_P76002_pliG.pdf</t>
  </si>
  <si>
    <t>Melting_Curves/meltCurve_P76004_ycgM.pdf</t>
  </si>
  <si>
    <t>Melting_Curves/meltCurve_P76007_cvrA.pdf</t>
  </si>
  <si>
    <t>Melting_Curves/meltCurve_P76008_ldcA.pdf</t>
  </si>
  <si>
    <t>Melting_Curves/meltCurve_P76014_dhaL.pdf</t>
  </si>
  <si>
    <t>Melting_Curves/meltCurve_P76015_dhaK.pdf</t>
  </si>
  <si>
    <t>Melting_Curves/meltCurve_P76027_oppD.pdf</t>
  </si>
  <si>
    <t>Melting_Curves/meltCurve_P76046_ycjX.pdf</t>
  </si>
  <si>
    <t>Melting_Curves/meltCurve_P76049_ycjY.pdf</t>
  </si>
  <si>
    <t>Melting_Curves/meltCurve_P76055_ttcA.pdf</t>
  </si>
  <si>
    <t>Melting_Curves/meltCurve_P76062_racR.pdf</t>
  </si>
  <si>
    <t>Melting_Curves/meltCurve_P76063_ydaS.pdf</t>
  </si>
  <si>
    <t>Melting_Curves/meltCurve_P76076_ydbL.pdf</t>
  </si>
  <si>
    <t>Melting_Curves/meltCurve_P76086_paaX.pdf</t>
  </si>
  <si>
    <t>Melting_Curves/meltCurve_P76097_ydcJ.pdf</t>
  </si>
  <si>
    <t>Melting_Curves/meltCurve_P76100_ydcK.pdf</t>
  </si>
  <si>
    <t>Melting_Curves/meltCurve_P76108_ydcS.pdf</t>
  </si>
  <si>
    <t>Melting_Curves/meltCurve_P76113_curA.pdf</t>
  </si>
  <si>
    <t>Melting_Curves/meltCurve_P76114_mcbR.pdf</t>
  </si>
  <si>
    <t>Melting_Curves/meltCurve_P76115_yncD.pdf</t>
  </si>
  <si>
    <t>Melting_Curves/meltCurve_P76116_yncE.pdf</t>
  </si>
  <si>
    <t>Melting_Curves/meltCurve_P76117_yncG.pdf</t>
  </si>
  <si>
    <t>Melting_Curves/meltCurve_P76121_yddH.pdf</t>
  </si>
  <si>
    <t>Melting_Curves/meltCurve_P76128_ddpA.pdf</t>
  </si>
  <si>
    <t>Melting_Curves/meltCurve_P76141_lsrR.pdf</t>
  </si>
  <si>
    <t>Melting_Curves/meltCurve_P76142_lsrB.pdf</t>
  </si>
  <si>
    <t>Melting_Curves/meltCurve_P76143_lsrF.pdf</t>
  </si>
  <si>
    <t>Melting_Curves/meltCurve_P76145_tam.pdf</t>
  </si>
  <si>
    <t>Melting_Curves/meltCurve_P76149_sad.pdf</t>
  </si>
  <si>
    <t>Melting_Curves/meltCurve_P76172_ynfD.pdf</t>
  </si>
  <si>
    <t>Melting_Curves/meltCurve_P76173_ynfH.pdf</t>
  </si>
  <si>
    <t>Melting_Curves/meltCurve_P76176_ydgD.pdf</t>
  </si>
  <si>
    <t>Melting_Curves/meltCurve_P76177_ydgH.pdf</t>
  </si>
  <si>
    <t>Melting_Curves/meltCurve_P76185_ydhJ.pdf</t>
  </si>
  <si>
    <t>Melting_Curves/meltCurve_P76187_ydhF.pdf</t>
  </si>
  <si>
    <t>Melting_Curves/meltCurve_P76192_ydhV.pdf</t>
  </si>
  <si>
    <t>Melting_Curves/meltCurve_P76193_ynhG.pdf</t>
  </si>
  <si>
    <t>Melting_Curves/meltCurve_P76194_sufE.pdf</t>
  </si>
  <si>
    <t>Melting_Curves/meltCurve_P76201_ydiQ.pdf</t>
  </si>
  <si>
    <t>Melting_Curves/meltCurve_P76206_ydiY.pdf</t>
  </si>
  <si>
    <t>Melting_Curves/meltCurve_P76208_yniB.pdf</t>
  </si>
  <si>
    <t>Melting_Curves/meltCurve_P76215_astE.pdf</t>
  </si>
  <si>
    <t>Melting_Curves/meltCurve_P76216_astB.pdf</t>
  </si>
  <si>
    <t>Melting_Curves/meltCurve_P76217_astD.pdf</t>
  </si>
  <si>
    <t>Melting_Curves/meltCurve_P76220_ydjY.pdf</t>
  </si>
  <si>
    <t>Melting_Curves/meltCurve_P76223_ynjB.pdf</t>
  </si>
  <si>
    <t>Melting_Curves/meltCurve_P76227_ynjH.pdf</t>
  </si>
  <si>
    <t>Melting_Curves/meltCurve_P76234_yeaE.pdf</t>
  </si>
  <si>
    <t>Melting_Curves/meltCurve_P76235_yeaH.pdf</t>
  </si>
  <si>
    <t>Melting_Curves/meltCurve_P76237_yeaJ.pdf</t>
  </si>
  <si>
    <t>Melting_Curves/meltCurve_P76243_yeaO.pdf</t>
  </si>
  <si>
    <t>Melting_Curves/meltCurve_P76251_dmlA.pdf</t>
  </si>
  <si>
    <t>Melting_Curves/meltCurve_P76256_tsaB.pdf</t>
  </si>
  <si>
    <t>Melting_Curves/meltCurve_P76268_kdgR.pdf</t>
  </si>
  <si>
    <t>Melting_Curves/meltCurve_P76270_msrC.pdf</t>
  </si>
  <si>
    <t>Melting_Curves/meltCurve_P76272_yebT.pdf</t>
  </si>
  <si>
    <t>Melting_Curves/meltCurve_P76273_rsmF.pdf</t>
  </si>
  <si>
    <t>Melting_Curves/meltCurve_P76290_cmoA.pdf</t>
  </si>
  <si>
    <t>Melting_Curves/meltCurve_P76291_cmoB.pdf</t>
  </si>
  <si>
    <t>Melting_Curves/meltCurve_P76297_flhE.pdf</t>
  </si>
  <si>
    <t>Melting_Curves/meltCurve_P76298_flhA.pdf</t>
  </si>
  <si>
    <t>Melting_Curves/meltCurve_P76299_flhB.pdf</t>
  </si>
  <si>
    <t>Melting_Curves/meltCurve_P76308_yecR.pdf</t>
  </si>
  <si>
    <t>Melting_Curves/meltCurve_P76316_dcyD.pdf</t>
  </si>
  <si>
    <t>Melting_Curves/meltCurve_P76318_yedK.pdf</t>
  </si>
  <si>
    <t>Melting_Curves/meltCurve_P76329_yedP.pdf</t>
  </si>
  <si>
    <t>Melting_Curves/meltCurve_P76330_yedQ.pdf</t>
  </si>
  <si>
    <t>Melting_Curves/meltCurve_P76340_yedW.pdf</t>
  </si>
  <si>
    <t>Melting_Curves/meltCurve_P76341_hiuH.pdf</t>
  </si>
  <si>
    <t>Melting_Curves/meltCurve_P76342_msrP.pdf</t>
  </si>
  <si>
    <t>Melting_Curves/meltCurve_P76344_zinT.pdf</t>
  </si>
  <si>
    <t>Melting_Curves/meltCurve_P76346_mtfA.pdf</t>
  </si>
  <si>
    <t>Melting_Curves/meltCurve_P76372_wzzB.pdf</t>
  </si>
  <si>
    <t>Melting_Curves/meltCurve_P76389_yegH.pdf</t>
  </si>
  <si>
    <t>Melting_Curves/meltCurve_P76394_yegJ.pdf</t>
  </si>
  <si>
    <t>Melting_Curves/meltCurve_P76397_mdtA.pdf</t>
  </si>
  <si>
    <t>Melting_Curves/meltCurve_P76398_mdtB.pdf</t>
  </si>
  <si>
    <t>Melting_Curves/meltCurve_P76402_yegP.pdf</t>
  </si>
  <si>
    <t>Melting_Curves/meltCurve_P76403_yegQ.pdf</t>
  </si>
  <si>
    <t>Melting_Curves/meltCurve_P76406_yegR.pdf</t>
  </si>
  <si>
    <t>Melting_Curves/meltCurve_P76407_yegS.pdf</t>
  </si>
  <si>
    <t>Melting_Curves/meltCurve_P76418_yegU.pdf</t>
  </si>
  <si>
    <t>Melting_Curves/meltCurve_P76419_yegV.pdf</t>
  </si>
  <si>
    <t>Melting_Curves/meltCurve_P76440_preT.pdf</t>
  </si>
  <si>
    <t>Melting_Curves/meltCurve_P76491_yfbR.pdf</t>
  </si>
  <si>
    <t>Melting_Curves/meltCurve_P76501_yfcR.pdf</t>
  </si>
  <si>
    <t>Melting_Curves/meltCurve_P76502_sixA.pdf</t>
  </si>
  <si>
    <t>Melting_Curves/meltCurve_P76503_fadI.pdf</t>
  </si>
  <si>
    <t>Melting_Curves/meltCurve_P76506_mlaA.pdf</t>
  </si>
  <si>
    <t>Melting_Curves/meltCurve_P76513_yfdQ.pdf</t>
  </si>
  <si>
    <t>Melting_Curves/meltCurve_P76535_murQ.pdf</t>
  </si>
  <si>
    <t>Melting_Curves/meltCurve_P76536_yfeX.pdf</t>
  </si>
  <si>
    <t>Melting_Curves/meltCurve_P76537_yfeY.pdf</t>
  </si>
  <si>
    <t>Melting_Curves/meltCurve_P76539_ypeA.pdf</t>
  </si>
  <si>
    <t>Melting_Curves/meltCurve_P76541_eutL.pdf</t>
  </si>
  <si>
    <t>Melting_Curves/meltCurve_P76550_yffS.pdf</t>
  </si>
  <si>
    <t>Melting_Curves/meltCurve_P76555_eutQ.pdf</t>
  </si>
  <si>
    <t>Melting_Curves/meltCurve_P76558_maeB.pdf</t>
  </si>
  <si>
    <t>Melting_Curves/meltCurve_P76559_ypfG.pdf</t>
  </si>
  <si>
    <t>Melting_Curves/meltCurve_P76561_ypfH.pdf</t>
  </si>
  <si>
    <t>Melting_Curves/meltCurve_P76569_yfgD.pdf</t>
  </si>
  <si>
    <t>Melting_Curves/meltCurve_P76573_yfgI.pdf</t>
  </si>
  <si>
    <t>Melting_Curves/meltCurve_P76575_yfgJ.pdf</t>
  </si>
  <si>
    <t>Melting_Curves/meltCurve_P76576_yfgM.pdf</t>
  </si>
  <si>
    <t>Melting_Curves/meltCurve_P76578_yfhM.pdf</t>
  </si>
  <si>
    <t>Melting_Curves/meltCurve_P76584_yphB.pdf</t>
  </si>
  <si>
    <t>Melting_Curves/meltCurve_P76594_pka.pdf</t>
  </si>
  <si>
    <t>Melting_Curves/meltCurve_P76621_csiD.pdf</t>
  </si>
  <si>
    <t>Melting_Curves/meltCurve_P76641_guaD.pdf</t>
  </si>
  <si>
    <t>Melting_Curves/meltCurve_P76658_hldE.pdf</t>
  </si>
  <si>
    <t>Melting_Curves/meltCurve_P76909_ynjD.pdf</t>
  </si>
  <si>
    <t>Melting_Curves/meltCurve_P77129_ylbE.pdf</t>
  </si>
  <si>
    <t>Melting_Curves/meltCurve_P77148_ydhS.pdf</t>
  </si>
  <si>
    <t>Melting_Curves/meltCurve_P77150_pdxY.pdf</t>
  </si>
  <si>
    <t>Melting_Curves/meltCurve_P77161_glxR.pdf</t>
  </si>
  <si>
    <t>Melting_Curves/meltCurve_P77162_ykfB.pdf</t>
  </si>
  <si>
    <t>Melting_Curves/meltCurve_P77173_zipA.pdf</t>
  </si>
  <si>
    <t>Melting_Curves/meltCurve_P77181_paaY.pdf</t>
  </si>
  <si>
    <t>Melting_Curves/meltCurve_P77182_mnmC.pdf</t>
  </si>
  <si>
    <t>Melting_Curves/meltCurve_P77202_dsbG.pdf</t>
  </si>
  <si>
    <t>Melting_Curves/meltCurve_P77212_rclA.pdf</t>
  </si>
  <si>
    <t>Melting_Curves/meltCurve_P77213_ybdK.pdf</t>
  </si>
  <si>
    <t>Melting_Curves/meltCurve_P77215_rhmD.pdf</t>
  </si>
  <si>
    <t>Melting_Curves/meltCurve_P77243_prpD.pdf</t>
  </si>
  <si>
    <t>Melting_Curves/meltCurve_P77245_murR.pdf</t>
  </si>
  <si>
    <t>Melting_Curves/meltCurve_P77247_yniC.pdf</t>
  </si>
  <si>
    <t>Melting_Curves/meltCurve_P77252_ykgE.pdf</t>
  </si>
  <si>
    <t>Melting_Curves/meltCurve_P77256_ydjG.pdf</t>
  </si>
  <si>
    <t>Melting_Curves/meltCurve_P77257_lsrA.pdf</t>
  </si>
  <si>
    <t>Melting_Curves/meltCurve_P77258_nemA.pdf</t>
  </si>
  <si>
    <t>Melting_Curves/meltCurve_P77269_yphF.pdf</t>
  </si>
  <si>
    <t>Melting_Curves/meltCurve_P77272_murP.pdf</t>
  </si>
  <si>
    <t>Melting_Curves/meltCurve_P77279_fetA.pdf</t>
  </si>
  <si>
    <t>Melting_Curves/meltCurve_P77285_rsxG.pdf</t>
  </si>
  <si>
    <t>Melting_Curves/meltCurve_P77286_ydeU.pdf</t>
  </si>
  <si>
    <t>Melting_Curves/meltCurve_P77293_yfdH.pdf</t>
  </si>
  <si>
    <t>Melting_Curves/meltCurve_P77307_fetB.pdf</t>
  </si>
  <si>
    <t>Melting_Curves/meltCurve_P77316_ybdR.pdf</t>
  </si>
  <si>
    <t>Melting_Curves/meltCurve_P77318_ydeN.pdf</t>
  </si>
  <si>
    <t>Melting_Curves/meltCurve_P77330_borD.pdf</t>
  </si>
  <si>
    <t>Melting_Curves/meltCurve_P77335_hlyE.pdf</t>
  </si>
  <si>
    <t>Melting_Curves/meltCurve_P77338_mscK.pdf</t>
  </si>
  <si>
    <t>Melting_Curves/meltCurve_P77348_mppA.pdf</t>
  </si>
  <si>
    <t>Melting_Curves/meltCurve_P77364_glxK.pdf</t>
  </si>
  <si>
    <t>Melting_Curves/meltCurve_P77368_ybcL.pdf</t>
  </si>
  <si>
    <t>Melting_Curves/meltCurve_P77374_ynfE.pdf</t>
  </si>
  <si>
    <t>Melting_Curves/meltCurve_P77376_ydgJ.pdf</t>
  </si>
  <si>
    <t>Melting_Curves/meltCurve_P77379_rclR.pdf</t>
  </si>
  <si>
    <t>Melting_Curves/meltCurve_P77395_ybbN.pdf</t>
  </si>
  <si>
    <t>Melting_Curves/meltCurve_P77399_fadJ.pdf</t>
  </si>
  <si>
    <t>Melting_Curves/meltCurve_P77433_ykgG.pdf</t>
  </si>
  <si>
    <t>Melting_Curves/meltCurve_P77434_alaC.pdf</t>
  </si>
  <si>
    <t>Melting_Curves/meltCurve_P77444_sufS.pdf</t>
  </si>
  <si>
    <t>Melting_Curves/meltCurve_P77454_glsA1.pdf</t>
  </si>
  <si>
    <t>Melting_Curves/meltCurve_P77473_ylaB.pdf</t>
  </si>
  <si>
    <t>Melting_Curves/meltCurve_P77475_yqaB.pdf</t>
  </si>
  <si>
    <t>Melting_Curves/meltCurve_P77485_cusS.pdf</t>
  </si>
  <si>
    <t>Melting_Curves/meltCurve_P77488_dxs.pdf</t>
  </si>
  <si>
    <t>Melting_Curves/meltCurve_P77493_ydjH.pdf</t>
  </si>
  <si>
    <t>Melting_Curves/meltCurve_P77499_sufC.pdf</t>
  </si>
  <si>
    <t>Melting_Curves/meltCurve_P77504_ybbP.pdf</t>
  </si>
  <si>
    <t>Melting_Curves/meltCurve_P77522_sufB.pdf</t>
  </si>
  <si>
    <t>Melting_Curves/meltCurve_P77526_yfcG.pdf</t>
  </si>
  <si>
    <t>Melting_Curves/meltCurve_P77529_ydjN.pdf</t>
  </si>
  <si>
    <t>Melting_Curves/meltCurve_P77536_ykgF.pdf</t>
  </si>
  <si>
    <t>Melting_Curves/meltCurve_P77539_ydjL.pdf</t>
  </si>
  <si>
    <t>Melting_Curves/meltCurve_P77541_prpB.pdf</t>
  </si>
  <si>
    <t>Melting_Curves/meltCurve_P77544_yfcF.pdf</t>
  </si>
  <si>
    <t>Melting_Curves/meltCurve_P77552_ydhQ.pdf</t>
  </si>
  <si>
    <t>Melting_Curves/meltCurve_P77554_yahJ.pdf</t>
  </si>
  <si>
    <t>Melting_Curves/meltCurve_P77555_allD.pdf</t>
  </si>
  <si>
    <t>Melting_Curves/meltCurve_P77562_yaiW.pdf</t>
  </si>
  <si>
    <t>Melting_Curves/meltCurve_P77569_mhpR.pdf</t>
  </si>
  <si>
    <t>Melting_Curves/meltCurve_P77581_astC.pdf</t>
  </si>
  <si>
    <t>Melting_Curves/meltCurve_P77596_yagF.pdf</t>
  </si>
  <si>
    <t>Melting_Curves/meltCurve_P77611_rsxC.pdf</t>
  </si>
  <si>
    <t>Melting_Curves/meltCurve_P77615_ycjW.pdf</t>
  </si>
  <si>
    <t>Melting_Curves/meltCurve_P77619_yfeW.pdf</t>
  </si>
  <si>
    <t>Melting_Curves/meltCurve_P77625_yfbT.pdf</t>
  </si>
  <si>
    <t>Melting_Curves/meltCurve_P77649_ydiU.pdf</t>
  </si>
  <si>
    <t>Melting_Curves/meltCurve_P77667_sufA.pdf</t>
  </si>
  <si>
    <t>Melting_Curves/meltCurve_P77671_allB.pdf</t>
  </si>
  <si>
    <t>Melting_Curves/meltCurve_P77674_prr.pdf</t>
  </si>
  <si>
    <t>Melting_Curves/meltCurve_P77689_sufD.pdf</t>
  </si>
  <si>
    <t>Melting_Curves/meltCurve_P77695_gnsB.pdf</t>
  </si>
  <si>
    <t>Melting_Curves/meltCurve_P77712_fadM.pdf</t>
  </si>
  <si>
    <t>Melting_Curves/meltCurve_P77713_yagH.pdf</t>
  </si>
  <si>
    <t>Melting_Curves/meltCurve_P77717_ybaY.pdf</t>
  </si>
  <si>
    <t>Melting_Curves/meltCurve_P77718_thiI.pdf</t>
  </si>
  <si>
    <t>Melting_Curves/meltCurve_P77721_ydjF.pdf</t>
  </si>
  <si>
    <t>Melting_Curves/meltCurve_P77730_ydcR.pdf</t>
  </si>
  <si>
    <t>Melting_Curves/meltCurve_P77735_yajO.pdf</t>
  </si>
  <si>
    <t>Melting_Curves/meltCurve_P77737_oppF.pdf</t>
  </si>
  <si>
    <t>Melting_Curves/meltCurve_P77739_yniA.pdf</t>
  </si>
  <si>
    <t>Melting_Curves/meltCurve_P77748_ydiJ.pdf</t>
  </si>
  <si>
    <t>Melting_Curves/meltCurve_P77754_spy.pdf</t>
  </si>
  <si>
    <t>Melting_Curves/meltCurve_P77756_queC.pdf</t>
  </si>
  <si>
    <t>Melting_Curves/meltCurve_P77774_bamB.pdf</t>
  </si>
  <si>
    <t>Melting_Curves/meltCurve_P77775_yfcH.pdf</t>
  </si>
  <si>
    <t>Melting_Curves/meltCurve_P77781_menI.pdf</t>
  </si>
  <si>
    <t>Melting_Curves/meltCurve_P77783_ynfF.pdf</t>
  </si>
  <si>
    <t>Melting_Curves/meltCurve_P77791_maa.pdf</t>
  </si>
  <si>
    <t>Melting_Curves/meltCurve_P77795_ydcT.pdf</t>
  </si>
  <si>
    <t>Melting_Curves/meltCurve_P77804_ydgA.pdf</t>
  </si>
  <si>
    <t>Melting_Curves/meltCurve_P77808_yfaY.pdf</t>
  </si>
  <si>
    <t>Melting_Curves/meltCurve_P78055_fsaA.pdf</t>
  </si>
  <si>
    <t>Melting_Curves/meltCurve_P78067_ynjE.pdf</t>
  </si>
  <si>
    <t>Melting_Curves/meltCurve_P80668_feaB.pdf</t>
  </si>
  <si>
    <t>Melting_Curves/meltCurve_Q2M7R5_yibT.pdf</t>
  </si>
  <si>
    <t>Melting_Curves/meltCurve_Q2M7X4_yicS.pdf</t>
  </si>
  <si>
    <t>Melting_Curves/meltCurve_Q2MB16_yobH.pdf</t>
  </si>
  <si>
    <t>Melting_Curves/meltCurve_Q46798_ygeR.pdf</t>
  </si>
  <si>
    <t>Melting_Curves/meltCurve_Q46799_xdhA.pdf</t>
  </si>
  <si>
    <t>Melting_Curves/meltCurve_Q46800_xdhB.pdf</t>
  </si>
  <si>
    <t>Melting_Curves/meltCurve_Q46801_xdhC.pdf</t>
  </si>
  <si>
    <t>Melting_Curves/meltCurve_Q46803_ygeW.pdf</t>
  </si>
  <si>
    <t>Melting_Curves/meltCurve_Q46806_hyuA.pdf</t>
  </si>
  <si>
    <t>Melting_Curves/meltCurve_Q46807_yqeA.pdf</t>
  </si>
  <si>
    <t>Melting_Curves/meltCurve_Q46811_ygfK.pdf</t>
  </si>
  <si>
    <t>Melting_Curves/meltCurve_Q46812_ssnA.pdf</t>
  </si>
  <si>
    <t>Melting_Curves/meltCurve_Q46814_xdhD.pdf</t>
  </si>
  <si>
    <t>Melting_Curves/meltCurve_Q46822_idi.pdf</t>
  </si>
  <si>
    <t>Melting_Curves/meltCurve_Q46829_bglA.pdf</t>
  </si>
  <si>
    <t>Melting_Curves/meltCurve_Q46845_yghU.pdf</t>
  </si>
  <si>
    <t>Melting_Curves/meltCurve_Q46851_gpr.pdf</t>
  </si>
  <si>
    <t>Melting_Curves/meltCurve_Q46856_yqhD.pdf</t>
  </si>
  <si>
    <t>Melting_Curves/meltCurve_Q46857_dkgA.pdf</t>
  </si>
  <si>
    <t>Melting_Curves/meltCurve_Q46858_yqhG.pdf</t>
  </si>
  <si>
    <t>Melting_Curves/meltCurve_Q46863_ygiS.pdf</t>
  </si>
  <si>
    <t>Melting_Curves/meltCurve_Q46864_mqsA.pdf</t>
  </si>
  <si>
    <t>Melting_Curves/meltCurve_Q46868_yqiC.pdf</t>
  </si>
  <si>
    <t>Melting_Curves/meltCurve_Q46871_yqjH.pdf</t>
  </si>
  <si>
    <t>Melting_Curves/meltCurve_Q46891_ygbM.pdf</t>
  </si>
  <si>
    <t>Melting_Curves/meltCurve_Q46893_ispD.pdf</t>
  </si>
  <si>
    <t>Melting_Curves/meltCurve_Q46920_queF.pdf</t>
  </si>
  <si>
    <t>Melting_Curves/meltCurve_Q46927_tcdA.pdf</t>
  </si>
  <si>
    <t>Melting_Curves/meltCurve_Q46938_kduI.pdf</t>
  </si>
  <si>
    <t>Melting_Curves/meltCurve_Q46948_yajL.pdf</t>
  </si>
  <si>
    <t>Melting_Curves/meltCurve_Q47146_fadE.pdf</t>
  </si>
  <si>
    <t>Melting_Curves/meltCurve_Q47147_yafJ.pdf</t>
  </si>
  <si>
    <t>Melting_Curves/meltCurve_Q47150_dinJ.pdf</t>
  </si>
  <si>
    <t>Melting_Curves/meltCurve_Q47156_yafN.pdf</t>
  </si>
  <si>
    <t>Melting_Curves/meltCurve_Q47537_tauA.pdf</t>
  </si>
  <si>
    <t>Melting_Curves/meltCurve_Q47622_sapA.pdf</t>
  </si>
  <si>
    <t>Melting_Curves/meltCurve_Q47679_yafV.pdf</t>
  </si>
  <si>
    <t>Melting_Curves/meltCurve_Q47690_mmuM.pdf</t>
  </si>
  <si>
    <t>Melting_Curves/meltCurve_Q47710_yqjK.pdf</t>
  </si>
  <si>
    <t>Melting_Curves/meltCurve_Q57261_truD.pdf</t>
  </si>
  <si>
    <t>Melting_Curves/meltCurve_Q59385_copA.pdf</t>
  </si>
  <si>
    <t>Melting_Curves/meltCurve_Q6BF16_dgoA.pdf</t>
  </si>
  <si>
    <t>Melting_Curves/meltCurve_Q93K97_nudF.pdf</t>
  </si>
  <si>
    <t>Melting_Curves/meltCurve_Q9LBU0_kgtP.pdf</t>
  </si>
  <si>
    <t>Melting_Curves/meltCurve_Q9LBU5_yrdA.pdf</t>
  </si>
  <si>
    <t>Melting_Curves/meltCurve_Q9LBV1_mobB.pdf</t>
  </si>
  <si>
    <t>Yes</t>
  </si>
  <si>
    <t>No</t>
  </si>
  <si>
    <t>Putative lipoprotein RzoQ</t>
  </si>
  <si>
    <t>Beta-galactosidase</t>
  </si>
  <si>
    <t>Sensor protein PmrB</t>
  </si>
  <si>
    <t>6-phosphogluconate dehydrogenase, decarboxylating</t>
  </si>
  <si>
    <t>Fumarate reductase flavoprotein subunit</t>
  </si>
  <si>
    <t>NADP-specific glutamate dehydrogenase</t>
  </si>
  <si>
    <t>NADH dehydrogenase</t>
  </si>
  <si>
    <t>Superoxide dismutase [Mn]</t>
  </si>
  <si>
    <t>Ribonucleoside-diphosphate reductase 1 subunit alpha</t>
  </si>
  <si>
    <t>Maltodextrin phosphorylase</t>
  </si>
  <si>
    <t>Aspartate aminotransferase</t>
  </si>
  <si>
    <t>Homoserine kinase</t>
  </si>
  <si>
    <t>PTS system mannitol-specific EIICBA component</t>
  </si>
  <si>
    <t>Bifunctional aspartokinase/homoserine dehydrogenase 1</t>
  </si>
  <si>
    <t>Bifunctional aspartokinase/homoserine dehydrogenase 2</t>
  </si>
  <si>
    <t>RNA polymerase sigma factor RpoD</t>
  </si>
  <si>
    <t>DNA polymerase I</t>
  </si>
  <si>
    <t>Alkaline phosphatase</t>
  </si>
  <si>
    <t>Signal peptidase I</t>
  </si>
  <si>
    <t>L-asparaginase 2</t>
  </si>
  <si>
    <t>Beta-lactamase</t>
  </si>
  <si>
    <t>Phosphoenolpyruvate carboxylase</t>
  </si>
  <si>
    <t>Phospho-2-dehydro-3-deoxyheptonate aldolase, Trp-sensitive</t>
  </si>
  <si>
    <t>Anthranilate synthase component 1</t>
  </si>
  <si>
    <t>Aminodeoxychorismate synthase component 2</t>
  </si>
  <si>
    <t>Bifunctional protein TrpGD</t>
  </si>
  <si>
    <t>Tryptophan biosynthesis protein TrpCF</t>
  </si>
  <si>
    <t>D-serine dehydratase</t>
  </si>
  <si>
    <t>Threonine synthase</t>
  </si>
  <si>
    <t>Cystathionine gamma-synthase</t>
  </si>
  <si>
    <t>Xylose isomerase</t>
  </si>
  <si>
    <t>Mannose-6-phosphate isomerase</t>
  </si>
  <si>
    <t>Tryptophan--tRNA ligase</t>
  </si>
  <si>
    <t>Isoleucine--tRNA ligase</t>
  </si>
  <si>
    <t>Alanine--tRNA ligase</t>
  </si>
  <si>
    <t>Methionine--tRNA ligase</t>
  </si>
  <si>
    <t>Glycine--tRNA ligase alpha subunit</t>
  </si>
  <si>
    <t>Glycine--tRNA ligase beta subunit</t>
  </si>
  <si>
    <t>Glutamine--tRNA ligase</t>
  </si>
  <si>
    <t>Aspartate--ammonia ligase</t>
  </si>
  <si>
    <t>Carbamoyl-phosphate synthase large chain</t>
  </si>
  <si>
    <t>30S ribosomal protein S6</t>
  </si>
  <si>
    <t>30S ribosomal protein S7</t>
  </si>
  <si>
    <t>50S ribosomal protein L15</t>
  </si>
  <si>
    <t>Penicillin-binding protein 1A</t>
  </si>
  <si>
    <t>Penicillin-binding protein 1B</t>
  </si>
  <si>
    <t>L-arabinose-binding periplasmic protein</t>
  </si>
  <si>
    <t>Ribose import binding protein RbsB</t>
  </si>
  <si>
    <t>Protein TonB</t>
  </si>
  <si>
    <t>Outer membrane protein TolC</t>
  </si>
  <si>
    <t>Outer membrane protein F</t>
  </si>
  <si>
    <t>Methyl-accepting chemotaxis protein I</t>
  </si>
  <si>
    <t>Maltoporin</t>
  </si>
  <si>
    <t>Chromosomal replication initiator protein DnaA</t>
  </si>
  <si>
    <t>DNA polymerase III subunit epsilon</t>
  </si>
  <si>
    <t>DNA helicase II</t>
  </si>
  <si>
    <t>Lactose operon repressor</t>
  </si>
  <si>
    <t>HTH-type transcriptional regulator GalR</t>
  </si>
  <si>
    <t>Uncharacterized protein YgeA</t>
  </si>
  <si>
    <t>Protein MioC</t>
  </si>
  <si>
    <t>Glutathione-regulated potassium-efflux system protein KefC</t>
  </si>
  <si>
    <t>Maltose operon periplasmic protein</t>
  </si>
  <si>
    <t>4-hydroxy-tetrahydrodipicolinate reductase</t>
  </si>
  <si>
    <t>GMP synthase [glutamine-hydrolyzing]</t>
  </si>
  <si>
    <t>Esterase FrsA</t>
  </si>
  <si>
    <t>Glutathione synthetase</t>
  </si>
  <si>
    <t>Aromatic-amino-acid aminotransferase</t>
  </si>
  <si>
    <t>Glutamate--tRNA ligase</t>
  </si>
  <si>
    <t>Leucine-specific-binding protein</t>
  </si>
  <si>
    <t>Aminopeptidase N</t>
  </si>
  <si>
    <t>Lipoprotein 28</t>
  </si>
  <si>
    <t>Flagellin</t>
  </si>
  <si>
    <t>3-deoxy-manno-octulosonate cytidylyltransferase</t>
  </si>
  <si>
    <t>L-threonine dehydratase biosynthetic IlvA</t>
  </si>
  <si>
    <t>D-ribose pyranase</t>
  </si>
  <si>
    <t>Ribose import ATP-binding protein RbsA</t>
  </si>
  <si>
    <t>RecBCD enzyme subunit RecD</t>
  </si>
  <si>
    <t>Exodeoxyribonuclease 7 large subunit</t>
  </si>
  <si>
    <t>Exodeoxyribonuclease I</t>
  </si>
  <si>
    <t>Dihydroorotase</t>
  </si>
  <si>
    <t>Aminodeoxychorismate synthase component 1</t>
  </si>
  <si>
    <t>Fumarate hydratase class II</t>
  </si>
  <si>
    <t>Alpha-ketoglutarate-dependent dioxygenase AlkB</t>
  </si>
  <si>
    <t>Polyribonucleotide nucleotidyltransferase</t>
  </si>
  <si>
    <t>3-dehydroquinate dehydratase</t>
  </si>
  <si>
    <t>Protease 3</t>
  </si>
  <si>
    <t>Erythronate-4-phosphate dehydrogenase</t>
  </si>
  <si>
    <t>Formamidopyrimidine-DNA glycosylase</t>
  </si>
  <si>
    <t>Bis(5-nucleosyl)-tetraphosphatase [symmetrical]</t>
  </si>
  <si>
    <t>Methyl-accepting chemotaxis protein III</t>
  </si>
  <si>
    <t>Sorbitol-6-phosphate 2-dehydrogenase</t>
  </si>
  <si>
    <t>Dihydroxy-acid dehydratase</t>
  </si>
  <si>
    <t>Ketol-acid reductoisomerase (NADP(+))</t>
  </si>
  <si>
    <t>Beta-glucuronidase</t>
  </si>
  <si>
    <t>Ferrienterobactin receptor</t>
  </si>
  <si>
    <t>HTH-type transcriptional regulator IlvY</t>
  </si>
  <si>
    <t>Vitamin B12 transporter BtuB</t>
  </si>
  <si>
    <t>Bifunctional transcriptional activator/DNA repair enzyme Ada</t>
  </si>
  <si>
    <t>D-lactate dehydrogenase</t>
  </si>
  <si>
    <t>CDP-diacylglycerol pyrophosphatase</t>
  </si>
  <si>
    <t>Thioredoxin/glutathione peroxidase BtuE</t>
  </si>
  <si>
    <t>DNA topoisomerase 1</t>
  </si>
  <si>
    <t>GTPase Era</t>
  </si>
  <si>
    <t>Bifunctional ligase/repressor BirA</t>
  </si>
  <si>
    <t>DNA polymerase III subunit tau</t>
  </si>
  <si>
    <t>Glutathione reductase</t>
  </si>
  <si>
    <t>Alpha-galactosidase</t>
  </si>
  <si>
    <t>Cystathionine beta-lyase MetC</t>
  </si>
  <si>
    <t>HTH-type transcriptional regulator EbgR</t>
  </si>
  <si>
    <t>Dihydrolipoyllysine-residue acetyltransferase component of pyruvate dehydrogenase complex</t>
  </si>
  <si>
    <t>Multifunctional CCA protein</t>
  </si>
  <si>
    <t>HTH-type transcriptional regulator DicA</t>
  </si>
  <si>
    <t>Deoxyuridine 5-triphosphate nucleotidohydrolase</t>
  </si>
  <si>
    <t>Ferrichrome-iron receptor</t>
  </si>
  <si>
    <t>Flagellar motor switch protein FliM</t>
  </si>
  <si>
    <t>Porphobilinogen deaminase</t>
  </si>
  <si>
    <t>Histidinol-phosphate aminotransferase</t>
  </si>
  <si>
    <t>Histidine biosynthesis bifunctional protein HisB</t>
  </si>
  <si>
    <t>Histidinol dehydrogenase</t>
  </si>
  <si>
    <t>Histidine biosynthesis bifunctional protein HisIE</t>
  </si>
  <si>
    <t>Ribosomal RNA small subunit methyltransferase A</t>
  </si>
  <si>
    <t>Outer membrane protein C</t>
  </si>
  <si>
    <t>ATP-dependent 6-phosphofructokinase isozyme 2</t>
  </si>
  <si>
    <t>Lysophospholipase L2</t>
  </si>
  <si>
    <t>NAD(P) transhydrogenase subunit alpha</t>
  </si>
  <si>
    <t>Pyruvate dehydrogenase [ubiquinone]</t>
  </si>
  <si>
    <t>Gamma-glutamyl phosphate reductase</t>
  </si>
  <si>
    <t>Peptide chain release factor RF2</t>
  </si>
  <si>
    <t>Primosomal replication protein N</t>
  </si>
  <si>
    <t>Succinate dehydrogenase iron-sulfur subunit</t>
  </si>
  <si>
    <t>Methyl-accepting chemotaxis protein II</t>
  </si>
  <si>
    <t>Methyl-accepting chemotaxis protein IV</t>
  </si>
  <si>
    <t>T-protein</t>
  </si>
  <si>
    <t>Protein UshA</t>
  </si>
  <si>
    <t>Periplasmic AppA protein</t>
  </si>
  <si>
    <t>Sodium/proline symporter</t>
  </si>
  <si>
    <t>Valine--tRNA ligase</t>
  </si>
  <si>
    <t>Chemotaxis response regulator protein-glutamate methylesterase</t>
  </si>
  <si>
    <t>Chemotaxis protein CheA</t>
  </si>
  <si>
    <t>Phenylalanine--tRNA ligase beta subunit</t>
  </si>
  <si>
    <t>Galactoside O-acetyltransferase</t>
  </si>
  <si>
    <t>Transcriptional regulatory protein TyrR</t>
  </si>
  <si>
    <t>3-dehydroquinate synthase</t>
  </si>
  <si>
    <t>Thymidine phosphorylase</t>
  </si>
  <si>
    <t>1,4-alpha-glucan branching enzyme GlgB</t>
  </si>
  <si>
    <t>Leucine--tRNA ligase</t>
  </si>
  <si>
    <t>Iron(3+)-hydroxamate-binding protein FhuD</t>
  </si>
  <si>
    <t>D-alanine--D-alanine ligase B</t>
  </si>
  <si>
    <t>L-threonine 3-dehydrogenase</t>
  </si>
  <si>
    <t>Acetolactate synthase isozyme 1 large subunit</t>
  </si>
  <si>
    <t>Phosphoribosylformylglycinamidine cyclo-ligase</t>
  </si>
  <si>
    <t>Phosphoribosylglycinamide formyltransferase</t>
  </si>
  <si>
    <t>Dihydrofolate synthase/folylpolyglutamate synthase</t>
  </si>
  <si>
    <t>Glycerol-3-phosphate transporter</t>
  </si>
  <si>
    <t>Isocitrate dehydrogenase [NADP]</t>
  </si>
  <si>
    <t>Nitrite reductase (NADH) large subunit</t>
  </si>
  <si>
    <t>L-arabinose isomerase</t>
  </si>
  <si>
    <t>Ribulokinase</t>
  </si>
  <si>
    <t>Orotidine 5-phosphate decarboxylase</t>
  </si>
  <si>
    <t>Uncharacterized protein YciH</t>
  </si>
  <si>
    <t>Phenylalanine--tRNA ligase alpha subunit</t>
  </si>
  <si>
    <t>2,3-cyclic-nucleotide 2-phosphodiesterase/3-nucleotidase</t>
  </si>
  <si>
    <t>8-oxo-dGTP diphosphatase</t>
  </si>
  <si>
    <t>Transcriptional regulatory protein CreB</t>
  </si>
  <si>
    <t>UDP-N-acetylenolpyruvoylglucosamine reductase</t>
  </si>
  <si>
    <t>USG-1 protein</t>
  </si>
  <si>
    <t>Protease 4</t>
  </si>
  <si>
    <t>D-alanyl-D-alanine carboxypeptidase DacC</t>
  </si>
  <si>
    <t>Colicin V production protein</t>
  </si>
  <si>
    <t>Chaperone protein DnaJ</t>
  </si>
  <si>
    <t>Lysine-sensitive aspartokinase 3</t>
  </si>
  <si>
    <t>Phosphoenolpyruvate-protein phosphotransferase</t>
  </si>
  <si>
    <t>Type I restriction enzyme EcoKI R protein</t>
  </si>
  <si>
    <t>Type I restriction enzyme EcoKI M protein</t>
  </si>
  <si>
    <t>Malate synthase A</t>
  </si>
  <si>
    <t>N5-carboxyaminoimidazole ribonucleotide synthase</t>
  </si>
  <si>
    <t>Exodeoxyribonuclease III</t>
  </si>
  <si>
    <t>Valine--pyruvate aminotransferase</t>
  </si>
  <si>
    <t>Xylulose kinase</t>
  </si>
  <si>
    <t>Uroporphyrinogen-III synthase</t>
  </si>
  <si>
    <t>Putative uroporphyrinogen-III C-methyltransferase</t>
  </si>
  <si>
    <t>UDP-glucose 4-epimerase</t>
  </si>
  <si>
    <t>Galactose-1-phosphate uridylyltransferase</t>
  </si>
  <si>
    <t>Respiratory nitrate reductase 1 alpha chain</t>
  </si>
  <si>
    <t>Polyamine aminopropyltransferase</t>
  </si>
  <si>
    <t>Protease 7</t>
  </si>
  <si>
    <t>PTS system N-acetylglucosamine-specific EIICBA component</t>
  </si>
  <si>
    <t>Protein GrpE</t>
  </si>
  <si>
    <t>Formate acetyltransferase 1</t>
  </si>
  <si>
    <t>Rhomboid protease GlpG</t>
  </si>
  <si>
    <t>Glycerophosphodiester phosphodiesterase, periplasmic</t>
  </si>
  <si>
    <t>Mannitol-1-phosphate 5-dehydrogenase</t>
  </si>
  <si>
    <t>Bifunctional protein PutA</t>
  </si>
  <si>
    <t>Cell division protein DedD</t>
  </si>
  <si>
    <t>Lysine/arginine/ornithine-binding periplasmic protein</t>
  </si>
  <si>
    <t>Glutamate synthase [NADPH] large chain</t>
  </si>
  <si>
    <t>Glutamate synthase [NADPH] small chain</t>
  </si>
  <si>
    <t>Molybdenum import ATP-binding protein ModC</t>
  </si>
  <si>
    <t>UvrABC system protein A</t>
  </si>
  <si>
    <t>Acetate kinase</t>
  </si>
  <si>
    <t>3-isopropylmalate dehydratase large subunit</t>
  </si>
  <si>
    <t>Acyl carrier protein</t>
  </si>
  <si>
    <t>Alanine racemase, biosynthetic</t>
  </si>
  <si>
    <t>Cysteine desulfurase IscS</t>
  </si>
  <si>
    <t>Endonuclease 4</t>
  </si>
  <si>
    <t>Acetylglutamate kinase</t>
  </si>
  <si>
    <t>Arginine repressor</t>
  </si>
  <si>
    <t>3-phosphoshikimate 1-carboxyvinyltransferase</t>
  </si>
  <si>
    <t>Shikimate kinase 1</t>
  </si>
  <si>
    <t>Shikimate kinase 2</t>
  </si>
  <si>
    <t>Argininosuccinate synthase</t>
  </si>
  <si>
    <t>ATP-dependent dethiobiotin synthetase BioD 2</t>
  </si>
  <si>
    <t>Carbamoyl-phosphate synthase small chain</t>
  </si>
  <si>
    <t>Glycerol kinase</t>
  </si>
  <si>
    <t>60 kDa chaperonin</t>
  </si>
  <si>
    <t>10 kDa chaperonin</t>
  </si>
  <si>
    <t>Nicotinamide-nucleotide amidohydrolase PncC</t>
  </si>
  <si>
    <t>ATP-dependent Clp protease proteolytic subunit</t>
  </si>
  <si>
    <t>ATP-dependent Clp protease ATP-binding subunit ClpX</t>
  </si>
  <si>
    <t>ATP-dependent protease ATPase subunit HslU</t>
  </si>
  <si>
    <t>Cardiolipin synthase A</t>
  </si>
  <si>
    <t>Cytidylate kinase</t>
  </si>
  <si>
    <t>Pantothenate kinase</t>
  </si>
  <si>
    <t>Phosphopantetheine adenylyltransferase</t>
  </si>
  <si>
    <t>Dephospho-CoA kinase</t>
  </si>
  <si>
    <t>Sulfate transporter CysZ</t>
  </si>
  <si>
    <t>D-amino acid dehydrogenase</t>
  </si>
  <si>
    <t>D-alanine--D-alanine ligase A</t>
  </si>
  <si>
    <t>Diaminopimelate epimerase</t>
  </si>
  <si>
    <t>Peptide deformylase</t>
  </si>
  <si>
    <t>Phosphopentomutase</t>
  </si>
  <si>
    <t>Deoxyribose-phosphate aldolase</t>
  </si>
  <si>
    <t>4-hydroxy-tetrahydrodipicolinate synthase</t>
  </si>
  <si>
    <t>N-acetylneuraminate lyase</t>
  </si>
  <si>
    <t>Altronate oxidoreductase</t>
  </si>
  <si>
    <t>Co-chaperone protein HscB</t>
  </si>
  <si>
    <t>Disulfide bond formation protein B</t>
  </si>
  <si>
    <t>D-aminoacyl-tRNA deacylase</t>
  </si>
  <si>
    <t>Elongation factor G</t>
  </si>
  <si>
    <t>Elongation factor P</t>
  </si>
  <si>
    <t>Elongation factor P-like protein</t>
  </si>
  <si>
    <t>Elongation factor Ts</t>
  </si>
  <si>
    <t>GTPase Der</t>
  </si>
  <si>
    <t>Probable GTP-binding protein EngB</t>
  </si>
  <si>
    <t>Enolase</t>
  </si>
  <si>
    <t>3-hydroxydecanoyl-[acyl-carrier-protein] dehydratase</t>
  </si>
  <si>
    <t>3-hydroxyacyl-[acyl-carrier-protein] dehydratase FabZ</t>
  </si>
  <si>
    <t>3-oxoacyl-[acyl-carrier-protein] synthase 3</t>
  </si>
  <si>
    <t>Flagellar L-ring protein</t>
  </si>
  <si>
    <t>Glycerol-3-phosphate dehydrogenase [NAD(P)+]</t>
  </si>
  <si>
    <t>Glucose-6-phosphate isomerase</t>
  </si>
  <si>
    <t>Galactokinase</t>
  </si>
  <si>
    <t>GTP cyclohydrolase 1</t>
  </si>
  <si>
    <t>Glycine cleavage system H protein</t>
  </si>
  <si>
    <t>tRNA uridine 5-carboxymethylaminomethyl modification enzyme MnmG</t>
  </si>
  <si>
    <t>Ribosomal RNA small subunit methyltransferase G</t>
  </si>
  <si>
    <t>Glycogen synthase</t>
  </si>
  <si>
    <t>Glucose-1-phosphate adenylyltransferase</t>
  </si>
  <si>
    <t>Thiosulfate sulfurtransferase GlpE</t>
  </si>
  <si>
    <t>Glucokinase</t>
  </si>
  <si>
    <t>Phospho-N-acetylmuramoyl-pentapeptide-transferase</t>
  </si>
  <si>
    <t>Transcription elongation factor GreA</t>
  </si>
  <si>
    <t>Glutamate--cysteine ligase</t>
  </si>
  <si>
    <t>RNA-binding protein Hfq</t>
  </si>
  <si>
    <t>Integration host factor subunit alpha</t>
  </si>
  <si>
    <t>Integration host factor subunit beta</t>
  </si>
  <si>
    <t>33 kDa chaperonin</t>
  </si>
  <si>
    <t>Chaperone protein DnaK</t>
  </si>
  <si>
    <t>Chaperone protein HscA</t>
  </si>
  <si>
    <t>Chaperone protein HtpG</t>
  </si>
  <si>
    <t>Nickel-responsive regulator</t>
  </si>
  <si>
    <t>Translation initiation factor IF-2</t>
  </si>
  <si>
    <t>Translation initiation factor IF-3</t>
  </si>
  <si>
    <t>2-dehydro-3-deoxyphosphooctonate aldolase</t>
  </si>
  <si>
    <t>Ribose-phosphate pyrophosphokinase</t>
  </si>
  <si>
    <t>Thymidylate kinase</t>
  </si>
  <si>
    <t>Acyl-[acyl-carrier-protein]--UDP-N-acetylglucosamine O-acyltransferase</t>
  </si>
  <si>
    <t>UDP-3-O-acyl-N-acetylglucosamine deacetylase</t>
  </si>
  <si>
    <t>Maf-like protein YceF</t>
  </si>
  <si>
    <t>Methylglyoxal synthase</t>
  </si>
  <si>
    <t>Cell division topological specificity factor</t>
  </si>
  <si>
    <t>Cyclic pyranopterin monophosphate synthase</t>
  </si>
  <si>
    <t>Large-conductance mechanosensitive channel</t>
  </si>
  <si>
    <t>Peptide methionine sulfoxide reductase MsrA</t>
  </si>
  <si>
    <t>Peptide methionine sulfoxide reductase MsrB</t>
  </si>
  <si>
    <t>UDP-N-acetylglucosamine 1-carboxyvinyltransferase</t>
  </si>
  <si>
    <t>Nicotinate-nucleotide adenylyltransferase</t>
  </si>
  <si>
    <t>Glutathione-regulated potassium-efflux system ancillary protein KefF</t>
  </si>
  <si>
    <t>Glucosamine-6-phosphate deaminase</t>
  </si>
  <si>
    <t>Putative N-acetylmannosamine-6-phosphate 2-epimerase</t>
  </si>
  <si>
    <t>Nucleoside diphosphate kinase</t>
  </si>
  <si>
    <t>N utilization substance protein B</t>
  </si>
  <si>
    <t>Oligoribonuclease</t>
  </si>
  <si>
    <t>Aspartate carbamoyltransferase catalytic subunit</t>
  </si>
  <si>
    <t>Aspartate 1-decarboxylase</t>
  </si>
  <si>
    <t>Pyridoxine 5-phosphate synthase</t>
  </si>
  <si>
    <t>ATP-dependent 6-phosphofructokinase isozyme 1</t>
  </si>
  <si>
    <t>Phosphoglycerate kinase</t>
  </si>
  <si>
    <t>Probable phosphoglycerate mutase GpmB</t>
  </si>
  <si>
    <t>Protein-L-isoaspartate O-methyltransferase</t>
  </si>
  <si>
    <t>Glycerol-3-phosphate acyltransferase</t>
  </si>
  <si>
    <t>Inorganic pyrophosphatase</t>
  </si>
  <si>
    <t>Polyphosphate kinase</t>
  </si>
  <si>
    <t>NAD kinase</t>
  </si>
  <si>
    <t>Glutamate 5-kinase</t>
  </si>
  <si>
    <t>ATP-dependent protease subunit HslV</t>
  </si>
  <si>
    <t>LexA repressor</t>
  </si>
  <si>
    <t>Peptidase E</t>
  </si>
  <si>
    <t>Peptidyl-tRNA hydrolase</t>
  </si>
  <si>
    <t>Adenylosuccinate synthetase</t>
  </si>
  <si>
    <t>Phosphoribosylaminoimidazole-succinocarboxamide synthase</t>
  </si>
  <si>
    <t>Dihydroorotate dehydrogenase (quinone)</t>
  </si>
  <si>
    <t>Orotate phosphoribosyltransferase</t>
  </si>
  <si>
    <t>CTP synthase</t>
  </si>
  <si>
    <t>Uridylate kinase</t>
  </si>
  <si>
    <t>Aspartate carbamoyltransferase regulatory chain</t>
  </si>
  <si>
    <t>S-adenosylmethionine decarboxylase proenzyme</t>
  </si>
  <si>
    <t>S-adenosylmethionine:tRNA ribosyltransferase-isomerase</t>
  </si>
  <si>
    <t>30S ribosome-binding factor</t>
  </si>
  <si>
    <t>Protein RecA</t>
  </si>
  <si>
    <t>Recombination protein RecR</t>
  </si>
  <si>
    <t>Peptide chain release factor RF1</t>
  </si>
  <si>
    <t>Peptide chain release factor RF3</t>
  </si>
  <si>
    <t>GTP cyclohydrolase-2</t>
  </si>
  <si>
    <t>3,4-dihydroxy-2-butanone 4-phosphate synthase</t>
  </si>
  <si>
    <t>50S ribosomal protein L10</t>
  </si>
  <si>
    <t>50S ribosomal protein L11</t>
  </si>
  <si>
    <t>50S ribosomal protein L7/L12</t>
  </si>
  <si>
    <t>50S ribosomal protein L19</t>
  </si>
  <si>
    <t>50S ribosomal protein L1</t>
  </si>
  <si>
    <t>50S ribosomal protein L20</t>
  </si>
  <si>
    <t>50S ribosomal protein L27</t>
  </si>
  <si>
    <t>50S ribosomal protein L28</t>
  </si>
  <si>
    <t>50S ribosomal protein L29</t>
  </si>
  <si>
    <t>50S ribosomal protein L31</t>
  </si>
  <si>
    <t>50S ribosomal protein L34</t>
  </si>
  <si>
    <t>50S ribosomal protein L36</t>
  </si>
  <si>
    <t>50S ribosomal protein L9</t>
  </si>
  <si>
    <t>30S ribosomal protein S10</t>
  </si>
  <si>
    <t>30S ribosomal protein S11</t>
  </si>
  <si>
    <t>30S ribosomal protein S12</t>
  </si>
  <si>
    <t>30S ribosomal protein S13</t>
  </si>
  <si>
    <t>30S ribosomal protein S16</t>
  </si>
  <si>
    <t>30S ribosomal protein S18</t>
  </si>
  <si>
    <t>30S ribosomal protein S19</t>
  </si>
  <si>
    <t>30S ribosomal protein S20</t>
  </si>
  <si>
    <t>30S ribosomal protein S2</t>
  </si>
  <si>
    <t>30S ribosomal protein S3</t>
  </si>
  <si>
    <t>30S ribosomal protein S4</t>
  </si>
  <si>
    <t>30S ribosomal protein S5</t>
  </si>
  <si>
    <t>30S ribosomal protein S8</t>
  </si>
  <si>
    <t>30S ribosomal protein S9</t>
  </si>
  <si>
    <t>Ribosome maturation factor RimM</t>
  </si>
  <si>
    <t>Ribonuclease 3</t>
  </si>
  <si>
    <t>Ribonuclease HI</t>
  </si>
  <si>
    <t>Ribose-5-phosphate isomerase A</t>
  </si>
  <si>
    <t>DNA-directed RNA polymerase subunit alpha</t>
  </si>
  <si>
    <t>DNA-directed RNA polymerase subunit omega</t>
  </si>
  <si>
    <t>Ribosome-recycling factor</t>
  </si>
  <si>
    <t>Holliday junction ATP-dependent DNA helicase RuvA</t>
  </si>
  <si>
    <t>Holliday junction ATP-dependent DNA helicase RuvB</t>
  </si>
  <si>
    <t>S-adenosylmethionine synthase</t>
  </si>
  <si>
    <t>L-seryl-tRNA(Sec) selenium transferase</t>
  </si>
  <si>
    <t>Sugar fermentation stimulation protein A</t>
  </si>
  <si>
    <t>Serine hydroxymethyltransferase</t>
  </si>
  <si>
    <t>Aerobic C4-dicarboxylate transport protein</t>
  </si>
  <si>
    <t>SsrA-binding protein</t>
  </si>
  <si>
    <t>Succinate--CoA ligase [ADP-forming] subunit beta</t>
  </si>
  <si>
    <t>5/3-nucleotidase SurE</t>
  </si>
  <si>
    <t>Queuine tRNA-ribosyltransferase</t>
  </si>
  <si>
    <t>Trigger factor</t>
  </si>
  <si>
    <t>Tryptophanase</t>
  </si>
  <si>
    <t>Protein TolB</t>
  </si>
  <si>
    <t>Triosephosphate isomerase</t>
  </si>
  <si>
    <t>Thiol peroxidase</t>
  </si>
  <si>
    <t>Transaldolase A</t>
  </si>
  <si>
    <t>Transaldolase B</t>
  </si>
  <si>
    <t>tRNA (guanine-N(1)-)-methyltransferase</t>
  </si>
  <si>
    <t>Tryptophan synthase alpha chain</t>
  </si>
  <si>
    <t>Tryptophan synthase beta chain</t>
  </si>
  <si>
    <t>Trp operon repressor</t>
  </si>
  <si>
    <t>Thymidylate synthase</t>
  </si>
  <si>
    <t>Ubiquinone/menaquinone biosynthesis C-methyltransferase UbiE</t>
  </si>
  <si>
    <t>Sulfurtransferase TusA</t>
  </si>
  <si>
    <t>RNase adapter protein RapZ</t>
  </si>
  <si>
    <t>Endoribonuclease YbeY</t>
  </si>
  <si>
    <t>Probable transcriptional regulatory protein YebC</t>
  </si>
  <si>
    <t>Probable transcriptional regulatory protein YeeN</t>
  </si>
  <si>
    <t>Phosphoenolpyruvate synthase regulatory protein</t>
  </si>
  <si>
    <t>Nucleoid-associated protein YbaB</t>
  </si>
  <si>
    <t>UPF0145 protein YbjQ</t>
  </si>
  <si>
    <t>Transcriptional repressor NrdR</t>
  </si>
  <si>
    <t>UPF0178 protein YaiI</t>
  </si>
  <si>
    <t>O-acetyl-ADP-ribose deacetylase</t>
  </si>
  <si>
    <t>UPF0227 protein YcfP</t>
  </si>
  <si>
    <t>UPF0231 protein YacL</t>
  </si>
  <si>
    <t>UPF0234 protein YajQ</t>
  </si>
  <si>
    <t>Uracil phosphoribosyltransferase</t>
  </si>
  <si>
    <t>Uridine kinase</t>
  </si>
  <si>
    <t>UvrABC system protein B</t>
  </si>
  <si>
    <t>Uronate isomerase</t>
  </si>
  <si>
    <t>NAD(P)H dehydrogenase (quinone)</t>
  </si>
  <si>
    <t>Exodeoxyribonuclease 7 small subunit</t>
  </si>
  <si>
    <t>Der GTPase-activating protein YihI</t>
  </si>
  <si>
    <t>DNA gyrase inhibitor YacG</t>
  </si>
  <si>
    <t>Putative pre-16S rRNA nuclease</t>
  </si>
  <si>
    <t>UPF0246 protein YaaA</t>
  </si>
  <si>
    <t>tRNA (guanine-N(7)-)-methyltransferase</t>
  </si>
  <si>
    <t>Ribosomal RNA large subunit methyltransferase H</t>
  </si>
  <si>
    <t>ATP-dependent RNA helicase RhlB</t>
  </si>
  <si>
    <t>Phosphatidylserine decarboxylase proenzyme</t>
  </si>
  <si>
    <t>UPF0253 protein YaeP</t>
  </si>
  <si>
    <t>Serine--tRNA ligase</t>
  </si>
  <si>
    <t>UPF0263 protein YciU</t>
  </si>
  <si>
    <t>Asparagine--tRNA ligase</t>
  </si>
  <si>
    <t>Threonine--tRNA ligase</t>
  </si>
  <si>
    <t>UPF0265 protein YeeX</t>
  </si>
  <si>
    <t>Macrodomain Ter protein</t>
  </si>
  <si>
    <t>Lysine--tRNA ligase</t>
  </si>
  <si>
    <t>Lysine--tRNA ligase, heat inducible</t>
  </si>
  <si>
    <t>Elongation factor P--(R)-beta-lysine ligase</t>
  </si>
  <si>
    <t>Probable Fe(2+)-trafficking protein</t>
  </si>
  <si>
    <t>Fumarate reductase subunit C</t>
  </si>
  <si>
    <t>Fumarate reductase subunit D</t>
  </si>
  <si>
    <t>ATP-dependent Clp protease adapter protein ClpS</t>
  </si>
  <si>
    <t>Regulator of ribonuclease activity A</t>
  </si>
  <si>
    <t>Protein SlyX</t>
  </si>
  <si>
    <t>UPF0283 membrane protein YcjF</t>
  </si>
  <si>
    <t>HTH-type transcriptional regulator ArgP</t>
  </si>
  <si>
    <t>Ribosomal protein L11 methyltransferase</t>
  </si>
  <si>
    <t>DNA-directed RNA polymerase subunit beta</t>
  </si>
  <si>
    <t>Protein Syd</t>
  </si>
  <si>
    <t>UPF0294 protein YafD</t>
  </si>
  <si>
    <t>Met repressor</t>
  </si>
  <si>
    <t>Ribonuclease BN</t>
  </si>
  <si>
    <t>Fatty acid metabolism regulator protein</t>
  </si>
  <si>
    <t>Transcriptional regulator NanR</t>
  </si>
  <si>
    <t>Transcriptional regulator SlyA</t>
  </si>
  <si>
    <t>UPF0301 protein YqgE</t>
  </si>
  <si>
    <t>UPF0304 protein YfbU</t>
  </si>
  <si>
    <t>UPF0307 protein YjgA</t>
  </si>
  <si>
    <t>Protein YceI</t>
  </si>
  <si>
    <t>Alpha-D-glucose 1-phosphate phosphatase YihX</t>
  </si>
  <si>
    <t>Sugar phosphatase YidA</t>
  </si>
  <si>
    <t>Acyl-CoA thioester hydrolase YciA</t>
  </si>
  <si>
    <t>Acyl-CoA thioester hydrolase YbgC</t>
  </si>
  <si>
    <t>Outer membrane lipoprotein Blc</t>
  </si>
  <si>
    <t>Outer membrane protein assembly factor BamC</t>
  </si>
  <si>
    <t>Outer membrane lipoprotein SlyB</t>
  </si>
  <si>
    <t>Outer membrane protein A</t>
  </si>
  <si>
    <t>Peptidoglycan-associated lipoprotein</t>
  </si>
  <si>
    <t>Outer membrane protein W</t>
  </si>
  <si>
    <t>Outer membrane protein X</t>
  </si>
  <si>
    <t>Phospholipase A1</t>
  </si>
  <si>
    <t>Phosphatidylglycerophosphatase B</t>
  </si>
  <si>
    <t>Nucleoside-specific channel-forming protein tsx</t>
  </si>
  <si>
    <t>Outer membrane protein assembly factor BamE</t>
  </si>
  <si>
    <t>Outer membrane protein assembly factor BamA</t>
  </si>
  <si>
    <t>Ribosomal-protein-alanine acetyltransferase</t>
  </si>
  <si>
    <t>Spermidine N(1)-acetyltransferase</t>
  </si>
  <si>
    <t>3-oxoacyl-[acyl-carrier-protein] synthase 1</t>
  </si>
  <si>
    <t>KHG/KDPG aldolase</t>
  </si>
  <si>
    <t>Glutamate-pyruvate aminotransferase AlaA</t>
  </si>
  <si>
    <t>L-asparaginase 1</t>
  </si>
  <si>
    <t>Chemotaxis protein CheW</t>
  </si>
  <si>
    <t>Cold shock-like protein CspD</t>
  </si>
  <si>
    <t>Cold shock-like protein CspE</t>
  </si>
  <si>
    <t>DNA polymerase III subunit beta</t>
  </si>
  <si>
    <t>Fructose-bisphosphate aldolase class 1</t>
  </si>
  <si>
    <t>Fructose-1,6-bisphosphatase class 1</t>
  </si>
  <si>
    <t>Bacterial non-heme ferritin</t>
  </si>
  <si>
    <t>Bacterial non-heme ferritin-like protein</t>
  </si>
  <si>
    <t>Cell division protein FtsZ</t>
  </si>
  <si>
    <t>Ferric uptake regulation protein</t>
  </si>
  <si>
    <t>Glyceraldehyde-3-phosphate dehydrogenase A</t>
  </si>
  <si>
    <t>D-erythrose-4-phosphate dehydrogenase</t>
  </si>
  <si>
    <t>Aldose 1-epimerase</t>
  </si>
  <si>
    <t>Glutamine synthetase</t>
  </si>
  <si>
    <t>Fructose-1,6-bisphosphatase 1 class 2</t>
  </si>
  <si>
    <t>Glutathione S-transferase GstA</t>
  </si>
  <si>
    <t>Serine acetyltransferase</t>
  </si>
  <si>
    <t>2,3,4,5-tetrahydropyridine-2,6-dicarboxylate N-succinyltransferase</t>
  </si>
  <si>
    <t>Fumarate and nitrate reduction regulatory protein</t>
  </si>
  <si>
    <t>Transcriptional regulator MntR</t>
  </si>
  <si>
    <t>HTH-type transcriptional regulator CysB</t>
  </si>
  <si>
    <t>Glycine cleavage system transcriptional activator</t>
  </si>
  <si>
    <t>Isocitrate lyase</t>
  </si>
  <si>
    <t>Transcriptional regulator ModE</t>
  </si>
  <si>
    <t>G/U mismatch-specific DNA glycosylase</t>
  </si>
  <si>
    <t>Inducible lysine decarboxylase</t>
  </si>
  <si>
    <t>Cyclopropane-fatty-acyl-phospholipid synthase</t>
  </si>
  <si>
    <t>Protein phosphatase CheZ</t>
  </si>
  <si>
    <t>Glycine cleavage system transcriptional repressor</t>
  </si>
  <si>
    <t>Ribonuclease G</t>
  </si>
  <si>
    <t>Ribokinase</t>
  </si>
  <si>
    <t>P-protein</t>
  </si>
  <si>
    <t>PhoH-like protein</t>
  </si>
  <si>
    <t>Phosphate-specific transport system accessory protein PhoU</t>
  </si>
  <si>
    <t>FKBP-type peptidyl-prolyl cis-trans isomerase SlyD</t>
  </si>
  <si>
    <t>FKBP-type 22 kDa peptidyl-prolyl cis-trans isomerase</t>
  </si>
  <si>
    <t>Peptidyl-prolyl cis-trans isomerase C</t>
  </si>
  <si>
    <t>Pyrroline-5-carboxylate reductase</t>
  </si>
  <si>
    <t>Lon protease</t>
  </si>
  <si>
    <t>Hypoxanthine phosphoribosyltransferase</t>
  </si>
  <si>
    <t>Xanthine phosphoribosyltransferase</t>
  </si>
  <si>
    <t>Phosphate acetyltransferase</t>
  </si>
  <si>
    <t>Phosphocarrier protein NPr</t>
  </si>
  <si>
    <t>Pyruvate formate-lyase 1-activating enzyme</t>
  </si>
  <si>
    <t>Dihydrolipoyl dehydrogenase</t>
  </si>
  <si>
    <t>Thioredoxin reductase</t>
  </si>
  <si>
    <t>Gluconate 5-dehydrogenase</t>
  </si>
  <si>
    <t>Aerobic respiration control protein ArcA</t>
  </si>
  <si>
    <t>Acetyl-coenzyme A carboxylase carboxyl transferase subunit beta</t>
  </si>
  <si>
    <t>Aldehyde-alcohol dehydrogenase</t>
  </si>
  <si>
    <t>Aspartate-semialdehyde dehydrogenase</t>
  </si>
  <si>
    <t>2Fe-2S ferredoxin</t>
  </si>
  <si>
    <t>Cell division ATP-binding protein FtsE</t>
  </si>
  <si>
    <t>Lactaldehyde reductase</t>
  </si>
  <si>
    <t>Galactitol-1-phosphate 5-dehydrogenase</t>
  </si>
  <si>
    <t>Glycerol dehydrogenase</t>
  </si>
  <si>
    <t>D-3-phosphoglycerate dehydrogenase</t>
  </si>
  <si>
    <t>Protein tas</t>
  </si>
  <si>
    <t>Uncharacterized ABC transporter ATP-binding protein YbbA</t>
  </si>
  <si>
    <t>Uncharacterized ABC transporter ATP-binding protein YbiT</t>
  </si>
  <si>
    <t>HTH-type transcriptional regulator PuuR</t>
  </si>
  <si>
    <t>Lipopolysaccharide export system ATP-binding protein LptB</t>
  </si>
  <si>
    <t>Uncharacterized HTH-type transcriptional regulator YiaG</t>
  </si>
  <si>
    <t>HTH-type transcriptional regulator UlaR</t>
  </si>
  <si>
    <t>Energy-dependent translational throttle protein EttA</t>
  </si>
  <si>
    <t>Acid stress protein IbaG</t>
  </si>
  <si>
    <t>Zinc import ATP-binding protein ZnuC</t>
  </si>
  <si>
    <t>Rod shape-determining protein MreB</t>
  </si>
  <si>
    <t>Cold shock protein CspA</t>
  </si>
  <si>
    <t>Cold shock-like protein CspC</t>
  </si>
  <si>
    <t>Nitrogen regulatory protein P-II 1</t>
  </si>
  <si>
    <t>Phosphocarrier protein HPr</t>
  </si>
  <si>
    <t>50S ribosomal protein L13</t>
  </si>
  <si>
    <t>Transcriptional regulatory protein OmpR</t>
  </si>
  <si>
    <t>Thioredoxin 1</t>
  </si>
  <si>
    <t>Ribosomal large subunit pseudouridine synthase A</t>
  </si>
  <si>
    <t>Ribosomal large subunit pseudouridine synthase C</t>
  </si>
  <si>
    <t>Ribosomal small subunit pseudouridine synthase A</t>
  </si>
  <si>
    <t>Protein QmcA</t>
  </si>
  <si>
    <t>Inner membrane protein YqjA</t>
  </si>
  <si>
    <t>Cardiolipin synthase B</t>
  </si>
  <si>
    <t>Thiol:disulfide interchange protein DsbE</t>
  </si>
  <si>
    <t>Uncharacterized lipoprotein YeaY</t>
  </si>
  <si>
    <t>Sensor histidine kinase YpdA</t>
  </si>
  <si>
    <t>Inner membrane protein YagU</t>
  </si>
  <si>
    <t>3-octaprenyl-4-hydroxybenzoate carboxy-lyase</t>
  </si>
  <si>
    <t>UTP--glucose-1-phosphate uridylyltransferase</t>
  </si>
  <si>
    <t>Universal stress protein D</t>
  </si>
  <si>
    <t>Universal stress protein E</t>
  </si>
  <si>
    <t>Inner membrane protein YbhL</t>
  </si>
  <si>
    <t>Iron-binding protein IscA</t>
  </si>
  <si>
    <t>Tryptophan-specific transport protein</t>
  </si>
  <si>
    <t>Serine transporter</t>
  </si>
  <si>
    <t>D-serine/D-alanine/glycine transporter</t>
  </si>
  <si>
    <t>Proline-specific permease ProY</t>
  </si>
  <si>
    <t>Arginine transport ATP-binding protein ArtP</t>
  </si>
  <si>
    <t>Dipeptide transport ATP-binding protein DppD</t>
  </si>
  <si>
    <t>Galactose/methyl galactoside import ATP-binding protein MglA</t>
  </si>
  <si>
    <t>Phosphate import ATP-binding protein PstB</t>
  </si>
  <si>
    <t>Putrescine export system ATP-binding protein SapD</t>
  </si>
  <si>
    <t>Putrescine export system ATP-binding protein SapF</t>
  </si>
  <si>
    <t>ATP-dependent zinc metalloprotease FtsH</t>
  </si>
  <si>
    <t>3-oxoacyl-[acyl-carrier-protein] synthase 2</t>
  </si>
  <si>
    <t>Malonyl CoA-acyl carrier protein transacylase</t>
  </si>
  <si>
    <t>Probable anaerobic dimethyl sulfoxide reductase chain YnfG</t>
  </si>
  <si>
    <t>Formate dehydrogenase, nitrate-inducible, iron-sulfur subunit</t>
  </si>
  <si>
    <t>Formate dehydrogenase-O iron-sulfur subunit</t>
  </si>
  <si>
    <t>Hydrogenase-2 operon protein HybA</t>
  </si>
  <si>
    <t>Hydrogenase-2 operon protein HybE</t>
  </si>
  <si>
    <t>Hydrogenase isoenzymes nickel incorporation protein HypB</t>
  </si>
  <si>
    <t>Transcriptional repressor FrmR</t>
  </si>
  <si>
    <t>Uncharacterized protein YajD</t>
  </si>
  <si>
    <t>Uncharacterized protein YbaA</t>
  </si>
  <si>
    <t>Hha toxicity modulator TomB</t>
  </si>
  <si>
    <t>Cys-tRNA(Pro)/Cys-tRNA(Cys) deacylase YbaK</t>
  </si>
  <si>
    <t>Inner membrane protein YlaC</t>
  </si>
  <si>
    <t>Inner membrane protein YbbJ</t>
  </si>
  <si>
    <t>Uncharacterized protein YbcJ</t>
  </si>
  <si>
    <t>Uncharacterized protein YbdF</t>
  </si>
  <si>
    <t>Miniconductance mechanosensitive channel YbdG</t>
  </si>
  <si>
    <t>Uncharacterized protein YbeL</t>
  </si>
  <si>
    <t>Uncharacterized protein YbfE</t>
  </si>
  <si>
    <t>Uncharacterized protein YbgE</t>
  </si>
  <si>
    <t>Uncharacterized protein YbgJ</t>
  </si>
  <si>
    <t>Uncharacterized protein YbgS</t>
  </si>
  <si>
    <t>Uncharacterized protein YbhP</t>
  </si>
  <si>
    <t>Probable L,D-transpeptidase YbiS</t>
  </si>
  <si>
    <t>Uncharacterized protein YbjN</t>
  </si>
  <si>
    <t>Replication-associated recombination protein A</t>
  </si>
  <si>
    <t>UPF0434 protein YcaR</t>
  </si>
  <si>
    <t>Envelope biogenesis factor ElyC</t>
  </si>
  <si>
    <t>Uncharacterized protein YcbJ</t>
  </si>
  <si>
    <t>Uncharacterized lipoprotein YmbA</t>
  </si>
  <si>
    <t>Inner membrane protein YccF</t>
  </si>
  <si>
    <t>Uncharacterized protein YccJ</t>
  </si>
  <si>
    <t>Sulfurtransferase TusE</t>
  </si>
  <si>
    <t>Heat shock protein HspQ</t>
  </si>
  <si>
    <t>Iron uptake system component EfeO</t>
  </si>
  <si>
    <t>Uncharacterized lipoprotein YceB</t>
  </si>
  <si>
    <t>Large ribosomal RNA subunit accumulation protein YceD</t>
  </si>
  <si>
    <t>Penicillin-binding protein activator LpoB</t>
  </si>
  <si>
    <t>Protein YcgL</t>
  </si>
  <si>
    <t>Uncharacterized protein YmgD</t>
  </si>
  <si>
    <t>Uncharacterized protein YchH</t>
  </si>
  <si>
    <t>Protein YchN</t>
  </si>
  <si>
    <t>Protein YciI</t>
  </si>
  <si>
    <t>Lipopolysaccharide assembly protein B</t>
  </si>
  <si>
    <t>Protein YciN</t>
  </si>
  <si>
    <t>Acylphosphatase</t>
  </si>
  <si>
    <t>NAD(P) transhydrogenase subunit beta</t>
  </si>
  <si>
    <t>Fructose-bisphosphate aldolase class 2</t>
  </si>
  <si>
    <t>2-amino-3-ketobutyrate coenzyme A ligase</t>
  </si>
  <si>
    <t>Branched-chain-amino-acid aminotransferase</t>
  </si>
  <si>
    <t>FAD:protein FMN transferase</t>
  </si>
  <si>
    <t>Adenylosuccinate lyase</t>
  </si>
  <si>
    <t>Phospho-2-dehydro-3-deoxyheptonate aldolase, Phe-sensitive</t>
  </si>
  <si>
    <t>Arsenate reductase</t>
  </si>
  <si>
    <t>ATP synthase subunit a</t>
  </si>
  <si>
    <t>ATP synthase subunit b</t>
  </si>
  <si>
    <t>ATP synthase subunit delta</t>
  </si>
  <si>
    <t>ATP synthase gamma chain</t>
  </si>
  <si>
    <t>ATP synthase subunit alpha</t>
  </si>
  <si>
    <t>ATP synthase subunit beta</t>
  </si>
  <si>
    <t>Magnesium-transporting ATPase, P-type 1</t>
  </si>
  <si>
    <t>Modulator of FtsH protease HflC</t>
  </si>
  <si>
    <t>Modulator of FtsH protease HflK</t>
  </si>
  <si>
    <t>Bacterioferritin</t>
  </si>
  <si>
    <t>Acetyl-coenzyme A carboxylase carboxyl transferase subunit alpha</t>
  </si>
  <si>
    <t>Biotin carboxyl carrier protein of acetyl-CoA carboxylase</t>
  </si>
  <si>
    <t>DNA-binding transcriptional regulator BolA</t>
  </si>
  <si>
    <t>Cytochrome b561</t>
  </si>
  <si>
    <t>Poly(A) polymerase I</t>
  </si>
  <si>
    <t>Ethanolamine utilization protein EutM</t>
  </si>
  <si>
    <t>Cytidine deaminase</t>
  </si>
  <si>
    <t>CDP-diacylglycerol--glycerol-3-phosphate 3-phosphatidyltransferase</t>
  </si>
  <si>
    <t>Peptidoglycan glycosyltransferase MrdB</t>
  </si>
  <si>
    <t>Cell division protein FtsA</t>
  </si>
  <si>
    <t>Citrate synthase</t>
  </si>
  <si>
    <t>ATP-dependent Clp protease ATP-binding subunit ClpA</t>
  </si>
  <si>
    <t>Magnesium transport protein CorA</t>
  </si>
  <si>
    <t>Cytochrome bo(3) ubiquinol oxidase subunit 1</t>
  </si>
  <si>
    <t>Cytochrome bo(3) ubiquinol oxidase subunit 2</t>
  </si>
  <si>
    <t>Cytochrome bo(3) ubiquinol oxidase subunit 3</t>
  </si>
  <si>
    <t>Cytochrome bd-I ubiquinol oxidase subunit 1</t>
  </si>
  <si>
    <t>Cytochrome bd-I ubiquinol oxidase subunit 2</t>
  </si>
  <si>
    <t>Cysteine synthase A</t>
  </si>
  <si>
    <t>Cytochrome c-552</t>
  </si>
  <si>
    <t>Cytochrome c-type protein NrfB</t>
  </si>
  <si>
    <t>Periplasmic nitrate reductase, electron transfer subunit</t>
  </si>
  <si>
    <t>Cytochrome c-type protein NapC</t>
  </si>
  <si>
    <t>Diacylglycerol kinase</t>
  </si>
  <si>
    <t>Anaerobic C4-dicarboxylate transporter DcuA</t>
  </si>
  <si>
    <t>Anaerobic C4-dicarboxylate transporter DcuC</t>
  </si>
  <si>
    <t>Protein DedA</t>
  </si>
  <si>
    <t>Purine nucleoside phosphorylase DeoD-type</t>
  </si>
  <si>
    <t>Coenzyme A biosynthesis bifunctional protein CoaBC</t>
  </si>
  <si>
    <t>2-hydroxy-3-oxopropionate reductase</t>
  </si>
  <si>
    <t>Dihydrofolate reductase</t>
  </si>
  <si>
    <t>DNA damage-inducible protein I</t>
  </si>
  <si>
    <t>RNA polymerase-binding transcription factor DksA</t>
  </si>
  <si>
    <t>DNA primase</t>
  </si>
  <si>
    <t>DNA polymerase III subunit theta</t>
  </si>
  <si>
    <t>DNA protection during starvation protein</t>
  </si>
  <si>
    <t>1,4-dihydroxy-2-naphthoyl-CoA synthase</t>
  </si>
  <si>
    <t>Ribosome-binding ATPase YchF</t>
  </si>
  <si>
    <t>Glyoxalase ElbB</t>
  </si>
  <si>
    <t>Biopolymer transport protein ExbB</t>
  </si>
  <si>
    <t>Protein TolQ</t>
  </si>
  <si>
    <t>Biopolymer transport protein ExbD</t>
  </si>
  <si>
    <t>Protein TolR</t>
  </si>
  <si>
    <t>Flagellar protein FliL</t>
  </si>
  <si>
    <t>Flagellar motor switch protein FliG</t>
  </si>
  <si>
    <t>3-deoxy-D-manno-octulosonate 8-phosphate phosphatase KdsC</t>
  </si>
  <si>
    <t>Chaperone SurA</t>
  </si>
  <si>
    <t>Outer membrane protein assembly factor BamD</t>
  </si>
  <si>
    <t>Flagellar biosynthetic protein FliP</t>
  </si>
  <si>
    <t>Dihydropteroate synthase</t>
  </si>
  <si>
    <t>Dihydroneopterin aldolase</t>
  </si>
  <si>
    <t>Dihydroneopterin triphosphate 2-epimerase</t>
  </si>
  <si>
    <t>Probable formate transporter 1</t>
  </si>
  <si>
    <t>Cell division protein FtsX</t>
  </si>
  <si>
    <t>Fumarate hydratase class I, aerobic</t>
  </si>
  <si>
    <t>Aspartate ammonia-lyase</t>
  </si>
  <si>
    <t>Succinate dehydrogenase flavoprotein subunit</t>
  </si>
  <si>
    <t>Succinate dehydrogenase hydrophobic membrane anchor subunit</t>
  </si>
  <si>
    <t>Fumarate reductase iron-sulfur subunit</t>
  </si>
  <si>
    <t>Zinc uptake regulation protein</t>
  </si>
  <si>
    <t>Glucose-6-phosphate 1-dehydrogenase</t>
  </si>
  <si>
    <t>Glutaredoxin 2</t>
  </si>
  <si>
    <t>Glutaredoxin 3</t>
  </si>
  <si>
    <t>Glutaredoxin 4</t>
  </si>
  <si>
    <t>Evolved beta-galactosidase subunit beta</t>
  </si>
  <si>
    <t>3-deoxy-D-manno-octulosonic acid transferase</t>
  </si>
  <si>
    <t>Lactoylglutathione lyase</t>
  </si>
  <si>
    <t>Hydroxyacylglutathione hydrolase GloB</t>
  </si>
  <si>
    <t>Glycogen phosphorylase</t>
  </si>
  <si>
    <t>Protein GnsA</t>
  </si>
  <si>
    <t>Succinate-acetate/proton symporter SatP</t>
  </si>
  <si>
    <t>Uncharacterized GST-like protein YibF</t>
  </si>
  <si>
    <t>Stringent starvation protein A</t>
  </si>
  <si>
    <t>Glutathione S-transferase GstB</t>
  </si>
  <si>
    <t>Replicative DNA helicase</t>
  </si>
  <si>
    <t>Delta-aminolevulinic acid dehydratase</t>
  </si>
  <si>
    <t>Protein HemY</t>
  </si>
  <si>
    <t>Release factor glutamine methyltransferase</t>
  </si>
  <si>
    <t>Iron-sulfur cluster insertion protein ErpA</t>
  </si>
  <si>
    <t>Bifunctional protein GlmU</t>
  </si>
  <si>
    <t>Iron-sulfur cluster assembly scaffold protein IscU</t>
  </si>
  <si>
    <t>Hydrogenase-1 large chain</t>
  </si>
  <si>
    <t>Hydrogenase-2 large chain</t>
  </si>
  <si>
    <t>Hemolysin expression-modulating protein Hha</t>
  </si>
  <si>
    <t>Purine nucleoside phosphoramidase</t>
  </si>
  <si>
    <t>DNA-binding protein HU-alpha</t>
  </si>
  <si>
    <t>DNA-binding protein HU-beta</t>
  </si>
  <si>
    <t>DNA-binding protein H-NS</t>
  </si>
  <si>
    <t>DNA-binding protein StpA</t>
  </si>
  <si>
    <t>Heat shock protein 15</t>
  </si>
  <si>
    <t>Right origin-binding protein</t>
  </si>
  <si>
    <t>Leucine-responsive regulatory protein</t>
  </si>
  <si>
    <t>cAMP-activated global transcriptional regulator CRP</t>
  </si>
  <si>
    <t>Putative aga operon transcriptional repressor</t>
  </si>
  <si>
    <t>Deoxyribose operon repressor</t>
  </si>
  <si>
    <t>L-fucose operon activator</t>
  </si>
  <si>
    <t>Glycerol-3-phosphate regulon repressor</t>
  </si>
  <si>
    <t>Exu regulon transcriptional regulator</t>
  </si>
  <si>
    <t>Glc operon transcriptional activator</t>
  </si>
  <si>
    <t>Pyruvate dehydrogenase complex repressor</t>
  </si>
  <si>
    <t>Uncharacterized HTH-type transcriptional regulator YegW</t>
  </si>
  <si>
    <t>Uncharacterized HTH-type transcriptional regulator YihL</t>
  </si>
  <si>
    <t>HTH-type transcriptional repressor AllR</t>
  </si>
  <si>
    <t>HTH-type transcriptional repressor CytR</t>
  </si>
  <si>
    <t>Catabolite repressor/activator</t>
  </si>
  <si>
    <t>HTH-type transcriptional regulator GntR</t>
  </si>
  <si>
    <t>HTH-type transcriptional repressor PurR</t>
  </si>
  <si>
    <t>Hydrogen peroxide-inducible genes activator</t>
  </si>
  <si>
    <t>Uncharacterized HTH-type transcriptional regulator YeiE</t>
  </si>
  <si>
    <t>Transcriptional repressor MprA</t>
  </si>
  <si>
    <t>HTH-type transcriptional regulator RpiR</t>
  </si>
  <si>
    <t>HTH-type transcriptional regulator UidR</t>
  </si>
  <si>
    <t>Uncharacterized HTH-type transcriptional regulator YbiH</t>
  </si>
  <si>
    <t>HTH-type transcriptional regulator RutR</t>
  </si>
  <si>
    <t>HTH-type transcriptional regulator YjdC</t>
  </si>
  <si>
    <t>Lipid A biosynthesis lauroyltransferase</t>
  </si>
  <si>
    <t>Lipopolysaccharide assembly protein A</t>
  </si>
  <si>
    <t>Protein MpaA</t>
  </si>
  <si>
    <t>Uncharacterized protein YdcH</t>
  </si>
  <si>
    <t>Putative monooxygenase YdhR</t>
  </si>
  <si>
    <t>Uncharacterized protein YdhZ</t>
  </si>
  <si>
    <t>Putative NAD(P)H nitroreductase YdjA</t>
  </si>
  <si>
    <t>Uncharacterized protein YeaG</t>
  </si>
  <si>
    <t>Uncharacterized protein YebG</t>
  </si>
  <si>
    <t>DNA-binding transcriptional activator EvgA</t>
  </si>
  <si>
    <t>Transcriptional regulatory protein DcuR</t>
  </si>
  <si>
    <t>Uncharacterized protein YecA</t>
  </si>
  <si>
    <t>Uncharacterized protein YecJ</t>
  </si>
  <si>
    <t>Protein YeeZ</t>
  </si>
  <si>
    <t>Uncharacterized protein YejG</t>
  </si>
  <si>
    <t>UPF0352 protein YejL</t>
  </si>
  <si>
    <t>Inner membrane protein YejM</t>
  </si>
  <si>
    <t>UPF0381 protein YfcZ</t>
  </si>
  <si>
    <t>Uncharacterized protein YfeC</t>
  </si>
  <si>
    <t>Uncharacterized protein YpeB</t>
  </si>
  <si>
    <t>Phosphatidylglycerophosphatase C</t>
  </si>
  <si>
    <t>Uncharacterized protein YfhG</t>
  </si>
  <si>
    <t>Inner membrane protein YphA</t>
  </si>
  <si>
    <t>Ribosome-associated inhibitor A</t>
  </si>
  <si>
    <t>Octaprenyl diphosphate synthase</t>
  </si>
  <si>
    <t>Inhibitor of vertebrate lysozyme</t>
  </si>
  <si>
    <t>Pyruvate kinase I</t>
  </si>
  <si>
    <t>Leu/Ile/Val-binding protein</t>
  </si>
  <si>
    <t>Acyl-CoA thioesterase 1</t>
  </si>
  <si>
    <t>Murein hydrolase activator NlpD</t>
  </si>
  <si>
    <t>Uncharacterized lipoprotein YajG</t>
  </si>
  <si>
    <t>Osmotically-inducible putative lipoprotein OsmE</t>
  </si>
  <si>
    <t>LPS-assembly lipoprotein LptE</t>
  </si>
  <si>
    <t>Lipoprotein-releasing system transmembrane protein LolC</t>
  </si>
  <si>
    <t>Lipopolysaccharide export system permease protein LptG</t>
  </si>
  <si>
    <t>Translocation and assembly module TamA</t>
  </si>
  <si>
    <t>Uncharacterized protein YgaU</t>
  </si>
  <si>
    <t>tRNA-modifying protein YgfZ</t>
  </si>
  <si>
    <t>Acetolactate synthase isozyme 1 small subunit</t>
  </si>
  <si>
    <t>Inositol-1-monophosphatase</t>
  </si>
  <si>
    <t>Inosine-5-monophosphate dehydrogenase</t>
  </si>
  <si>
    <t>Enterobactin synthase component B</t>
  </si>
  <si>
    <t>Isochorismatase family protein YecD</t>
  </si>
  <si>
    <t>Uncharacterized protein YiaF</t>
  </si>
  <si>
    <t>Uncharacterized protein YibL</t>
  </si>
  <si>
    <t>Uncharacterized protein YidQ</t>
  </si>
  <si>
    <t>Protein ViaA</t>
  </si>
  <si>
    <t>UPF0438 protein YifE</t>
  </si>
  <si>
    <t>Uncharacterized lipoprotein YifL</t>
  </si>
  <si>
    <t>5-amino-6-(5-phospho-D-ribitylamino)uracil phosphatase YigB</t>
  </si>
  <si>
    <t>Uncharacterized protein YigI</t>
  </si>
  <si>
    <t>Ubiquinone biosynthesis protein UbiJ</t>
  </si>
  <si>
    <t>Protein YihD</t>
  </si>
  <si>
    <t>Uncharacterized protein YiiD</t>
  </si>
  <si>
    <t>Uncharacterized protein YgaM</t>
  </si>
  <si>
    <t>Ribosomal RNA large subunit methyltransferase M</t>
  </si>
  <si>
    <t>LOG family protein YgdH</t>
  </si>
  <si>
    <t>Cell division protein ZapA</t>
  </si>
  <si>
    <t>Uncharacterized protein YggE</t>
  </si>
  <si>
    <t>Uncharacterized protein YggN</t>
  </si>
  <si>
    <t>UPF0441 protein YgiB</t>
  </si>
  <si>
    <t>Putative acid--amine ligase YgiC</t>
  </si>
  <si>
    <t>Uncharacterized protein YgiM</t>
  </si>
  <si>
    <t>Probable quinol monooxygenase YgiN</t>
  </si>
  <si>
    <t>Protein YgiW</t>
  </si>
  <si>
    <t>Lipopolysaccharide export system protein LptA</t>
  </si>
  <si>
    <t>Uncharacterized protein YhbW</t>
  </si>
  <si>
    <t>Probable phospholipid-binding protein MlaC</t>
  </si>
  <si>
    <t>Lipopolysaccharide export system protein LptC</t>
  </si>
  <si>
    <t>Inner membrane protein YhcB</t>
  </si>
  <si>
    <t>Protein YhfA</t>
  </si>
  <si>
    <t>Uncharacterized protein YhhA</t>
  </si>
  <si>
    <t>Ribosomal RNA small subunit methyltransferase D</t>
  </si>
  <si>
    <t>Peptidyl-prolyl cis-trans isomerase D</t>
  </si>
  <si>
    <t>50S ribosomal protein L14</t>
  </si>
  <si>
    <t>50S ribosomal protein L16</t>
  </si>
  <si>
    <t>50S ribosomal protein L23</t>
  </si>
  <si>
    <t>30S ribosomal protein S15</t>
  </si>
  <si>
    <t>UPF0092 membrane protein YajC</t>
  </si>
  <si>
    <t>tRNA (cytidine/uridine-2-O-)-methyltransferase TrmJ</t>
  </si>
  <si>
    <t>Multidrug efflux pump subunit AcrA</t>
  </si>
  <si>
    <t>Alkyl hydroperoxide reductase subunit C</t>
  </si>
  <si>
    <t>AMP nucleosidase</t>
  </si>
  <si>
    <t>Protein AmpE</t>
  </si>
  <si>
    <t>Methionine aminopeptidase</t>
  </si>
  <si>
    <t>Class B acid phosphatase</t>
  </si>
  <si>
    <t>L-arabinose transport system permease protein AraH</t>
  </si>
  <si>
    <t>Protein AroM</t>
  </si>
  <si>
    <t>Arginine ABC transporter permease protein ArtQ</t>
  </si>
  <si>
    <t>Arginine N-succinyltransferase</t>
  </si>
  <si>
    <t>Transcriptional regulatory protein YpdB</t>
  </si>
  <si>
    <t>UPF0053 inner membrane protein YtfL</t>
  </si>
  <si>
    <t>Gamma-glutamylcyclotransferase family protein YtfP</t>
  </si>
  <si>
    <t>Putative peroxiredoxin bcp</t>
  </si>
  <si>
    <t>Cell division activator CedA</t>
  </si>
  <si>
    <t>Putative cation transport regulator ChaB</t>
  </si>
  <si>
    <t>Chemotaxis protein CheY</t>
  </si>
  <si>
    <t>Endoribonuclease MazF</t>
  </si>
  <si>
    <t>Antitoxin MazE</t>
  </si>
  <si>
    <t>Magnesium and cobalt efflux protein CorC</t>
  </si>
  <si>
    <t>Sensor histidine kinase CpxA</t>
  </si>
  <si>
    <t>Periplasmic protein CpxP</t>
  </si>
  <si>
    <t>Transcriptional regulatory protein CpxR</t>
  </si>
  <si>
    <t>Protein CreA</t>
  </si>
  <si>
    <t>Siroheme synthase</t>
  </si>
  <si>
    <t>D-alanyl-D-alanine carboxypeptidase DacA</t>
  </si>
  <si>
    <t>RutC family protein YoaB</t>
  </si>
  <si>
    <t>UPF0053 inner membrane protein YoaE</t>
  </si>
  <si>
    <t>Aerobic respiration control sensor protein ArcB</t>
  </si>
  <si>
    <t>Signal transduction histidine-protein kinase BarA</t>
  </si>
  <si>
    <t>Sensor histidine kinase DcuS</t>
  </si>
  <si>
    <t>Universal stress protein A</t>
  </si>
  <si>
    <t>Response regulator UvrY</t>
  </si>
  <si>
    <t>Succinyl-diaminopimelate desuccinylase</t>
  </si>
  <si>
    <t>Protein DcrB</t>
  </si>
  <si>
    <t>Serine endoprotease DegS</t>
  </si>
  <si>
    <t>D-galactose-binding periplasmic protein</t>
  </si>
  <si>
    <t>DNA replication protein DnaC</t>
  </si>
  <si>
    <t>Dipeptide transport system permease protein DppC</t>
  </si>
  <si>
    <t>Thiol:disulfide interchange protein DsbA</t>
  </si>
  <si>
    <t>Thiol:disulfide interchange protein DsbC</t>
  </si>
  <si>
    <t>Regulator of sigma-E protease RseP</t>
  </si>
  <si>
    <t>Protein ElaA</t>
  </si>
  <si>
    <t>Protein ElaB</t>
  </si>
  <si>
    <t>tRNA-2-methylthio-N(6)-dimethylallyladenosine synthase</t>
  </si>
  <si>
    <t>Ribosomal protein S12 methylthiotransferase RimO</t>
  </si>
  <si>
    <t>Phosphatase NudJ</t>
  </si>
  <si>
    <t>Isochorismate synthase EntC</t>
  </si>
  <si>
    <t>Osmolarity sensor protein EnvZ</t>
  </si>
  <si>
    <t>Ethanolamine ammonia-lyase heavy chain</t>
  </si>
  <si>
    <t>3-oxoacyl-[acyl-carrier-protein] reductase FabG</t>
  </si>
  <si>
    <t>Enoyl-[acyl-carrier-protein] reductase [NADH] FabI</t>
  </si>
  <si>
    <t>Formate dehydrogenase, cytochrome b556(fdo) subunit</t>
  </si>
  <si>
    <t>Ferrienterobactin-binding periplasmic protein</t>
  </si>
  <si>
    <t>Negative regulator of flagellin synthesis</t>
  </si>
  <si>
    <t>RNA polymerase sigma factor FliA</t>
  </si>
  <si>
    <t>L-cystine-binding protein FliY</t>
  </si>
  <si>
    <t>NAD(P)H-flavin reductase</t>
  </si>
  <si>
    <t>L-fucose mutarotase</t>
  </si>
  <si>
    <t>Glyoxylate carboligase</t>
  </si>
  <si>
    <t>Protein GlcG</t>
  </si>
  <si>
    <t>Glutamine-binding periplasmic protein</t>
  </si>
  <si>
    <t>Glutamine transport system permease protein GlnP</t>
  </si>
  <si>
    <t>Glycerol uptake facilitator protein</t>
  </si>
  <si>
    <t>Glutamate/aspartate import permease protein GltJ</t>
  </si>
  <si>
    <t>Bifunctional glutathionylspermidine synthetase/amidase</t>
  </si>
  <si>
    <t>Glucarate dehydratase</t>
  </si>
  <si>
    <t>DNA gyrase subunit A</t>
  </si>
  <si>
    <t>DNA gyrase subunit B</t>
  </si>
  <si>
    <t>Acid stress chaperone HdeA</t>
  </si>
  <si>
    <t>Acid stress chaperone HdeB</t>
  </si>
  <si>
    <t>Protein HdeD</t>
  </si>
  <si>
    <t>7-alpha-hydroxysteroid dehydrogenase</t>
  </si>
  <si>
    <t>Histidine-binding periplasmic protein</t>
  </si>
  <si>
    <t>Chaperone protein Skp</t>
  </si>
  <si>
    <t>Regulator of RpoS</t>
  </si>
  <si>
    <t>Hydrogenase 3 maturation protease</t>
  </si>
  <si>
    <t>3,5-cyclic adenosine monophosphate phosphodiesterase CpdA</t>
  </si>
  <si>
    <t>Inosine-guanosine kinase</t>
  </si>
  <si>
    <t>1-phosphofructokinase</t>
  </si>
  <si>
    <t>Probable phosphoribulokinase</t>
  </si>
  <si>
    <t>Maltose-binding periplasmic protein</t>
  </si>
  <si>
    <t>UPF0056 inner membrane protein MarC</t>
  </si>
  <si>
    <t>Nucleoside triphosphate pyrophosphohydrolase</t>
  </si>
  <si>
    <t>Modulator of drug activity B</t>
  </si>
  <si>
    <t>Septum site-determining protein MinD</t>
  </si>
  <si>
    <t>Molybdenum cofactor biosynthesis protein B</t>
  </si>
  <si>
    <t>Molybdenum transport system permease protein ModB</t>
  </si>
  <si>
    <t>Molybdopterin adenylyltransferase</t>
  </si>
  <si>
    <t>Motility protein B</t>
  </si>
  <si>
    <t>Iron-sulfur cluster carrier protein</t>
  </si>
  <si>
    <t>5-methylthioadenosine/S-adenosylhomocysteine nucleosidase</t>
  </si>
  <si>
    <t>N-acetylglucosamine-6-phosphate deacetylase</t>
  </si>
  <si>
    <t>N-acetylglucosamine repressor</t>
  </si>
  <si>
    <t>Ribonucleotide monophosphatase NagD</t>
  </si>
  <si>
    <t>Nitrate reductase molybdenum cofactor assembly chaperone NarJ</t>
  </si>
  <si>
    <t>Nitrate/nitrite response regulator protein NarL</t>
  </si>
  <si>
    <t>Cell division protein ZapB</t>
  </si>
  <si>
    <t>UPF0047 protein YjbQ</t>
  </si>
  <si>
    <t>Uncharacterized protein YjbR</t>
  </si>
  <si>
    <t>Inner membrane protein YjcH</t>
  </si>
  <si>
    <t>Uncharacterized protein YjcO</t>
  </si>
  <si>
    <t>Uncharacterized protein YjdI</t>
  </si>
  <si>
    <t>HTH-type transcriptional repressor NsrR</t>
  </si>
  <si>
    <t>tRNA threonylcarbamoyladenosine biosynthesis protein TsaE</t>
  </si>
  <si>
    <t>Uncharacterized protein YjeI</t>
  </si>
  <si>
    <t>Regulator of ribonuclease activity B</t>
  </si>
  <si>
    <t>2-iminobutanoate/2-iminopropanoate deaminase</t>
  </si>
  <si>
    <t>Toxin-antitoxin biofilm protein TabA</t>
  </si>
  <si>
    <t>Lipopolysaccharide export system permease protein LptF</t>
  </si>
  <si>
    <t>Nitrate/nitrite sensor protein NarX</t>
  </si>
  <si>
    <t>Na(+)/H(+) antiporter NhaB</t>
  </si>
  <si>
    <t>Lipoprotein NlpI</t>
  </si>
  <si>
    <t>Nitrogen regulation protein NR(II)</t>
  </si>
  <si>
    <t>Nitrogen regulation protein NR(I)</t>
  </si>
  <si>
    <t>Dihydroneopterin triphosphate diphosphatase</t>
  </si>
  <si>
    <t>NADH-quinone oxidoreductase subunit A</t>
  </si>
  <si>
    <t>NADH-quinone oxidoreductase subunit B</t>
  </si>
  <si>
    <t>NADH-quinone oxidoreductase subunit E</t>
  </si>
  <si>
    <t>NADH-quinone oxidoreductase subunit H</t>
  </si>
  <si>
    <t>NADH-quinone oxidoreductase subunit I</t>
  </si>
  <si>
    <t>NADH-quinone oxidoreductase subunit J</t>
  </si>
  <si>
    <t>NADH-quinone oxidoreductase subunit K</t>
  </si>
  <si>
    <t>NADH-quinone oxidoreductase subunit M</t>
  </si>
  <si>
    <t>NADH-quinone oxidoreductase subunit N</t>
  </si>
  <si>
    <t>Nucleoside permease NupC</t>
  </si>
  <si>
    <t>Transcription termination/antitermination protein NusA</t>
  </si>
  <si>
    <t>Transcription termination/antitermination protein NusG</t>
  </si>
  <si>
    <t>2-oxoglutarate dehydrogenase E1 component</t>
  </si>
  <si>
    <t>Dihydrolipoyllysine-residue succinyltransferase component of 2-oxoglutarate dehydrogenase complex</t>
  </si>
  <si>
    <t>Pyruvate dehydrogenase E1 component</t>
  </si>
  <si>
    <t>Oligopeptide transport system permease protein OppB</t>
  </si>
  <si>
    <t>Oligopeptide transport system permease protein OppC</t>
  </si>
  <si>
    <t>Osmotically-inducible protein Y</t>
  </si>
  <si>
    <t>DNA topoisomerase 4 subunit A</t>
  </si>
  <si>
    <t>Pyridoxine/pyridoxamine 5-phosphate oxidase</t>
  </si>
  <si>
    <t>Putative permease PerM</t>
  </si>
  <si>
    <t>Protein PhnA</t>
  </si>
  <si>
    <t>Phosphate regulon transcriptional regulatory protein PhoB</t>
  </si>
  <si>
    <t>Low-affinity inorganic phosphate transporter 1</t>
  </si>
  <si>
    <t>Metalloprotease PmbA</t>
  </si>
  <si>
    <t>Nicotinamide riboside transporter PnuC</t>
  </si>
  <si>
    <t>Spermidine/putrescine transport system permease protein PotB</t>
  </si>
  <si>
    <t>Spermidine/putrescine transport system permease protein PotC</t>
  </si>
  <si>
    <t>Spermidine/putrescine-binding periplasmic protein</t>
  </si>
  <si>
    <t>Peptidyl-prolyl cis-trans isomerase A</t>
  </si>
  <si>
    <t>Exopolyphosphatase</t>
  </si>
  <si>
    <t>Glycine betaine/proline betaine-binding periplasmic protein</t>
  </si>
  <si>
    <t>Phosphate starvation-inducible protein PsiF</t>
  </si>
  <si>
    <t>Phage shock protein A</t>
  </si>
  <si>
    <t>Phage shock protein B</t>
  </si>
  <si>
    <t>Phage shock protein C</t>
  </si>
  <si>
    <t>GTP cyclohydrolase 1 type 2 homolog</t>
  </si>
  <si>
    <t>Uncharacterized metal-dependent hydrolase YcfH</t>
  </si>
  <si>
    <t>NTE family protein RssA</t>
  </si>
  <si>
    <t>C4-dicarboxylic acid transporter DauA</t>
  </si>
  <si>
    <t>Uncharacterized protein YciO</t>
  </si>
  <si>
    <t>Dihydromonapterin reductase</t>
  </si>
  <si>
    <t>UPF0118 inner membrane protein YdiK</t>
  </si>
  <si>
    <t>L-cystine transport system permease protein YecS</t>
  </si>
  <si>
    <t>Transcriptional regulatory protein YehT</t>
  </si>
  <si>
    <t>Inner membrane ABC transporter permease protein YejB</t>
  </si>
  <si>
    <t>Transcriptional regulatory protein GlrR</t>
  </si>
  <si>
    <t>Riboflavin synthase</t>
  </si>
  <si>
    <t>Transcription antitermination protein RfaH</t>
  </si>
  <si>
    <t>Ribosome modulation factor</t>
  </si>
  <si>
    <t>Regulator of nucleoside diphosphate kinase</t>
  </si>
  <si>
    <t>Protein rof</t>
  </si>
  <si>
    <t>Ribosome hibernation promoting factor</t>
  </si>
  <si>
    <t>Regulator of sigma D</t>
  </si>
  <si>
    <t>Sigma-E factor regulatory protein RseB</t>
  </si>
  <si>
    <t>Protein SanA</t>
  </si>
  <si>
    <t>Negative modulator of initiation of replication</t>
  </si>
  <si>
    <t>Protein SseB</t>
  </si>
  <si>
    <t>Stringent starvation protein B</t>
  </si>
  <si>
    <t>ECA polysaccharide chain length modulation protein</t>
  </si>
  <si>
    <t>Flavin prenyltransferase UbiX</t>
  </si>
  <si>
    <t>Ribulose-phosphate 3-epimerase</t>
  </si>
  <si>
    <t>Probable protease SohB</t>
  </si>
  <si>
    <t>Amidophosphoribosyltransferase</t>
  </si>
  <si>
    <t>N5-carboxyaminoimidazole ribonucleotide mutase</t>
  </si>
  <si>
    <t>GTP pyrophosphokinase</t>
  </si>
  <si>
    <t>Uncharacterized protein YibN</t>
  </si>
  <si>
    <t>Transcription termination factor Rho</t>
  </si>
  <si>
    <t>Riboflavin biosynthesis protein RibF</t>
  </si>
  <si>
    <t>50S ribosomal protein L17</t>
  </si>
  <si>
    <t>50S ribosomal protein L21</t>
  </si>
  <si>
    <t>50S ribosomal protein L30</t>
  </si>
  <si>
    <t>50S ribosomal protein L6</t>
  </si>
  <si>
    <t>30S ribosomal protein S14</t>
  </si>
  <si>
    <t>30S ribosomal protein S17</t>
  </si>
  <si>
    <t>30S ribosomal protein S1</t>
  </si>
  <si>
    <t>DNA recombination protein RmuC</t>
  </si>
  <si>
    <t>Sulfate-binding protein</t>
  </si>
  <si>
    <t>sn-glycerol-3-phosphate-binding periplasmic protein UgpB</t>
  </si>
  <si>
    <t>Phosphate-binding protein PstS</t>
  </si>
  <si>
    <t>Uncharacterized oxidoreductase YghA</t>
  </si>
  <si>
    <t>Protein-export protein SecB</t>
  </si>
  <si>
    <t>Protein translocase subunit SecD</t>
  </si>
  <si>
    <t>Protein translocase subunit SecF</t>
  </si>
  <si>
    <t>Protein translocase subunit SecE</t>
  </si>
  <si>
    <t>Protein-export membrane protein SecG</t>
  </si>
  <si>
    <t>Protein translocase subunit SecY</t>
  </si>
  <si>
    <t>Transcriptional regulatory protein UhpA</t>
  </si>
  <si>
    <t>Phosphoserine phosphatase</t>
  </si>
  <si>
    <t>ECF RNA polymerase sigma-E factor</t>
  </si>
  <si>
    <t>Soluble lytic murein transglycosylase</t>
  </si>
  <si>
    <t>Superoxide dismutase [Cu-Zn]</t>
  </si>
  <si>
    <t>Superoxide dismutase [Fe]</t>
  </si>
  <si>
    <t>Signal recognition particle protein</t>
  </si>
  <si>
    <t>Single-stranded DNA-binding protein</t>
  </si>
  <si>
    <t>Chromate reductase</t>
  </si>
  <si>
    <t>Succinate--CoA ligase [ADP-forming] subunit alpha</t>
  </si>
  <si>
    <t>Sulfur acceptor protein CsdE</t>
  </si>
  <si>
    <t>Acyl-CoA thioesterase 2</t>
  </si>
  <si>
    <t>Thioredoxin 2</t>
  </si>
  <si>
    <t>Metalloprotease TldD</t>
  </si>
  <si>
    <t>Ribose import permease protein RbsC</t>
  </si>
  <si>
    <t>Trk system potassium uptake protein TrkA</t>
  </si>
  <si>
    <t>tRNA (guanosine(18)-2-O)-methyltransferase</t>
  </si>
  <si>
    <t>Uncharacterized tRNA/rRNA methyltransferase YfiF</t>
  </si>
  <si>
    <t>tRNA (cytidine(34)-2-O)-methyltransferase</t>
  </si>
  <si>
    <t>Tyrosine--tRNA ligase</t>
  </si>
  <si>
    <t>RNA-binding protein YhbY</t>
  </si>
  <si>
    <t>HTH-type transcriptional regulator IscR</t>
  </si>
  <si>
    <t>Putative reactive intermediate deaminase TdcF</t>
  </si>
  <si>
    <t>Ribosome association toxin RatA</t>
  </si>
  <si>
    <t>Ribosomal RNA small subunit methyltransferase E</t>
  </si>
  <si>
    <t>50S ribosomal protein L18</t>
  </si>
  <si>
    <t>UPF0345 protein YaiE</t>
  </si>
  <si>
    <t>Small heat shock protein IbpA</t>
  </si>
  <si>
    <t>mRNA interferase RelE</t>
  </si>
  <si>
    <t>Antitoxin RelB</t>
  </si>
  <si>
    <t>Nucleoid occlusion factor SlmA</t>
  </si>
  <si>
    <t>Stress response kinase A</t>
  </si>
  <si>
    <t>Peroxiredoxin OsmC</t>
  </si>
  <si>
    <t>Proline/betaine transporter</t>
  </si>
  <si>
    <t>Small-conductance mechanosensitive channel</t>
  </si>
  <si>
    <t>Penicillin-insensitive murein endopeptidase</t>
  </si>
  <si>
    <t>Ribosomal protein S6--L-glutamate ligase</t>
  </si>
  <si>
    <t>Periplasmic serine endoprotease DegP</t>
  </si>
  <si>
    <t>D-tagatose-1,6-bisphosphate aldolase subunit GatY</t>
  </si>
  <si>
    <t>D-tagatose-1,6-bisphosphate aldolase subunit GatZ</t>
  </si>
  <si>
    <t>Phosphoethanolamine transferase EptC</t>
  </si>
  <si>
    <t>Elongation factor Tu 1</t>
  </si>
  <si>
    <t>Elongation factor Tu 2</t>
  </si>
  <si>
    <t>Putative lipoprotein AcfD homolog</t>
  </si>
  <si>
    <t>Clamp-binding protein CrfC</t>
  </si>
  <si>
    <t>Sensor histidine kinase RcsC</t>
  </si>
  <si>
    <t>Transcriptional regulatory protein RcsB</t>
  </si>
  <si>
    <t>Endolytic peptidoglycan transglycosylase RlpA</t>
  </si>
  <si>
    <t>Signal recognition particle receptor FtsY</t>
  </si>
  <si>
    <t>Glutamine transport ATP-binding protein GlnQ</t>
  </si>
  <si>
    <t>1-(5-phosphoribosyl)-5-[(5-phosphoribosylamino)methylideneamino] imidazole-4-carboxamide isomerase</t>
  </si>
  <si>
    <t>Enterobactin synthase component E</t>
  </si>
  <si>
    <t>Long-chain fatty acid transport protein</t>
  </si>
  <si>
    <t>Protein translocase subunit SecA</t>
  </si>
  <si>
    <t>Lipid-A-disaccharide synthase</t>
  </si>
  <si>
    <t>DNA polymerase III subunit alpha</t>
  </si>
  <si>
    <t>L-aspartate oxidase</t>
  </si>
  <si>
    <t>sn-glycerol-3-phosphate import ATP-binding protein UgpC</t>
  </si>
  <si>
    <t>Glycerophosphodiester phosphodiesterase, cytoplasmic</t>
  </si>
  <si>
    <t>Isocitrate dehydrogenase kinase/phosphatase</t>
  </si>
  <si>
    <t>Uncharacterized protein YfiL</t>
  </si>
  <si>
    <t>Respiratory nitrate reductase 1 beta chain</t>
  </si>
  <si>
    <t>Argininosuccinate lyase</t>
  </si>
  <si>
    <t>Enterobactin synthase component F</t>
  </si>
  <si>
    <t>Cell division protein DamX</t>
  </si>
  <si>
    <t>Arginine--tRNA ligase</t>
  </si>
  <si>
    <t>UDP-N-acetylmuramoyl-tripeptide--D-alanyl-D-alanine ligase</t>
  </si>
  <si>
    <t>Chorismate synthase</t>
  </si>
  <si>
    <t>Molybdopterin molybdenumtransferase</t>
  </si>
  <si>
    <t>Molybdopterin-synthase adenylyltransferase</t>
  </si>
  <si>
    <t>Uracil-DNA glycosylase</t>
  </si>
  <si>
    <t>Uridine phosphorylase</t>
  </si>
  <si>
    <t>UPF0098 protein YbhB</t>
  </si>
  <si>
    <t>Pimeloyl-[acyl-carrier protein] methyl ester esterase</t>
  </si>
  <si>
    <t>Methionine synthase</t>
  </si>
  <si>
    <t>1,6-anhydro-N-acetylmuramyl-L-alanine amidase AmpD</t>
  </si>
  <si>
    <t>Protein FdhE</t>
  </si>
  <si>
    <t>Catalase-peroxidase</t>
  </si>
  <si>
    <t>Aerobic glycerol-3-phosphate dehydrogenase</t>
  </si>
  <si>
    <t>Fe(3+) dicitrate transport protein FecA</t>
  </si>
  <si>
    <t>RNA polymerase sigma factor RpoS</t>
  </si>
  <si>
    <t>Nuclease SbcCD subunit C</t>
  </si>
  <si>
    <t>Periplasmic trehalase</t>
  </si>
  <si>
    <t>RNase E specificity factor CsrD</t>
  </si>
  <si>
    <t>Probable bifunctional chitinase/lysozyme</t>
  </si>
  <si>
    <t>Na(+)/H(+) antiporter NhaA</t>
  </si>
  <si>
    <t>Ribosomal-protein-serine acetyltransferase</t>
  </si>
  <si>
    <t>Selenocysteine-specific elongation factor</t>
  </si>
  <si>
    <t>DNA topoisomerase 3</t>
  </si>
  <si>
    <t>Transcriptional regulatory protein ZraR</t>
  </si>
  <si>
    <t>Fumarate hydratase class I, anaerobic</t>
  </si>
  <si>
    <t>UDP-N-acetylmuramoylalanine--D-glutamate ligase</t>
  </si>
  <si>
    <t>Fe(3+) dicitrate-binding periplasmic protein</t>
  </si>
  <si>
    <t>Exodeoxyribonuclease 8</t>
  </si>
  <si>
    <t>Xaa-Pro aminopeptidase</t>
  </si>
  <si>
    <t>DNA helicase IV</t>
  </si>
  <si>
    <t>DNA ligase</t>
  </si>
  <si>
    <t>2,3-dihydro-2,3-dihydroxybenzoate dehydrogenase</t>
  </si>
  <si>
    <t>Glycogen debranching enzyme</t>
  </si>
  <si>
    <t>Flagellar motor switch protein FliN</t>
  </si>
  <si>
    <t>Carbon starvation protein A</t>
  </si>
  <si>
    <t>Glucitol operon repressor</t>
  </si>
  <si>
    <t>Phosphoribosylformylglycinamidine synthase</t>
  </si>
  <si>
    <t>Flagellar regulator flk</t>
  </si>
  <si>
    <t>Cytosol non-specific dipeptidase</t>
  </si>
  <si>
    <t>Antitoxin PrlF</t>
  </si>
  <si>
    <t>Bifunctional purine biosynthesis protein PurH</t>
  </si>
  <si>
    <t>Phosphoribosylamine--glycine ligase</t>
  </si>
  <si>
    <t>Deoxyguanosinetriphosphate triphosphohydrolase</t>
  </si>
  <si>
    <t>Shikimate dehydrogenase (NADP(+))</t>
  </si>
  <si>
    <t>Quinoprotein glucose dehydrogenase</t>
  </si>
  <si>
    <t>4-alpha-glucanotransferase</t>
  </si>
  <si>
    <t>L-serine dehydratase 1</t>
  </si>
  <si>
    <t>Sodium/pantothenate symporter</t>
  </si>
  <si>
    <t>tRNA dimethylallyltransferase</t>
  </si>
  <si>
    <t>Selenide, water dikinase</t>
  </si>
  <si>
    <t>DNA replication terminus site-binding protein</t>
  </si>
  <si>
    <t>Transcriptional repressor IclR</t>
  </si>
  <si>
    <t>Proline--tRNA ligase</t>
  </si>
  <si>
    <t>Sulfate/thiosulfate import ATP-binding protein CysA</t>
  </si>
  <si>
    <t>Phosphonates import ATP-binding protein PhnC</t>
  </si>
  <si>
    <t>Protein PhnB</t>
  </si>
  <si>
    <t>Phosphoribosyl 1,2-cyclic phosphate phosphodiesterase</t>
  </si>
  <si>
    <t>Thiosulfate-binding protein</t>
  </si>
  <si>
    <t>Cysteine synthase B</t>
  </si>
  <si>
    <t>Cell shape-determining protein MreC</t>
  </si>
  <si>
    <t>2-succinyl-5-enolpyruvyl-6-hydroxy-3-cyclohexene-1-carboxylate synthase</t>
  </si>
  <si>
    <t>Arabinose 5-phosphate isomerase GutQ</t>
  </si>
  <si>
    <t>Oxygen-insensitive NADPH nitroreductase</t>
  </si>
  <si>
    <t>Glutamine--fructose-6-phosphate aminotransferase [isomerizing]</t>
  </si>
  <si>
    <t>Colicin I receptor</t>
  </si>
  <si>
    <t>UDP-N-acetylglucosamine--N-acetylmuramyl-(pentapeptide) pyrophosphoryl-undecaprenol N-acetylglucosamine transferase</t>
  </si>
  <si>
    <t>NAD/NADP-dependent betaine aldehyde dehydrogenase</t>
  </si>
  <si>
    <t>Sulfite reductase [NADPH] hemoprotein beta-component</t>
  </si>
  <si>
    <t>Phosphoadenosine phosphosulfate reductase</t>
  </si>
  <si>
    <t>UDP-N-acetylmuramate--L-alanine ligase</t>
  </si>
  <si>
    <t>Ubiquinone biosynthesis O-methyltransferase</t>
  </si>
  <si>
    <t>Septum site-determining protein MinC</t>
  </si>
  <si>
    <t>Acetylornithine/succinyldiaminopimelate aminotransferase</t>
  </si>
  <si>
    <t>Sensor protein RstB</t>
  </si>
  <si>
    <t>Dimethyl sulfoxide reductase DmsA</t>
  </si>
  <si>
    <t>Anaerobic dimethyl sulfoxide reductase chain B</t>
  </si>
  <si>
    <t>NH(3)-dependent NAD(+) synthetase</t>
  </si>
  <si>
    <t>Gamma-glutamyltranspeptidase</t>
  </si>
  <si>
    <t>Respiratory nitrate reductase 2 beta chain</t>
  </si>
  <si>
    <t>Respiratory nitrate reductase 2 alpha chain</t>
  </si>
  <si>
    <t>4-hydroxythreonine-4-phosphate dehydrogenase</t>
  </si>
  <si>
    <t>Ethanolamine ammonia-lyase light chain</t>
  </si>
  <si>
    <t>Glucose-1-phosphatase</t>
  </si>
  <si>
    <t>Protein TolA</t>
  </si>
  <si>
    <t>DNA topoisomerase 4 subunit B</t>
  </si>
  <si>
    <t>Biotin sulfoxide reductase</t>
  </si>
  <si>
    <t>Probable adenosine monophosphate-protein transferase fic</t>
  </si>
  <si>
    <t>PTS system fructose-specific EIIBBC component</t>
  </si>
  <si>
    <t>3-ketoacyl-CoA thiolase</t>
  </si>
  <si>
    <t>Sulfate adenylyltransferase subunit 2</t>
  </si>
  <si>
    <t>Xaa-Pro dipeptidase</t>
  </si>
  <si>
    <t>Constitutive ornithine decarboxylase</t>
  </si>
  <si>
    <t>Biosynthetic arginine decarboxylase</t>
  </si>
  <si>
    <t>Fatty acid oxidation complex subunit alpha</t>
  </si>
  <si>
    <t>Catalase HPII</t>
  </si>
  <si>
    <t>DNA polymerase II</t>
  </si>
  <si>
    <t>Ribonuclease I</t>
  </si>
  <si>
    <t>Protein YciF</t>
  </si>
  <si>
    <t>Protein YciE</t>
  </si>
  <si>
    <t>UPF0259 membrane protein YciC</t>
  </si>
  <si>
    <t>Uncharacterized protein YcaC</t>
  </si>
  <si>
    <t>Nicotinamidase</t>
  </si>
  <si>
    <t>Ribonuclease R</t>
  </si>
  <si>
    <t>ATP-dependent RNA helicase SrmB</t>
  </si>
  <si>
    <t>Ribonuclease E</t>
  </si>
  <si>
    <t>Pyruvate kinase II</t>
  </si>
  <si>
    <t>UDP-3-O-(3-hydroxymyristoyl)glucosamine N-acyltransferase</t>
  </si>
  <si>
    <t>Sensor protein KdpD</t>
  </si>
  <si>
    <t>KDP operon transcriptional regulatory protein KdpE</t>
  </si>
  <si>
    <t>Cysteine--tRNA ligase</t>
  </si>
  <si>
    <t>Aspartate--tRNA ligase</t>
  </si>
  <si>
    <t>Asparagine synthetase B [glutamine-hydrolyzing]</t>
  </si>
  <si>
    <t>Transcriptional regulator MraZ</t>
  </si>
  <si>
    <t>UDP-N-acetylmuramoyl-L-alanyl-D-glutamate--2,6-diaminopimelate ligase</t>
  </si>
  <si>
    <t>3(2),5-bisphosphate nucleotidase CysQ</t>
  </si>
  <si>
    <t>4-aminobutyrate aminotransferase GabT</t>
  </si>
  <si>
    <t>Phosphoenolpyruvate carboxykinase (ATP)</t>
  </si>
  <si>
    <t>Adenosine deaminase</t>
  </si>
  <si>
    <t>Chromosome partition protein MukB</t>
  </si>
  <si>
    <t>Chromosome partition protein MukE</t>
  </si>
  <si>
    <t>Probable L,D-transpeptidase YcbB</t>
  </si>
  <si>
    <t>Non-specific ribonucleoside hydrolase RihC</t>
  </si>
  <si>
    <t>Glutamate racemase</t>
  </si>
  <si>
    <t>Farnesyl diphosphate synthase</t>
  </si>
  <si>
    <t>tRNA/tmRNA (uracil-C(5))-methyltransferase</t>
  </si>
  <si>
    <t>Low affinity tryptophan permease</t>
  </si>
  <si>
    <t>Galactoside transport system permease protein MglC</t>
  </si>
  <si>
    <t>Protein MalY</t>
  </si>
  <si>
    <t>Thymidine kinase</t>
  </si>
  <si>
    <t>DNA mismatch repair protein MutL</t>
  </si>
  <si>
    <t>5-keto-4-deoxy-D-glucarate aldolase</t>
  </si>
  <si>
    <t>Glycerate 2-kinase</t>
  </si>
  <si>
    <t>Phosphoenolpyruvate synthase</t>
  </si>
  <si>
    <t>Phosphoserine aminotransferase</t>
  </si>
  <si>
    <t>Ecotin</t>
  </si>
  <si>
    <t>CDP-diacylglycerol--serine O-phosphatidyltransferase</t>
  </si>
  <si>
    <t>Transcriptional regulatory protein PhoP</t>
  </si>
  <si>
    <t>Sensor protein PhoQ</t>
  </si>
  <si>
    <t>UPF0701 protein YicC</t>
  </si>
  <si>
    <t>Periplasmic oligopeptide-binding protein</t>
  </si>
  <si>
    <t>Sulfate adenylyltransferase subunit 1</t>
  </si>
  <si>
    <t>Periplasmic dipeptide transport protein</t>
  </si>
  <si>
    <t>Trk system potassium uptake protein TrkG</t>
  </si>
  <si>
    <t>Thiosulfate sulfurtransferase PspE</t>
  </si>
  <si>
    <t>Tail-specific protease</t>
  </si>
  <si>
    <t>Peptidyl-prolyl cis-trans isomerase B</t>
  </si>
  <si>
    <t>Ferrochelatase</t>
  </si>
  <si>
    <t>Methionyl-tRNA formyltransferase</t>
  </si>
  <si>
    <t>ATP-binding/permease protein CydC</t>
  </si>
  <si>
    <t>Glutamate-1-semialdehyde 2,1-aminomutase</t>
  </si>
  <si>
    <t>Protease HtpX</t>
  </si>
  <si>
    <t>Acetylornithine deacetylase</t>
  </si>
  <si>
    <t>DNA mismatch repair protein MutS</t>
  </si>
  <si>
    <t>Fructokinase</t>
  </si>
  <si>
    <t>Apolipoprotein N-acyltransferase</t>
  </si>
  <si>
    <t>Dipeptidyl carboxypeptidase</t>
  </si>
  <si>
    <t>Lipopolysaccharide heptosyltransferase 1</t>
  </si>
  <si>
    <t>Protein YffB</t>
  </si>
  <si>
    <t>Biotin carboxylase</t>
  </si>
  <si>
    <t>Formate dehydrogenase, nitrate-inducible, major subunit</t>
  </si>
  <si>
    <t>Bifunctional protein FolD</t>
  </si>
  <si>
    <t>Hydrogenase isoenzymes formation protein HypE</t>
  </si>
  <si>
    <t>Mrr restriction system protein</t>
  </si>
  <si>
    <t>Uncharacterized GTP-binding protein YjiA</t>
  </si>
  <si>
    <t>Lipid A biosynthesis myristoyltransferase</t>
  </si>
  <si>
    <t>Mannonate dehydratase</t>
  </si>
  <si>
    <t>Flagellar hook-associated protein 2</t>
  </si>
  <si>
    <t>Holo-[acyl-carrier-protein] synthase</t>
  </si>
  <si>
    <t>D-alanyl-D-alanine carboxypeptidase DacB</t>
  </si>
  <si>
    <t>Flavohemoprotein</t>
  </si>
  <si>
    <t>HTH-type transcriptional regulator AscG</t>
  </si>
  <si>
    <t>Sigma factor-binding protein Crl</t>
  </si>
  <si>
    <t>Uncharacterized protein YbgA</t>
  </si>
  <si>
    <t>RNA polymerase sigma-54 factor</t>
  </si>
  <si>
    <t>DNA repair protein RadA</t>
  </si>
  <si>
    <t>Protease 2</t>
  </si>
  <si>
    <t>Tellurite methyltransferase</t>
  </si>
  <si>
    <t>S-(hydroxymethyl)glutathione dehydrogenase</t>
  </si>
  <si>
    <t>Aconitate hydratase A</t>
  </si>
  <si>
    <t>GTPase HflX</t>
  </si>
  <si>
    <t>tRNA modification GTPase MnmE</t>
  </si>
  <si>
    <t>Cytosine deaminase</t>
  </si>
  <si>
    <t>Succinate-semialdehyde dehydrogenase [NADP(+)] GabD</t>
  </si>
  <si>
    <t>2-octaprenylphenol hydroxylase</t>
  </si>
  <si>
    <t>Maf-like protein YhdE</t>
  </si>
  <si>
    <t>Riboflavin biosynthesis protein RibD</t>
  </si>
  <si>
    <t>Guanosine-5-triphosphate,3-diphosphate pyrophosphatase</t>
  </si>
  <si>
    <t>Lactaldehyde dehydrogenase</t>
  </si>
  <si>
    <t>5-methyltetrahydropteroyltriglutamate--homocysteine methyltransferase</t>
  </si>
  <si>
    <t>Membrane protein insertase YidC</t>
  </si>
  <si>
    <t>Periplasmic alpha-amylase</t>
  </si>
  <si>
    <t>Lipopolysaccharide core biosynthesis protein RfaG</t>
  </si>
  <si>
    <t>Lipopolysaccharide core heptose(I) kinase RfaP</t>
  </si>
  <si>
    <t>Lipopolysaccharide core heptosyltransferase RfaQ</t>
  </si>
  <si>
    <t>tRNA-specific 2-thiouridylase MnmA</t>
  </si>
  <si>
    <t>High frequency lysogenization protein HflD</t>
  </si>
  <si>
    <t>HTH-type transcriptional regulator GalS</t>
  </si>
  <si>
    <t>Flagellar M-ring protein</t>
  </si>
  <si>
    <t>NAD-dependent dihydropyrimidine dehydrogenase subunit PreA</t>
  </si>
  <si>
    <t>Metalloprotease LoiP</t>
  </si>
  <si>
    <t>Putative oxidoreductase YdbC</t>
  </si>
  <si>
    <t>2-amino-4-hydroxy-6-hydroxymethyldihydropteridine pyrophosphokinase</t>
  </si>
  <si>
    <t>Cytoplasmic alpha-amylase</t>
  </si>
  <si>
    <t>NAD-dependent malic enzyme</t>
  </si>
  <si>
    <t>Probable acrylyl-CoA reductase AcuI</t>
  </si>
  <si>
    <t>Cell division protein FtsP</t>
  </si>
  <si>
    <t>Surface composition regulator</t>
  </si>
  <si>
    <t>HTH-type transcriptional regulator CynR</t>
  </si>
  <si>
    <t>Lipopolysaccharide 1,3-galactosyltransferase</t>
  </si>
  <si>
    <t>Uncharacterized protein YfeD</t>
  </si>
  <si>
    <t>Lipopolysaccharide core heptose(II) kinase RfaY</t>
  </si>
  <si>
    <t>Phosphate acyltransferase</t>
  </si>
  <si>
    <t>Aminomethyltransferase</t>
  </si>
  <si>
    <t>Bifunctional uridylyltransferase/uridylyl-removing enzyme</t>
  </si>
  <si>
    <t>Aldehyde reductase Ahr</t>
  </si>
  <si>
    <t>Trifunctional NAD biosynthesis/regulator protein NadR</t>
  </si>
  <si>
    <t>Oligopeptidase A</t>
  </si>
  <si>
    <t>Transketolase 1</t>
  </si>
  <si>
    <t>Multidrug export protein EmrA</t>
  </si>
  <si>
    <t>Soluble pyridine nucleotide transhydrogenase</t>
  </si>
  <si>
    <t>50S ribosomal protein L16 3-hydroxylase</t>
  </si>
  <si>
    <t>Cytoskeleton protein RodZ</t>
  </si>
  <si>
    <t>Acetyl-coenzyme A synthetase</t>
  </si>
  <si>
    <t>UDP-N-acetylglucosamine 2-epimerase</t>
  </si>
  <si>
    <t>UDP-N-acetyl-D-mannosamine dehydrogenase</t>
  </si>
  <si>
    <t>dTDP-glucose 4,6-dehydratase 2</t>
  </si>
  <si>
    <t>dTDP-fucosamine acetyltransferase</t>
  </si>
  <si>
    <t>UDP-N-acetyl-D-mannosaminuronic acid transferase</t>
  </si>
  <si>
    <t>Probable transport protein YifK</t>
  </si>
  <si>
    <t>Protein CyaY</t>
  </si>
  <si>
    <t>Pyridoxal phosphate phosphatase YigL</t>
  </si>
  <si>
    <t>3-5 ssDNA/RNA exonuclease TatD</t>
  </si>
  <si>
    <t>IMPACT family member YigZ</t>
  </si>
  <si>
    <t>Membrane-bound lysozyme inhibitor of C-type lysozyme</t>
  </si>
  <si>
    <t>dCTP deaminase</t>
  </si>
  <si>
    <t>Protein AsmA</t>
  </si>
  <si>
    <t>Quinone oxidoreductase 1</t>
  </si>
  <si>
    <t>Aminodeoxychorismate lyase</t>
  </si>
  <si>
    <t>Endolytic murein transglycosylase</t>
  </si>
  <si>
    <t>Biodegradative arginine decarboxylase</t>
  </si>
  <si>
    <t>DNA polymerase III subunit delta</t>
  </si>
  <si>
    <t>tRNA (adenine(37)-N6)-methyltransferase</t>
  </si>
  <si>
    <t>D-methionine-binding lipoprotein MetQ</t>
  </si>
  <si>
    <t>Ferredoxin--NADP reductase</t>
  </si>
  <si>
    <t>Anaerobic ribonucleoside-triphosphate reductase</t>
  </si>
  <si>
    <t>Trehalose-6-phosphate hydrolase</t>
  </si>
  <si>
    <t>DNA polymerase III subunit chi</t>
  </si>
  <si>
    <t>Alanine racemase, catabolic</t>
  </si>
  <si>
    <t>Uncharacterized protein YcgB</t>
  </si>
  <si>
    <t>ATP-binding/permease protein CydD</t>
  </si>
  <si>
    <t>Cell division protein FtsN</t>
  </si>
  <si>
    <t>o-succinylbenzoate synthase</t>
  </si>
  <si>
    <t>UPF0502 protein YceH</t>
  </si>
  <si>
    <t>Uroporphyrinogen decarboxylase</t>
  </si>
  <si>
    <t>Peptidase T</t>
  </si>
  <si>
    <t>Nicotinate-nucleotide pyrophosphorylase [carboxylating]</t>
  </si>
  <si>
    <t>Ribonuclease T</t>
  </si>
  <si>
    <t>3-isopropylmalate dehydrogenase</t>
  </si>
  <si>
    <t>3-isopropylmalate dehydratase small subunit</t>
  </si>
  <si>
    <t>Transcription elongation factor GreB</t>
  </si>
  <si>
    <t>Phosphomethylpyrimidine synthase</t>
  </si>
  <si>
    <t>Hydroxypyruvate isomerase</t>
  </si>
  <si>
    <t>Uncharacterized protein YbiB</t>
  </si>
  <si>
    <t>L-serine dehydratase 2</t>
  </si>
  <si>
    <t>Molybdopterin synthase catalytic subunit</t>
  </si>
  <si>
    <t>Methionine import ATP-binding protein MetN</t>
  </si>
  <si>
    <t>Signal transduction histidine-protein kinase BaeS</t>
  </si>
  <si>
    <t>Exoribonuclease 2</t>
  </si>
  <si>
    <t>Putative ABC transporter arginine-binding protein 2</t>
  </si>
  <si>
    <t>ABC transporter arginine-binding protein 1</t>
  </si>
  <si>
    <t>2,5-diketo-D-gluconic acid reductase B</t>
  </si>
  <si>
    <t>Uncharacterized HTH-type transcriptional regulator YafC</t>
  </si>
  <si>
    <t>Bifunctional glutamine synthetase adenylyltransferase/adenylyl-removing enzyme</t>
  </si>
  <si>
    <t>Inorganic triphosphatase</t>
  </si>
  <si>
    <t>Transcription-repair-coupling factor</t>
  </si>
  <si>
    <t>3-methyl-2-oxobutanoate hydroxymethyltransferase</t>
  </si>
  <si>
    <t>Putative molybdenum transport ATP-binding protein ModF</t>
  </si>
  <si>
    <t>Uncharacterized lipoprotein YedD</t>
  </si>
  <si>
    <t>UPF0394 inner membrane protein YedE</t>
  </si>
  <si>
    <t>Flagellar assembly protein FliH</t>
  </si>
  <si>
    <t>Voltage-gated potassium channel Kch</t>
  </si>
  <si>
    <t>Bifunctional protein Aas</t>
  </si>
  <si>
    <t>Phosphoglucosamine mutase</t>
  </si>
  <si>
    <t>Uncharacterized protein YdeI</t>
  </si>
  <si>
    <t>Protein YdeJ</t>
  </si>
  <si>
    <t>Putrescine-binding periplasmic protein</t>
  </si>
  <si>
    <t>3-mercaptopyruvate sulfurtransferase</t>
  </si>
  <si>
    <t>Multidrug efflux pump subunit AcrB</t>
  </si>
  <si>
    <t>Uncharacterized protein YicH</t>
  </si>
  <si>
    <t>Adenine deaminase</t>
  </si>
  <si>
    <t>Uncharacterized protein YidR</t>
  </si>
  <si>
    <t>Galactonate operon transcriptional repressor</t>
  </si>
  <si>
    <t>ATPase RavA</t>
  </si>
  <si>
    <t>Uncharacterized HTH-type transcriptional regulator YieP</t>
  </si>
  <si>
    <t>Deferrochelatase/peroxidase EfeB</t>
  </si>
  <si>
    <t>Thiamine-binding periplasmic protein</t>
  </si>
  <si>
    <t>LPS-assembly protein LptD</t>
  </si>
  <si>
    <t>Protein deglycase 1</t>
  </si>
  <si>
    <t>2-methylcitrate synthase</t>
  </si>
  <si>
    <t>Pantothenate synthetase</t>
  </si>
  <si>
    <t>Trehalose-6-phosphate synthase</t>
  </si>
  <si>
    <t>Trehalose-6-phosphate phosphatase</t>
  </si>
  <si>
    <t>Chaperone protein FimC</t>
  </si>
  <si>
    <t>Nitrate/nitrite response regulator protein NarP</t>
  </si>
  <si>
    <t>Bifunctional NAD(P)H-hydrate repair enzyme Nnr</t>
  </si>
  <si>
    <t>Uncharacterized oxidoreductase YciK</t>
  </si>
  <si>
    <t>Probable zinc protease PqqL</t>
  </si>
  <si>
    <t>NADH-quinone oxidoreductase subunit F</t>
  </si>
  <si>
    <t>Lipoate-protein ligase A</t>
  </si>
  <si>
    <t>Oxygen-independent coproporphyrinogen III oxidase</t>
  </si>
  <si>
    <t>GTP-binding protein TypA/BipA</t>
  </si>
  <si>
    <t>Sulfoquinovosidase</t>
  </si>
  <si>
    <t>Sulfofructosephosphate aldolase</t>
  </si>
  <si>
    <t>Uncharacterized HTH-type transcriptional regulator YihW</t>
  </si>
  <si>
    <t>Protein YiiM</t>
  </si>
  <si>
    <t>Uncharacterized protein YiiQ</t>
  </si>
  <si>
    <t>UPF0381 protein YiiS</t>
  </si>
  <si>
    <t>1,4-dihydroxy-2-naphthoate octaprenyltransferase</t>
  </si>
  <si>
    <t>Molybdenum cofactor guanylyltransferase</t>
  </si>
  <si>
    <t>Formate dehydrogenase-O major subunit</t>
  </si>
  <si>
    <t>Sulfurtransferase FdhD</t>
  </si>
  <si>
    <t>Phosphoglycolate phosphatase</t>
  </si>
  <si>
    <t>NADH pyrophosphatase</t>
  </si>
  <si>
    <t>Fructose-6-phosphate aldolase 2</t>
  </si>
  <si>
    <t>Multiphosphoryl transfer protein 2</t>
  </si>
  <si>
    <t>Pyruvate formate-lyase 2-activating enzyme</t>
  </si>
  <si>
    <t>Uncharacterized protein YjaG</t>
  </si>
  <si>
    <t>23S rRNA pseudouridine(2604) synthase</t>
  </si>
  <si>
    <t>Uncharacterized protein YjbD</t>
  </si>
  <si>
    <t>tRNA-dihydrouridine(20/20a) synthase</t>
  </si>
  <si>
    <t>Uncharacterized Na(+)/H(+) exchanger YjcE</t>
  </si>
  <si>
    <t>Cation/acetate symporter ActP</t>
  </si>
  <si>
    <t>Multidrug resistance protein MdtO</t>
  </si>
  <si>
    <t>D-allose kinase</t>
  </si>
  <si>
    <t>D-allulose-6-phosphate 3-epimerase</t>
  </si>
  <si>
    <t>DNA gyrase inhibitor</t>
  </si>
  <si>
    <t>S-formylglutathione hydrolase YeiG</t>
  </si>
  <si>
    <t>Pyrimidine-specific ribonucleoside hydrolase RihB</t>
  </si>
  <si>
    <t>Pseudouridine-5-phosphate glycosidase</t>
  </si>
  <si>
    <t>Zinc-binding GTPase YeiR</t>
  </si>
  <si>
    <t>Glucans biosynthesis protein G</t>
  </si>
  <si>
    <t>Glycine dehydrogenase (decarboxylating)</t>
  </si>
  <si>
    <t>Inner membrane protein YebE</t>
  </si>
  <si>
    <t>Protein YebF</t>
  </si>
  <si>
    <t>Formate-dependent phosphoribosylglycinamide formyltransferase</t>
  </si>
  <si>
    <t>Putative acyl-CoA dehydrogenase AidB</t>
  </si>
  <si>
    <t>Trimethylamine-N-oxide reductase 1</t>
  </si>
  <si>
    <t>L-lactate dehydrogenase</t>
  </si>
  <si>
    <t>Flagellar hook-associated protein 1</t>
  </si>
  <si>
    <t>Uncharacterized protein YehS</t>
  </si>
  <si>
    <t>Glycine betaine uptake system ATP-binding protein YehX</t>
  </si>
  <si>
    <t>Glycine betaine-binding protein YehZ</t>
  </si>
  <si>
    <t>Periplasmic beta-glucosidase</t>
  </si>
  <si>
    <t>Uncharacterized oxidoreductase YohF</t>
  </si>
  <si>
    <t>tRNA-dihydrouridine(16) synthase</t>
  </si>
  <si>
    <t>Transketolase 2</t>
  </si>
  <si>
    <t>Nickel-binding periplasmic protein</t>
  </si>
  <si>
    <t>Regulatory protein RecX</t>
  </si>
  <si>
    <t>NADH-quinone oxidoreductase subunit C/D</t>
  </si>
  <si>
    <t>NADH-quinone oxidoreductase subunit G</t>
  </si>
  <si>
    <t>NADH-quinone oxidoreductase subunit L</t>
  </si>
  <si>
    <t>Ribosomal large subunit pseudouridine synthase D</t>
  </si>
  <si>
    <t>Laccase domain protein YfiH</t>
  </si>
  <si>
    <t>Uncharacterized protein YejA</t>
  </si>
  <si>
    <t>Uncharacterized ABC transporter ATP-binding protein YejF</t>
  </si>
  <si>
    <t>Nucleoid-associated protein YejK</t>
  </si>
  <si>
    <t>Cytochrome c-type biogenesis protein CcmF</t>
  </si>
  <si>
    <t>Periplasmic nitrate reductase</t>
  </si>
  <si>
    <t>Protein YdcF</t>
  </si>
  <si>
    <t>Alkyl hydroperoxide reductase subunit F</t>
  </si>
  <si>
    <t>Oxygen-dependent coproporphyrinogen-III oxidase</t>
  </si>
  <si>
    <t>Nicotinate-nucleotide--dimethylbenzimidazole phosphoribosyltransferase</t>
  </si>
  <si>
    <t>Blue copper oxidase CueO</t>
  </si>
  <si>
    <t>Thiol:disulfide interchange protein DsbD</t>
  </si>
  <si>
    <t>Curved DNA-binding protein</t>
  </si>
  <si>
    <t>PTS system trehalose-specific EIIBC component</t>
  </si>
  <si>
    <t>HTH-type transcriptional regulator TreR</t>
  </si>
  <si>
    <t>Cell division protein ZapD</t>
  </si>
  <si>
    <t>Aconitate hydratase B</t>
  </si>
  <si>
    <t>Recombination-associated protein RdgC</t>
  </si>
  <si>
    <t>Probable HTH-type transcriptional regulator LrhA</t>
  </si>
  <si>
    <t>Dipeptide and tripeptide permease B</t>
  </si>
  <si>
    <t>Uncharacterized ABC transporter ATP-binding protein YadG</t>
  </si>
  <si>
    <t>Ribosomal RNA small subunit methyltransferase B</t>
  </si>
  <si>
    <t>Phosphoglucomutase</t>
  </si>
  <si>
    <t>Dual-specificity RNA methyltransferase RlmN</t>
  </si>
  <si>
    <t>23S rRNA (guanine(745)-N(1))-methyltransferase</t>
  </si>
  <si>
    <t>Uncharacterized tRNA/rRNA methyltransferase LasT</t>
  </si>
  <si>
    <t>RNA 2,3-cyclic phosphodiesterase</t>
  </si>
  <si>
    <t>Vitamin B12-binding protein</t>
  </si>
  <si>
    <t>Formyltetrahydrofolate deformylase</t>
  </si>
  <si>
    <t>UPF0225 protein YchJ</t>
  </si>
  <si>
    <t>Peptidase B</t>
  </si>
  <si>
    <t>GDP-mannose pyrophosphatase NudK</t>
  </si>
  <si>
    <t>UPF0716 protein FxsA</t>
  </si>
  <si>
    <t>Probable Ni/Fe-hydrogenase 2 b-type cytochrome subunit</t>
  </si>
  <si>
    <t>Hydrogenase 2 maturation protease</t>
  </si>
  <si>
    <t>PTS system galactitol-specific EIIB component</t>
  </si>
  <si>
    <t>Outer membrane protein slp</t>
  </si>
  <si>
    <t>HTH-type transcriptional regulator DctR</t>
  </si>
  <si>
    <t>Probable cytochrome c peroxidase</t>
  </si>
  <si>
    <t>Dipeptide transport ATP-binding protein DppF</t>
  </si>
  <si>
    <t>Uncharacterized protein YbcH</t>
  </si>
  <si>
    <t>Inner membrane protein YfdC</t>
  </si>
  <si>
    <t>Molybdate-binding periplasmic protein</t>
  </si>
  <si>
    <t>Malate synthase G</t>
  </si>
  <si>
    <t>L-2-hydroxyglutarate oxidase LhgO</t>
  </si>
  <si>
    <t>Multidrug resistance protein MdtK</t>
  </si>
  <si>
    <t>Uncharacterized protein YjjI</t>
  </si>
  <si>
    <t>Protein-lysine deacetylase</t>
  </si>
  <si>
    <t>Ribose-5-phosphate isomerase B</t>
  </si>
  <si>
    <t>2-succinylbenzoate--CoA ligase</t>
  </si>
  <si>
    <t>D-xylose-binding periplasmic protein</t>
  </si>
  <si>
    <t>Oxidoreductase UcpA</t>
  </si>
  <si>
    <t>Signal transduction protein PmrD</t>
  </si>
  <si>
    <t>Isoaspartyl peptidase</t>
  </si>
  <si>
    <t>PanD maturation factor</t>
  </si>
  <si>
    <t>Uncharacterized protein YhhL</t>
  </si>
  <si>
    <t>Uncharacterized protein YhhM</t>
  </si>
  <si>
    <t>Lead, cadmium, zinc and mercury-transporting ATPase</t>
  </si>
  <si>
    <t>Ribosome-associated ATPase</t>
  </si>
  <si>
    <t>Uncharacterized protein YhiI</t>
  </si>
  <si>
    <t>Uncharacterized protein YhiN</t>
  </si>
  <si>
    <t>Ribosomal RNA large subunit methyltransferase J</t>
  </si>
  <si>
    <t>Multidrug resistance protein MdtE</t>
  </si>
  <si>
    <t>Multidrug resistance protein MdtF</t>
  </si>
  <si>
    <t>Uncharacterized HTH-type transcriptional regulator YhjC</t>
  </si>
  <si>
    <t>Inner membrane protein YhjD</t>
  </si>
  <si>
    <t>Uncharacterized protein YhjG</t>
  </si>
  <si>
    <t>2-dehydro-3-deoxygluconokinase</t>
  </si>
  <si>
    <t>Protein YhjJ</t>
  </si>
  <si>
    <t>Protein YhjK</t>
  </si>
  <si>
    <t>Endoglucanase</t>
  </si>
  <si>
    <t>Cyclic di-GMP-binding protein</t>
  </si>
  <si>
    <t>Protein BcsG homolog</t>
  </si>
  <si>
    <t>Kdo(2)-lipid A phosphoethanolamine 7-transferase</t>
  </si>
  <si>
    <t>Glyoxylate/hydroxypyruvate reductase B</t>
  </si>
  <si>
    <t>2,3-diketo-L-gulonate reductase</t>
  </si>
  <si>
    <t>2,3-diketo-L-gulonate-binding periplasmic protein YiaO</t>
  </si>
  <si>
    <t>Aldehyde dehydrogenase B</t>
  </si>
  <si>
    <t>2,3-bisphosphoglycerate-independent phosphoglycerate mutase</t>
  </si>
  <si>
    <t>Murein hydrolase activator EnvC</t>
  </si>
  <si>
    <t>Uncharacterized protein YibQ</t>
  </si>
  <si>
    <t>ADP-heptose--LPS heptosyltransferase 2</t>
  </si>
  <si>
    <t>Glucose-1-phosphate thymidylyltransferase 1</t>
  </si>
  <si>
    <t>dTDP-4-dehydrorhamnose 3,5-epimerase</t>
  </si>
  <si>
    <t>UDP-galactopyranose mutase</t>
  </si>
  <si>
    <t>Beta-1,6-galactofuranosyltransferase WbbI</t>
  </si>
  <si>
    <t>Putative lipopolysaccharide biosynthesis O-acetyl transferase WbbJ</t>
  </si>
  <si>
    <t>Putative glycosyltransferase WbbK</t>
  </si>
  <si>
    <t>Uncharacterized isomerase YddE</t>
  </si>
  <si>
    <t>dTDP-glucose 4,6-dehydratase 1</t>
  </si>
  <si>
    <t>dTDP-4-dehydrorhamnose reductase</t>
  </si>
  <si>
    <t>Ribosomal large subunit pseudouridine synthase B</t>
  </si>
  <si>
    <t>Uncharacterized HTH-type transcriptional regulator YfhH</t>
  </si>
  <si>
    <t>2-dehydro-3-deoxy-D-gluconate 5-dehydrogenase</t>
  </si>
  <si>
    <t>UDP-N-acetylmuramate--L-alanyl-gamma-D-glutamyl-meso-2,6-diaminoheptandioate ligase</t>
  </si>
  <si>
    <t>L-cystine transport system ATP-binding protein YecC</t>
  </si>
  <si>
    <t>Chitooligosaccharide deacetylase ChbG</t>
  </si>
  <si>
    <t>Glutamate/aspartate import solute-binding protein</t>
  </si>
  <si>
    <t>Universal stress protein F</t>
  </si>
  <si>
    <t>Sulfite reductase [NADPH] flavoprotein alpha-component</t>
  </si>
  <si>
    <t>Isochorismate synthase MenF</t>
  </si>
  <si>
    <t>Probable diguanylate cyclase YegE</t>
  </si>
  <si>
    <t>Starvation-sensing protein RspA</t>
  </si>
  <si>
    <t>Superinfection exclusion protein B</t>
  </si>
  <si>
    <t>Oxygen-insensitive NAD(P)H nitroreductase</t>
  </si>
  <si>
    <t>Uncharacterized protein YggL</t>
  </si>
  <si>
    <t>Periplasmic pH-dependent serine endoprotease DegQ</t>
  </si>
  <si>
    <t>D-mannonate oxidoreductase</t>
  </si>
  <si>
    <t>Uxu operon transcriptional regulator</t>
  </si>
  <si>
    <t>High-affinity zinc uptake system protein ZnuA</t>
  </si>
  <si>
    <t>Putative glucose-6-phosphate 1-epimerase</t>
  </si>
  <si>
    <t>Probable L,D-transpeptidase ErfK/SrfK</t>
  </si>
  <si>
    <t>Universal stress protein UP12</t>
  </si>
  <si>
    <t>Antigen 43</t>
  </si>
  <si>
    <t>Uncharacterized protein YtfJ</t>
  </si>
  <si>
    <t>Lysophospholipid transporter LplT</t>
  </si>
  <si>
    <t>50S ribosomal protein L3 glutamine methyltransferase</t>
  </si>
  <si>
    <t>D-allose-binding periplasmic protein</t>
  </si>
  <si>
    <t>Uncharacterized protein YjcZ</t>
  </si>
  <si>
    <t>Uncharacterized protein YjdJ</t>
  </si>
  <si>
    <t>Miniconductance mechanosensitive channel MscM</t>
  </si>
  <si>
    <t>Small ribosomal subunit biogenesis GTPase RsgA</t>
  </si>
  <si>
    <t>Lipoprotein BsmA</t>
  </si>
  <si>
    <t>Esterase YjfP</t>
  </si>
  <si>
    <t>Uncharacterized protein YtfB</t>
  </si>
  <si>
    <t>Quinone oxidoreductase 2</t>
  </si>
  <si>
    <t>Translocation and assembly module TamB</t>
  </si>
  <si>
    <t>ABC transporter periplasmic-binding protein YtfQ</t>
  </si>
  <si>
    <t>RutC family protein YjgH</t>
  </si>
  <si>
    <t>Uncharacterized N-acetyltransferase YjgM</t>
  </si>
  <si>
    <t>Uncharacterized protein YjgR</t>
  </si>
  <si>
    <t>L-idonate 5-dehydrogenase (NAD(P)(+))</t>
  </si>
  <si>
    <t>Uncharacterized transcriptional regulator YjhU</t>
  </si>
  <si>
    <t>Uncharacterized protein YjhG</t>
  </si>
  <si>
    <t>Putative phosphotransferase IIA component SgcA</t>
  </si>
  <si>
    <t>Putative permease IIC component</t>
  </si>
  <si>
    <t>Putative aminopeptidase SgcX</t>
  </si>
  <si>
    <t>N-acetylneuraminate epimerase</t>
  </si>
  <si>
    <t>Isoaspartyl dipeptidase</t>
  </si>
  <si>
    <t>Uncharacterized protein YjiL</t>
  </si>
  <si>
    <t>Uncharacterized protein YjiM</t>
  </si>
  <si>
    <t>Uncharacterized protein YjiN</t>
  </si>
  <si>
    <t>Inner membrane protein YjiY</t>
  </si>
  <si>
    <t>Phosphoglycerol transferase I</t>
  </si>
  <si>
    <t>Ferric iron reductase protein FhuF</t>
  </si>
  <si>
    <t>Ribosomal RNA small subunit methyltransferase C</t>
  </si>
  <si>
    <t>Uncharacterized protein YjjU</t>
  </si>
  <si>
    <t>Uncharacterized metal-dependent hydrolase YjjV</t>
  </si>
  <si>
    <t>Non-canonical purine NTP phosphatase</t>
  </si>
  <si>
    <t>Alcohol dehydrogenase, propanol-preferring</t>
  </si>
  <si>
    <t>Galactarate dehydratase (L-threo-forming)</t>
  </si>
  <si>
    <t>Inner membrane protein YbaL</t>
  </si>
  <si>
    <t>NADP-dependent 3-hydroxy acid dehydrogenase YdfG</t>
  </si>
  <si>
    <t>High-affinity gluconate transporter</t>
  </si>
  <si>
    <t>Phosphotransferase RcsD</t>
  </si>
  <si>
    <t>Glucans biosynthesis protein D</t>
  </si>
  <si>
    <t>Pyridoxine/pyridoxal/pyridoxamine kinase</t>
  </si>
  <si>
    <t>Lipoprotein NlpE</t>
  </si>
  <si>
    <t>N-methyl-L-tryptophan oxidase</t>
  </si>
  <si>
    <t>Uncharacterized protein YbiI</t>
  </si>
  <si>
    <t>FMN-dependent NADH-azoreductase</t>
  </si>
  <si>
    <t>Pyrimidine-specific ribonucleoside hydrolase RihA</t>
  </si>
  <si>
    <t>Putrescine aminotransferase</t>
  </si>
  <si>
    <t>tRNA-binding protein YgjH</t>
  </si>
  <si>
    <t>Glucosidase YgjK</t>
  </si>
  <si>
    <t>2,4-dienoyl-CoA reductase [NADPH]</t>
  </si>
  <si>
    <t>Ribosomal RNA large subunit methyltransferase G</t>
  </si>
  <si>
    <t>Uncharacterized oxidoreductase YgjR</t>
  </si>
  <si>
    <t>Altronate dehydratase</t>
  </si>
  <si>
    <t>Protein YqjC</t>
  </si>
  <si>
    <t>Inner membrane protein YqjF</t>
  </si>
  <si>
    <t>Glutathionyl-hydroquinone reductase YqjG</t>
  </si>
  <si>
    <t>Pirin-like protein YhaK</t>
  </si>
  <si>
    <t>Probable serine transporter</t>
  </si>
  <si>
    <t>PFL-like enzyme TdcE</t>
  </si>
  <si>
    <t>GTPase ObgE/CgtA</t>
  </si>
  <si>
    <t>N-acetylgalactosamine-specific phosphotransferase enzyme IIB component 2</t>
  </si>
  <si>
    <t>ATP-dependent RNA helicase HrpA</t>
  </si>
  <si>
    <t>Uncharacterized Nudix hydrolase NudL</t>
  </si>
  <si>
    <t>Uncharacterized NAD(P)H oxidoreductase YcaK</t>
  </si>
  <si>
    <t>UDP-2,3-diacylglucosamine hydrolase</t>
  </si>
  <si>
    <t>Paraquat-inducible protein B</t>
  </si>
  <si>
    <t>ABC transporter ATP-binding protein uup</t>
  </si>
  <si>
    <t>Arabinose 5-phosphate isomerase KdsD</t>
  </si>
  <si>
    <t>Uncharacterized protein YhcH</t>
  </si>
  <si>
    <t>N-acetylmannosamine kinase</t>
  </si>
  <si>
    <t>Penicillin-binding protein activator LpoA</t>
  </si>
  <si>
    <t>UPF0718 protein YraQ</t>
  </si>
  <si>
    <t>Uncharacterized protein YraR</t>
  </si>
  <si>
    <t>Protein deglycase 2</t>
  </si>
  <si>
    <t>FKBP-type peptidyl-prolyl cis-trans isomerase FkpA</t>
  </si>
  <si>
    <t>Protein TusB</t>
  </si>
  <si>
    <t>Protein TusC</t>
  </si>
  <si>
    <t>Uncharacterized protein YhfK</t>
  </si>
  <si>
    <t>HTH-type transcriptional regulator FrlR</t>
  </si>
  <si>
    <t>Uncharacterized protein YhfZ</t>
  </si>
  <si>
    <t>1-deoxy-D-xylulose 5-phosphate reductoisomerase</t>
  </si>
  <si>
    <t>RNA chaperone ProQ</t>
  </si>
  <si>
    <t>S-ribosylhomocysteine lyase</t>
  </si>
  <si>
    <t>Threonylcarbamoyl-AMP synthase</t>
  </si>
  <si>
    <t>Uncharacterized protein YrdD</t>
  </si>
  <si>
    <t>ADP compounds hydrolase NudE</t>
  </si>
  <si>
    <t>Putative membrane protein IgaA homolog</t>
  </si>
  <si>
    <t>Cell division coordinator CpoB</t>
  </si>
  <si>
    <t>HTH-type transcriptional regulator HexR</t>
  </si>
  <si>
    <t>Uncharacterized lipoprotein YajI</t>
  </si>
  <si>
    <t>Inner membrane protein YedI</t>
  </si>
  <si>
    <t>Putative acyl-CoA thioester hydrolase YbhC</t>
  </si>
  <si>
    <t>Uncharacterized protein YhdP</t>
  </si>
  <si>
    <t>Protein YhgF</t>
  </si>
  <si>
    <t>RNA 3-terminal phosphate cyclase</t>
  </si>
  <si>
    <t>Quercetin 2,3-dioxygenase</t>
  </si>
  <si>
    <t>Uncharacterized oxidoreductase YhhX</t>
  </si>
  <si>
    <t>Uncharacterized N-acetyltransferase YhhY</t>
  </si>
  <si>
    <t>Thermoresistant gluconokinase</t>
  </si>
  <si>
    <t>Uncharacterized protein YecH</t>
  </si>
  <si>
    <t>Universal stress protein C</t>
  </si>
  <si>
    <t>DNA translocase FtsK</t>
  </si>
  <si>
    <t>Trimethylamine-N-oxide reductase 2</t>
  </si>
  <si>
    <t>Protein mlc</t>
  </si>
  <si>
    <t>4-aminobutyrate aminotransferase PuuE</t>
  </si>
  <si>
    <t>Aerotaxis receptor</t>
  </si>
  <si>
    <t>Uncharacterized protein YaiL</t>
  </si>
  <si>
    <t>S-formylglutathione hydrolase FrmB</t>
  </si>
  <si>
    <t>L-Ala-D/L-Glu epimerase</t>
  </si>
  <si>
    <t>Nucleoside triphosphatase NudI</t>
  </si>
  <si>
    <t>Protein YecM</t>
  </si>
  <si>
    <t>UPF0235 protein YggU</t>
  </si>
  <si>
    <t>dITP/XTP pyrophosphatase</t>
  </si>
  <si>
    <t>Glycolate oxidase subunit GlcE</t>
  </si>
  <si>
    <t>Transcriptional regulatory protein QseB</t>
  </si>
  <si>
    <t>Constitutive lysine decarboxylase</t>
  </si>
  <si>
    <t>Uncharacterized protein YaeR</t>
  </si>
  <si>
    <t>tRNA(Ile)-lysidine synthase</t>
  </si>
  <si>
    <t>Sensor histidine kinase GlrK</t>
  </si>
  <si>
    <t>Curli assembly protein CsgC</t>
  </si>
  <si>
    <t>Transcriptional regulatory protein RstA</t>
  </si>
  <si>
    <t>UPF0125 protein RatB</t>
  </si>
  <si>
    <t>Uncharacterized HTH-type transcriptional regulator YgbI</t>
  </si>
  <si>
    <t>Flagellum-specific ATP synthase</t>
  </si>
  <si>
    <t>Heat shock protein HslJ</t>
  </si>
  <si>
    <t>Probable pyruvate-flavodoxin oxidoreductase</t>
  </si>
  <si>
    <t>6-phosphogluconolactonase</t>
  </si>
  <si>
    <t>23S rRNA (uracil(1939)-C(5))-methyltransferase RlmD</t>
  </si>
  <si>
    <t>Inner membrane protein YgaP</t>
  </si>
  <si>
    <t>TDP-N-acetylfucosamine:lipid II N-acetylfucosaminyltransferase</t>
  </si>
  <si>
    <t>Putative carboxymethylenebutenolidase</t>
  </si>
  <si>
    <t>PTS system glucitol/sorbitol-specific EIIB component</t>
  </si>
  <si>
    <t>Uncharacterized protein YmdF</t>
  </si>
  <si>
    <t>RNA polymerase-associated protein RapA</t>
  </si>
  <si>
    <t>Chromosome partition protein MukF</t>
  </si>
  <si>
    <t>tRNA pseudouridine synthase B</t>
  </si>
  <si>
    <t>Ribosomal RNA small subunit methyltransferase H</t>
  </si>
  <si>
    <t>50S ribosomal protein L2</t>
  </si>
  <si>
    <t>50S ribosomal protein L3</t>
  </si>
  <si>
    <t>Ditrans,polycis-undecaprenyl-diphosphate synthase ((2E,6E)-farnesyl-diphosphate specific)</t>
  </si>
  <si>
    <t>Guanylate kinase</t>
  </si>
  <si>
    <t>GMP reductase</t>
  </si>
  <si>
    <t>Protein FixA</t>
  </si>
  <si>
    <t>Imidazole glycerol phosphate synthase subunit HisH</t>
  </si>
  <si>
    <t>50S ribosomal protein L24</t>
  </si>
  <si>
    <t>Agmatinase</t>
  </si>
  <si>
    <t>Imidazole glycerol phosphate synthase subunit HisF</t>
  </si>
  <si>
    <t>Lipoyl synthase</t>
  </si>
  <si>
    <t>Octanoyltransferase</t>
  </si>
  <si>
    <t>50S ribosomal protein L4</t>
  </si>
  <si>
    <t>Lipid A export ATP-binding/permease protein MsbA</t>
  </si>
  <si>
    <t>ATP phosphoribosyltransferase</t>
  </si>
  <si>
    <t>Probable glycerol-3-phosphate acyltransferase</t>
  </si>
  <si>
    <t>Elongation factor 4</t>
  </si>
  <si>
    <t>Putative transport protein YidE</t>
  </si>
  <si>
    <t>Histidine--tRNA ligase</t>
  </si>
  <si>
    <t>50S ribosomal protein L22</t>
  </si>
  <si>
    <t>Outer-membrane lipoprotein carrier protein</t>
  </si>
  <si>
    <t>Outer-membrane lipoprotein LolB</t>
  </si>
  <si>
    <t>Carbonic anhydrase 2</t>
  </si>
  <si>
    <t>6,7-dimethyl-8-ribityllumazine synthase</t>
  </si>
  <si>
    <t>Malate dehydrogenase</t>
  </si>
  <si>
    <t>Flavodoxin 1</t>
  </si>
  <si>
    <t>50S ribosomal protein L5</t>
  </si>
  <si>
    <t>Glucans biosynthesis glucosyltransferase H</t>
  </si>
  <si>
    <t>Cytoplasmic trehalase</t>
  </si>
  <si>
    <t>4-diphosphocytidyl-2-C-methyl-D-erythritol kinase</t>
  </si>
  <si>
    <t>2-C-methyl-D-erythritol 2,4-cyclodiphosphate synthase</t>
  </si>
  <si>
    <t>4-hydroxy-3-methylbut-2-en-1-yl diphosphate synthase (flavodoxin)</t>
  </si>
  <si>
    <t>4-hydroxy-3-methylbut-2-enyl diphosphate reductase</t>
  </si>
  <si>
    <t>Protein ApaG</t>
  </si>
  <si>
    <t>2,3-bisphosphoglycerate-dependent phosphoglycerate mutase</t>
  </si>
  <si>
    <t>UPF0325 protein YaeH</t>
  </si>
  <si>
    <t>Fe/S biogenesis protein NfuA</t>
  </si>
  <si>
    <t>23S rRNA (guanosine-2-O-)-methyltransferase RlmB</t>
  </si>
  <si>
    <t>Transcriptional regulator GadE</t>
  </si>
  <si>
    <t>Phosphoheptose isomerase</t>
  </si>
  <si>
    <t>D-glycero-beta-D-manno-heptose-1,7-bisphosphate 7-phosphatase</t>
  </si>
  <si>
    <t>Probable glutamate/gamma-aminobutyrate antiporter</t>
  </si>
  <si>
    <t>Chaperone protein ClpB</t>
  </si>
  <si>
    <t>Inner membrane transport protein YqeG</t>
  </si>
  <si>
    <t>Probable phospholipid import ATP-binding protein MlaF</t>
  </si>
  <si>
    <t>Uncharacterized ABC transporter ATP-binding protein YheS</t>
  </si>
  <si>
    <t>Uncharacterized N-acetyltransferase YhbS</t>
  </si>
  <si>
    <t>N-acetylmuramoyl-L-alanine amidase AmiC</t>
  </si>
  <si>
    <t>Zinc transport protein ZntB</t>
  </si>
  <si>
    <t>Uncharacterized protein YpfJ</t>
  </si>
  <si>
    <t>Inner membrane protein YpjD</t>
  </si>
  <si>
    <t>Uncharacterized lipoprotein YdcL</t>
  </si>
  <si>
    <t>Uncharacterized protein YdcY</t>
  </si>
  <si>
    <t>(4S)-4-hydroxy-5-phosphonooxypentane-2,3-dione isomerase</t>
  </si>
  <si>
    <t>Putative selenoprotein YdfZ</t>
  </si>
  <si>
    <t>OriC-binding nucleoid-associated protein</t>
  </si>
  <si>
    <t>Uncharacterized protein YdiH</t>
  </si>
  <si>
    <t>Uncharacterized protein YdiZ</t>
  </si>
  <si>
    <t>Uncharacterized protein YeaK</t>
  </si>
  <si>
    <t>Uncharacterized protein YoaC</t>
  </si>
  <si>
    <t>Uncharacterized protein YoaF</t>
  </si>
  <si>
    <t>Uncharacterized protein YebV</t>
  </si>
  <si>
    <t>Uncharacterized protein YebY</t>
  </si>
  <si>
    <t>Inner membrane protein YecN</t>
  </si>
  <si>
    <t>Uncharacterized protein YodD</t>
  </si>
  <si>
    <t>Transcriptional repressor RcnR</t>
  </si>
  <si>
    <t>Nickel/cobalt homeostasis protein RcnB</t>
  </si>
  <si>
    <t>Uncharacterized protein YfcL</t>
  </si>
  <si>
    <t>Uncharacterized protein YfiR</t>
  </si>
  <si>
    <t>7-carboxy-7-deazaguanine synthase</t>
  </si>
  <si>
    <t>Uncharacterized protein YgfM</t>
  </si>
  <si>
    <t>Uncharacterized protein YggT</t>
  </si>
  <si>
    <t>mRNA interferase HigB</t>
  </si>
  <si>
    <t>Uncharacterized protein YqjD</t>
  </si>
  <si>
    <t>Inner membrane protein YqjE</t>
  </si>
  <si>
    <t>Transcriptional regulator YqjI</t>
  </si>
  <si>
    <t>Toxin YhaV</t>
  </si>
  <si>
    <t>Uncharacterized protein YraP</t>
  </si>
  <si>
    <t>Probable phospholipid ABC transporter-binding protein MlaB</t>
  </si>
  <si>
    <t>Probable phospholipid ABC transporter-binding protein MlaD</t>
  </si>
  <si>
    <t>Probable phospholipid ABC transporter permease protein MlaE</t>
  </si>
  <si>
    <t>Uncharacterized protein YheO</t>
  </si>
  <si>
    <t>Uncharacterized lipoprotein YgdI</t>
  </si>
  <si>
    <t>Uncharacterized protein YqcA</t>
  </si>
  <si>
    <t>Uncharacterized Nudix hydrolase YfcD</t>
  </si>
  <si>
    <t>Uncharacterized protein YgeY</t>
  </si>
  <si>
    <t>6-carboxy-5,6,7,8-tetrahydropterin synthase</t>
  </si>
  <si>
    <t>DnaA initiator-associating protein DiaA</t>
  </si>
  <si>
    <t>Diaminopropionate ammonia-lyase</t>
  </si>
  <si>
    <t>Beta-barrel assembly-enhancing protease</t>
  </si>
  <si>
    <t>UPF0001 protein YggS</t>
  </si>
  <si>
    <t>Ribosomal RNA small subunit methyltransferase I</t>
  </si>
  <si>
    <t>Phosphodiesterase YfcE</t>
  </si>
  <si>
    <t>UPF0056 inner membrane protein YhgN</t>
  </si>
  <si>
    <t>UPF0114 protein YqhA</t>
  </si>
  <si>
    <t>HTH-type transcriptional repressor NemR</t>
  </si>
  <si>
    <t>UPF0267 protein YqfB</t>
  </si>
  <si>
    <t>Probable HTH-type transcriptional regulator YhaJ</t>
  </si>
  <si>
    <t>HTH-type transcriptional activator AaeR</t>
  </si>
  <si>
    <t>UPF0306 protein YhbP</t>
  </si>
  <si>
    <t>Copper homeostasis protein CutC</t>
  </si>
  <si>
    <t>ADP-L-glycero-D-manno-heptose-6-epimerase</t>
  </si>
  <si>
    <t>Autonomous glycyl radical cofactor</t>
  </si>
  <si>
    <t>Maltose transport system permease protein MalG</t>
  </si>
  <si>
    <t>Maltose/maltodextrin import ATP-binding protein MalK</t>
  </si>
  <si>
    <t>Stationary-phase-induced ribosome-associated protein</t>
  </si>
  <si>
    <t>UPF0337 protein YjbJ</t>
  </si>
  <si>
    <t>30S ribosomal protein S21</t>
  </si>
  <si>
    <t>Glutaredoxin 1</t>
  </si>
  <si>
    <t>ATP synthase subunit c</t>
  </si>
  <si>
    <t>Endonuclease V</t>
  </si>
  <si>
    <t>Cytosol aminopeptidase</t>
  </si>
  <si>
    <t>50S ribosomal protein L25</t>
  </si>
  <si>
    <t>Succinate dehydrogenase cytochrome b556 subunit</t>
  </si>
  <si>
    <t>Translation initiation factor IF-1</t>
  </si>
  <si>
    <t>Transcriptional regulatory protein BaeR</t>
  </si>
  <si>
    <t>Antitoxin YefM</t>
  </si>
  <si>
    <t>Toxin YoeB</t>
  </si>
  <si>
    <t>Ferrous-iron efflux pump FieF</t>
  </si>
  <si>
    <t>Outer membrane lipoprotein RcsF</t>
  </si>
  <si>
    <t>Sec-independent protein translocase protein TatB</t>
  </si>
  <si>
    <t>Sec-independent protein translocase protein TatA</t>
  </si>
  <si>
    <t>Adenylate kinase</t>
  </si>
  <si>
    <t>Long-chain-fatty-acid--CoA ligase</t>
  </si>
  <si>
    <t>Divalent-cation tolerance protein CutA</t>
  </si>
  <si>
    <t>Cytochrome c-type biogenesis protein CcmE</t>
  </si>
  <si>
    <t>Adenine phosphoribosyltransferase</t>
  </si>
  <si>
    <t>Iron-sulfur cluster repair protein YtfE</t>
  </si>
  <si>
    <t>Hydrogenase-1 small chain</t>
  </si>
  <si>
    <t>Hydrogenase-2 small chain</t>
  </si>
  <si>
    <t>Major outer membrane lipoprotein Lpp</t>
  </si>
  <si>
    <t>PTS system glucose-specific EIIA component</t>
  </si>
  <si>
    <t>PTS system glucose-specific EIICB component</t>
  </si>
  <si>
    <t>PTS system N,N-diacetylchitobiose-specific EIIB component</t>
  </si>
  <si>
    <t>PTS system mannose-specific EIIAB component</t>
  </si>
  <si>
    <t>PTS system mannose-specific EIIC component</t>
  </si>
  <si>
    <t>PTS system mannose-specific EIID component</t>
  </si>
  <si>
    <t>Multiphosphoryl transfer protein</t>
  </si>
  <si>
    <t>Ascorbate-specific PTS system EIIA component</t>
  </si>
  <si>
    <t>Ascorbate-specific PTS system EIIB component</t>
  </si>
  <si>
    <t>PTS system mannitol-specific cryptic EIICB component</t>
  </si>
  <si>
    <t>PTS system galactitol-specific EIIA component</t>
  </si>
  <si>
    <t>Nitrogen regulatory protein</t>
  </si>
  <si>
    <t>PTS system galactitol-specific EIIC component</t>
  </si>
  <si>
    <t>Tat proofreading chaperone DmsD</t>
  </si>
  <si>
    <t>Spermidine/putrescine import ATP-binding protein PotA</t>
  </si>
  <si>
    <t>Glutamate decarboxylase alpha</t>
  </si>
  <si>
    <t>Glutamate decarboxylase beta</t>
  </si>
  <si>
    <t>Carbon storage regulator</t>
  </si>
  <si>
    <t>L-fucose isomerase</t>
  </si>
  <si>
    <t>Ribonucleoside-diphosphate reductase 1 subunit beta</t>
  </si>
  <si>
    <t>Probable 2-keto-3-deoxy-galactonate aldolase YagE</t>
  </si>
  <si>
    <t>Aldehyde reductase YahK</t>
  </si>
  <si>
    <t>Uncharacterized protein YahO</t>
  </si>
  <si>
    <t>(S)-ureidoglycine aminohydrolase</t>
  </si>
  <si>
    <t>2-octaprenyl-3-methyl-6-methoxy-1,4-benzoquinol hydroxylase</t>
  </si>
  <si>
    <t>Esterase YbfF</t>
  </si>
  <si>
    <t>Uncharacterized protein YbgK</t>
  </si>
  <si>
    <t>UPF0271 protein YbgL</t>
  </si>
  <si>
    <t>Putative gluconeogenesis factor</t>
  </si>
  <si>
    <t>UPF0194 membrane protein YbhG</t>
  </si>
  <si>
    <t>PKHD-type hydroxylase YbiX</t>
  </si>
  <si>
    <t>Ribosomal RNA large subunit methyltransferase F</t>
  </si>
  <si>
    <t>Phosphoethanolamine transferase OpgE</t>
  </si>
  <si>
    <t>Uncharacterized protein YbiU</t>
  </si>
  <si>
    <t>Sugar phosphatase YbiV</t>
  </si>
  <si>
    <t>Glutathione-binding protein GsiB</t>
  </si>
  <si>
    <t>Glutathione transport system permease protein GsiC</t>
  </si>
  <si>
    <t>Uncharacterized lipoprotein YbjP</t>
  </si>
  <si>
    <t>Low specificity L-threonine aldolase</t>
  </si>
  <si>
    <t>Ribosomal protein S12 methylthiotransferase accessory factor YcaO</t>
  </si>
  <si>
    <t>UPF0702 transmembrane protein YcaP</t>
  </si>
  <si>
    <t>Hydroxyacylglutathione hydrolase GloC</t>
  </si>
  <si>
    <t>Putative aliphatic sulfonates-binding protein</t>
  </si>
  <si>
    <t>Cell division protein ZapC</t>
  </si>
  <si>
    <t>Uncharacterized protein YcbX</t>
  </si>
  <si>
    <t>Ribosomal RNA large subunit methyltransferase K/L</t>
  </si>
  <si>
    <t>Putative Lon protease homolog</t>
  </si>
  <si>
    <t>Uncharacterized protein YccU</t>
  </si>
  <si>
    <t>Ribosomal RNA large subunit methyltransferase I</t>
  </si>
  <si>
    <t>Glyoxylate/hydroxypyruvate reductase A</t>
  </si>
  <si>
    <t>Probable phosphatase YcdX</t>
  </si>
  <si>
    <t>Chaperone protein YcdY</t>
  </si>
  <si>
    <t>Putative oxidoreductase YceM</t>
  </si>
  <si>
    <t>Flagellar hook protein FlgE</t>
  </si>
  <si>
    <t>Beta-hexosaminidase</t>
  </si>
  <si>
    <t>HTH-type transcriptional repressor ComR</t>
  </si>
  <si>
    <t>Lipoprotein-releasing system ATP-binding protein LolD</t>
  </si>
  <si>
    <t>Lipoprotein-releasing system transmembrane protein LolE</t>
  </si>
  <si>
    <t>N-acetyl-D-glucosamine kinase</t>
  </si>
  <si>
    <t>NAD-dependent protein deacylase</t>
  </si>
  <si>
    <t>Ribosomal large subunit pseudouridine synthase E</t>
  </si>
  <si>
    <t>Prophage repressor CohE</t>
  </si>
  <si>
    <t>Putative protein JayE</t>
  </si>
  <si>
    <t>HTH-type transcriptional repressor BluR</t>
  </si>
  <si>
    <t>Probable two-component-system connector protein YmgA</t>
  </si>
  <si>
    <t>Probable two-component-system connector protein AriR</t>
  </si>
  <si>
    <t>Uncharacterized protein YcgJ</t>
  </si>
  <si>
    <t>Inhibitor of g-type lysozyme</t>
  </si>
  <si>
    <t>Uncharacterized protein YcgM</t>
  </si>
  <si>
    <t>K(+)/H(+) antiporter NhaP2</t>
  </si>
  <si>
    <t>Murein tetrapeptide carboxypeptidase</t>
  </si>
  <si>
    <t>PEP-dependent dihydroxyacetone kinase, ADP-binding subunit DhaL</t>
  </si>
  <si>
    <t>PEP-dependent dihydroxyacetone kinase, dihydroxyacetone-binding subunit DhaK</t>
  </si>
  <si>
    <t>Oligopeptide transport ATP-binding protein OppD</t>
  </si>
  <si>
    <t>Uncharacterized protein YcjX</t>
  </si>
  <si>
    <t>Uncharacterized protein YcjY</t>
  </si>
  <si>
    <t>tRNA 2-thiocytidine biosynthesis protein TtcA</t>
  </si>
  <si>
    <t>Prophage repressor RacR</t>
  </si>
  <si>
    <t>Uncharacterized protein YdaS</t>
  </si>
  <si>
    <t>Uncharacterized protein YdbL</t>
  </si>
  <si>
    <t>Transcriptional repressor PaaX</t>
  </si>
  <si>
    <t>Uncharacterized protein YdcJ</t>
  </si>
  <si>
    <t>Uncharacterized acetyltransferase YdcK</t>
  </si>
  <si>
    <t>Putative ABC transporter periplasmic-binding protein YdcS</t>
  </si>
  <si>
    <t>NADPH-dependent curcumin reductase</t>
  </si>
  <si>
    <t>HTH-type transcriptional regulator McbR</t>
  </si>
  <si>
    <t>Probable TonB-dependent receptor YncD</t>
  </si>
  <si>
    <t>Uncharacterized protein YncE</t>
  </si>
  <si>
    <t>Uncharacterized GST-like protein YncG</t>
  </si>
  <si>
    <t>Uncharacterized protein YddH</t>
  </si>
  <si>
    <t>Probable D,D-dipeptide-binding periplasmic protein DdpA</t>
  </si>
  <si>
    <t>Transcriptional regulator LsrR</t>
  </si>
  <si>
    <t>Autoinducer 2-binding protein LsrB</t>
  </si>
  <si>
    <t>3-hydroxy-5-phosphonooxypentane-2,4-dione thiolase</t>
  </si>
  <si>
    <t>Trans-aconitate 2-methyltransferase</t>
  </si>
  <si>
    <t>Succinate semialdehyde dehydrogenase [NAD(P)+] Sad</t>
  </si>
  <si>
    <t>Uncharacterized protein YnfD</t>
  </si>
  <si>
    <t>Anaerobic dimethyl sulfoxide reductase chain YnfH</t>
  </si>
  <si>
    <t>Uncharacterized serine protease YdgD</t>
  </si>
  <si>
    <t>Protein YdgH</t>
  </si>
  <si>
    <t>Uncharacterized protein YdhJ</t>
  </si>
  <si>
    <t>Oxidoreductase YdhF</t>
  </si>
  <si>
    <t>Uncharacterized oxidoreductase YdhV</t>
  </si>
  <si>
    <t>Probable L,D-transpeptidase YnhG</t>
  </si>
  <si>
    <t>Cysteine desulfuration protein SufE</t>
  </si>
  <si>
    <t>Putative electron transfer flavoprotein subunit YdiQ</t>
  </si>
  <si>
    <t>Uncharacterized protein YdiY</t>
  </si>
  <si>
    <t>Uncharacterized protein YniB</t>
  </si>
  <si>
    <t>Succinylglutamate desuccinylase</t>
  </si>
  <si>
    <t>N-succinylarginine dihydrolase</t>
  </si>
  <si>
    <t>N-succinylglutamate 5-semialdehyde dehydrogenase</t>
  </si>
  <si>
    <t>Uncharacterized protein YdjY</t>
  </si>
  <si>
    <t>Protein YnjB</t>
  </si>
  <si>
    <t>Uncharacterized protein YnjH</t>
  </si>
  <si>
    <t>Uncharacterized protein YeaE</t>
  </si>
  <si>
    <t>UPF0229 protein YeaH</t>
  </si>
  <si>
    <t>Putative diguanylate cyclase YeaJ</t>
  </si>
  <si>
    <t>Uncharacterized protein YeaO</t>
  </si>
  <si>
    <t>D-malate dehydrogenase [decarboxylating]</t>
  </si>
  <si>
    <t>tRNA threonylcarbamoyladenosine biosynthesis protein TsaB</t>
  </si>
  <si>
    <t>Transcriptional regulator KdgR</t>
  </si>
  <si>
    <t>Free methionine-R-sulfoxide reductase</t>
  </si>
  <si>
    <t>Uncharacterized protein YebT</t>
  </si>
  <si>
    <t>Ribosomal RNA small subunit methyltransferase F</t>
  </si>
  <si>
    <t>Carboxy-S-adenosyl-L-methionine synthase</t>
  </si>
  <si>
    <t>tRNA U34 carboxymethyltransferase</t>
  </si>
  <si>
    <t>Flagellar protein FlhE</t>
  </si>
  <si>
    <t>Flagellar biosynthesis protein FlhA</t>
  </si>
  <si>
    <t>Flagellar biosynthetic protein FlhB</t>
  </si>
  <si>
    <t>Uncharacterized protein YecR</t>
  </si>
  <si>
    <t>D-cysteine desulfhydrase</t>
  </si>
  <si>
    <t>Putative SOS response-associated peptidase YedK</t>
  </si>
  <si>
    <t>Mannosyl-3-phosphoglycerate phosphatase</t>
  </si>
  <si>
    <t>Probable diguanylate cyclase YedQ</t>
  </si>
  <si>
    <t>Probable transcriptional regulatory protein YedW</t>
  </si>
  <si>
    <t>5-hydroxyisourate hydrolase</t>
  </si>
  <si>
    <t>Protein-methionine-sulfoxide reductase catalytic subunit MsrP</t>
  </si>
  <si>
    <t>Metal-binding protein ZinT</t>
  </si>
  <si>
    <t>Protein MtfA</t>
  </si>
  <si>
    <t>Chain length determinant protein</t>
  </si>
  <si>
    <t>UPF0053 protein YegH</t>
  </si>
  <si>
    <t>Uncharacterized protein YegJ</t>
  </si>
  <si>
    <t>Multidrug resistance protein MdtA</t>
  </si>
  <si>
    <t>Multidrug resistance protein MdtB</t>
  </si>
  <si>
    <t>UPF0339 protein YegP</t>
  </si>
  <si>
    <t>Uncharacterized protease YegQ</t>
  </si>
  <si>
    <t>Uncharacterized protein YegR</t>
  </si>
  <si>
    <t>Lipid kinase YegS</t>
  </si>
  <si>
    <t>Uncharacterized protein YegU</t>
  </si>
  <si>
    <t>Uncharacterized sugar kinase YegV</t>
  </si>
  <si>
    <t>NAD-dependent dihydropyrimidine dehydrogenase subunit PreT</t>
  </si>
  <si>
    <t>5-deoxynucleotidase YfbR</t>
  </si>
  <si>
    <t>Uncharacterized fimbrial-like protein YfcR</t>
  </si>
  <si>
    <t>Phosphohistidine phosphatase SixA</t>
  </si>
  <si>
    <t>Probable phospholipid-binding lipoprotein MlaA</t>
  </si>
  <si>
    <t>Uncharacterized protein YfdQ</t>
  </si>
  <si>
    <t>N-acetylmuramic acid 6-phosphate etherase</t>
  </si>
  <si>
    <t>Probable deferrochelatase/peroxidase YfeX</t>
  </si>
  <si>
    <t>Uncharacterized protein YfeY</t>
  </si>
  <si>
    <t>Acetyltransferase YpeA</t>
  </si>
  <si>
    <t>Ethanolamine utilization protein EutL</t>
  </si>
  <si>
    <t>Uncharacterized protein YffS</t>
  </si>
  <si>
    <t>Ethanolamine utilization protein EutQ</t>
  </si>
  <si>
    <t>NADP-dependent malic enzyme</t>
  </si>
  <si>
    <t>Uncharacterized protein YpfG</t>
  </si>
  <si>
    <t>Esterase YpfH</t>
  </si>
  <si>
    <t>Uncharacterized protein YfgD</t>
  </si>
  <si>
    <t>Uncharacterized protein YfgI</t>
  </si>
  <si>
    <t>Uncharacterized protein YfgJ</t>
  </si>
  <si>
    <t>UPF0070 protein YfgM</t>
  </si>
  <si>
    <t>Uncharacterized lipoprotein YfhM</t>
  </si>
  <si>
    <t>Uncharacterized protein YphB</t>
  </si>
  <si>
    <t>Protein lysine acetyltransferase Pka</t>
  </si>
  <si>
    <t>Protein CsiD</t>
  </si>
  <si>
    <t>Guanine deaminase</t>
  </si>
  <si>
    <t>Bifunctional protein HldE</t>
  </si>
  <si>
    <t>Uncharacterized ABC transporter ATP-binding protein YnjD</t>
  </si>
  <si>
    <t>Uncharacterized protein YlbE</t>
  </si>
  <si>
    <t>Uncharacterized protein YdhS</t>
  </si>
  <si>
    <t>Pyridoxal kinase PdxY</t>
  </si>
  <si>
    <t>Uncharacterized protein YkfB</t>
  </si>
  <si>
    <t>Cell division protein ZipA</t>
  </si>
  <si>
    <t>Phenylacetic acid degradation protein PaaY</t>
  </si>
  <si>
    <t>tRNA 5-methylaminomethyl-2-thiouridine biosynthesis bifunctional protein MnmC</t>
  </si>
  <si>
    <t>Thiol:disulfide interchange protein DsbG</t>
  </si>
  <si>
    <t>Probable pyridine nucleotide-disulfide oxidoreductase RclA</t>
  </si>
  <si>
    <t>Putative glutamate--cysteine ligase 2</t>
  </si>
  <si>
    <t>L-rhamnonate dehydratase</t>
  </si>
  <si>
    <t>2-methylcitrate dehydratase</t>
  </si>
  <si>
    <t>HTH-type transcriptional regulator MurR</t>
  </si>
  <si>
    <t>2-deoxyglucose-6-phosphate phosphatase</t>
  </si>
  <si>
    <t>Uncharacterized protein YkgE</t>
  </si>
  <si>
    <t>Uncharacterized oxidoreductase YdjG</t>
  </si>
  <si>
    <t>Autoinducer 2 import ATP-binding protein LsrA</t>
  </si>
  <si>
    <t>N-ethylmaleimide reductase</t>
  </si>
  <si>
    <t>ABC transporter periplasmic-binding protein YphF</t>
  </si>
  <si>
    <t>PTS system N-acetylmuramic acid-specific EIIBC component</t>
  </si>
  <si>
    <t>Probable iron export ATP-binding protein FetA</t>
  </si>
  <si>
    <t>Electron transport complex subunit RsxG</t>
  </si>
  <si>
    <t>Uncharacterized protein YdeU</t>
  </si>
  <si>
    <t>Prophage bactoprenol glucosyl transferase homolog</t>
  </si>
  <si>
    <t>Probable iron export permease protein FetB</t>
  </si>
  <si>
    <t>Uncharacterized zinc-type alcohol dehydrogenase-like protein YbdR</t>
  </si>
  <si>
    <t>Uncharacterized sulfatase YdeN</t>
  </si>
  <si>
    <t>Prophage lipoprotein Bor homolog</t>
  </si>
  <si>
    <t>Hemolysin E, chromosomal</t>
  </si>
  <si>
    <t>Mechanosensitive channel MscK</t>
  </si>
  <si>
    <t>Periplasmic murein peptide-binding protein</t>
  </si>
  <si>
    <t>Glycerate 3-kinase</t>
  </si>
  <si>
    <t>UPF0098 protein YbcL</t>
  </si>
  <si>
    <t>Putative dimethyl sulfoxide reductase chain YnfE</t>
  </si>
  <si>
    <t>Uncharacterized oxidoreductase YdgJ</t>
  </si>
  <si>
    <t>RCS-specific HTH-type transcriptional activator RclR</t>
  </si>
  <si>
    <t>Uncharacterized protein YbbN</t>
  </si>
  <si>
    <t>Uncharacterized protein YkgG</t>
  </si>
  <si>
    <t>Glutamate-pyruvate aminotransferase AlaC</t>
  </si>
  <si>
    <t>Cysteine desulfurase</t>
  </si>
  <si>
    <t>Glutaminase 1</t>
  </si>
  <si>
    <t>Putative cyclic-di-GMP phosphodiesterase YlaB</t>
  </si>
  <si>
    <t>Fructose-1-phosphate phosphatase YqaB</t>
  </si>
  <si>
    <t>Sensor kinase CusS</t>
  </si>
  <si>
    <t>1-deoxy-D-xylulose-5-phosphate synthase</t>
  </si>
  <si>
    <t>Uncharacterized sugar kinase YdjH</t>
  </si>
  <si>
    <t>Probable ATP-dependent transporter SufC</t>
  </si>
  <si>
    <t>Uncharacterized ABC transporter permease YbbP</t>
  </si>
  <si>
    <t>FeS cluster assembly protein SufB</t>
  </si>
  <si>
    <t>Disulfide-bond oxidoreductase YfcG</t>
  </si>
  <si>
    <t>L-cystine transporter YdjN</t>
  </si>
  <si>
    <t>Uncharacterized electron transport protein YkgF</t>
  </si>
  <si>
    <t>Uncharacterized zinc-type alcohol dehydrogenase-like protein YdjL</t>
  </si>
  <si>
    <t>2-methylisocitrate lyase</t>
  </si>
  <si>
    <t>Glutathione S-transferase YfcF</t>
  </si>
  <si>
    <t>Uncharacterized protein YdhQ</t>
  </si>
  <si>
    <t>Uncharacterized protein YahJ</t>
  </si>
  <si>
    <t>Ureidoglycolate dehydrogenase (NAD(+))</t>
  </si>
  <si>
    <t>Uncharacterized protein YaiW</t>
  </si>
  <si>
    <t>DNA-binding transcriptional activator MhpR</t>
  </si>
  <si>
    <t>Succinylornithine transaminase</t>
  </si>
  <si>
    <t>Uncharacterized protein YagF</t>
  </si>
  <si>
    <t>Electron transport complex subunit RsxC</t>
  </si>
  <si>
    <t>Uncharacterized HTH-type transcriptional regulator YcjW</t>
  </si>
  <si>
    <t>UPF0214 protein YfeW</t>
  </si>
  <si>
    <t>Sugar phosphatase YfbT</t>
  </si>
  <si>
    <t>UPF0061 protein YdiU</t>
  </si>
  <si>
    <t>Protein SufA</t>
  </si>
  <si>
    <t>Allantoinase</t>
  </si>
  <si>
    <t>Gamma-aminobutyraldehyde dehydrogenase</t>
  </si>
  <si>
    <t>FeS cluster assembly protein SufD</t>
  </si>
  <si>
    <t>Protein GnsB</t>
  </si>
  <si>
    <t>Long-chain acyl-CoA thioesterase FadM</t>
  </si>
  <si>
    <t>Putative beta-xylosidase</t>
  </si>
  <si>
    <t>Uncharacterized lipoprotein YbaY</t>
  </si>
  <si>
    <t>tRNA sulfurtransferase</t>
  </si>
  <si>
    <t>Uncharacterized HTH-type transcriptional regulator YdjF</t>
  </si>
  <si>
    <t>Uncharacterized HTH-type transcriptional regulator YdcR</t>
  </si>
  <si>
    <t>Uncharacterized oxidoreductase YajO</t>
  </si>
  <si>
    <t>Oligopeptide transport ATP-binding protein OppF</t>
  </si>
  <si>
    <t>Uncharacterized protein YniA</t>
  </si>
  <si>
    <t>Uncharacterized protein YdiJ</t>
  </si>
  <si>
    <t>Periplasmic chaperone Spy</t>
  </si>
  <si>
    <t>7-cyano-7-deazaguanine synthase</t>
  </si>
  <si>
    <t>Outer membrane protein assembly factor BamB</t>
  </si>
  <si>
    <t>Epimerase family protein YfcH</t>
  </si>
  <si>
    <t>1,4-dihydroxy-2-naphthoyl-CoA hydrolase</t>
  </si>
  <si>
    <t>Probable dimethyl sulfoxide reductase chain YnfF</t>
  </si>
  <si>
    <t>Maltose O-acetyltransferase</t>
  </si>
  <si>
    <t>Uncharacterized ABC transporter ATP-binding protein YdcT</t>
  </si>
  <si>
    <t>Protein YdgA</t>
  </si>
  <si>
    <t>NMN amidohydrolase-like protein YfaY</t>
  </si>
  <si>
    <t>Fructose-6-phosphate aldolase 1</t>
  </si>
  <si>
    <t>Thiosulfate sulfurtransferase YnjE</t>
  </si>
  <si>
    <t>Phenylacetaldehyde dehydrogenase</t>
  </si>
  <si>
    <t>Uncharacterized protein YibT</t>
  </si>
  <si>
    <t>Uncharacterized protein YicS</t>
  </si>
  <si>
    <t>Uncharacterized protein YobH</t>
  </si>
  <si>
    <t>Uncharacterized lipoprotein YgeR</t>
  </si>
  <si>
    <t>Putative xanthine dehydrogenase molybdenum-binding subunit XdhA</t>
  </si>
  <si>
    <t>Putative xanthine dehydrogenase FAD-binding subunit XdhB</t>
  </si>
  <si>
    <t>Putatuve xanthine dehydrogenase iron-sulfur-binding subunit XdhC</t>
  </si>
  <si>
    <t>Uncharacterized protein YgeW</t>
  </si>
  <si>
    <t>D-phenylhydantoinase</t>
  </si>
  <si>
    <t>Carbamate kinase-like protein YqeA</t>
  </si>
  <si>
    <t>Uncharacterized protein YgfK</t>
  </si>
  <si>
    <t>Protein SsnA</t>
  </si>
  <si>
    <t>Probable hypoxanthine oxidase XdhD</t>
  </si>
  <si>
    <t>Isopentenyl-diphosphate Delta-isomerase</t>
  </si>
  <si>
    <t>6-phospho-beta-glucosidase BglA</t>
  </si>
  <si>
    <t>Disulfide-bond oxidoreductase YghU</t>
  </si>
  <si>
    <t>L-glyceraldehyde 3-phosphate reductase</t>
  </si>
  <si>
    <t>Alcohol dehydrogenase YqhD</t>
  </si>
  <si>
    <t>2,5-diketo-D-gluconic acid reductase A</t>
  </si>
  <si>
    <t>Uncharacterized protein YqhG</t>
  </si>
  <si>
    <t>Probable deoxycholate-binding periplasmic protein YgiS</t>
  </si>
  <si>
    <t>Antitoxin MqsA</t>
  </si>
  <si>
    <t>Uncharacterized protein YqiC</t>
  </si>
  <si>
    <t>NADPH-dependent ferric-chelate reductase</t>
  </si>
  <si>
    <t>Putative hydroxypyruvate isomerase YgbM</t>
  </si>
  <si>
    <t>2-C-methyl-D-erythritol 4-phosphate cytidylyltransferase</t>
  </si>
  <si>
    <t>NADPH-dependent 7-cyano-7-deazaguanine reductase</t>
  </si>
  <si>
    <t>tRNA threonylcarbamoyladenosine dehydratase</t>
  </si>
  <si>
    <t>4-deoxy-L-threo-5-hexosulose-uronate ketol-isomerase</t>
  </si>
  <si>
    <t>Protein deglycase 3</t>
  </si>
  <si>
    <t>Acyl-coenzyme A dehydrogenase</t>
  </si>
  <si>
    <t>Putative glutamine amidotransferase YafJ</t>
  </si>
  <si>
    <t>Antitoxin DinJ</t>
  </si>
  <si>
    <t>Antitoxin YafN</t>
  </si>
  <si>
    <t>Taurine-binding periplasmic protein</t>
  </si>
  <si>
    <t>Probable ABC transporter periplasmic-binding protein SapA</t>
  </si>
  <si>
    <t>Hydrolase YafV</t>
  </si>
  <si>
    <t>Homocysteine S-methyltransferase</t>
  </si>
  <si>
    <t>Uncharacterized protein YqjK</t>
  </si>
  <si>
    <t>tRNA pseudouridine synthase D</t>
  </si>
  <si>
    <t>Copper-exporting P-type ATPase A</t>
  </si>
  <si>
    <t>2-dehydro-3-deoxy-6-phosphogalactonate aldolase</t>
  </si>
  <si>
    <t>ADP-ribose pyrophosphatase</t>
  </si>
  <si>
    <t>Alpha-ketoglutarate permease (Fragment)</t>
  </si>
  <si>
    <t>Transferase (Fragment)</t>
  </si>
  <si>
    <t>Molybdopterin-guanine dinucleotide biosynthesis protein B</t>
  </si>
  <si>
    <t>C1P601</t>
  </si>
  <si>
    <t>G0ZKW2</t>
  </si>
  <si>
    <t>G1E6H3</t>
  </si>
  <si>
    <t>P00350</t>
  </si>
  <si>
    <t>P00363</t>
  </si>
  <si>
    <t>P00370</t>
  </si>
  <si>
    <t>P00393</t>
  </si>
  <si>
    <t>P00448</t>
  </si>
  <si>
    <t>P00452</t>
  </si>
  <si>
    <t>P00490</t>
  </si>
  <si>
    <t>P00509</t>
  </si>
  <si>
    <t>P00547</t>
  </si>
  <si>
    <t>P00550</t>
  </si>
  <si>
    <t>P00561</t>
  </si>
  <si>
    <t>P00562</t>
  </si>
  <si>
    <t>P00579</t>
  </si>
  <si>
    <t>P00582</t>
  </si>
  <si>
    <t>P00634</t>
  </si>
  <si>
    <t>P00803</t>
  </si>
  <si>
    <t>P00805</t>
  </si>
  <si>
    <t>P00811</t>
  </si>
  <si>
    <t>P00864</t>
  </si>
  <si>
    <t>P00887</t>
  </si>
  <si>
    <t>P00895</t>
  </si>
  <si>
    <t>P00903</t>
  </si>
  <si>
    <t>P00904</t>
  </si>
  <si>
    <t>P00909</t>
  </si>
  <si>
    <t>P00926</t>
  </si>
  <si>
    <t>P00934</t>
  </si>
  <si>
    <t>P00935</t>
  </si>
  <si>
    <t>P00944</t>
  </si>
  <si>
    <t>P00946</t>
  </si>
  <si>
    <t>P00954</t>
  </si>
  <si>
    <t>P00956</t>
  </si>
  <si>
    <t>P00957</t>
  </si>
  <si>
    <t>P00959</t>
  </si>
  <si>
    <t>P00960</t>
  </si>
  <si>
    <t>P00961</t>
  </si>
  <si>
    <t>P00962</t>
  </si>
  <si>
    <t>P00963</t>
  </si>
  <si>
    <t>P00968</t>
  </si>
  <si>
    <t>P02358</t>
  </si>
  <si>
    <t>P02359</t>
  </si>
  <si>
    <t>P02413</t>
  </si>
  <si>
    <t>P02918</t>
  </si>
  <si>
    <t>P02919</t>
  </si>
  <si>
    <t>P02924</t>
  </si>
  <si>
    <t>P02925</t>
  </si>
  <si>
    <t>P02929</t>
  </si>
  <si>
    <t>P02930</t>
  </si>
  <si>
    <t>P02931</t>
  </si>
  <si>
    <t>P02942</t>
  </si>
  <si>
    <t>P02943</t>
  </si>
  <si>
    <t>P03004</t>
  </si>
  <si>
    <t>P03007</t>
  </si>
  <si>
    <t>P03018</t>
  </si>
  <si>
    <t>P03023</t>
  </si>
  <si>
    <t>P03024</t>
  </si>
  <si>
    <t>P03813</t>
  </si>
  <si>
    <t>P03817</t>
  </si>
  <si>
    <t>P03819</t>
  </si>
  <si>
    <t>P03841</t>
  </si>
  <si>
    <t>P04036</t>
  </si>
  <si>
    <t>P04079</t>
  </si>
  <si>
    <t>P04335</t>
  </si>
  <si>
    <t>P04425</t>
  </si>
  <si>
    <t>P04693</t>
  </si>
  <si>
    <t>P04805</t>
  </si>
  <si>
    <t>P04816</t>
  </si>
  <si>
    <t>P04825</t>
  </si>
  <si>
    <t>P04846</t>
  </si>
  <si>
    <t>P04949</t>
  </si>
  <si>
    <t>P04951</t>
  </si>
  <si>
    <t>P04968</t>
  </si>
  <si>
    <t>P04982</t>
  </si>
  <si>
    <t>P04983</t>
  </si>
  <si>
    <t>P04993</t>
  </si>
  <si>
    <t>P04994</t>
  </si>
  <si>
    <t>P04995</t>
  </si>
  <si>
    <t>P05020</t>
  </si>
  <si>
    <t>P05041</t>
  </si>
  <si>
    <t>P05042</t>
  </si>
  <si>
    <t>P05050</t>
  </si>
  <si>
    <t>P05055</t>
  </si>
  <si>
    <t>P05194</t>
  </si>
  <si>
    <t>P05458</t>
  </si>
  <si>
    <t>P05459</t>
  </si>
  <si>
    <t>P05523</t>
  </si>
  <si>
    <t>P05637</t>
  </si>
  <si>
    <t>P05704</t>
  </si>
  <si>
    <t>P05707</t>
  </si>
  <si>
    <t>P05791</t>
  </si>
  <si>
    <t>P05793</t>
  </si>
  <si>
    <t>P05804</t>
  </si>
  <si>
    <t>P05825</t>
  </si>
  <si>
    <t>P05827</t>
  </si>
  <si>
    <t>P06129</t>
  </si>
  <si>
    <t>P06134</t>
  </si>
  <si>
    <t>P06149</t>
  </si>
  <si>
    <t>P06282</t>
  </si>
  <si>
    <t>P06610</t>
  </si>
  <si>
    <t>P06612</t>
  </si>
  <si>
    <t>P06616</t>
  </si>
  <si>
    <t>P06709</t>
  </si>
  <si>
    <t>P06710</t>
  </si>
  <si>
    <t>P06715</t>
  </si>
  <si>
    <t>P06720</t>
  </si>
  <si>
    <t>P06721</t>
  </si>
  <si>
    <t>P06846</t>
  </si>
  <si>
    <t>P06959</t>
  </si>
  <si>
    <t>P06961</t>
  </si>
  <si>
    <t>P06966</t>
  </si>
  <si>
    <t>P06968</t>
  </si>
  <si>
    <t>P06971</t>
  </si>
  <si>
    <t>P06974</t>
  </si>
  <si>
    <t>P06983</t>
  </si>
  <si>
    <t>P06986</t>
  </si>
  <si>
    <t>P06987</t>
  </si>
  <si>
    <t>P06988</t>
  </si>
  <si>
    <t>P06989</t>
  </si>
  <si>
    <t>P06992</t>
  </si>
  <si>
    <t>P06996</t>
  </si>
  <si>
    <t>P06999</t>
  </si>
  <si>
    <t>P07000</t>
  </si>
  <si>
    <t>P07001</t>
  </si>
  <si>
    <t>P07003</t>
  </si>
  <si>
    <t>P07004</t>
  </si>
  <si>
    <t>P07012</t>
  </si>
  <si>
    <t>P07013</t>
  </si>
  <si>
    <t>P07014</t>
  </si>
  <si>
    <t>P07017</t>
  </si>
  <si>
    <t>P07018</t>
  </si>
  <si>
    <t>P07023</t>
  </si>
  <si>
    <t>P07024</t>
  </si>
  <si>
    <t>P07102</t>
  </si>
  <si>
    <t>P07117</t>
  </si>
  <si>
    <t>P07118</t>
  </si>
  <si>
    <t>P07330</t>
  </si>
  <si>
    <t>P07363</t>
  </si>
  <si>
    <t>P07395</t>
  </si>
  <si>
    <t>P07464</t>
  </si>
  <si>
    <t>P07604</t>
  </si>
  <si>
    <t>P07639</t>
  </si>
  <si>
    <t>P07650</t>
  </si>
  <si>
    <t>P07762</t>
  </si>
  <si>
    <t>P07813</t>
  </si>
  <si>
    <t>P07822</t>
  </si>
  <si>
    <t>P07862</t>
  </si>
  <si>
    <t>P07913</t>
  </si>
  <si>
    <t>P08142</t>
  </si>
  <si>
    <t>P08178</t>
  </si>
  <si>
    <t>P08179</t>
  </si>
  <si>
    <t>P08192</t>
  </si>
  <si>
    <t>P08194</t>
  </si>
  <si>
    <t>P08200</t>
  </si>
  <si>
    <t>P08201</t>
  </si>
  <si>
    <t>P08202</t>
  </si>
  <si>
    <t>P08204</t>
  </si>
  <si>
    <t>P08244</t>
  </si>
  <si>
    <t>P08245</t>
  </si>
  <si>
    <t>P08312</t>
  </si>
  <si>
    <t>P08331</t>
  </si>
  <si>
    <t>P08337</t>
  </si>
  <si>
    <t>P08368</t>
  </si>
  <si>
    <t>P08373</t>
  </si>
  <si>
    <t>P08390</t>
  </si>
  <si>
    <t>P08395</t>
  </si>
  <si>
    <t>P08506</t>
  </si>
  <si>
    <t>P08550</t>
  </si>
  <si>
    <t>P08622</t>
  </si>
  <si>
    <t>P08660</t>
  </si>
  <si>
    <t>P08839</t>
  </si>
  <si>
    <t>P08956</t>
  </si>
  <si>
    <t>P08957</t>
  </si>
  <si>
    <t>P08997</t>
  </si>
  <si>
    <t>P09029</t>
  </si>
  <si>
    <t>P09030</t>
  </si>
  <si>
    <t>P09053</t>
  </si>
  <si>
    <t>P09099</t>
  </si>
  <si>
    <t>P09126</t>
  </si>
  <si>
    <t>P09127</t>
  </si>
  <si>
    <t>P09147</t>
  </si>
  <si>
    <t>P09148</t>
  </si>
  <si>
    <t>P09152</t>
  </si>
  <si>
    <t>P09158</t>
  </si>
  <si>
    <t>P09169</t>
  </si>
  <si>
    <t>P09323</t>
  </si>
  <si>
    <t>P09372</t>
  </si>
  <si>
    <t>P09373</t>
  </si>
  <si>
    <t>P09391</t>
  </si>
  <si>
    <t>P09394</t>
  </si>
  <si>
    <t>P09424</t>
  </si>
  <si>
    <t>P09546</t>
  </si>
  <si>
    <t>P09549</t>
  </si>
  <si>
    <t>P09551</t>
  </si>
  <si>
    <t>P09831</t>
  </si>
  <si>
    <t>P09832</t>
  </si>
  <si>
    <t>P09833</t>
  </si>
  <si>
    <t>P0A698</t>
  </si>
  <si>
    <t>P0A6A3</t>
  </si>
  <si>
    <t>P0A6A6</t>
  </si>
  <si>
    <t>P0A6A8</t>
  </si>
  <si>
    <t>P0A6B4</t>
  </si>
  <si>
    <t>P0A6B7</t>
  </si>
  <si>
    <t>P0A6C1</t>
  </si>
  <si>
    <t>P0A6C8</t>
  </si>
  <si>
    <t>P0A6D0</t>
  </si>
  <si>
    <t>P0A6D3</t>
  </si>
  <si>
    <t>P0A6D7</t>
  </si>
  <si>
    <t>P0A6E1</t>
  </si>
  <si>
    <t>P0A6E4</t>
  </si>
  <si>
    <t>P0A6E9</t>
  </si>
  <si>
    <t>P0A6F1</t>
  </si>
  <si>
    <t>P0A6F3</t>
  </si>
  <si>
    <t>P0A6F5</t>
  </si>
  <si>
    <t>P0A6F9</t>
  </si>
  <si>
    <t>P0A6G3</t>
  </si>
  <si>
    <t>P0A6G7</t>
  </si>
  <si>
    <t>P0A6H1</t>
  </si>
  <si>
    <t>P0A6H5</t>
  </si>
  <si>
    <t>P0A6H8</t>
  </si>
  <si>
    <t>P0A6I0</t>
  </si>
  <si>
    <t>P0A6I3</t>
  </si>
  <si>
    <t>P0A6I6</t>
  </si>
  <si>
    <t>P0A6I9</t>
  </si>
  <si>
    <t>P0A6J3</t>
  </si>
  <si>
    <t>P0A6J5</t>
  </si>
  <si>
    <t>P0A6J8</t>
  </si>
  <si>
    <t>P0A6K1</t>
  </si>
  <si>
    <t>P0A6K3</t>
  </si>
  <si>
    <t>P0A6K6</t>
  </si>
  <si>
    <t>P0A6L0</t>
  </si>
  <si>
    <t>P0A6L2</t>
  </si>
  <si>
    <t>P0A6L4</t>
  </si>
  <si>
    <t>P0A6L7</t>
  </si>
  <si>
    <t>P0A6L9</t>
  </si>
  <si>
    <t>P0A6M2</t>
  </si>
  <si>
    <t>P0A6M4</t>
  </si>
  <si>
    <t>P0A6M8</t>
  </si>
  <si>
    <t>P0A6N4</t>
  </si>
  <si>
    <t>P0A6N8</t>
  </si>
  <si>
    <t>P0A6P1</t>
  </si>
  <si>
    <t>P0A6P5</t>
  </si>
  <si>
    <t>P0A6P7</t>
  </si>
  <si>
    <t>P0A6P9</t>
  </si>
  <si>
    <t>P0A6Q3</t>
  </si>
  <si>
    <t>P0A6Q6</t>
  </si>
  <si>
    <t>P0A6R0</t>
  </si>
  <si>
    <t>P0A6S0</t>
  </si>
  <si>
    <t>P0A6S7</t>
  </si>
  <si>
    <t>P0A6T1</t>
  </si>
  <si>
    <t>P0A6T3</t>
  </si>
  <si>
    <t>P0A6T5</t>
  </si>
  <si>
    <t>P0A6T9</t>
  </si>
  <si>
    <t>P0A6U3</t>
  </si>
  <si>
    <t>P0A6U5</t>
  </si>
  <si>
    <t>P0A6U8</t>
  </si>
  <si>
    <t>P0A6V1</t>
  </si>
  <si>
    <t>P0A6V5</t>
  </si>
  <si>
    <t>P0A6V8</t>
  </si>
  <si>
    <t>P0A6W3</t>
  </si>
  <si>
    <t>P0A6W5</t>
  </si>
  <si>
    <t>P0A6W9</t>
  </si>
  <si>
    <t>P0A6X3</t>
  </si>
  <si>
    <t>P0A6X7</t>
  </si>
  <si>
    <t>P0A6Y1</t>
  </si>
  <si>
    <t>P0A6Y5</t>
  </si>
  <si>
    <t>P0A6Y8</t>
  </si>
  <si>
    <t>P0A6Z1</t>
  </si>
  <si>
    <t>P0A6Z3</t>
  </si>
  <si>
    <t>P0A6Z6</t>
  </si>
  <si>
    <t>P0A705</t>
  </si>
  <si>
    <t>P0A707</t>
  </si>
  <si>
    <t>P0A715</t>
  </si>
  <si>
    <t>P0A717</t>
  </si>
  <si>
    <t>P0A720</t>
  </si>
  <si>
    <t>P0A722</t>
  </si>
  <si>
    <t>P0A725</t>
  </si>
  <si>
    <t>P0A729</t>
  </si>
  <si>
    <t>P0A731</t>
  </si>
  <si>
    <t>P0A734</t>
  </si>
  <si>
    <t>P0A738</t>
  </si>
  <si>
    <t>P0A742</t>
  </si>
  <si>
    <t>P0A744</t>
  </si>
  <si>
    <t>P0A746</t>
  </si>
  <si>
    <t>P0A749</t>
  </si>
  <si>
    <t>P0A752</t>
  </si>
  <si>
    <t>P0A754</t>
  </si>
  <si>
    <t>P0A759</t>
  </si>
  <si>
    <t>P0A761</t>
  </si>
  <si>
    <t>P0A763</t>
  </si>
  <si>
    <t>P0A780</t>
  </si>
  <si>
    <t>P0A784</t>
  </si>
  <si>
    <t>P0A786</t>
  </si>
  <si>
    <t>P0A790</t>
  </si>
  <si>
    <t>P0A794</t>
  </si>
  <si>
    <t>P0A796</t>
  </si>
  <si>
    <t>P0A799</t>
  </si>
  <si>
    <t>P0A7A2</t>
  </si>
  <si>
    <t>P0A7A5</t>
  </si>
  <si>
    <t>P0A7A7</t>
  </si>
  <si>
    <t>P0A7A9</t>
  </si>
  <si>
    <t>P0A7B1</t>
  </si>
  <si>
    <t>P0A7B3</t>
  </si>
  <si>
    <t>P0A7B5</t>
  </si>
  <si>
    <t>P0A7B8</t>
  </si>
  <si>
    <t>P0A7C2</t>
  </si>
  <si>
    <t>P0A7C6</t>
  </si>
  <si>
    <t>P0A7D1</t>
  </si>
  <si>
    <t>P0A7D4</t>
  </si>
  <si>
    <t>P0A7D7</t>
  </si>
  <si>
    <t>P0A7E1</t>
  </si>
  <si>
    <t>P0A7E3</t>
  </si>
  <si>
    <t>P0A7E5</t>
  </si>
  <si>
    <t>P0A7E9</t>
  </si>
  <si>
    <t>P0A7F3</t>
  </si>
  <si>
    <t>P0A7F6</t>
  </si>
  <si>
    <t>P0A7F9</t>
  </si>
  <si>
    <t>P0A7G2</t>
  </si>
  <si>
    <t>P0A7G6</t>
  </si>
  <si>
    <t>P0A7H6</t>
  </si>
  <si>
    <t>P0A7I0</t>
  </si>
  <si>
    <t>P0A7I4</t>
  </si>
  <si>
    <t>P0A7I7</t>
  </si>
  <si>
    <t>P0A7J0</t>
  </si>
  <si>
    <t>P0A7J3</t>
  </si>
  <si>
    <t>P0A7J7</t>
  </si>
  <si>
    <t>P0A7K2</t>
  </si>
  <si>
    <t>P0A7K6</t>
  </si>
  <si>
    <t>P0A7L0</t>
  </si>
  <si>
    <t>P0A7L3</t>
  </si>
  <si>
    <t>P0A7L8</t>
  </si>
  <si>
    <t>P0A7M2</t>
  </si>
  <si>
    <t>P0A7M6</t>
  </si>
  <si>
    <t>P0A7M9</t>
  </si>
  <si>
    <t>P0A7P5</t>
  </si>
  <si>
    <t>P0A7Q6</t>
  </si>
  <si>
    <t>P0A7R1</t>
  </si>
  <si>
    <t>P0A7R5</t>
  </si>
  <si>
    <t>P0A7R9</t>
  </si>
  <si>
    <t>P0A7S3</t>
  </si>
  <si>
    <t>P0A7S9</t>
  </si>
  <si>
    <t>P0A7T3</t>
  </si>
  <si>
    <t>P0A7T7</t>
  </si>
  <si>
    <t>P0A7U3</t>
  </si>
  <si>
    <t>P0A7U7</t>
  </si>
  <si>
    <t>P0A7V0</t>
  </si>
  <si>
    <t>P0A7V3</t>
  </si>
  <si>
    <t>P0A7V8</t>
  </si>
  <si>
    <t>P0A7W1</t>
  </si>
  <si>
    <t>P0A7W7</t>
  </si>
  <si>
    <t>P0A7X3</t>
  </si>
  <si>
    <t>P0A7X6</t>
  </si>
  <si>
    <t>P0A7Y0</t>
  </si>
  <si>
    <t>P0A7Y4</t>
  </si>
  <si>
    <t>P0A7Z0</t>
  </si>
  <si>
    <t>P0A7Z4</t>
  </si>
  <si>
    <t>P0A800</t>
  </si>
  <si>
    <t>P0A805</t>
  </si>
  <si>
    <t>P0A809</t>
  </si>
  <si>
    <t>P0A812</t>
  </si>
  <si>
    <t>P0A817</t>
  </si>
  <si>
    <t>P0A821</t>
  </si>
  <si>
    <t>P0A823</t>
  </si>
  <si>
    <t>P0A825</t>
  </si>
  <si>
    <t>P0A830</t>
  </si>
  <si>
    <t>P0A832</t>
  </si>
  <si>
    <t>P0A836</t>
  </si>
  <si>
    <t>P0A840</t>
  </si>
  <si>
    <t>P0A847</t>
  </si>
  <si>
    <t>P0A850</t>
  </si>
  <si>
    <t>P0A853</t>
  </si>
  <si>
    <t>P0A855</t>
  </si>
  <si>
    <t>P0A858</t>
  </si>
  <si>
    <t>P0A862</t>
  </si>
  <si>
    <t>P0A867</t>
  </si>
  <si>
    <t>P0A870</t>
  </si>
  <si>
    <t>P0A873</t>
  </si>
  <si>
    <t>P0A877</t>
  </si>
  <si>
    <t>P0A879</t>
  </si>
  <si>
    <t>P0A881</t>
  </si>
  <si>
    <t>P0A884</t>
  </si>
  <si>
    <t>P0A887</t>
  </si>
  <si>
    <t>P0A890</t>
  </si>
  <si>
    <t>P0A894</t>
  </si>
  <si>
    <t>P0A898</t>
  </si>
  <si>
    <t>P0A8A0</t>
  </si>
  <si>
    <t>P0A8A2</t>
  </si>
  <si>
    <t>P0A8A4</t>
  </si>
  <si>
    <t>P0A8B5</t>
  </si>
  <si>
    <t>P0A8C1</t>
  </si>
  <si>
    <t>P0A8D0</t>
  </si>
  <si>
    <t>P0A8D3</t>
  </si>
  <si>
    <t>P0A8D6</t>
  </si>
  <si>
    <t>P0A8E1</t>
  </si>
  <si>
    <t>P0A8E5</t>
  </si>
  <si>
    <t>P0A8E7</t>
  </si>
  <si>
    <t>P0A8F0</t>
  </si>
  <si>
    <t>P0A8F4</t>
  </si>
  <si>
    <t>P0A8F8</t>
  </si>
  <si>
    <t>P0A8G3</t>
  </si>
  <si>
    <t>P0A8G6</t>
  </si>
  <si>
    <t>P0A8G9</t>
  </si>
  <si>
    <t>P0A8H6</t>
  </si>
  <si>
    <t>P0A8H8</t>
  </si>
  <si>
    <t>P0A8I1</t>
  </si>
  <si>
    <t>P0A8I3</t>
  </si>
  <si>
    <t>P0A8I5</t>
  </si>
  <si>
    <t>P0A8I8</t>
  </si>
  <si>
    <t>P0A8J8</t>
  </si>
  <si>
    <t>P0A8K1</t>
  </si>
  <si>
    <t>P0A8K5</t>
  </si>
  <si>
    <t>P0A8L1</t>
  </si>
  <si>
    <t>P0A8L7</t>
  </si>
  <si>
    <t>P0A8M0</t>
  </si>
  <si>
    <t>P0A8M3</t>
  </si>
  <si>
    <t>P0A8M6</t>
  </si>
  <si>
    <t>P0A8N0</t>
  </si>
  <si>
    <t>P0A8N3</t>
  </si>
  <si>
    <t>P0A8N5</t>
  </si>
  <si>
    <t>P0A8N7</t>
  </si>
  <si>
    <t>P0A8P3</t>
  </si>
  <si>
    <t>P0A8Q0</t>
  </si>
  <si>
    <t>P0A8Q3</t>
  </si>
  <si>
    <t>P0A8Q6</t>
  </si>
  <si>
    <t>P0A8R0</t>
  </si>
  <si>
    <t>P0A8R4</t>
  </si>
  <si>
    <t>P0A8R7</t>
  </si>
  <si>
    <t>P0A8S1</t>
  </si>
  <si>
    <t>P0A8T1</t>
  </si>
  <si>
    <t>P0A8T7</t>
  </si>
  <si>
    <t>P0A8U0</t>
  </si>
  <si>
    <t>P0A8U2</t>
  </si>
  <si>
    <t>P0A8U6</t>
  </si>
  <si>
    <t>P0A8V0</t>
  </si>
  <si>
    <t>P0A8V2</t>
  </si>
  <si>
    <t>P0A8V6</t>
  </si>
  <si>
    <t>P0A8W0</t>
  </si>
  <si>
    <t>P0A8W2</t>
  </si>
  <si>
    <t>P0A8W5</t>
  </si>
  <si>
    <t>P0A8W8</t>
  </si>
  <si>
    <t>P0A8X0</t>
  </si>
  <si>
    <t>P0A8X2</t>
  </si>
  <si>
    <t>P0A8Y3</t>
  </si>
  <si>
    <t>P0A8Y5</t>
  </si>
  <si>
    <t>P0A8Z0</t>
  </si>
  <si>
    <t>P0A8Z3</t>
  </si>
  <si>
    <t>P0A901</t>
  </si>
  <si>
    <t>P0A903</t>
  </si>
  <si>
    <t>P0A905</t>
  </si>
  <si>
    <t>P0A910</t>
  </si>
  <si>
    <t>P0A912</t>
  </si>
  <si>
    <t>P0A915</t>
  </si>
  <si>
    <t>P0A917</t>
  </si>
  <si>
    <t>P0A921</t>
  </si>
  <si>
    <t>P0A924</t>
  </si>
  <si>
    <t>P0A927</t>
  </si>
  <si>
    <t>P0A937</t>
  </si>
  <si>
    <t>P0A940</t>
  </si>
  <si>
    <t>P0A944</t>
  </si>
  <si>
    <t>P0A948</t>
  </si>
  <si>
    <t>P0A951</t>
  </si>
  <si>
    <t>P0A953</t>
  </si>
  <si>
    <t>P0A955</t>
  </si>
  <si>
    <t>P0A959</t>
  </si>
  <si>
    <t>P0A962</t>
  </si>
  <si>
    <t>P0A964</t>
  </si>
  <si>
    <t>P0A968</t>
  </si>
  <si>
    <t>P0A972</t>
  </si>
  <si>
    <t>P0A988</t>
  </si>
  <si>
    <t>P0A991</t>
  </si>
  <si>
    <t>P0A993</t>
  </si>
  <si>
    <t>P0A998</t>
  </si>
  <si>
    <t>P0A9A2</t>
  </si>
  <si>
    <t>P0A9A6</t>
  </si>
  <si>
    <t>P0A9A9</t>
  </si>
  <si>
    <t>P0A9B2</t>
  </si>
  <si>
    <t>P0A9B6</t>
  </si>
  <si>
    <t>P0A9C3</t>
  </si>
  <si>
    <t>P0A9C5</t>
  </si>
  <si>
    <t>P0A9C9</t>
  </si>
  <si>
    <t>P0A9D2</t>
  </si>
  <si>
    <t>P0A9D4</t>
  </si>
  <si>
    <t>P0A9D8</t>
  </si>
  <si>
    <t>P0A9E5</t>
  </si>
  <si>
    <t>P0A9F1</t>
  </si>
  <si>
    <t>P0A9F3</t>
  </si>
  <si>
    <t>P0A9F6</t>
  </si>
  <si>
    <t>P0A9G6</t>
  </si>
  <si>
    <t>P0A9G8</t>
  </si>
  <si>
    <t>P0A9H1</t>
  </si>
  <si>
    <t>P0A9H3</t>
  </si>
  <si>
    <t>P0A9H7</t>
  </si>
  <si>
    <t>P0A9H9</t>
  </si>
  <si>
    <t>P0A9I3</t>
  </si>
  <si>
    <t>P0A9J0</t>
  </si>
  <si>
    <t>P0A9J6</t>
  </si>
  <si>
    <t>P0A9J8</t>
  </si>
  <si>
    <t>P0A9K3</t>
  </si>
  <si>
    <t>P0A9K7</t>
  </si>
  <si>
    <t>P0A9K9</t>
  </si>
  <si>
    <t>P0A9L3</t>
  </si>
  <si>
    <t>P0A9L5</t>
  </si>
  <si>
    <t>P0A9L8</t>
  </si>
  <si>
    <t>P0A9M0</t>
  </si>
  <si>
    <t>P0A9M2</t>
  </si>
  <si>
    <t>P0A9M5</t>
  </si>
  <si>
    <t>P0A9M8</t>
  </si>
  <si>
    <t>P0A9N0</t>
  </si>
  <si>
    <t>P0A9N4</t>
  </si>
  <si>
    <t>P0A9P0</t>
  </si>
  <si>
    <t>P0A9P4</t>
  </si>
  <si>
    <t>P0A9P9</t>
  </si>
  <si>
    <t>P0A9Q1</t>
  </si>
  <si>
    <t>P0A9Q5</t>
  </si>
  <si>
    <t>P0A9Q7</t>
  </si>
  <si>
    <t>P0A9Q9</t>
  </si>
  <si>
    <t>P0A9R4</t>
  </si>
  <si>
    <t>P0A9R7</t>
  </si>
  <si>
    <t>P0A9S1</t>
  </si>
  <si>
    <t>P0A9S3</t>
  </si>
  <si>
    <t>P0A9S5</t>
  </si>
  <si>
    <t>P0A9T0</t>
  </si>
  <si>
    <t>P0A9T4</t>
  </si>
  <si>
    <t>P0A9T8</t>
  </si>
  <si>
    <t>P0A9U3</t>
  </si>
  <si>
    <t>P0A9U6</t>
  </si>
  <si>
    <t>P0A9V1</t>
  </si>
  <si>
    <t>P0A9V5</t>
  </si>
  <si>
    <t>P0A9W0</t>
  </si>
  <si>
    <t>P0A9W3</t>
  </si>
  <si>
    <t>P0A9W6</t>
  </si>
  <si>
    <t>P0A9X1</t>
  </si>
  <si>
    <t>P0A9X4</t>
  </si>
  <si>
    <t>P0A9X9</t>
  </si>
  <si>
    <t>P0A9Y6</t>
  </si>
  <si>
    <t>P0A9Z1</t>
  </si>
  <si>
    <t>P0AA04</t>
  </si>
  <si>
    <t>P0AA10</t>
  </si>
  <si>
    <t>P0AA16</t>
  </si>
  <si>
    <t>P0AA25</t>
  </si>
  <si>
    <t>P0AA37</t>
  </si>
  <si>
    <t>P0AA39</t>
  </si>
  <si>
    <t>P0AA43</t>
  </si>
  <si>
    <t>P0AA53</t>
  </si>
  <si>
    <t>P0AA63</t>
  </si>
  <si>
    <t>P0AA84</t>
  </si>
  <si>
    <t>P0AA86</t>
  </si>
  <si>
    <t>P0AA91</t>
  </si>
  <si>
    <t>P0AA93</t>
  </si>
  <si>
    <t>P0AAA1</t>
  </si>
  <si>
    <t>P0AAB4</t>
  </si>
  <si>
    <t>P0AAB6</t>
  </si>
  <si>
    <t>P0AAB8</t>
  </si>
  <si>
    <t>P0AAC0</t>
  </si>
  <si>
    <t>P0AAC4</t>
  </si>
  <si>
    <t>P0AAC8</t>
  </si>
  <si>
    <t>P0AAD2</t>
  </si>
  <si>
    <t>P0AAD6</t>
  </si>
  <si>
    <t>P0AAE0</t>
  </si>
  <si>
    <t>P0AAE2</t>
  </si>
  <si>
    <t>P0AAF6</t>
  </si>
  <si>
    <t>P0AAG0</t>
  </si>
  <si>
    <t>P0AAG8</t>
  </si>
  <si>
    <t>P0AAH0</t>
  </si>
  <si>
    <t>P0AAH4</t>
  </si>
  <si>
    <t>P0AAH8</t>
  </si>
  <si>
    <t>P0AAI3</t>
  </si>
  <si>
    <t>P0AAI5</t>
  </si>
  <si>
    <t>P0AAI9</t>
  </si>
  <si>
    <t>P0AAJ1</t>
  </si>
  <si>
    <t>P0AAJ3</t>
  </si>
  <si>
    <t>P0AAJ5</t>
  </si>
  <si>
    <t>P0AAJ8</t>
  </si>
  <si>
    <t>P0AAN1</t>
  </si>
  <si>
    <t>P0AAN3</t>
  </si>
  <si>
    <t>P0AAP3</t>
  </si>
  <si>
    <t>P0AAQ2</t>
  </si>
  <si>
    <t>P0AAQ6</t>
  </si>
  <si>
    <t>P0AAR0</t>
  </si>
  <si>
    <t>P0AAR3</t>
  </si>
  <si>
    <t>P0AAS0</t>
  </si>
  <si>
    <t>P0AAS3</t>
  </si>
  <si>
    <t>P0AAS7</t>
  </si>
  <si>
    <t>P0AAT2</t>
  </si>
  <si>
    <t>P0AAT4</t>
  </si>
  <si>
    <t>P0AAT9</t>
  </si>
  <si>
    <t>P0AAU7</t>
  </si>
  <si>
    <t>P0AAV0</t>
  </si>
  <si>
    <t>P0AAV4</t>
  </si>
  <si>
    <t>P0AAV6</t>
  </si>
  <si>
    <t>P0AAW1</t>
  </si>
  <si>
    <t>P0AAX8</t>
  </si>
  <si>
    <t>P0AAY6</t>
  </si>
  <si>
    <t>P0AAZ4</t>
  </si>
  <si>
    <t>P0AAZ7</t>
  </si>
  <si>
    <t>P0AB01</t>
  </si>
  <si>
    <t>P0AB03</t>
  </si>
  <si>
    <t>P0AB10</t>
  </si>
  <si>
    <t>P0AB12</t>
  </si>
  <si>
    <t>P0AB14</t>
  </si>
  <si>
    <t>P0AB18</t>
  </si>
  <si>
    <t>P0AB20</t>
  </si>
  <si>
    <t>P0AB24</t>
  </si>
  <si>
    <t>P0AB26</t>
  </si>
  <si>
    <t>P0AB28</t>
  </si>
  <si>
    <t>P0AB38</t>
  </si>
  <si>
    <t>P0AB43</t>
  </si>
  <si>
    <t>P0AB46</t>
  </si>
  <si>
    <t>P0AB49</t>
  </si>
  <si>
    <t>P0AB52</t>
  </si>
  <si>
    <t>P0AB55</t>
  </si>
  <si>
    <t>P0AB58</t>
  </si>
  <si>
    <t>P0AB61</t>
  </si>
  <si>
    <t>P0AB65</t>
  </si>
  <si>
    <t>P0AB67</t>
  </si>
  <si>
    <t>P0AB71</t>
  </si>
  <si>
    <t>P0AB77</t>
  </si>
  <si>
    <t>P0AB80</t>
  </si>
  <si>
    <t>P0AB85</t>
  </si>
  <si>
    <t>P0AB89</t>
  </si>
  <si>
    <t>P0AB91</t>
  </si>
  <si>
    <t>P0AB96</t>
  </si>
  <si>
    <t>P0AB98</t>
  </si>
  <si>
    <t>P0ABA0</t>
  </si>
  <si>
    <t>P0ABA4</t>
  </si>
  <si>
    <t>P0ABA6</t>
  </si>
  <si>
    <t>P0ABB0</t>
  </si>
  <si>
    <t>P0ABB4</t>
  </si>
  <si>
    <t>P0ABB8</t>
  </si>
  <si>
    <t>P0ABC3</t>
  </si>
  <si>
    <t>P0ABC7</t>
  </si>
  <si>
    <t>P0ABD3</t>
  </si>
  <si>
    <t>P0ABD5</t>
  </si>
  <si>
    <t>P0ABD8</t>
  </si>
  <si>
    <t>P0ABE2</t>
  </si>
  <si>
    <t>P0ABE5</t>
  </si>
  <si>
    <t>P0ABF1</t>
  </si>
  <si>
    <t>P0ABF4</t>
  </si>
  <si>
    <t>P0ABF6</t>
  </si>
  <si>
    <t>P0ABF8</t>
  </si>
  <si>
    <t>P0ABG7</t>
  </si>
  <si>
    <t>P0ABH0</t>
  </si>
  <si>
    <t>P0ABH7</t>
  </si>
  <si>
    <t>P0ABH9</t>
  </si>
  <si>
    <t>P0ABI4</t>
  </si>
  <si>
    <t>P0ABI8</t>
  </si>
  <si>
    <t>P0ABJ1</t>
  </si>
  <si>
    <t>P0ABJ3</t>
  </si>
  <si>
    <t>P0ABJ9</t>
  </si>
  <si>
    <t>P0ABK2</t>
  </si>
  <si>
    <t>P0ABK5</t>
  </si>
  <si>
    <t>P0ABK9</t>
  </si>
  <si>
    <t>P0ABL1</t>
  </si>
  <si>
    <t>P0ABL3</t>
  </si>
  <si>
    <t>P0ABL5</t>
  </si>
  <si>
    <t>P0ABN1</t>
  </si>
  <si>
    <t>P0ABN5</t>
  </si>
  <si>
    <t>P0ABP3</t>
  </si>
  <si>
    <t>P0ABP6</t>
  </si>
  <si>
    <t>P0ABP8</t>
  </si>
  <si>
    <t>P0ABQ0</t>
  </si>
  <si>
    <t>P0ABQ2</t>
  </si>
  <si>
    <t>P0ABQ4</t>
  </si>
  <si>
    <t>P0ABR1</t>
  </si>
  <si>
    <t>P0ABS1</t>
  </si>
  <si>
    <t>P0ABS5</t>
  </si>
  <si>
    <t>P0ABS8</t>
  </si>
  <si>
    <t>P0ABT2</t>
  </si>
  <si>
    <t>P0ABU0</t>
  </si>
  <si>
    <t>P0ABU2</t>
  </si>
  <si>
    <t>P0ABU5</t>
  </si>
  <si>
    <t>P0ABU7</t>
  </si>
  <si>
    <t>P0ABU9</t>
  </si>
  <si>
    <t>P0ABV2</t>
  </si>
  <si>
    <t>P0ABV6</t>
  </si>
  <si>
    <t>P0ABX8</t>
  </si>
  <si>
    <t>P0ABZ1</t>
  </si>
  <si>
    <t>P0ABZ4</t>
  </si>
  <si>
    <t>P0ABZ6</t>
  </si>
  <si>
    <t>P0AC02</t>
  </si>
  <si>
    <t>P0AC05</t>
  </si>
  <si>
    <t>P0AC13</t>
  </si>
  <si>
    <t>P0AC16</t>
  </si>
  <si>
    <t>P0AC19</t>
  </si>
  <si>
    <t>P0AC23</t>
  </si>
  <si>
    <t>P0AC30</t>
  </si>
  <si>
    <t>P0AC33</t>
  </si>
  <si>
    <t>P0AC38</t>
  </si>
  <si>
    <t>P0AC41</t>
  </si>
  <si>
    <t>P0AC44</t>
  </si>
  <si>
    <t>P0AC47</t>
  </si>
  <si>
    <t>P0AC51</t>
  </si>
  <si>
    <t>P0AC53</t>
  </si>
  <si>
    <t>P0AC59</t>
  </si>
  <si>
    <t>P0AC62</t>
  </si>
  <si>
    <t>P0AC69</t>
  </si>
  <si>
    <t>P0AC73</t>
  </si>
  <si>
    <t>P0AC75</t>
  </si>
  <si>
    <t>P0AC81</t>
  </si>
  <si>
    <t>P0AC84</t>
  </si>
  <si>
    <t>P0AC86</t>
  </si>
  <si>
    <t>P0AC92</t>
  </si>
  <si>
    <t>P0AC98</t>
  </si>
  <si>
    <t>P0ACA1</t>
  </si>
  <si>
    <t>P0ACA3</t>
  </si>
  <si>
    <t>P0ACA7</t>
  </si>
  <si>
    <t>P0ACB0</t>
  </si>
  <si>
    <t>P0ACB2</t>
  </si>
  <si>
    <t>P0ACB7</t>
  </si>
  <si>
    <t>P0ACC1</t>
  </si>
  <si>
    <t>P0ACC3</t>
  </si>
  <si>
    <t>P0ACC7</t>
  </si>
  <si>
    <t>P0ACD4</t>
  </si>
  <si>
    <t>P0ACD8</t>
  </si>
  <si>
    <t>P0ACE0</t>
  </si>
  <si>
    <t>P0ACE3</t>
  </si>
  <si>
    <t>P0ACE7</t>
  </si>
  <si>
    <t>P0ACF0</t>
  </si>
  <si>
    <t>P0ACF4</t>
  </si>
  <si>
    <t>P0ACF8</t>
  </si>
  <si>
    <t>P0ACG1</t>
  </si>
  <si>
    <t>P0ACG8</t>
  </si>
  <si>
    <t>P0ACI0</t>
  </si>
  <si>
    <t>P0ACJ0</t>
  </si>
  <si>
    <t>P0ACJ8</t>
  </si>
  <si>
    <t>P0ACK2</t>
  </si>
  <si>
    <t>P0ACK5</t>
  </si>
  <si>
    <t>P0ACK8</t>
  </si>
  <si>
    <t>P0ACL0</t>
  </si>
  <si>
    <t>P0ACL2</t>
  </si>
  <si>
    <t>P0ACL5</t>
  </si>
  <si>
    <t>P0ACL9</t>
  </si>
  <si>
    <t>P0ACM5</t>
  </si>
  <si>
    <t>P0ACM9</t>
  </si>
  <si>
    <t>P0ACN4</t>
  </si>
  <si>
    <t>P0ACN7</t>
  </si>
  <si>
    <t>P0ACP1</t>
  </si>
  <si>
    <t>P0ACP5</t>
  </si>
  <si>
    <t>P0ACP7</t>
  </si>
  <si>
    <t>P0ACQ4</t>
  </si>
  <si>
    <t>P0ACR4</t>
  </si>
  <si>
    <t>P0ACR9</t>
  </si>
  <si>
    <t>P0ACS7</t>
  </si>
  <si>
    <t>P0ACT6</t>
  </si>
  <si>
    <t>P0ACU0</t>
  </si>
  <si>
    <t>P0ACU2</t>
  </si>
  <si>
    <t>P0ACU7</t>
  </si>
  <si>
    <t>P0ACV0</t>
  </si>
  <si>
    <t>P0ACV4</t>
  </si>
  <si>
    <t>P0ACV6</t>
  </si>
  <si>
    <t>P0ACW6</t>
  </si>
  <si>
    <t>P0ACX3</t>
  </si>
  <si>
    <t>P0ACX5</t>
  </si>
  <si>
    <t>P0ACY1</t>
  </si>
  <si>
    <t>P0ACY3</t>
  </si>
  <si>
    <t>P0ACY9</t>
  </si>
  <si>
    <t>P0ACZ4</t>
  </si>
  <si>
    <t>P0AD01</t>
  </si>
  <si>
    <t>P0AD05</t>
  </si>
  <si>
    <t>P0AD10</t>
  </si>
  <si>
    <t>P0AD12</t>
  </si>
  <si>
    <t>P0AD21</t>
  </si>
  <si>
    <t>P0AD24</t>
  </si>
  <si>
    <t>P0AD27</t>
  </si>
  <si>
    <t>P0AD33</t>
  </si>
  <si>
    <t>P0AD37</t>
  </si>
  <si>
    <t>P0AD40</t>
  </si>
  <si>
    <t>P0AD42</t>
  </si>
  <si>
    <t>P0AD44</t>
  </si>
  <si>
    <t>P0AD47</t>
  </si>
  <si>
    <t>P0AD49</t>
  </si>
  <si>
    <t>P0AD57</t>
  </si>
  <si>
    <t>P0AD59</t>
  </si>
  <si>
    <t>P0AD61</t>
  </si>
  <si>
    <t>P0AD96</t>
  </si>
  <si>
    <t>P0ADA1</t>
  </si>
  <si>
    <t>P0ADA3</t>
  </si>
  <si>
    <t>P0ADA5</t>
  </si>
  <si>
    <t>P0ADB1</t>
  </si>
  <si>
    <t>P0ADC1</t>
  </si>
  <si>
    <t>P0ADC3</t>
  </si>
  <si>
    <t>P0ADC6</t>
  </si>
  <si>
    <t>P0ADE4</t>
  </si>
  <si>
    <t>P0ADE6</t>
  </si>
  <si>
    <t>P0ADE8</t>
  </si>
  <si>
    <t>P0ADF8</t>
  </si>
  <si>
    <t>P0ADG4</t>
  </si>
  <si>
    <t>P0ADG7</t>
  </si>
  <si>
    <t>P0ADI4</t>
  </si>
  <si>
    <t>P0ADI7</t>
  </si>
  <si>
    <t>P0ADK0</t>
  </si>
  <si>
    <t>P0ADK8</t>
  </si>
  <si>
    <t>P0ADM4</t>
  </si>
  <si>
    <t>P0ADN0</t>
  </si>
  <si>
    <t>P0ADN2</t>
  </si>
  <si>
    <t>P0ADN6</t>
  </si>
  <si>
    <t>P0ADP0</t>
  </si>
  <si>
    <t>P0ADP2</t>
  </si>
  <si>
    <t>P0ADP7</t>
  </si>
  <si>
    <t>P0ADP9</t>
  </si>
  <si>
    <t>P0ADQ2</t>
  </si>
  <si>
    <t>P0ADQ7</t>
  </si>
  <si>
    <t>P0ADR6</t>
  </si>
  <si>
    <t>P0ADR8</t>
  </si>
  <si>
    <t>P0ADS2</t>
  </si>
  <si>
    <t>P0ADS6</t>
  </si>
  <si>
    <t>P0ADS9</t>
  </si>
  <si>
    <t>P0ADT2</t>
  </si>
  <si>
    <t>P0ADT5</t>
  </si>
  <si>
    <t>P0ADT8</t>
  </si>
  <si>
    <t>P0ADU2</t>
  </si>
  <si>
    <t>P0ADU5</t>
  </si>
  <si>
    <t>P0ADV1</t>
  </si>
  <si>
    <t>P0ADV5</t>
  </si>
  <si>
    <t>P0ADV7</t>
  </si>
  <si>
    <t>P0ADV9</t>
  </si>
  <si>
    <t>P0ADW3</t>
  </si>
  <si>
    <t>P0ADX1</t>
  </si>
  <si>
    <t>P0ADX7</t>
  </si>
  <si>
    <t>P0ADX9</t>
  </si>
  <si>
    <t>P0ADY1</t>
  </si>
  <si>
    <t>P0ADY3</t>
  </si>
  <si>
    <t>P0ADY7</t>
  </si>
  <si>
    <t>P0ADZ0</t>
  </si>
  <si>
    <t>P0ADZ4</t>
  </si>
  <si>
    <t>P0ADZ7</t>
  </si>
  <si>
    <t>P0AE01</t>
  </si>
  <si>
    <t>P0AE06</t>
  </si>
  <si>
    <t>P0AE08</t>
  </si>
  <si>
    <t>P0AE12</t>
  </si>
  <si>
    <t>P0AE14</t>
  </si>
  <si>
    <t>P0AE18</t>
  </si>
  <si>
    <t>P0AE22</t>
  </si>
  <si>
    <t>P0AE26</t>
  </si>
  <si>
    <t>P0AE28</t>
  </si>
  <si>
    <t>P0AE34</t>
  </si>
  <si>
    <t>P0AE37</t>
  </si>
  <si>
    <t>P0AE39</t>
  </si>
  <si>
    <t>P0AE45</t>
  </si>
  <si>
    <t>P0AE48</t>
  </si>
  <si>
    <t>P0AE52</t>
  </si>
  <si>
    <t>P0AE60</t>
  </si>
  <si>
    <t>P0AE63</t>
  </si>
  <si>
    <t>P0AE67</t>
  </si>
  <si>
    <t>P0AE70</t>
  </si>
  <si>
    <t>P0AE72</t>
  </si>
  <si>
    <t>P0AE78</t>
  </si>
  <si>
    <t>P0AE82</t>
  </si>
  <si>
    <t>P0AE85</t>
  </si>
  <si>
    <t>P0AE88</t>
  </si>
  <si>
    <t>P0AE91</t>
  </si>
  <si>
    <t>P0AEA8</t>
  </si>
  <si>
    <t>P0AEB2</t>
  </si>
  <si>
    <t>P0AEB7</t>
  </si>
  <si>
    <t>P0AEC0</t>
  </si>
  <si>
    <t>P0AEC3</t>
  </si>
  <si>
    <t>P0AEC5</t>
  </si>
  <si>
    <t>P0AEC8</t>
  </si>
  <si>
    <t>P0AED0</t>
  </si>
  <si>
    <t>P0AED5</t>
  </si>
  <si>
    <t>P0AED7</t>
  </si>
  <si>
    <t>P0AEE1</t>
  </si>
  <si>
    <t>P0AEE3</t>
  </si>
  <si>
    <t>P0AEE5</t>
  </si>
  <si>
    <t>P0AEF0</t>
  </si>
  <si>
    <t>P0AEG1</t>
  </si>
  <si>
    <t>P0AEG4</t>
  </si>
  <si>
    <t>P0AEG6</t>
  </si>
  <si>
    <t>P0AEH1</t>
  </si>
  <si>
    <t>P0AEH3</t>
  </si>
  <si>
    <t>P0AEH5</t>
  </si>
  <si>
    <t>P0AEI1</t>
  </si>
  <si>
    <t>P0AEI4</t>
  </si>
  <si>
    <t>P0AEI6</t>
  </si>
  <si>
    <t>P0AEJ2</t>
  </si>
  <si>
    <t>P0AEJ4</t>
  </si>
  <si>
    <t>P0AEJ6</t>
  </si>
  <si>
    <t>P0AEK2</t>
  </si>
  <si>
    <t>P0AEK4</t>
  </si>
  <si>
    <t>P0AEL0</t>
  </si>
  <si>
    <t>P0AEL6</t>
  </si>
  <si>
    <t>P0AEM4</t>
  </si>
  <si>
    <t>P0AEM6</t>
  </si>
  <si>
    <t>P0AEM9</t>
  </si>
  <si>
    <t>P0AEN1</t>
  </si>
  <si>
    <t>P0AEN8</t>
  </si>
  <si>
    <t>P0AEP3</t>
  </si>
  <si>
    <t>P0AEP7</t>
  </si>
  <si>
    <t>P0AEQ1</t>
  </si>
  <si>
    <t>P0AEQ3</t>
  </si>
  <si>
    <t>P0AEQ6</t>
  </si>
  <si>
    <t>P0AER0</t>
  </si>
  <si>
    <t>P0AER3</t>
  </si>
  <si>
    <t>P0AES0</t>
  </si>
  <si>
    <t>P0AES2</t>
  </si>
  <si>
    <t>P0AES4</t>
  </si>
  <si>
    <t>P0AES6</t>
  </si>
  <si>
    <t>P0AES9</t>
  </si>
  <si>
    <t>P0AET2</t>
  </si>
  <si>
    <t>P0AET5</t>
  </si>
  <si>
    <t>P0AET8</t>
  </si>
  <si>
    <t>P0AEU0</t>
  </si>
  <si>
    <t>P0AEU7</t>
  </si>
  <si>
    <t>P0AEV1</t>
  </si>
  <si>
    <t>P0AEV9</t>
  </si>
  <si>
    <t>P0AEW4</t>
  </si>
  <si>
    <t>P0AEW6</t>
  </si>
  <si>
    <t>P0AEW9</t>
  </si>
  <si>
    <t>P0AEX5</t>
  </si>
  <si>
    <t>P0AEX9</t>
  </si>
  <si>
    <t>P0AEY1</t>
  </si>
  <si>
    <t>P0AEY3</t>
  </si>
  <si>
    <t>P0AEY5</t>
  </si>
  <si>
    <t>P0AEZ3</t>
  </si>
  <si>
    <t>P0AEZ9</t>
  </si>
  <si>
    <t>P0AF01</t>
  </si>
  <si>
    <t>P0AF03</t>
  </si>
  <si>
    <t>P0AF06</t>
  </si>
  <si>
    <t>P0AF08</t>
  </si>
  <si>
    <t>P0AF12</t>
  </si>
  <si>
    <t>P0AF18</t>
  </si>
  <si>
    <t>P0AF20</t>
  </si>
  <si>
    <t>P0AF24</t>
  </si>
  <si>
    <t>P0AF26</t>
  </si>
  <si>
    <t>P0AF28</t>
  </si>
  <si>
    <t>P0AF36</t>
  </si>
  <si>
    <t>P0AF48</t>
  </si>
  <si>
    <t>P0AF50</t>
  </si>
  <si>
    <t>P0AF54</t>
  </si>
  <si>
    <t>P0AF56</t>
  </si>
  <si>
    <t>P0AF59</t>
  </si>
  <si>
    <t>P0AF63</t>
  </si>
  <si>
    <t>P0AF67</t>
  </si>
  <si>
    <t>P0AF70</t>
  </si>
  <si>
    <t>P0AF90</t>
  </si>
  <si>
    <t>P0AF93</t>
  </si>
  <si>
    <t>P0AF96</t>
  </si>
  <si>
    <t>P0AF98</t>
  </si>
  <si>
    <t>P0AFA2</t>
  </si>
  <si>
    <t>P0AFA7</t>
  </si>
  <si>
    <t>P0AFB1</t>
  </si>
  <si>
    <t>P0AFB5</t>
  </si>
  <si>
    <t>P0AFB8</t>
  </si>
  <si>
    <t>P0AFC0</t>
  </si>
  <si>
    <t>P0AFC3</t>
  </si>
  <si>
    <t>P0AFC7</t>
  </si>
  <si>
    <t>P0AFD1</t>
  </si>
  <si>
    <t>P0AFD4</t>
  </si>
  <si>
    <t>P0AFD6</t>
  </si>
  <si>
    <t>P0AFE0</t>
  </si>
  <si>
    <t>P0AFE4</t>
  </si>
  <si>
    <t>P0AFE8</t>
  </si>
  <si>
    <t>P0AFF0</t>
  </si>
  <si>
    <t>P0AFF2</t>
  </si>
  <si>
    <t>P0AFF6</t>
  </si>
  <si>
    <t>P0AFG0</t>
  </si>
  <si>
    <t>P0AFG3</t>
  </si>
  <si>
    <t>P0AFG6</t>
  </si>
  <si>
    <t>P0AFG8</t>
  </si>
  <si>
    <t>P0AFH2</t>
  </si>
  <si>
    <t>P0AFH6</t>
  </si>
  <si>
    <t>P0AFH8</t>
  </si>
  <si>
    <t>P0AFI2</t>
  </si>
  <si>
    <t>P0AFI7</t>
  </si>
  <si>
    <t>P0AFI9</t>
  </si>
  <si>
    <t>P0AFJ1</t>
  </si>
  <si>
    <t>P0AFJ5</t>
  </si>
  <si>
    <t>P0AFJ7</t>
  </si>
  <si>
    <t>P0AFK0</t>
  </si>
  <si>
    <t>P0AFK2</t>
  </si>
  <si>
    <t>P0AFK4</t>
  </si>
  <si>
    <t>P0AFK6</t>
  </si>
  <si>
    <t>P0AFK9</t>
  </si>
  <si>
    <t>P0AFL3</t>
  </si>
  <si>
    <t>P0AFL6</t>
  </si>
  <si>
    <t>P0AFM2</t>
  </si>
  <si>
    <t>P0AFM4</t>
  </si>
  <si>
    <t>P0AFM6</t>
  </si>
  <si>
    <t>P0AFM9</t>
  </si>
  <si>
    <t>P0AFN2</t>
  </si>
  <si>
    <t>P0AFP6</t>
  </si>
  <si>
    <t>P0AFQ7</t>
  </si>
  <si>
    <t>P0AFR0</t>
  </si>
  <si>
    <t>P0AFR2</t>
  </si>
  <si>
    <t>P0AFR4</t>
  </si>
  <si>
    <t>P0AFS3</t>
  </si>
  <si>
    <t>P0AFS7</t>
  </si>
  <si>
    <t>P0AFT2</t>
  </si>
  <si>
    <t>P0AFT5</t>
  </si>
  <si>
    <t>P0AFU0</t>
  </si>
  <si>
    <t>P0AFU4</t>
  </si>
  <si>
    <t>P0AFU8</t>
  </si>
  <si>
    <t>P0AFW0</t>
  </si>
  <si>
    <t>P0AFW2</t>
  </si>
  <si>
    <t>P0AFW4</t>
  </si>
  <si>
    <t>P0AFW8</t>
  </si>
  <si>
    <t>P0AFX0</t>
  </si>
  <si>
    <t>P0AFX4</t>
  </si>
  <si>
    <t>P0AFX9</t>
  </si>
  <si>
    <t>P0AFY2</t>
  </si>
  <si>
    <t>P0AFY8</t>
  </si>
  <si>
    <t>P0AFZ1</t>
  </si>
  <si>
    <t>P0AFZ3</t>
  </si>
  <si>
    <t>P0AG00</t>
  </si>
  <si>
    <t>P0AG03</t>
  </si>
  <si>
    <t>P0AG07</t>
  </si>
  <si>
    <t>P0AG14</t>
  </si>
  <si>
    <t>P0AG16</t>
  </si>
  <si>
    <t>P0AG18</t>
  </si>
  <si>
    <t>P0AG20</t>
  </si>
  <si>
    <t>P0AG27</t>
  </si>
  <si>
    <t>P0AG30</t>
  </si>
  <si>
    <t>P0AG40</t>
  </si>
  <si>
    <t>P0AG44</t>
  </si>
  <si>
    <t>P0AG48</t>
  </si>
  <si>
    <t>P0AG51</t>
  </si>
  <si>
    <t>P0AG55</t>
  </si>
  <si>
    <t>P0AG59</t>
  </si>
  <si>
    <t>P0AG63</t>
  </si>
  <si>
    <t>P0AG67</t>
  </si>
  <si>
    <t>P0AG71</t>
  </si>
  <si>
    <t>P0AG78</t>
  </si>
  <si>
    <t>P0AG80</t>
  </si>
  <si>
    <t>P0AG82</t>
  </si>
  <si>
    <t>P0AG84</t>
  </si>
  <si>
    <t>P0AG86</t>
  </si>
  <si>
    <t>P0AG90</t>
  </si>
  <si>
    <t>P0AG93</t>
  </si>
  <si>
    <t>P0AG96</t>
  </si>
  <si>
    <t>P0AG99</t>
  </si>
  <si>
    <t>P0AGA2</t>
  </si>
  <si>
    <t>P0AGA6</t>
  </si>
  <si>
    <t>P0AGB0</t>
  </si>
  <si>
    <t>P0AGB6</t>
  </si>
  <si>
    <t>P0AGC3</t>
  </si>
  <si>
    <t>P0AGD1</t>
  </si>
  <si>
    <t>P0AGD3</t>
  </si>
  <si>
    <t>P0AGD7</t>
  </si>
  <si>
    <t>P0AGE0</t>
  </si>
  <si>
    <t>P0AGE6</t>
  </si>
  <si>
    <t>P0AGE9</t>
  </si>
  <si>
    <t>P0AGF2</t>
  </si>
  <si>
    <t>P0AGG2</t>
  </si>
  <si>
    <t>P0AGG4</t>
  </si>
  <si>
    <t>P0AGG8</t>
  </si>
  <si>
    <t>P0AGI1</t>
  </si>
  <si>
    <t>P0AGI8</t>
  </si>
  <si>
    <t>P0AGJ2</t>
  </si>
  <si>
    <t>P0AGJ5</t>
  </si>
  <si>
    <t>P0AGJ7</t>
  </si>
  <si>
    <t>P0AGJ9</t>
  </si>
  <si>
    <t>P0AGK4</t>
  </si>
  <si>
    <t>P0AGK8</t>
  </si>
  <si>
    <t>P0AGL2</t>
  </si>
  <si>
    <t>P0AGL5</t>
  </si>
  <si>
    <t>P0AGL7</t>
  </si>
  <si>
    <t>P0C018</t>
  </si>
  <si>
    <t>P0C037</t>
  </si>
  <si>
    <t>P0C054</t>
  </si>
  <si>
    <t>P0C077</t>
  </si>
  <si>
    <t>P0C079</t>
  </si>
  <si>
    <t>P0C093</t>
  </si>
  <si>
    <t>P0C0K3</t>
  </si>
  <si>
    <t>P0C0L2</t>
  </si>
  <si>
    <t>P0C0L7</t>
  </si>
  <si>
    <t>P0C0S1</t>
  </si>
  <si>
    <t>P0C0T5</t>
  </si>
  <si>
    <t>P0C0U4</t>
  </si>
  <si>
    <t>P0C0V0</t>
  </si>
  <si>
    <t>P0C8J6</t>
  </si>
  <si>
    <t>P0C8J8</t>
  </si>
  <si>
    <t>P0CB39</t>
  </si>
  <si>
    <t>P0CE47</t>
  </si>
  <si>
    <t>P0CE48</t>
  </si>
  <si>
    <t>P0CK95</t>
  </si>
  <si>
    <t>P0DM85</t>
  </si>
  <si>
    <t>P0DMC5</t>
  </si>
  <si>
    <t>P0DMC7</t>
  </si>
  <si>
    <t>P10100</t>
  </si>
  <si>
    <t>P10121</t>
  </si>
  <si>
    <t>P10346</t>
  </si>
  <si>
    <t>P10371</t>
  </si>
  <si>
    <t>P10378</t>
  </si>
  <si>
    <t>P10384</t>
  </si>
  <si>
    <t>P10408</t>
  </si>
  <si>
    <t>P10441</t>
  </si>
  <si>
    <t>P10443</t>
  </si>
  <si>
    <t>P10902</t>
  </si>
  <si>
    <t>P10907</t>
  </si>
  <si>
    <t>P10908</t>
  </si>
  <si>
    <t>P11071</t>
  </si>
  <si>
    <t>P11289</t>
  </si>
  <si>
    <t>P11349</t>
  </si>
  <si>
    <t>P11447</t>
  </si>
  <si>
    <t>P11454</t>
  </si>
  <si>
    <t>P11557</t>
  </si>
  <si>
    <t>P11875</t>
  </si>
  <si>
    <t>P11880</t>
  </si>
  <si>
    <t>P12008</t>
  </si>
  <si>
    <t>P12281</t>
  </si>
  <si>
    <t>P12282</t>
  </si>
  <si>
    <t>P12295</t>
  </si>
  <si>
    <t>P12758</t>
  </si>
  <si>
    <t>P12994</t>
  </si>
  <si>
    <t>P13001</t>
  </si>
  <si>
    <t>P13009</t>
  </si>
  <si>
    <t>P13016</t>
  </si>
  <si>
    <t>P13024</t>
  </si>
  <si>
    <t>P13029</t>
  </si>
  <si>
    <t>P13035</t>
  </si>
  <si>
    <t>P13036</t>
  </si>
  <si>
    <t>P13445</t>
  </si>
  <si>
    <t>P13458</t>
  </si>
  <si>
    <t>P13482</t>
  </si>
  <si>
    <t>P13518</t>
  </si>
  <si>
    <t>P13656</t>
  </si>
  <si>
    <t>P13738</t>
  </si>
  <si>
    <t>P13857</t>
  </si>
  <si>
    <t>P14081</t>
  </si>
  <si>
    <t>P14294</t>
  </si>
  <si>
    <t>P14375</t>
  </si>
  <si>
    <t>P14407</t>
  </si>
  <si>
    <t>P14900</t>
  </si>
  <si>
    <t>P15028</t>
  </si>
  <si>
    <t>P15032</t>
  </si>
  <si>
    <t>P15034</t>
  </si>
  <si>
    <t>P15038</t>
  </si>
  <si>
    <t>P15042</t>
  </si>
  <si>
    <t>P15047</t>
  </si>
  <si>
    <t>P15067</t>
  </si>
  <si>
    <t>P15070</t>
  </si>
  <si>
    <t>P15078</t>
  </si>
  <si>
    <t>P15082</t>
  </si>
  <si>
    <t>P15254</t>
  </si>
  <si>
    <t>P15286</t>
  </si>
  <si>
    <t>P15288</t>
  </si>
  <si>
    <t>P15373</t>
  </si>
  <si>
    <t>P15639</t>
  </si>
  <si>
    <t>P15640</t>
  </si>
  <si>
    <t>P15723</t>
  </si>
  <si>
    <t>P15770</t>
  </si>
  <si>
    <t>P15877</t>
  </si>
  <si>
    <t>P15977</t>
  </si>
  <si>
    <t>P16095</t>
  </si>
  <si>
    <t>P16256</t>
  </si>
  <si>
    <t>P16384</t>
  </si>
  <si>
    <t>P16456</t>
  </si>
  <si>
    <t>P16525</t>
  </si>
  <si>
    <t>P16528</t>
  </si>
  <si>
    <t>P16659</t>
  </si>
  <si>
    <t>P16676</t>
  </si>
  <si>
    <t>P16677</t>
  </si>
  <si>
    <t>P16681</t>
  </si>
  <si>
    <t>P16692</t>
  </si>
  <si>
    <t>P16700</t>
  </si>
  <si>
    <t>P16703</t>
  </si>
  <si>
    <t>P16926</t>
  </si>
  <si>
    <t>P17109</t>
  </si>
  <si>
    <t>P17115</t>
  </si>
  <si>
    <t>P17117</t>
  </si>
  <si>
    <t>P17169</t>
  </si>
  <si>
    <t>P17315</t>
  </si>
  <si>
    <t>P17443</t>
  </si>
  <si>
    <t>P17445</t>
  </si>
  <si>
    <t>P17846</t>
  </si>
  <si>
    <t>P17854</t>
  </si>
  <si>
    <t>P17952</t>
  </si>
  <si>
    <t>P17993</t>
  </si>
  <si>
    <t>P18196</t>
  </si>
  <si>
    <t>P18335</t>
  </si>
  <si>
    <t>P18392</t>
  </si>
  <si>
    <t>P18775</t>
  </si>
  <si>
    <t>P18776</t>
  </si>
  <si>
    <t>P18843</t>
  </si>
  <si>
    <t>P18956</t>
  </si>
  <si>
    <t>P19318</t>
  </si>
  <si>
    <t>P19319</t>
  </si>
  <si>
    <t>P19624</t>
  </si>
  <si>
    <t>P19636</t>
  </si>
  <si>
    <t>P19926</t>
  </si>
  <si>
    <t>P19934</t>
  </si>
  <si>
    <t>P20083</t>
  </si>
  <si>
    <t>P20099</t>
  </si>
  <si>
    <t>P20605</t>
  </si>
  <si>
    <t>P20966</t>
  </si>
  <si>
    <t>P21151</t>
  </si>
  <si>
    <t>P21156</t>
  </si>
  <si>
    <t>P21165</t>
  </si>
  <si>
    <t>P21169</t>
  </si>
  <si>
    <t>P21170</t>
  </si>
  <si>
    <t>P21177</t>
  </si>
  <si>
    <t>P21179</t>
  </si>
  <si>
    <t>P21189</t>
  </si>
  <si>
    <t>P21338</t>
  </si>
  <si>
    <t>P21362</t>
  </si>
  <si>
    <t>P21363</t>
  </si>
  <si>
    <t>P21365</t>
  </si>
  <si>
    <t>P21367</t>
  </si>
  <si>
    <t>P21369</t>
  </si>
  <si>
    <t>P21499</t>
  </si>
  <si>
    <t>P21507</t>
  </si>
  <si>
    <t>P21513</t>
  </si>
  <si>
    <t>P21599</t>
  </si>
  <si>
    <t>P21645</t>
  </si>
  <si>
    <t>P21865</t>
  </si>
  <si>
    <t>P21866</t>
  </si>
  <si>
    <t>P21888</t>
  </si>
  <si>
    <t>P21889</t>
  </si>
  <si>
    <t>P22106</t>
  </si>
  <si>
    <t>P22186</t>
  </si>
  <si>
    <t>P22188</t>
  </si>
  <si>
    <t>P22255</t>
  </si>
  <si>
    <t>P22256</t>
  </si>
  <si>
    <t>P22259</t>
  </si>
  <si>
    <t>P22333</t>
  </si>
  <si>
    <t>P22523</t>
  </si>
  <si>
    <t>P22524</t>
  </si>
  <si>
    <t>P22525</t>
  </si>
  <si>
    <t>P22564</t>
  </si>
  <si>
    <t>P22634</t>
  </si>
  <si>
    <t>P22939</t>
  </si>
  <si>
    <t>P23003</t>
  </si>
  <si>
    <t>P23173</t>
  </si>
  <si>
    <t>P23200</t>
  </si>
  <si>
    <t>P23256</t>
  </si>
  <si>
    <t>P23331</t>
  </si>
  <si>
    <t>P23367</t>
  </si>
  <si>
    <t>P23522</t>
  </si>
  <si>
    <t>P23524</t>
  </si>
  <si>
    <t>P23538</t>
  </si>
  <si>
    <t>P23721</t>
  </si>
  <si>
    <t>P23827</t>
  </si>
  <si>
    <t>P23830</t>
  </si>
  <si>
    <t>P23836</t>
  </si>
  <si>
    <t>P23837</t>
  </si>
  <si>
    <t>P23839</t>
  </si>
  <si>
    <t>P23843</t>
  </si>
  <si>
    <t>P23845</t>
  </si>
  <si>
    <t>P23847</t>
  </si>
  <si>
    <t>P23849</t>
  </si>
  <si>
    <t>P23857</t>
  </si>
  <si>
    <t>P23862</t>
  </si>
  <si>
    <t>P23865</t>
  </si>
  <si>
    <t>P23869</t>
  </si>
  <si>
    <t>P23871</t>
  </si>
  <si>
    <t>P23882</t>
  </si>
  <si>
    <t>P23886</t>
  </si>
  <si>
    <t>P23893</t>
  </si>
  <si>
    <t>P23894</t>
  </si>
  <si>
    <t>P23908</t>
  </si>
  <si>
    <t>P23909</t>
  </si>
  <si>
    <t>P23917</t>
  </si>
  <si>
    <t>P23930</t>
  </si>
  <si>
    <t>P24171</t>
  </si>
  <si>
    <t>P24173</t>
  </si>
  <si>
    <t>P24178</t>
  </si>
  <si>
    <t>P24182</t>
  </si>
  <si>
    <t>P24183</t>
  </si>
  <si>
    <t>P24186</t>
  </si>
  <si>
    <t>P24193</t>
  </si>
  <si>
    <t>P24202</t>
  </si>
  <si>
    <t>P24203</t>
  </si>
  <si>
    <t>P24205</t>
  </si>
  <si>
    <t>P24215</t>
  </si>
  <si>
    <t>P24216</t>
  </si>
  <si>
    <t>P24224</t>
  </si>
  <si>
    <t>P24228</t>
  </si>
  <si>
    <t>P24232</t>
  </si>
  <si>
    <t>P24242</t>
  </si>
  <si>
    <t>P24251</t>
  </si>
  <si>
    <t>P24252</t>
  </si>
  <si>
    <t>P24255</t>
  </si>
  <si>
    <t>P24554</t>
  </si>
  <si>
    <t>P24555</t>
  </si>
  <si>
    <t>P25397</t>
  </si>
  <si>
    <t>P25437</t>
  </si>
  <si>
    <t>P25516</t>
  </si>
  <si>
    <t>P25519</t>
  </si>
  <si>
    <t>P25522</t>
  </si>
  <si>
    <t>P25524</t>
  </si>
  <si>
    <t>P25526</t>
  </si>
  <si>
    <t>P25535</t>
  </si>
  <si>
    <t>P25536</t>
  </si>
  <si>
    <t>P25539</t>
  </si>
  <si>
    <t>P25552</t>
  </si>
  <si>
    <t>P25553</t>
  </si>
  <si>
    <t>P25665</t>
  </si>
  <si>
    <t>P25714</t>
  </si>
  <si>
    <t>P25718</t>
  </si>
  <si>
    <t>P25740</t>
  </si>
  <si>
    <t>P25741</t>
  </si>
  <si>
    <t>P25742</t>
  </si>
  <si>
    <t>P25745</t>
  </si>
  <si>
    <t>P25746</t>
  </si>
  <si>
    <t>P25748</t>
  </si>
  <si>
    <t>P25798</t>
  </si>
  <si>
    <t>P25889</t>
  </si>
  <si>
    <t>P25894</t>
  </si>
  <si>
    <t>P25906</t>
  </si>
  <si>
    <t>P26281</t>
  </si>
  <si>
    <t>P26612</t>
  </si>
  <si>
    <t>P26616</t>
  </si>
  <si>
    <t>P26646</t>
  </si>
  <si>
    <t>P26648</t>
  </si>
  <si>
    <t>P26649</t>
  </si>
  <si>
    <t>P27111</t>
  </si>
  <si>
    <t>P27128</t>
  </si>
  <si>
    <t>P27238</t>
  </si>
  <si>
    <t>P27240</t>
  </si>
  <si>
    <t>P27247</t>
  </si>
  <si>
    <t>P27248</t>
  </si>
  <si>
    <t>P27249</t>
  </si>
  <si>
    <t>P27250</t>
  </si>
  <si>
    <t>P27278</t>
  </si>
  <si>
    <t>P27298</t>
  </si>
  <si>
    <t>P27302</t>
  </si>
  <si>
    <t>P27303</t>
  </si>
  <si>
    <t>P27306</t>
  </si>
  <si>
    <t>P27431</t>
  </si>
  <si>
    <t>P27434</t>
  </si>
  <si>
    <t>P27550</t>
  </si>
  <si>
    <t>P27828</t>
  </si>
  <si>
    <t>P27829</t>
  </si>
  <si>
    <t>P27830</t>
  </si>
  <si>
    <t>P27832</t>
  </si>
  <si>
    <t>P27836</t>
  </si>
  <si>
    <t>P27837</t>
  </si>
  <si>
    <t>P27838</t>
  </si>
  <si>
    <t>P27848</t>
  </si>
  <si>
    <t>P27859</t>
  </si>
  <si>
    <t>P27862</t>
  </si>
  <si>
    <t>P28224</t>
  </si>
  <si>
    <t>P28248</t>
  </si>
  <si>
    <t>P28249</t>
  </si>
  <si>
    <t>P28304</t>
  </si>
  <si>
    <t>P28305</t>
  </si>
  <si>
    <t>P28306</t>
  </si>
  <si>
    <t>P28629</t>
  </si>
  <si>
    <t>P28630</t>
  </si>
  <si>
    <t>P28634</t>
  </si>
  <si>
    <t>P28635</t>
  </si>
  <si>
    <t>P28861</t>
  </si>
  <si>
    <t>P28903</t>
  </si>
  <si>
    <t>P28904</t>
  </si>
  <si>
    <t>P28905</t>
  </si>
  <si>
    <t>P29012</t>
  </si>
  <si>
    <t>P29013</t>
  </si>
  <si>
    <t>P29018</t>
  </si>
  <si>
    <t>P29131</t>
  </si>
  <si>
    <t>P29208</t>
  </si>
  <si>
    <t>P29217</t>
  </si>
  <si>
    <t>P29680</t>
  </si>
  <si>
    <t>P29745</t>
  </si>
  <si>
    <t>P30011</t>
  </si>
  <si>
    <t>P30014</t>
  </si>
  <si>
    <t>P30125</t>
  </si>
  <si>
    <t>P30126</t>
  </si>
  <si>
    <t>P30128</t>
  </si>
  <si>
    <t>P30136</t>
  </si>
  <si>
    <t>P30147</t>
  </si>
  <si>
    <t>P30177</t>
  </si>
  <si>
    <t>P30744</t>
  </si>
  <si>
    <t>P30749</t>
  </si>
  <si>
    <t>P30750</t>
  </si>
  <si>
    <t>P30847</t>
  </si>
  <si>
    <t>P30850</t>
  </si>
  <si>
    <t>P30859</t>
  </si>
  <si>
    <t>P30860</t>
  </si>
  <si>
    <t>P30863</t>
  </si>
  <si>
    <t>P30864</t>
  </si>
  <si>
    <t>P30870</t>
  </si>
  <si>
    <t>P30871</t>
  </si>
  <si>
    <t>P30958</t>
  </si>
  <si>
    <t>P31057</t>
  </si>
  <si>
    <t>P31060</t>
  </si>
  <si>
    <t>P31063</t>
  </si>
  <si>
    <t>P31064</t>
  </si>
  <si>
    <t>P31068</t>
  </si>
  <si>
    <t>P31069</t>
  </si>
  <si>
    <t>P31119</t>
  </si>
  <si>
    <t>P31120</t>
  </si>
  <si>
    <t>P31130</t>
  </si>
  <si>
    <t>P31131</t>
  </si>
  <si>
    <t>P31133</t>
  </si>
  <si>
    <t>P31142</t>
  </si>
  <si>
    <t>P31224</t>
  </si>
  <si>
    <t>P31433</t>
  </si>
  <si>
    <t>P31441</t>
  </si>
  <si>
    <t>P31455</t>
  </si>
  <si>
    <t>P31460</t>
  </si>
  <si>
    <t>P31473</t>
  </si>
  <si>
    <t>P31475</t>
  </si>
  <si>
    <t>P31545</t>
  </si>
  <si>
    <t>P31550</t>
  </si>
  <si>
    <t>P31554</t>
  </si>
  <si>
    <t>P31658</t>
  </si>
  <si>
    <t>P31660</t>
  </si>
  <si>
    <t>P31663</t>
  </si>
  <si>
    <t>P31677</t>
  </si>
  <si>
    <t>P31678</t>
  </si>
  <si>
    <t>P31697</t>
  </si>
  <si>
    <t>P31802</t>
  </si>
  <si>
    <t>P31806</t>
  </si>
  <si>
    <t>P31808</t>
  </si>
  <si>
    <t>P31828</t>
  </si>
  <si>
    <t>P31979</t>
  </si>
  <si>
    <t>P32099</t>
  </si>
  <si>
    <t>P32131</t>
  </si>
  <si>
    <t>P32132</t>
  </si>
  <si>
    <t>P32138</t>
  </si>
  <si>
    <t>P32141</t>
  </si>
  <si>
    <t>P32144</t>
  </si>
  <si>
    <t>P32157</t>
  </si>
  <si>
    <t>P32160</t>
  </si>
  <si>
    <t>P32162</t>
  </si>
  <si>
    <t>P32166</t>
  </si>
  <si>
    <t>P32173</t>
  </si>
  <si>
    <t>P32176</t>
  </si>
  <si>
    <t>P32177</t>
  </si>
  <si>
    <t>P32662</t>
  </si>
  <si>
    <t>P32664</t>
  </si>
  <si>
    <t>P32669</t>
  </si>
  <si>
    <t>P32670</t>
  </si>
  <si>
    <t>P32675</t>
  </si>
  <si>
    <t>P32680</t>
  </si>
  <si>
    <t>P32684</t>
  </si>
  <si>
    <t>P32685</t>
  </si>
  <si>
    <t>P32695</t>
  </si>
  <si>
    <t>P32703</t>
  </si>
  <si>
    <t>P32705</t>
  </si>
  <si>
    <t>P32715</t>
  </si>
  <si>
    <t>P32718</t>
  </si>
  <si>
    <t>P32719</t>
  </si>
  <si>
    <t>P33012</t>
  </si>
  <si>
    <t>P33018</t>
  </si>
  <si>
    <t>P33022</t>
  </si>
  <si>
    <t>P33025</t>
  </si>
  <si>
    <t>P33030</t>
  </si>
  <si>
    <t>P33136</t>
  </si>
  <si>
    <t>P33195</t>
  </si>
  <si>
    <t>P33218</t>
  </si>
  <si>
    <t>P33219</t>
  </si>
  <si>
    <t>P33221</t>
  </si>
  <si>
    <t>P33224</t>
  </si>
  <si>
    <t>P33225</t>
  </si>
  <si>
    <t>P33232</t>
  </si>
  <si>
    <t>P33235</t>
  </si>
  <si>
    <t>P33355</t>
  </si>
  <si>
    <t>P33360</t>
  </si>
  <si>
    <t>P33362</t>
  </si>
  <si>
    <t>P33363</t>
  </si>
  <si>
    <t>P33368</t>
  </si>
  <si>
    <t>P33371</t>
  </si>
  <si>
    <t>P33570</t>
  </si>
  <si>
    <t>P33590</t>
  </si>
  <si>
    <t>P33596</t>
  </si>
  <si>
    <t>P33599</t>
  </si>
  <si>
    <t>P33602</t>
  </si>
  <si>
    <t>P33607</t>
  </si>
  <si>
    <t>P33643</t>
  </si>
  <si>
    <t>P33644</t>
  </si>
  <si>
    <t>P33913</t>
  </si>
  <si>
    <t>P33916</t>
  </si>
  <si>
    <t>P33920</t>
  </si>
  <si>
    <t>P33927</t>
  </si>
  <si>
    <t>P33937</t>
  </si>
  <si>
    <t>P34209</t>
  </si>
  <si>
    <t>P35340</t>
  </si>
  <si>
    <t>P36553</t>
  </si>
  <si>
    <t>P36562</t>
  </si>
  <si>
    <t>P36649</t>
  </si>
  <si>
    <t>P36655</t>
  </si>
  <si>
    <t>P36659</t>
  </si>
  <si>
    <t>P36672</t>
  </si>
  <si>
    <t>P36673</t>
  </si>
  <si>
    <t>P36680</t>
  </si>
  <si>
    <t>P36683</t>
  </si>
  <si>
    <t>P36767</t>
  </si>
  <si>
    <t>P36771</t>
  </si>
  <si>
    <t>P36837</t>
  </si>
  <si>
    <t>P36879</t>
  </si>
  <si>
    <t>P36929</t>
  </si>
  <si>
    <t>P36938</t>
  </si>
  <si>
    <t>P36979</t>
  </si>
  <si>
    <t>P36999</t>
  </si>
  <si>
    <t>P37005</t>
  </si>
  <si>
    <t>P37025</t>
  </si>
  <si>
    <t>P37028</t>
  </si>
  <si>
    <t>P37051</t>
  </si>
  <si>
    <t>P37052</t>
  </si>
  <si>
    <t>P37095</t>
  </si>
  <si>
    <t>P37128</t>
  </si>
  <si>
    <t>P37147</t>
  </si>
  <si>
    <t>P37180</t>
  </si>
  <si>
    <t>P37182</t>
  </si>
  <si>
    <t>P37188</t>
  </si>
  <si>
    <t>P37194</t>
  </si>
  <si>
    <t>P37195</t>
  </si>
  <si>
    <t>P37197</t>
  </si>
  <si>
    <t>P37313</t>
  </si>
  <si>
    <t>P37325</t>
  </si>
  <si>
    <t>P37327</t>
  </si>
  <si>
    <t>P37329</t>
  </si>
  <si>
    <t>P37330</t>
  </si>
  <si>
    <t>P37339</t>
  </si>
  <si>
    <t>P37340</t>
  </si>
  <si>
    <t>P37342</t>
  </si>
  <si>
    <t>P37349</t>
  </si>
  <si>
    <t>P37351</t>
  </si>
  <si>
    <t>P37353</t>
  </si>
  <si>
    <t>P37387</t>
  </si>
  <si>
    <t>P37440</t>
  </si>
  <si>
    <t>P37590</t>
  </si>
  <si>
    <t>P37595</t>
  </si>
  <si>
    <t>P37613</t>
  </si>
  <si>
    <t>P37614</t>
  </si>
  <si>
    <t>P37615</t>
  </si>
  <si>
    <t>P37617</t>
  </si>
  <si>
    <t>P37624</t>
  </si>
  <si>
    <t>P37626</t>
  </si>
  <si>
    <t>P37631</t>
  </si>
  <si>
    <t>P37634</t>
  </si>
  <si>
    <t>P37636</t>
  </si>
  <si>
    <t>P37637</t>
  </si>
  <si>
    <t>P37641</t>
  </si>
  <si>
    <t>P37642</t>
  </si>
  <si>
    <t>P37645</t>
  </si>
  <si>
    <t>P37647</t>
  </si>
  <si>
    <t>P37648</t>
  </si>
  <si>
    <t>P37649</t>
  </si>
  <si>
    <t>P37651</t>
  </si>
  <si>
    <t>P37652</t>
  </si>
  <si>
    <t>P37659</t>
  </si>
  <si>
    <t>P37661</t>
  </si>
  <si>
    <t>P37666</t>
  </si>
  <si>
    <t>P37672</t>
  </si>
  <si>
    <t>P37676</t>
  </si>
  <si>
    <t>P37685</t>
  </si>
  <si>
    <t>P37689</t>
  </si>
  <si>
    <t>P37690</t>
  </si>
  <si>
    <t>P37691</t>
  </si>
  <si>
    <t>P37692</t>
  </si>
  <si>
    <t>P37744</t>
  </si>
  <si>
    <t>P37745</t>
  </si>
  <si>
    <t>P37747</t>
  </si>
  <si>
    <t>P37749</t>
  </si>
  <si>
    <t>P37750</t>
  </si>
  <si>
    <t>P37751</t>
  </si>
  <si>
    <t>P37757</t>
  </si>
  <si>
    <t>P37759</t>
  </si>
  <si>
    <t>P37760</t>
  </si>
  <si>
    <t>P37765</t>
  </si>
  <si>
    <t>P37767</t>
  </si>
  <si>
    <t>P37769</t>
  </si>
  <si>
    <t>P37773</t>
  </si>
  <si>
    <t>P37774</t>
  </si>
  <si>
    <t>P37794</t>
  </si>
  <si>
    <t>P37902</t>
  </si>
  <si>
    <t>P37903</t>
  </si>
  <si>
    <t>P38038</t>
  </si>
  <si>
    <t>P38051</t>
  </si>
  <si>
    <t>P38097</t>
  </si>
  <si>
    <t>P38104</t>
  </si>
  <si>
    <t>P38392</t>
  </si>
  <si>
    <t>P38489</t>
  </si>
  <si>
    <t>P38521</t>
  </si>
  <si>
    <t>P39099</t>
  </si>
  <si>
    <t>P39160</t>
  </si>
  <si>
    <t>P39161</t>
  </si>
  <si>
    <t>P39172</t>
  </si>
  <si>
    <t>P39173</t>
  </si>
  <si>
    <t>P39176</t>
  </si>
  <si>
    <t>P39177</t>
  </si>
  <si>
    <t>P39180</t>
  </si>
  <si>
    <t>P39187</t>
  </si>
  <si>
    <t>P39196</t>
  </si>
  <si>
    <t>P39199</t>
  </si>
  <si>
    <t>P39265</t>
  </si>
  <si>
    <t>P39267</t>
  </si>
  <si>
    <t>P39274</t>
  </si>
  <si>
    <t>P39285</t>
  </si>
  <si>
    <t>P39286</t>
  </si>
  <si>
    <t>P39297</t>
  </si>
  <si>
    <t>P39298</t>
  </si>
  <si>
    <t>P39310</t>
  </si>
  <si>
    <t>P39315</t>
  </si>
  <si>
    <t>P39321</t>
  </si>
  <si>
    <t>P39325</t>
  </si>
  <si>
    <t>P39332</t>
  </si>
  <si>
    <t>P39337</t>
  </si>
  <si>
    <t>P39342</t>
  </si>
  <si>
    <t>P39346</t>
  </si>
  <si>
    <t>P39356</t>
  </si>
  <si>
    <t>P39358</t>
  </si>
  <si>
    <t>P39363</t>
  </si>
  <si>
    <t>P39365</t>
  </si>
  <si>
    <t>P39366</t>
  </si>
  <si>
    <t>P39371</t>
  </si>
  <si>
    <t>P39377</t>
  </si>
  <si>
    <t>P39383</t>
  </si>
  <si>
    <t>P39384</t>
  </si>
  <si>
    <t>P39385</t>
  </si>
  <si>
    <t>P39396</t>
  </si>
  <si>
    <t>P39401</t>
  </si>
  <si>
    <t>P39405</t>
  </si>
  <si>
    <t>P39406</t>
  </si>
  <si>
    <t>P39407</t>
  </si>
  <si>
    <t>P39408</t>
  </si>
  <si>
    <t>P39411</t>
  </si>
  <si>
    <t>P39451</t>
  </si>
  <si>
    <t>P39829</t>
  </si>
  <si>
    <t>P39830</t>
  </si>
  <si>
    <t>P39831</t>
  </si>
  <si>
    <t>P39835</t>
  </si>
  <si>
    <t>P39838</t>
  </si>
  <si>
    <t>P40120</t>
  </si>
  <si>
    <t>P40191</t>
  </si>
  <si>
    <t>P40710</t>
  </si>
  <si>
    <t>P40874</t>
  </si>
  <si>
    <t>P41039</t>
  </si>
  <si>
    <t>P41407</t>
  </si>
  <si>
    <t>P41409</t>
  </si>
  <si>
    <t>P42588</t>
  </si>
  <si>
    <t>P42589</t>
  </si>
  <si>
    <t>P42592</t>
  </si>
  <si>
    <t>P42593</t>
  </si>
  <si>
    <t>P42596</t>
  </si>
  <si>
    <t>P42599</t>
  </si>
  <si>
    <t>P42604</t>
  </si>
  <si>
    <t>P42616</t>
  </si>
  <si>
    <t>P42619</t>
  </si>
  <si>
    <t>P42620</t>
  </si>
  <si>
    <t>P42624</t>
  </si>
  <si>
    <t>P42628</t>
  </si>
  <si>
    <t>P42632</t>
  </si>
  <si>
    <t>P42641</t>
  </si>
  <si>
    <t>P42904</t>
  </si>
  <si>
    <t>P43329</t>
  </si>
  <si>
    <t>P43337</t>
  </si>
  <si>
    <t>P43340</t>
  </si>
  <si>
    <t>P43341</t>
  </si>
  <si>
    <t>P43671</t>
  </si>
  <si>
    <t>P43672</t>
  </si>
  <si>
    <t>P45395</t>
  </si>
  <si>
    <t>P45424</t>
  </si>
  <si>
    <t>P45425</t>
  </si>
  <si>
    <t>P45464</t>
  </si>
  <si>
    <t>P45468</t>
  </si>
  <si>
    <t>P45469</t>
  </si>
  <si>
    <t>P45470</t>
  </si>
  <si>
    <t>P45523</t>
  </si>
  <si>
    <t>P45530</t>
  </si>
  <si>
    <t>P45531</t>
  </si>
  <si>
    <t>P45537</t>
  </si>
  <si>
    <t>P45544</t>
  </si>
  <si>
    <t>P45552</t>
  </si>
  <si>
    <t>P45568</t>
  </si>
  <si>
    <t>P45577</t>
  </si>
  <si>
    <t>P45578</t>
  </si>
  <si>
    <t>P45748</t>
  </si>
  <si>
    <t>P45771</t>
  </si>
  <si>
    <t>P45799</t>
  </si>
  <si>
    <t>P45800</t>
  </si>
  <si>
    <t>P45955</t>
  </si>
  <si>
    <t>P46118</t>
  </si>
  <si>
    <t>P46122</t>
  </si>
  <si>
    <t>P46125</t>
  </si>
  <si>
    <t>P46130</t>
  </si>
  <si>
    <t>P46474</t>
  </si>
  <si>
    <t>P46837</t>
  </si>
  <si>
    <t>P46849</t>
  </si>
  <si>
    <t>P46852</t>
  </si>
  <si>
    <t>P46853</t>
  </si>
  <si>
    <t>P46854</t>
  </si>
  <si>
    <t>P46859</t>
  </si>
  <si>
    <t>P46887</t>
  </si>
  <si>
    <t>P46888</t>
  </si>
  <si>
    <t>P46889</t>
  </si>
  <si>
    <t>P46923</t>
  </si>
  <si>
    <t>P50456</t>
  </si>
  <si>
    <t>P50457</t>
  </si>
  <si>
    <t>P50466</t>
  </si>
  <si>
    <t>P51024</t>
  </si>
  <si>
    <t>P51025</t>
  </si>
  <si>
    <t>P51981</t>
  </si>
  <si>
    <t>P52006</t>
  </si>
  <si>
    <t>P52007</t>
  </si>
  <si>
    <t>P52060</t>
  </si>
  <si>
    <t>P52061</t>
  </si>
  <si>
    <t>P52073</t>
  </si>
  <si>
    <t>P52076</t>
  </si>
  <si>
    <t>P52095</t>
  </si>
  <si>
    <t>P52096</t>
  </si>
  <si>
    <t>P52097</t>
  </si>
  <si>
    <t>P52101</t>
  </si>
  <si>
    <t>P52107</t>
  </si>
  <si>
    <t>P52108</t>
  </si>
  <si>
    <t>P52119</t>
  </si>
  <si>
    <t>P52598</t>
  </si>
  <si>
    <t>P52612</t>
  </si>
  <si>
    <t>P52643</t>
  </si>
  <si>
    <t>P52644</t>
  </si>
  <si>
    <t>P52647</t>
  </si>
  <si>
    <t>P52697</t>
  </si>
  <si>
    <t>P55135</t>
  </si>
  <si>
    <t>P55734</t>
  </si>
  <si>
    <t>P56258</t>
  </si>
  <si>
    <t>P56262</t>
  </si>
  <si>
    <t>P56580</t>
  </si>
  <si>
    <t>P56614</t>
  </si>
  <si>
    <t>P60240</t>
  </si>
  <si>
    <t>P60293</t>
  </si>
  <si>
    <t>P60340</t>
  </si>
  <si>
    <t>P60390</t>
  </si>
  <si>
    <t>P60422</t>
  </si>
  <si>
    <t>P60438</t>
  </si>
  <si>
    <t>P60472</t>
  </si>
  <si>
    <t>P60546</t>
  </si>
  <si>
    <t>P60560</t>
  </si>
  <si>
    <t>P60566</t>
  </si>
  <si>
    <t>P60595</t>
  </si>
  <si>
    <t>P60624</t>
  </si>
  <si>
    <t>P60651</t>
  </si>
  <si>
    <t>P60664</t>
  </si>
  <si>
    <t>P60716</t>
  </si>
  <si>
    <t>P60720</t>
  </si>
  <si>
    <t>P60723</t>
  </si>
  <si>
    <t>P60752</t>
  </si>
  <si>
    <t>P60757</t>
  </si>
  <si>
    <t>P60782</t>
  </si>
  <si>
    <t>P60785</t>
  </si>
  <si>
    <t>P60872</t>
  </si>
  <si>
    <t>P60906</t>
  </si>
  <si>
    <t>P61175</t>
  </si>
  <si>
    <t>P61316</t>
  </si>
  <si>
    <t>P61320</t>
  </si>
  <si>
    <t>P61517</t>
  </si>
  <si>
    <t>P61714</t>
  </si>
  <si>
    <t>P61889</t>
  </si>
  <si>
    <t>P61949</t>
  </si>
  <si>
    <t>P62399</t>
  </si>
  <si>
    <t>P62517</t>
  </si>
  <si>
    <t>P62601</t>
  </si>
  <si>
    <t>P62615</t>
  </si>
  <si>
    <t>P62617</t>
  </si>
  <si>
    <t>P62620</t>
  </si>
  <si>
    <t>P62623</t>
  </si>
  <si>
    <t>P62672</t>
  </si>
  <si>
    <t>P62707</t>
  </si>
  <si>
    <t>P62768</t>
  </si>
  <si>
    <t>P63020</t>
  </si>
  <si>
    <t>P63177</t>
  </si>
  <si>
    <t>P63204</t>
  </si>
  <si>
    <t>P63224</t>
  </si>
  <si>
    <t>P63229</t>
  </si>
  <si>
    <t>P63235</t>
  </si>
  <si>
    <t>P63284</t>
  </si>
  <si>
    <t>P63340</t>
  </si>
  <si>
    <t>P63386</t>
  </si>
  <si>
    <t>P63389</t>
  </si>
  <si>
    <t>P63417</t>
  </si>
  <si>
    <t>P63883</t>
  </si>
  <si>
    <t>P64423</t>
  </si>
  <si>
    <t>P64429</t>
  </si>
  <si>
    <t>P64432</t>
  </si>
  <si>
    <t>P64451</t>
  </si>
  <si>
    <t>P64455</t>
  </si>
  <si>
    <t>P64461</t>
  </si>
  <si>
    <t>P64463</t>
  </si>
  <si>
    <t>P64467</t>
  </si>
  <si>
    <t>P64476</t>
  </si>
  <si>
    <t>P64479</t>
  </si>
  <si>
    <t>P64483</t>
  </si>
  <si>
    <t>P64490</t>
  </si>
  <si>
    <t>P64493</t>
  </si>
  <si>
    <t>P64503</t>
  </si>
  <si>
    <t>P64506</t>
  </si>
  <si>
    <t>P64515</t>
  </si>
  <si>
    <t>P64519</t>
  </si>
  <si>
    <t>P64530</t>
  </si>
  <si>
    <t>P64534</t>
  </si>
  <si>
    <t>P64540</t>
  </si>
  <si>
    <t>P64548</t>
  </si>
  <si>
    <t>P64554</t>
  </si>
  <si>
    <t>P64557</t>
  </si>
  <si>
    <t>P64564</t>
  </si>
  <si>
    <t>P64578</t>
  </si>
  <si>
    <t>P64581</t>
  </si>
  <si>
    <t>P64585</t>
  </si>
  <si>
    <t>P64588</t>
  </si>
  <si>
    <t>P64594</t>
  </si>
  <si>
    <t>P64596</t>
  </si>
  <si>
    <t>P64602</t>
  </si>
  <si>
    <t>P64604</t>
  </si>
  <si>
    <t>P64606</t>
  </si>
  <si>
    <t>P64624</t>
  </si>
  <si>
    <t>P65292</t>
  </si>
  <si>
    <t>P65367</t>
  </si>
  <si>
    <t>P65556</t>
  </si>
  <si>
    <t>P65807</t>
  </si>
  <si>
    <t>P65870</t>
  </si>
  <si>
    <t>P66817</t>
  </si>
  <si>
    <t>P66899</t>
  </si>
  <si>
    <t>P66948</t>
  </si>
  <si>
    <t>P67080</t>
  </si>
  <si>
    <t>P67087</t>
  </si>
  <si>
    <t>P67095</t>
  </si>
  <si>
    <t>P67143</t>
  </si>
  <si>
    <t>P67244</t>
  </si>
  <si>
    <t>P67430</t>
  </si>
  <si>
    <t>P67603</t>
  </si>
  <si>
    <t>P67660</t>
  </si>
  <si>
    <t>P67662</t>
  </si>
  <si>
    <t>P67762</t>
  </si>
  <si>
    <t>P67826</t>
  </si>
  <si>
    <t>P67910</t>
  </si>
  <si>
    <t>P68066</t>
  </si>
  <si>
    <t>P68183</t>
  </si>
  <si>
    <t>P68187</t>
  </si>
  <si>
    <t>P68191</t>
  </si>
  <si>
    <t>P68206</t>
  </si>
  <si>
    <t>P68679</t>
  </si>
  <si>
    <t>P68688</t>
  </si>
  <si>
    <t>P68699</t>
  </si>
  <si>
    <t>P68739</t>
  </si>
  <si>
    <t>P68767</t>
  </si>
  <si>
    <t>P68919</t>
  </si>
  <si>
    <t>P69054</t>
  </si>
  <si>
    <t>P69222</t>
  </si>
  <si>
    <t>P69228</t>
  </si>
  <si>
    <t>P69346</t>
  </si>
  <si>
    <t>P69348</t>
  </si>
  <si>
    <t>P69380</t>
  </si>
  <si>
    <t>P69411</t>
  </si>
  <si>
    <t>P69425</t>
  </si>
  <si>
    <t>P69428</t>
  </si>
  <si>
    <t>P69441</t>
  </si>
  <si>
    <t>P69451</t>
  </si>
  <si>
    <t>P69488</t>
  </si>
  <si>
    <t>P69490</t>
  </si>
  <si>
    <t>P69503</t>
  </si>
  <si>
    <t>P69506</t>
  </si>
  <si>
    <t>P69739</t>
  </si>
  <si>
    <t>P69741</t>
  </si>
  <si>
    <t>P69776</t>
  </si>
  <si>
    <t>P69783</t>
  </si>
  <si>
    <t>P69786</t>
  </si>
  <si>
    <t>P69795</t>
  </si>
  <si>
    <t>P69797</t>
  </si>
  <si>
    <t>P69801</t>
  </si>
  <si>
    <t>P69805</t>
  </si>
  <si>
    <t>P69811</t>
  </si>
  <si>
    <t>P69820</t>
  </si>
  <si>
    <t>P69822</t>
  </si>
  <si>
    <t>P69826</t>
  </si>
  <si>
    <t>P69828</t>
  </si>
  <si>
    <t>P69829</t>
  </si>
  <si>
    <t>P69831</t>
  </si>
  <si>
    <t>P69853</t>
  </si>
  <si>
    <t>P69874</t>
  </si>
  <si>
    <t>P69908</t>
  </si>
  <si>
    <t>P69910</t>
  </si>
  <si>
    <t>P69913</t>
  </si>
  <si>
    <t>P69922</t>
  </si>
  <si>
    <t>P69924</t>
  </si>
  <si>
    <t>P75682</t>
  </si>
  <si>
    <t>P75691</t>
  </si>
  <si>
    <t>P75694</t>
  </si>
  <si>
    <t>P75713</t>
  </si>
  <si>
    <t>P75728</t>
  </si>
  <si>
    <t>P75736</t>
  </si>
  <si>
    <t>P75745</t>
  </si>
  <si>
    <t>P75746</t>
  </si>
  <si>
    <t>P75767</t>
  </si>
  <si>
    <t>P75777</t>
  </si>
  <si>
    <t>P75779</t>
  </si>
  <si>
    <t>P75782</t>
  </si>
  <si>
    <t>P75785</t>
  </si>
  <si>
    <t>P75791</t>
  </si>
  <si>
    <t>P75792</t>
  </si>
  <si>
    <t>P75797</t>
  </si>
  <si>
    <t>P75798</t>
  </si>
  <si>
    <t>P75818</t>
  </si>
  <si>
    <t>P75823</t>
  </si>
  <si>
    <t>P75838</t>
  </si>
  <si>
    <t>P75839</t>
  </si>
  <si>
    <t>P75849</t>
  </si>
  <si>
    <t>P75853</t>
  </si>
  <si>
    <t>P75862</t>
  </si>
  <si>
    <t>P75863</t>
  </si>
  <si>
    <t>P75864</t>
  </si>
  <si>
    <t>P75867</t>
  </si>
  <si>
    <t>P75874</t>
  </si>
  <si>
    <t>P75876</t>
  </si>
  <si>
    <t>P75913</t>
  </si>
  <si>
    <t>P75914</t>
  </si>
  <si>
    <t>P75915</t>
  </si>
  <si>
    <t>P75931</t>
  </si>
  <si>
    <t>P75937</t>
  </si>
  <si>
    <t>P75949</t>
  </si>
  <si>
    <t>P75952</t>
  </si>
  <si>
    <t>P75957</t>
  </si>
  <si>
    <t>P75958</t>
  </si>
  <si>
    <t>P75959</t>
  </si>
  <si>
    <t>P75960</t>
  </si>
  <si>
    <t>P75966</t>
  </si>
  <si>
    <t>P75974</t>
  </si>
  <si>
    <t>P75981</t>
  </si>
  <si>
    <t>P75989</t>
  </si>
  <si>
    <t>P75992</t>
  </si>
  <si>
    <t>P75993</t>
  </si>
  <si>
    <t>P76001</t>
  </si>
  <si>
    <t>P76002</t>
  </si>
  <si>
    <t>P76004</t>
  </si>
  <si>
    <t>P76007</t>
  </si>
  <si>
    <t>P76008</t>
  </si>
  <si>
    <t>P76014</t>
  </si>
  <si>
    <t>P76015</t>
  </si>
  <si>
    <t>P76027</t>
  </si>
  <si>
    <t>P76046</t>
  </si>
  <si>
    <t>P76049</t>
  </si>
  <si>
    <t>P76055</t>
  </si>
  <si>
    <t>P76062</t>
  </si>
  <si>
    <t>P76063</t>
  </si>
  <si>
    <t>P76076</t>
  </si>
  <si>
    <t>P76086</t>
  </si>
  <si>
    <t>P76097</t>
  </si>
  <si>
    <t>P76100</t>
  </si>
  <si>
    <t>P76108</t>
  </si>
  <si>
    <t>P76113</t>
  </si>
  <si>
    <t>P76114</t>
  </si>
  <si>
    <t>P76115</t>
  </si>
  <si>
    <t>P76116</t>
  </si>
  <si>
    <t>P76117</t>
  </si>
  <si>
    <t>P76121</t>
  </si>
  <si>
    <t>P76128</t>
  </si>
  <si>
    <t>P76141</t>
  </si>
  <si>
    <t>P76142</t>
  </si>
  <si>
    <t>P76143</t>
  </si>
  <si>
    <t>P76145</t>
  </si>
  <si>
    <t>P76149</t>
  </si>
  <si>
    <t>P76172</t>
  </si>
  <si>
    <t>P76173</t>
  </si>
  <si>
    <t>P76176</t>
  </si>
  <si>
    <t>P76177</t>
  </si>
  <si>
    <t>P76185</t>
  </si>
  <si>
    <t>P76187</t>
  </si>
  <si>
    <t>P76192</t>
  </si>
  <si>
    <t>P76193</t>
  </si>
  <si>
    <t>P76194</t>
  </si>
  <si>
    <t>P76201</t>
  </si>
  <si>
    <t>P76206</t>
  </si>
  <si>
    <t>P76208</t>
  </si>
  <si>
    <t>P76215</t>
  </si>
  <si>
    <t>P76216</t>
  </si>
  <si>
    <t>P76217</t>
  </si>
  <si>
    <t>P76220</t>
  </si>
  <si>
    <t>P76223</t>
  </si>
  <si>
    <t>P76227</t>
  </si>
  <si>
    <t>P76234</t>
  </si>
  <si>
    <t>P76235</t>
  </si>
  <si>
    <t>P76237</t>
  </si>
  <si>
    <t>P76243</t>
  </si>
  <si>
    <t>P76251</t>
  </si>
  <si>
    <t>P76256</t>
  </si>
  <si>
    <t>P76268</t>
  </si>
  <si>
    <t>P76270</t>
  </si>
  <si>
    <t>P76272</t>
  </si>
  <si>
    <t>P76273</t>
  </si>
  <si>
    <t>P76290</t>
  </si>
  <si>
    <t>P76291</t>
  </si>
  <si>
    <t>P76297</t>
  </si>
  <si>
    <t>P76298</t>
  </si>
  <si>
    <t>P76299</t>
  </si>
  <si>
    <t>P76308</t>
  </si>
  <si>
    <t>P76316</t>
  </si>
  <si>
    <t>P76318</t>
  </si>
  <si>
    <t>P76329</t>
  </si>
  <si>
    <t>P76330</t>
  </si>
  <si>
    <t>P76340</t>
  </si>
  <si>
    <t>P76341</t>
  </si>
  <si>
    <t>P76342</t>
  </si>
  <si>
    <t>P76344</t>
  </si>
  <si>
    <t>P76346</t>
  </si>
  <si>
    <t>P76372</t>
  </si>
  <si>
    <t>P76389</t>
  </si>
  <si>
    <t>P76394</t>
  </si>
  <si>
    <t>P76397</t>
  </si>
  <si>
    <t>P76398</t>
  </si>
  <si>
    <t>P76402</t>
  </si>
  <si>
    <t>P76403</t>
  </si>
  <si>
    <t>P76406</t>
  </si>
  <si>
    <t>P76407</t>
  </si>
  <si>
    <t>P76418</t>
  </si>
  <si>
    <t>P76419</t>
  </si>
  <si>
    <t>P76440</t>
  </si>
  <si>
    <t>P76491</t>
  </si>
  <si>
    <t>P76501</t>
  </si>
  <si>
    <t>P76502</t>
  </si>
  <si>
    <t>P76503</t>
  </si>
  <si>
    <t>P76506</t>
  </si>
  <si>
    <t>P76513</t>
  </si>
  <si>
    <t>P76535</t>
  </si>
  <si>
    <t>P76536</t>
  </si>
  <si>
    <t>P76537</t>
  </si>
  <si>
    <t>P76539</t>
  </si>
  <si>
    <t>P76541</t>
  </si>
  <si>
    <t>P76550</t>
  </si>
  <si>
    <t>P76555</t>
  </si>
  <si>
    <t>P76558</t>
  </si>
  <si>
    <t>P76559</t>
  </si>
  <si>
    <t>P76561</t>
  </si>
  <si>
    <t>P76569</t>
  </si>
  <si>
    <t>P76573</t>
  </si>
  <si>
    <t>P76575</t>
  </si>
  <si>
    <t>P76576</t>
  </si>
  <si>
    <t>P76578</t>
  </si>
  <si>
    <t>P76584</t>
  </si>
  <si>
    <t>P76594</t>
  </si>
  <si>
    <t>P76621</t>
  </si>
  <si>
    <t>P76641</t>
  </si>
  <si>
    <t>P76658</t>
  </si>
  <si>
    <t>P76909</t>
  </si>
  <si>
    <t>P77129</t>
  </si>
  <si>
    <t>P77148</t>
  </si>
  <si>
    <t>P77150</t>
  </si>
  <si>
    <t>P77161</t>
  </si>
  <si>
    <t>P77162</t>
  </si>
  <si>
    <t>P77173</t>
  </si>
  <si>
    <t>P77181</t>
  </si>
  <si>
    <t>P77182</t>
  </si>
  <si>
    <t>P77202</t>
  </si>
  <si>
    <t>P77212</t>
  </si>
  <si>
    <t>P77213</t>
  </si>
  <si>
    <t>P77215</t>
  </si>
  <si>
    <t>P77243</t>
  </si>
  <si>
    <t>P77245</t>
  </si>
  <si>
    <t>P77247</t>
  </si>
  <si>
    <t>P77252</t>
  </si>
  <si>
    <t>P77256</t>
  </si>
  <si>
    <t>P77257</t>
  </si>
  <si>
    <t>P77258</t>
  </si>
  <si>
    <t>P77269</t>
  </si>
  <si>
    <t>P77272</t>
  </si>
  <si>
    <t>P77279</t>
  </si>
  <si>
    <t>P77285</t>
  </si>
  <si>
    <t>P77286</t>
  </si>
  <si>
    <t>P77293</t>
  </si>
  <si>
    <t>P77307</t>
  </si>
  <si>
    <t>P77316</t>
  </si>
  <si>
    <t>P77318</t>
  </si>
  <si>
    <t>P77330</t>
  </si>
  <si>
    <t>P77335</t>
  </si>
  <si>
    <t>P77338</t>
  </si>
  <si>
    <t>P77348</t>
  </si>
  <si>
    <t>P77364</t>
  </si>
  <si>
    <t>P77368</t>
  </si>
  <si>
    <t>P77374</t>
  </si>
  <si>
    <t>P77376</t>
  </si>
  <si>
    <t>P77379</t>
  </si>
  <si>
    <t>P77395</t>
  </si>
  <si>
    <t>P77399</t>
  </si>
  <si>
    <t>P77433</t>
  </si>
  <si>
    <t>P77434</t>
  </si>
  <si>
    <t>P77444</t>
  </si>
  <si>
    <t>P77454</t>
  </si>
  <si>
    <t>P77473</t>
  </si>
  <si>
    <t>P77475</t>
  </si>
  <si>
    <t>P77485</t>
  </si>
  <si>
    <t>P77488</t>
  </si>
  <si>
    <t>P77493</t>
  </si>
  <si>
    <t>P77499</t>
  </si>
  <si>
    <t>P77504</t>
  </si>
  <si>
    <t>P77522</t>
  </si>
  <si>
    <t>P77526</t>
  </si>
  <si>
    <t>P77529</t>
  </si>
  <si>
    <t>P77536</t>
  </si>
  <si>
    <t>P77539</t>
  </si>
  <si>
    <t>P77541</t>
  </si>
  <si>
    <t>P77544</t>
  </si>
  <si>
    <t>P77552</t>
  </si>
  <si>
    <t>P77554</t>
  </si>
  <si>
    <t>P77555</t>
  </si>
  <si>
    <t>P77562</t>
  </si>
  <si>
    <t>P77569</t>
  </si>
  <si>
    <t>P77581</t>
  </si>
  <si>
    <t>P77596</t>
  </si>
  <si>
    <t>P77611</t>
  </si>
  <si>
    <t>P77615</t>
  </si>
  <si>
    <t>P77619</t>
  </si>
  <si>
    <t>P77625</t>
  </si>
  <si>
    <t>P77649</t>
  </si>
  <si>
    <t>P77667</t>
  </si>
  <si>
    <t>P77671</t>
  </si>
  <si>
    <t>P77674</t>
  </si>
  <si>
    <t>P77689</t>
  </si>
  <si>
    <t>P77695</t>
  </si>
  <si>
    <t>P77712</t>
  </si>
  <si>
    <t>P77713</t>
  </si>
  <si>
    <t>P77717</t>
  </si>
  <si>
    <t>P77718</t>
  </si>
  <si>
    <t>P77721</t>
  </si>
  <si>
    <t>P77730</t>
  </si>
  <si>
    <t>P77735</t>
  </si>
  <si>
    <t>P77737</t>
  </si>
  <si>
    <t>P77739</t>
  </si>
  <si>
    <t>P77748</t>
  </si>
  <si>
    <t>P77754</t>
  </si>
  <si>
    <t>P77756</t>
  </si>
  <si>
    <t>P77774</t>
  </si>
  <si>
    <t>P77775</t>
  </si>
  <si>
    <t>P77781</t>
  </si>
  <si>
    <t>P77783</t>
  </si>
  <si>
    <t>P77791</t>
  </si>
  <si>
    <t>P77795</t>
  </si>
  <si>
    <t>P77804</t>
  </si>
  <si>
    <t>P77808</t>
  </si>
  <si>
    <t>P78055</t>
  </si>
  <si>
    <t>P78067</t>
  </si>
  <si>
    <t>P80668</t>
  </si>
  <si>
    <t>Q2M7R5</t>
  </si>
  <si>
    <t>Q2M7X4</t>
  </si>
  <si>
    <t>Q2MB16</t>
  </si>
  <si>
    <t>Q46798</t>
  </si>
  <si>
    <t>Q46799</t>
  </si>
  <si>
    <t>Q46800</t>
  </si>
  <si>
    <t>Q46801</t>
  </si>
  <si>
    <t>Q46803</t>
  </si>
  <si>
    <t>Q46806</t>
  </si>
  <si>
    <t>Q46807</t>
  </si>
  <si>
    <t>Q46811</t>
  </si>
  <si>
    <t>Q46812</t>
  </si>
  <si>
    <t>Q46814</t>
  </si>
  <si>
    <t>Q46822</t>
  </si>
  <si>
    <t>Q46829</t>
  </si>
  <si>
    <t>Q46845</t>
  </si>
  <si>
    <t>Q46851</t>
  </si>
  <si>
    <t>Q46856</t>
  </si>
  <si>
    <t>Q46857</t>
  </si>
  <si>
    <t>Q46858</t>
  </si>
  <si>
    <t>Q46863</t>
  </si>
  <si>
    <t>Q46864</t>
  </si>
  <si>
    <t>Q46868</t>
  </si>
  <si>
    <t>Q46871</t>
  </si>
  <si>
    <t>Q46891</t>
  </si>
  <si>
    <t>Q46893</t>
  </si>
  <si>
    <t>Q46920</t>
  </si>
  <si>
    <t>Q46927</t>
  </si>
  <si>
    <t>Q46938</t>
  </si>
  <si>
    <t>Q46948</t>
  </si>
  <si>
    <t>Q47146</t>
  </si>
  <si>
    <t>Q47147</t>
  </si>
  <si>
    <t>Q47150</t>
  </si>
  <si>
    <t>Q47156</t>
  </si>
  <si>
    <t>Q47537</t>
  </si>
  <si>
    <t>Q47622</t>
  </si>
  <si>
    <t>Q47679</t>
  </si>
  <si>
    <t>Q47690</t>
  </si>
  <si>
    <t>Q47710</t>
  </si>
  <si>
    <t>Q57261</t>
  </si>
  <si>
    <t>Q59385</t>
  </si>
  <si>
    <t>Q6BF16</t>
  </si>
  <si>
    <t>Q93K97</t>
  </si>
  <si>
    <t>Q9LBU0</t>
  </si>
  <si>
    <t>Q9LBU5</t>
  </si>
  <si>
    <t>Q9LBV1</t>
  </si>
  <si>
    <t>rzoQ</t>
  </si>
  <si>
    <t>lacZ</t>
  </si>
  <si>
    <t>pmrB</t>
  </si>
  <si>
    <t>gnd</t>
  </si>
  <si>
    <t>frdA</t>
  </si>
  <si>
    <t>gdhA</t>
  </si>
  <si>
    <t>ndh</t>
  </si>
  <si>
    <t>sodA</t>
  </si>
  <si>
    <t>nrdA</t>
  </si>
  <si>
    <t>malP</t>
  </si>
  <si>
    <t>aspC</t>
  </si>
  <si>
    <t>thrB</t>
  </si>
  <si>
    <t>mtlA</t>
  </si>
  <si>
    <t>thrA</t>
  </si>
  <si>
    <t>metL</t>
  </si>
  <si>
    <t>rpoD</t>
  </si>
  <si>
    <t>polA</t>
  </si>
  <si>
    <t>phoA</t>
  </si>
  <si>
    <t>lepB</t>
  </si>
  <si>
    <t>ansB</t>
  </si>
  <si>
    <t>ampC</t>
  </si>
  <si>
    <t>ppc</t>
  </si>
  <si>
    <t>aroH</t>
  </si>
  <si>
    <t>trpE</t>
  </si>
  <si>
    <t>pabA</t>
  </si>
  <si>
    <t>trpGD</t>
  </si>
  <si>
    <t>trpC</t>
  </si>
  <si>
    <t>dsdA</t>
  </si>
  <si>
    <t>thrC</t>
  </si>
  <si>
    <t>metB</t>
  </si>
  <si>
    <t>xylA</t>
  </si>
  <si>
    <t>manA</t>
  </si>
  <si>
    <t>trpS</t>
  </si>
  <si>
    <t>ileS</t>
  </si>
  <si>
    <t>alaS</t>
  </si>
  <si>
    <t>metG</t>
  </si>
  <si>
    <t>glyQ</t>
  </si>
  <si>
    <t>glyS</t>
  </si>
  <si>
    <t>glnS</t>
  </si>
  <si>
    <t>asnA</t>
  </si>
  <si>
    <t>carB</t>
  </si>
  <si>
    <t>rpsF</t>
  </si>
  <si>
    <t>rpsG</t>
  </si>
  <si>
    <t>rplO</t>
  </si>
  <si>
    <t>mrcA</t>
  </si>
  <si>
    <t>mrcB</t>
  </si>
  <si>
    <t>araF</t>
  </si>
  <si>
    <t>rbsB</t>
  </si>
  <si>
    <t>tonB</t>
  </si>
  <si>
    <t>tolC</t>
  </si>
  <si>
    <t>ompF</t>
  </si>
  <si>
    <t>tsr</t>
  </si>
  <si>
    <t>lamB</t>
  </si>
  <si>
    <t>dnaA</t>
  </si>
  <si>
    <t>dnaQ</t>
  </si>
  <si>
    <t>uvrD</t>
  </si>
  <si>
    <t>lacI</t>
  </si>
  <si>
    <t>galR</t>
  </si>
  <si>
    <t>ygeA</t>
  </si>
  <si>
    <t>mioC</t>
  </si>
  <si>
    <t>kefC</t>
  </si>
  <si>
    <t>malM</t>
  </si>
  <si>
    <t>dapB</t>
  </si>
  <si>
    <t>guaA</t>
  </si>
  <si>
    <t>frsA</t>
  </si>
  <si>
    <t>gshB</t>
  </si>
  <si>
    <t>tyrB</t>
  </si>
  <si>
    <t>gltX</t>
  </si>
  <si>
    <t>livK</t>
  </si>
  <si>
    <t>pepN</t>
  </si>
  <si>
    <t>nlpA</t>
  </si>
  <si>
    <t>fliC</t>
  </si>
  <si>
    <t>kdsB</t>
  </si>
  <si>
    <t>ilvA</t>
  </si>
  <si>
    <t>rbsD</t>
  </si>
  <si>
    <t>rbsA</t>
  </si>
  <si>
    <t>recD</t>
  </si>
  <si>
    <t>xseA</t>
  </si>
  <si>
    <t>sbcB</t>
  </si>
  <si>
    <t>pyrC</t>
  </si>
  <si>
    <t>pabB</t>
  </si>
  <si>
    <t>fumC</t>
  </si>
  <si>
    <t>alkB</t>
  </si>
  <si>
    <t>pnp</t>
  </si>
  <si>
    <t>aroD</t>
  </si>
  <si>
    <t>ptrA</t>
  </si>
  <si>
    <t>pdxB</t>
  </si>
  <si>
    <t>mutM</t>
  </si>
  <si>
    <t>apaH</t>
  </si>
  <si>
    <t>trg</t>
  </si>
  <si>
    <t>srlD</t>
  </si>
  <si>
    <t>ilvD</t>
  </si>
  <si>
    <t>ilvC</t>
  </si>
  <si>
    <t>uidA</t>
  </si>
  <si>
    <t>fepA</t>
  </si>
  <si>
    <t>ilvY</t>
  </si>
  <si>
    <t>btuB</t>
  </si>
  <si>
    <t>ada</t>
  </si>
  <si>
    <t>dld</t>
  </si>
  <si>
    <t>cdh</t>
  </si>
  <si>
    <t>btuE</t>
  </si>
  <si>
    <t>topA</t>
  </si>
  <si>
    <t>era</t>
  </si>
  <si>
    <t>birA</t>
  </si>
  <si>
    <t>dnaX</t>
  </si>
  <si>
    <t>gor</t>
  </si>
  <si>
    <t>melA</t>
  </si>
  <si>
    <t>metC</t>
  </si>
  <si>
    <t>ebgR</t>
  </si>
  <si>
    <t>aceF</t>
  </si>
  <si>
    <t>cca</t>
  </si>
  <si>
    <t>dicA</t>
  </si>
  <si>
    <t>dut</t>
  </si>
  <si>
    <t>fhuA</t>
  </si>
  <si>
    <t>fliM</t>
  </si>
  <si>
    <t>hemC</t>
  </si>
  <si>
    <t>hisC</t>
  </si>
  <si>
    <t>hisB</t>
  </si>
  <si>
    <t>hisD</t>
  </si>
  <si>
    <t>hisI</t>
  </si>
  <si>
    <t>rsmA</t>
  </si>
  <si>
    <t>ompC</t>
  </si>
  <si>
    <t>pfkB</t>
  </si>
  <si>
    <t>pldB</t>
  </si>
  <si>
    <t>pntA</t>
  </si>
  <si>
    <t>poxB</t>
  </si>
  <si>
    <t>proA</t>
  </si>
  <si>
    <t>prfB</t>
  </si>
  <si>
    <t>priB</t>
  </si>
  <si>
    <t>sdhB</t>
  </si>
  <si>
    <t>tar</t>
  </si>
  <si>
    <t>tap</t>
  </si>
  <si>
    <t>tyrA</t>
  </si>
  <si>
    <t>ushA</t>
  </si>
  <si>
    <t>appA</t>
  </si>
  <si>
    <t>putP</t>
  </si>
  <si>
    <t>valS</t>
  </si>
  <si>
    <t>cheB</t>
  </si>
  <si>
    <t>cheA</t>
  </si>
  <si>
    <t>pheT</t>
  </si>
  <si>
    <t>lacA</t>
  </si>
  <si>
    <t>tyrR</t>
  </si>
  <si>
    <t>aroB</t>
  </si>
  <si>
    <t>deoA</t>
  </si>
  <si>
    <t>glgB</t>
  </si>
  <si>
    <t>leuS</t>
  </si>
  <si>
    <t>fhuD</t>
  </si>
  <si>
    <t>ddlB</t>
  </si>
  <si>
    <t>tdh</t>
  </si>
  <si>
    <t>ilvB</t>
  </si>
  <si>
    <t>purM</t>
  </si>
  <si>
    <t>purN</t>
  </si>
  <si>
    <t>folC</t>
  </si>
  <si>
    <t>glpT</t>
  </si>
  <si>
    <t>icd</t>
  </si>
  <si>
    <t>nirB</t>
  </si>
  <si>
    <t>araA</t>
  </si>
  <si>
    <t>araB</t>
  </si>
  <si>
    <t>pyrF</t>
  </si>
  <si>
    <t>yciH</t>
  </si>
  <si>
    <t>pheS</t>
  </si>
  <si>
    <t>cpdB</t>
  </si>
  <si>
    <t>mutT</t>
  </si>
  <si>
    <t>creB</t>
  </si>
  <si>
    <t>murB</t>
  </si>
  <si>
    <t>usg</t>
  </si>
  <si>
    <t>sppA</t>
  </si>
  <si>
    <t>dacC</t>
  </si>
  <si>
    <t>cvpA</t>
  </si>
  <si>
    <t>dnaJ</t>
  </si>
  <si>
    <t>lysC</t>
  </si>
  <si>
    <t>ptsI</t>
  </si>
  <si>
    <t>hsdR</t>
  </si>
  <si>
    <t>hsdM</t>
  </si>
  <si>
    <t>aceB</t>
  </si>
  <si>
    <t>purK</t>
  </si>
  <si>
    <t>xthA</t>
  </si>
  <si>
    <t>avtA</t>
  </si>
  <si>
    <t>xylB</t>
  </si>
  <si>
    <t>hemD</t>
  </si>
  <si>
    <t>hemX</t>
  </si>
  <si>
    <t>galE</t>
  </si>
  <si>
    <t>galT</t>
  </si>
  <si>
    <t>narG</t>
  </si>
  <si>
    <t>speE</t>
  </si>
  <si>
    <t>ompT</t>
  </si>
  <si>
    <t>nagE</t>
  </si>
  <si>
    <t>grpE</t>
  </si>
  <si>
    <t>pflB</t>
  </si>
  <si>
    <t>glpG</t>
  </si>
  <si>
    <t>glpQ</t>
  </si>
  <si>
    <t>mtlD</t>
  </si>
  <si>
    <t>putA</t>
  </si>
  <si>
    <t>dedD</t>
  </si>
  <si>
    <t>argT</t>
  </si>
  <si>
    <t>gltB</t>
  </si>
  <si>
    <t>gltD</t>
  </si>
  <si>
    <t>modC</t>
  </si>
  <si>
    <t>uvrA</t>
  </si>
  <si>
    <t>ackA</t>
  </si>
  <si>
    <t>leuC</t>
  </si>
  <si>
    <t>acpP</t>
  </si>
  <si>
    <t>alr</t>
  </si>
  <si>
    <t>iscS</t>
  </si>
  <si>
    <t>nfo</t>
  </si>
  <si>
    <t>argB</t>
  </si>
  <si>
    <t>argR</t>
  </si>
  <si>
    <t>aroA</t>
  </si>
  <si>
    <t>aroK</t>
  </si>
  <si>
    <t>aroL</t>
  </si>
  <si>
    <t>argG</t>
  </si>
  <si>
    <t>bioD2</t>
  </si>
  <si>
    <t>carA</t>
  </si>
  <si>
    <t>glpK</t>
  </si>
  <si>
    <t>groL</t>
  </si>
  <si>
    <t>groS</t>
  </si>
  <si>
    <t>pncC</t>
  </si>
  <si>
    <t>clpP</t>
  </si>
  <si>
    <t>clpX</t>
  </si>
  <si>
    <t>hslU</t>
  </si>
  <si>
    <t>clsA</t>
  </si>
  <si>
    <t>cmk</t>
  </si>
  <si>
    <t>coaA</t>
  </si>
  <si>
    <t>coaD</t>
  </si>
  <si>
    <t>coaE</t>
  </si>
  <si>
    <t>cysZ</t>
  </si>
  <si>
    <t>dadA</t>
  </si>
  <si>
    <t>ddlA</t>
  </si>
  <si>
    <t>dapF</t>
  </si>
  <si>
    <t>def</t>
  </si>
  <si>
    <t>deoB</t>
  </si>
  <si>
    <t>deoC</t>
  </si>
  <si>
    <t>dapA</t>
  </si>
  <si>
    <t>nanA</t>
  </si>
  <si>
    <t>uxaB</t>
  </si>
  <si>
    <t>hscB</t>
  </si>
  <si>
    <t>dsbB</t>
  </si>
  <si>
    <t>dtd</t>
  </si>
  <si>
    <t>fusA</t>
  </si>
  <si>
    <t>efp</t>
  </si>
  <si>
    <t>yeiP</t>
  </si>
  <si>
    <t>tsf</t>
  </si>
  <si>
    <t>der</t>
  </si>
  <si>
    <t>engB</t>
  </si>
  <si>
    <t>eno</t>
  </si>
  <si>
    <t>fabA</t>
  </si>
  <si>
    <t>fabZ</t>
  </si>
  <si>
    <t>fabH</t>
  </si>
  <si>
    <t>flgH</t>
  </si>
  <si>
    <t>gpsA</t>
  </si>
  <si>
    <t>pgi</t>
  </si>
  <si>
    <t>galK</t>
  </si>
  <si>
    <t>folE</t>
  </si>
  <si>
    <t>gcvH</t>
  </si>
  <si>
    <t>mnmG</t>
  </si>
  <si>
    <t>rsmG</t>
  </si>
  <si>
    <t>glgA</t>
  </si>
  <si>
    <t>glgC</t>
  </si>
  <si>
    <t>glpE</t>
  </si>
  <si>
    <t>glk</t>
  </si>
  <si>
    <t>mraY</t>
  </si>
  <si>
    <t>greA</t>
  </si>
  <si>
    <t>gshA</t>
  </si>
  <si>
    <t>hfq</t>
  </si>
  <si>
    <t>ihfA</t>
  </si>
  <si>
    <t>ihfB</t>
  </si>
  <si>
    <t>hslO</t>
  </si>
  <si>
    <t>dnaK</t>
  </si>
  <si>
    <t>hscA</t>
  </si>
  <si>
    <t>htpG</t>
  </si>
  <si>
    <t>nikR</t>
  </si>
  <si>
    <t>infB</t>
  </si>
  <si>
    <t>infC</t>
  </si>
  <si>
    <t>kdsA</t>
  </si>
  <si>
    <t>prs</t>
  </si>
  <si>
    <t>tmk</t>
  </si>
  <si>
    <t>lpxA</t>
  </si>
  <si>
    <t>lpxC</t>
  </si>
  <si>
    <t>yceF</t>
  </si>
  <si>
    <t>mgsA</t>
  </si>
  <si>
    <t>minE</t>
  </si>
  <si>
    <t>moaC</t>
  </si>
  <si>
    <t>mscL</t>
  </si>
  <si>
    <t>msrA</t>
  </si>
  <si>
    <t>msrB</t>
  </si>
  <si>
    <t>murA</t>
  </si>
  <si>
    <t>nadD</t>
  </si>
  <si>
    <t>kefF</t>
  </si>
  <si>
    <t>nagB</t>
  </si>
  <si>
    <t>nanE</t>
  </si>
  <si>
    <t>ndk</t>
  </si>
  <si>
    <t>nusB</t>
  </si>
  <si>
    <t>orn</t>
  </si>
  <si>
    <t>pyrB</t>
  </si>
  <si>
    <t>panD</t>
  </si>
  <si>
    <t>pdxJ</t>
  </si>
  <si>
    <t>pfkA</t>
  </si>
  <si>
    <t>pgk</t>
  </si>
  <si>
    <t>gpmB</t>
  </si>
  <si>
    <t>pcm</t>
  </si>
  <si>
    <t>plsB</t>
  </si>
  <si>
    <t>ppa</t>
  </si>
  <si>
    <t>ppk</t>
  </si>
  <si>
    <t>nadK</t>
  </si>
  <si>
    <t>proB</t>
  </si>
  <si>
    <t>hslV</t>
  </si>
  <si>
    <t>lexA</t>
  </si>
  <si>
    <t>pepE</t>
  </si>
  <si>
    <t>pth</t>
  </si>
  <si>
    <t>purA</t>
  </si>
  <si>
    <t>purC</t>
  </si>
  <si>
    <t>pyrD</t>
  </si>
  <si>
    <t>pyrE</t>
  </si>
  <si>
    <t>pyrG</t>
  </si>
  <si>
    <t>pyrH</t>
  </si>
  <si>
    <t>pyrI</t>
  </si>
  <si>
    <t>speD</t>
  </si>
  <si>
    <t>queA</t>
  </si>
  <si>
    <t>rbfA</t>
  </si>
  <si>
    <t>recA</t>
  </si>
  <si>
    <t>recR</t>
  </si>
  <si>
    <t>prfA</t>
  </si>
  <si>
    <t>prfC</t>
  </si>
  <si>
    <t>ribA</t>
  </si>
  <si>
    <t>ribB</t>
  </si>
  <si>
    <t>rplJ</t>
  </si>
  <si>
    <t>rplK</t>
  </si>
  <si>
    <t>rplL</t>
  </si>
  <si>
    <t>rplS</t>
  </si>
  <si>
    <t>rplA</t>
  </si>
  <si>
    <t>rplT</t>
  </si>
  <si>
    <t>rpmA</t>
  </si>
  <si>
    <t>rpmB</t>
  </si>
  <si>
    <t>rpmC</t>
  </si>
  <si>
    <t>rpmE</t>
  </si>
  <si>
    <t>rpmH</t>
  </si>
  <si>
    <t>rpmJ</t>
  </si>
  <si>
    <t>rplI</t>
  </si>
  <si>
    <t>rpsJ</t>
  </si>
  <si>
    <t>rpsK</t>
  </si>
  <si>
    <t>rpsL</t>
  </si>
  <si>
    <t>rpsM</t>
  </si>
  <si>
    <t>rpsP</t>
  </si>
  <si>
    <t>rpsR</t>
  </si>
  <si>
    <t>rpsS</t>
  </si>
  <si>
    <t>rpsT</t>
  </si>
  <si>
    <t>rpsB</t>
  </si>
  <si>
    <t>rpsC</t>
  </si>
  <si>
    <t>rpsD</t>
  </si>
  <si>
    <t>rpsE</t>
  </si>
  <si>
    <t>rpsH</t>
  </si>
  <si>
    <t>rpsI</t>
  </si>
  <si>
    <t>rimM</t>
  </si>
  <si>
    <t>rnc</t>
  </si>
  <si>
    <t>rnhA</t>
  </si>
  <si>
    <t>rpiA</t>
  </si>
  <si>
    <t>rpoA</t>
  </si>
  <si>
    <t>rpoZ</t>
  </si>
  <si>
    <t>frr</t>
  </si>
  <si>
    <t>ruvA</t>
  </si>
  <si>
    <t>ruvB</t>
  </si>
  <si>
    <t>metK</t>
  </si>
  <si>
    <t>selA</t>
  </si>
  <si>
    <t>sfsA</t>
  </si>
  <si>
    <t>glyA</t>
  </si>
  <si>
    <t>dctA</t>
  </si>
  <si>
    <t>smpB</t>
  </si>
  <si>
    <t>sucC</t>
  </si>
  <si>
    <t>surE</t>
  </si>
  <si>
    <t>tgt</t>
  </si>
  <si>
    <t>tig</t>
  </si>
  <si>
    <t>tnaA</t>
  </si>
  <si>
    <t>tolB</t>
  </si>
  <si>
    <t>tpiA</t>
  </si>
  <si>
    <t>tpx</t>
  </si>
  <si>
    <t>talA</t>
  </si>
  <si>
    <t>talB</t>
  </si>
  <si>
    <t>trmD</t>
  </si>
  <si>
    <t>trpA</t>
  </si>
  <si>
    <t>trpB</t>
  </si>
  <si>
    <t>trpR</t>
  </si>
  <si>
    <t>thyA</t>
  </si>
  <si>
    <t>ubiE</t>
  </si>
  <si>
    <t>tusA</t>
  </si>
  <si>
    <t>rapZ</t>
  </si>
  <si>
    <t>ybeY</t>
  </si>
  <si>
    <t>yebC</t>
  </si>
  <si>
    <t>yeeN</t>
  </si>
  <si>
    <t>ppsR</t>
  </si>
  <si>
    <t>ybaB</t>
  </si>
  <si>
    <t>ybjQ</t>
  </si>
  <si>
    <t>nrdR</t>
  </si>
  <si>
    <t>yaiI</t>
  </si>
  <si>
    <t>ymdB</t>
  </si>
  <si>
    <t>ycfP</t>
  </si>
  <si>
    <t>yacL</t>
  </si>
  <si>
    <t>yajQ</t>
  </si>
  <si>
    <t>upp</t>
  </si>
  <si>
    <t>udk</t>
  </si>
  <si>
    <t>uvrB</t>
  </si>
  <si>
    <t>uxaC</t>
  </si>
  <si>
    <t>wrbA</t>
  </si>
  <si>
    <t>xseB</t>
  </si>
  <si>
    <t>yihI</t>
  </si>
  <si>
    <t>yacG</t>
  </si>
  <si>
    <t>yqgF</t>
  </si>
  <si>
    <t>yaaA</t>
  </si>
  <si>
    <t>trmB</t>
  </si>
  <si>
    <t>rlmH</t>
  </si>
  <si>
    <t>rhlB</t>
  </si>
  <si>
    <t>psd</t>
  </si>
  <si>
    <t>yaeP</t>
  </si>
  <si>
    <t>serS</t>
  </si>
  <si>
    <t>yciU</t>
  </si>
  <si>
    <t>asnS</t>
  </si>
  <si>
    <t>thrS</t>
  </si>
  <si>
    <t>yeeX</t>
  </si>
  <si>
    <t>matP</t>
  </si>
  <si>
    <t>lysS</t>
  </si>
  <si>
    <t>lysU</t>
  </si>
  <si>
    <t>epmA</t>
  </si>
  <si>
    <t>yggX</t>
  </si>
  <si>
    <t>frdC</t>
  </si>
  <si>
    <t>frdD</t>
  </si>
  <si>
    <t>clpS</t>
  </si>
  <si>
    <t>rraA</t>
  </si>
  <si>
    <t>slyX</t>
  </si>
  <si>
    <t>ycjF</t>
  </si>
  <si>
    <t>argP</t>
  </si>
  <si>
    <t>prmA</t>
  </si>
  <si>
    <t>rpoC</t>
  </si>
  <si>
    <t>syd</t>
  </si>
  <si>
    <t>yafD</t>
  </si>
  <si>
    <t>metJ</t>
  </si>
  <si>
    <t>rbn</t>
  </si>
  <si>
    <t>rpoB</t>
  </si>
  <si>
    <t>fadR</t>
  </si>
  <si>
    <t>nanR</t>
  </si>
  <si>
    <t>slyA</t>
  </si>
  <si>
    <t>yqgE</t>
  </si>
  <si>
    <t>yfbU</t>
  </si>
  <si>
    <t>yjgA</t>
  </si>
  <si>
    <t>yceI</t>
  </si>
  <si>
    <t>yihX</t>
  </si>
  <si>
    <t>yidA</t>
  </si>
  <si>
    <t>yciA</t>
  </si>
  <si>
    <t>ybgC</t>
  </si>
  <si>
    <t>blc</t>
  </si>
  <si>
    <t>bamC</t>
  </si>
  <si>
    <t>slyB</t>
  </si>
  <si>
    <t>ompA</t>
  </si>
  <si>
    <t>pal</t>
  </si>
  <si>
    <t>ompW</t>
  </si>
  <si>
    <t>ompX</t>
  </si>
  <si>
    <t>pldA</t>
  </si>
  <si>
    <t>pgpB</t>
  </si>
  <si>
    <t>tsx</t>
  </si>
  <si>
    <t>bamE</t>
  </si>
  <si>
    <t>bamA</t>
  </si>
  <si>
    <t>rimI</t>
  </si>
  <si>
    <t>rimJ</t>
  </si>
  <si>
    <t>speG</t>
  </si>
  <si>
    <t>fabB</t>
  </si>
  <si>
    <t>eda</t>
  </si>
  <si>
    <t>alaA</t>
  </si>
  <si>
    <t>ansA</t>
  </si>
  <si>
    <t>cheW</t>
  </si>
  <si>
    <t>cspD</t>
  </si>
  <si>
    <t>cspE</t>
  </si>
  <si>
    <t>dnaN</t>
  </si>
  <si>
    <t>fbaB</t>
  </si>
  <si>
    <t>fbp</t>
  </si>
  <si>
    <t>ftnA</t>
  </si>
  <si>
    <t>ftnB</t>
  </si>
  <si>
    <t>ftsZ</t>
  </si>
  <si>
    <t>fur</t>
  </si>
  <si>
    <t>gapA</t>
  </si>
  <si>
    <t>epd</t>
  </si>
  <si>
    <t>galM</t>
  </si>
  <si>
    <t>glnA</t>
  </si>
  <si>
    <t>glpX</t>
  </si>
  <si>
    <t>gstA</t>
  </si>
  <si>
    <t>cysE</t>
  </si>
  <si>
    <t>dapD</t>
  </si>
  <si>
    <t>fnr</t>
  </si>
  <si>
    <t>mntR</t>
  </si>
  <si>
    <t>cysB</t>
  </si>
  <si>
    <t>gcvA</t>
  </si>
  <si>
    <t>aceA</t>
  </si>
  <si>
    <t>modE</t>
  </si>
  <si>
    <t>mug</t>
  </si>
  <si>
    <t>cadA</t>
  </si>
  <si>
    <t>cfa</t>
  </si>
  <si>
    <t>cheZ</t>
  </si>
  <si>
    <t>gcvR</t>
  </si>
  <si>
    <t>rng</t>
  </si>
  <si>
    <t>rbsK</t>
  </si>
  <si>
    <t>pheA</t>
  </si>
  <si>
    <t>ybeZ</t>
  </si>
  <si>
    <t>phoU</t>
  </si>
  <si>
    <t>slyD</t>
  </si>
  <si>
    <t>fklB</t>
  </si>
  <si>
    <t>ppiC</t>
  </si>
  <si>
    <t>proC</t>
  </si>
  <si>
    <t>lon</t>
  </si>
  <si>
    <t>hpt</t>
  </si>
  <si>
    <t>gpt</t>
  </si>
  <si>
    <t>pta</t>
  </si>
  <si>
    <t>ptsO</t>
  </si>
  <si>
    <t>pflA</t>
  </si>
  <si>
    <t>lpdA</t>
  </si>
  <si>
    <t>trxB</t>
  </si>
  <si>
    <t>idnO</t>
  </si>
  <si>
    <t>arcA</t>
  </si>
  <si>
    <t>accD</t>
  </si>
  <si>
    <t>adhE</t>
  </si>
  <si>
    <t>asd</t>
  </si>
  <si>
    <t>fdx</t>
  </si>
  <si>
    <t>ftsE</t>
  </si>
  <si>
    <t>fucO</t>
  </si>
  <si>
    <t>gatD</t>
  </si>
  <si>
    <t>gldA</t>
  </si>
  <si>
    <t>serA</t>
  </si>
  <si>
    <t>tas</t>
  </si>
  <si>
    <t>ybbA</t>
  </si>
  <si>
    <t>ybiT</t>
  </si>
  <si>
    <t>puuR</t>
  </si>
  <si>
    <t>lptB</t>
  </si>
  <si>
    <t>yiaG</t>
  </si>
  <si>
    <t>ulaR</t>
  </si>
  <si>
    <t>ettA</t>
  </si>
  <si>
    <t>ibaG</t>
  </si>
  <si>
    <t>znuC</t>
  </si>
  <si>
    <t>mreB</t>
  </si>
  <si>
    <t>cspA</t>
  </si>
  <si>
    <t>cspC</t>
  </si>
  <si>
    <t>glnB</t>
  </si>
  <si>
    <t>ptsH</t>
  </si>
  <si>
    <t>rplM</t>
  </si>
  <si>
    <t>ompR</t>
  </si>
  <si>
    <t>trxA</t>
  </si>
  <si>
    <t>rluA</t>
  </si>
  <si>
    <t>rluC</t>
  </si>
  <si>
    <t>rsuA</t>
  </si>
  <si>
    <t>qmcA</t>
  </si>
  <si>
    <t>yqjA</t>
  </si>
  <si>
    <t>clsB</t>
  </si>
  <si>
    <t>dsbE</t>
  </si>
  <si>
    <t>yeaY</t>
  </si>
  <si>
    <t>ypdA</t>
  </si>
  <si>
    <t>yagU</t>
  </si>
  <si>
    <t>ubiD</t>
  </si>
  <si>
    <t>galF</t>
  </si>
  <si>
    <t>uspD</t>
  </si>
  <si>
    <t>uspE</t>
  </si>
  <si>
    <t>ybhL</t>
  </si>
  <si>
    <t>iscA</t>
  </si>
  <si>
    <t>mtr</t>
  </si>
  <si>
    <t>sdaC</t>
  </si>
  <si>
    <t>cycA</t>
  </si>
  <si>
    <t>proY</t>
  </si>
  <si>
    <t>artP</t>
  </si>
  <si>
    <t>dppD</t>
  </si>
  <si>
    <t>mglA</t>
  </si>
  <si>
    <t>pstB</t>
  </si>
  <si>
    <t>sapD</t>
  </si>
  <si>
    <t>sapF</t>
  </si>
  <si>
    <t>ftsH</t>
  </si>
  <si>
    <t>fabF</t>
  </si>
  <si>
    <t>fabD</t>
  </si>
  <si>
    <t>ynfG</t>
  </si>
  <si>
    <t>fdnH</t>
  </si>
  <si>
    <t>fdoH</t>
  </si>
  <si>
    <t>hybA</t>
  </si>
  <si>
    <t>hybE</t>
  </si>
  <si>
    <t>hypB</t>
  </si>
  <si>
    <t>frmR</t>
  </si>
  <si>
    <t>yajD</t>
  </si>
  <si>
    <t>ybaA</t>
  </si>
  <si>
    <t>tomB</t>
  </si>
  <si>
    <t>ybaK</t>
  </si>
  <si>
    <t>ylaC</t>
  </si>
  <si>
    <t>ybbJ</t>
  </si>
  <si>
    <t>ybcJ</t>
  </si>
  <si>
    <t>ybdF</t>
  </si>
  <si>
    <t>ybdG</t>
  </si>
  <si>
    <t>ybeL</t>
  </si>
  <si>
    <t>ybfE</t>
  </si>
  <si>
    <t>ybgE</t>
  </si>
  <si>
    <t>ybgJ</t>
  </si>
  <si>
    <t>ybgS</t>
  </si>
  <si>
    <t>ybhP</t>
  </si>
  <si>
    <t>ybiS</t>
  </si>
  <si>
    <t>ybjN</t>
  </si>
  <si>
    <t>rarA</t>
  </si>
  <si>
    <t>ycaR</t>
  </si>
  <si>
    <t>elyC</t>
  </si>
  <si>
    <t>ycbJ</t>
  </si>
  <si>
    <t>ymbA</t>
  </si>
  <si>
    <t>yccF</t>
  </si>
  <si>
    <t>yccJ</t>
  </si>
  <si>
    <t>tusE</t>
  </si>
  <si>
    <t>hspQ</t>
  </si>
  <si>
    <t>efeO</t>
  </si>
  <si>
    <t>yceB</t>
  </si>
  <si>
    <t>yceD</t>
  </si>
  <si>
    <t>lpoB</t>
  </si>
  <si>
    <t>ycgL</t>
  </si>
  <si>
    <t>ymgD</t>
  </si>
  <si>
    <t>ychH</t>
  </si>
  <si>
    <t>ychN</t>
  </si>
  <si>
    <t>yciI</t>
  </si>
  <si>
    <t>lapB</t>
  </si>
  <si>
    <t>yciN</t>
  </si>
  <si>
    <t>yccX</t>
  </si>
  <si>
    <t>pntB</t>
  </si>
  <si>
    <t>fbaA</t>
  </si>
  <si>
    <t>kbl</t>
  </si>
  <si>
    <t>ilvE</t>
  </si>
  <si>
    <t>apbE</t>
  </si>
  <si>
    <t>purB</t>
  </si>
  <si>
    <t>aroG</t>
  </si>
  <si>
    <t>arsC</t>
  </si>
  <si>
    <t>atpB</t>
  </si>
  <si>
    <t>atpF</t>
  </si>
  <si>
    <t>atpH</t>
  </si>
  <si>
    <t>atpG</t>
  </si>
  <si>
    <t>atpA</t>
  </si>
  <si>
    <t>atpD</t>
  </si>
  <si>
    <t>mgtA</t>
  </si>
  <si>
    <t>hflC</t>
  </si>
  <si>
    <t>hflK</t>
  </si>
  <si>
    <t>bfr</t>
  </si>
  <si>
    <t>accA</t>
  </si>
  <si>
    <t>accB</t>
  </si>
  <si>
    <t>bolA</t>
  </si>
  <si>
    <t>cybB</t>
  </si>
  <si>
    <t>pcnB</t>
  </si>
  <si>
    <t>eutM</t>
  </si>
  <si>
    <t>cdd</t>
  </si>
  <si>
    <t>pgsA</t>
  </si>
  <si>
    <t>mrdB</t>
  </si>
  <si>
    <t>ftsA</t>
  </si>
  <si>
    <t>gltA</t>
  </si>
  <si>
    <t>clpA</t>
  </si>
  <si>
    <t>corA</t>
  </si>
  <si>
    <t>cyoB</t>
  </si>
  <si>
    <t>cyoA</t>
  </si>
  <si>
    <t>cyoC</t>
  </si>
  <si>
    <t>cydA</t>
  </si>
  <si>
    <t>cydB</t>
  </si>
  <si>
    <t>cysK</t>
  </si>
  <si>
    <t>nrfA</t>
  </si>
  <si>
    <t>nrfB</t>
  </si>
  <si>
    <t>napB</t>
  </si>
  <si>
    <t>napC</t>
  </si>
  <si>
    <t>dgkA</t>
  </si>
  <si>
    <t>dcuA</t>
  </si>
  <si>
    <t>dcuC</t>
  </si>
  <si>
    <t>dedA</t>
  </si>
  <si>
    <t>deoD</t>
  </si>
  <si>
    <t>coaBC</t>
  </si>
  <si>
    <t>garR</t>
  </si>
  <si>
    <t>folA</t>
  </si>
  <si>
    <t>dinI</t>
  </si>
  <si>
    <t>dksA</t>
  </si>
  <si>
    <t>dnaG</t>
  </si>
  <si>
    <t>holE</t>
  </si>
  <si>
    <t>dps</t>
  </si>
  <si>
    <t>menB</t>
  </si>
  <si>
    <t>ychF</t>
  </si>
  <si>
    <t>elbB</t>
  </si>
  <si>
    <t>exbB</t>
  </si>
  <si>
    <t>tolQ</t>
  </si>
  <si>
    <t>exbD</t>
  </si>
  <si>
    <t>tolR</t>
  </si>
  <si>
    <t>fliL</t>
  </si>
  <si>
    <t>fliG</t>
  </si>
  <si>
    <t>kdsC</t>
  </si>
  <si>
    <t>surA</t>
  </si>
  <si>
    <t>bamD</t>
  </si>
  <si>
    <t>fliP</t>
  </si>
  <si>
    <t>folP</t>
  </si>
  <si>
    <t>folB</t>
  </si>
  <si>
    <t>folX</t>
  </si>
  <si>
    <t>focA</t>
  </si>
  <si>
    <t>ftsX</t>
  </si>
  <si>
    <t>fumA</t>
  </si>
  <si>
    <t>aspA</t>
  </si>
  <si>
    <t>sdhA</t>
  </si>
  <si>
    <t>sdhD</t>
  </si>
  <si>
    <t>frdB</t>
  </si>
  <si>
    <t>zur</t>
  </si>
  <si>
    <t>zwf</t>
  </si>
  <si>
    <t>grxB</t>
  </si>
  <si>
    <t>grxC</t>
  </si>
  <si>
    <t>grxD</t>
  </si>
  <si>
    <t>ebgC</t>
  </si>
  <si>
    <t>waaA</t>
  </si>
  <si>
    <t>gloA</t>
  </si>
  <si>
    <t>gloB</t>
  </si>
  <si>
    <t>glgP</t>
  </si>
  <si>
    <t>gnsA</t>
  </si>
  <si>
    <t>satP</t>
  </si>
  <si>
    <t>yibF</t>
  </si>
  <si>
    <t>sspA</t>
  </si>
  <si>
    <t>gstB</t>
  </si>
  <si>
    <t>dnaB</t>
  </si>
  <si>
    <t>hemB</t>
  </si>
  <si>
    <t>hemY</t>
  </si>
  <si>
    <t>prmC</t>
  </si>
  <si>
    <t>erpA</t>
  </si>
  <si>
    <t>glmU</t>
  </si>
  <si>
    <t>iscU</t>
  </si>
  <si>
    <t>hyaB</t>
  </si>
  <si>
    <t>hybC</t>
  </si>
  <si>
    <t>hha</t>
  </si>
  <si>
    <t>hinT</t>
  </si>
  <si>
    <t>hupA</t>
  </si>
  <si>
    <t>hupB</t>
  </si>
  <si>
    <t>hns</t>
  </si>
  <si>
    <t>stpA</t>
  </si>
  <si>
    <t>hslR</t>
  </si>
  <si>
    <t>rob</t>
  </si>
  <si>
    <t>lrp</t>
  </si>
  <si>
    <t>crp</t>
  </si>
  <si>
    <t>agaR</t>
  </si>
  <si>
    <t>deoR</t>
  </si>
  <si>
    <t>fucR</t>
  </si>
  <si>
    <t>glpR</t>
  </si>
  <si>
    <t>exuR</t>
  </si>
  <si>
    <t>glcC</t>
  </si>
  <si>
    <t>pdhR</t>
  </si>
  <si>
    <t>yegW</t>
  </si>
  <si>
    <t>yihL</t>
  </si>
  <si>
    <t>allR</t>
  </si>
  <si>
    <t>cytR</t>
  </si>
  <si>
    <t>cra</t>
  </si>
  <si>
    <t>gntR</t>
  </si>
  <si>
    <t>purR</t>
  </si>
  <si>
    <t>oxyR</t>
  </si>
  <si>
    <t>yeiE</t>
  </si>
  <si>
    <t>mprA</t>
  </si>
  <si>
    <t>rpiR</t>
  </si>
  <si>
    <t>uidR</t>
  </si>
  <si>
    <t>ybiH</t>
  </si>
  <si>
    <t>rutR</t>
  </si>
  <si>
    <t>yjdC</t>
  </si>
  <si>
    <t>lpxL</t>
  </si>
  <si>
    <t>lapA</t>
  </si>
  <si>
    <t>mpaA</t>
  </si>
  <si>
    <t>ydcH</t>
  </si>
  <si>
    <t>ydhR</t>
  </si>
  <si>
    <t>ydhZ</t>
  </si>
  <si>
    <t>ydjA</t>
  </si>
  <si>
    <t>yeaG</t>
  </si>
  <si>
    <t>yebG</t>
  </si>
  <si>
    <t>evgA</t>
  </si>
  <si>
    <t>dcuR</t>
  </si>
  <si>
    <t>yecA</t>
  </si>
  <si>
    <t>yecJ</t>
  </si>
  <si>
    <t>yeeZ</t>
  </si>
  <si>
    <t>yejG</t>
  </si>
  <si>
    <t>yejL</t>
  </si>
  <si>
    <t>yejM</t>
  </si>
  <si>
    <t>yfcZ</t>
  </si>
  <si>
    <t>yfeC</t>
  </si>
  <si>
    <t>ypeB</t>
  </si>
  <si>
    <t>pgpC</t>
  </si>
  <si>
    <t>yfhG</t>
  </si>
  <si>
    <t>yphA</t>
  </si>
  <si>
    <t>raiA</t>
  </si>
  <si>
    <t>ispB</t>
  </si>
  <si>
    <t>ivy</t>
  </si>
  <si>
    <t>pykF</t>
  </si>
  <si>
    <t>livJ</t>
  </si>
  <si>
    <t>tesA</t>
  </si>
  <si>
    <t>nlpD</t>
  </si>
  <si>
    <t>yajG</t>
  </si>
  <si>
    <t>osmE</t>
  </si>
  <si>
    <t>lptE</t>
  </si>
  <si>
    <t>lolC</t>
  </si>
  <si>
    <t>lptG</t>
  </si>
  <si>
    <t>tamA</t>
  </si>
  <si>
    <t>ygaU</t>
  </si>
  <si>
    <t>ygfZ</t>
  </si>
  <si>
    <t>ilvN</t>
  </si>
  <si>
    <t>suhB</t>
  </si>
  <si>
    <t>guaB</t>
  </si>
  <si>
    <t>entB</t>
  </si>
  <si>
    <t>yecD</t>
  </si>
  <si>
    <t>yiaF</t>
  </si>
  <si>
    <t>yibL</t>
  </si>
  <si>
    <t>yidQ</t>
  </si>
  <si>
    <t>viaA</t>
  </si>
  <si>
    <t>yifE</t>
  </si>
  <si>
    <t>yifL</t>
  </si>
  <si>
    <t>yigB</t>
  </si>
  <si>
    <t>yigI</t>
  </si>
  <si>
    <t>ubiJ</t>
  </si>
  <si>
    <t>yihD</t>
  </si>
  <si>
    <t>yiiD</t>
  </si>
  <si>
    <t>ygaM</t>
  </si>
  <si>
    <t>rlmM</t>
  </si>
  <si>
    <t>ygdH</t>
  </si>
  <si>
    <t>zapA</t>
  </si>
  <si>
    <t>yggE</t>
  </si>
  <si>
    <t>yggN</t>
  </si>
  <si>
    <t>ygiB</t>
  </si>
  <si>
    <t>ygiC</t>
  </si>
  <si>
    <t>ygiM</t>
  </si>
  <si>
    <t>ygiN</t>
  </si>
  <si>
    <t>ygiW</t>
  </si>
  <si>
    <t>lptA</t>
  </si>
  <si>
    <t>yhbW</t>
  </si>
  <si>
    <t>mlaC</t>
  </si>
  <si>
    <t>lptC</t>
  </si>
  <si>
    <t>yhcB</t>
  </si>
  <si>
    <t>yhfA</t>
  </si>
  <si>
    <t>yhhA</t>
  </si>
  <si>
    <t>rsmD</t>
  </si>
  <si>
    <t>ppiD</t>
  </si>
  <si>
    <t>rplN</t>
  </si>
  <si>
    <t>rplP</t>
  </si>
  <si>
    <t>rplW</t>
  </si>
  <si>
    <t>rpsO</t>
  </si>
  <si>
    <t>yajC</t>
  </si>
  <si>
    <t>trmJ</t>
  </si>
  <si>
    <t>acrA</t>
  </si>
  <si>
    <t>ahpC</t>
  </si>
  <si>
    <t>amn</t>
  </si>
  <si>
    <t>ampE</t>
  </si>
  <si>
    <t>map</t>
  </si>
  <si>
    <t>aphA</t>
  </si>
  <si>
    <t>araH</t>
  </si>
  <si>
    <t>aroM</t>
  </si>
  <si>
    <t>artQ</t>
  </si>
  <si>
    <t>astA</t>
  </si>
  <si>
    <t>ypdB</t>
  </si>
  <si>
    <t>ytfL</t>
  </si>
  <si>
    <t>ytfP</t>
  </si>
  <si>
    <t>bcp</t>
  </si>
  <si>
    <t>cedA</t>
  </si>
  <si>
    <t>chaB</t>
  </si>
  <si>
    <t>cheY</t>
  </si>
  <si>
    <t>mazF</t>
  </si>
  <si>
    <t>mazE</t>
  </si>
  <si>
    <t>corC</t>
  </si>
  <si>
    <t>cpxA</t>
  </si>
  <si>
    <t>cpxP</t>
  </si>
  <si>
    <t>cpxR</t>
  </si>
  <si>
    <t>creA</t>
  </si>
  <si>
    <t>cysG</t>
  </si>
  <si>
    <t>dacA</t>
  </si>
  <si>
    <t>yoaB</t>
  </si>
  <si>
    <t>yoaE</t>
  </si>
  <si>
    <t>arcB</t>
  </si>
  <si>
    <t>barA</t>
  </si>
  <si>
    <t>dcuS</t>
  </si>
  <si>
    <t>uspA</t>
  </si>
  <si>
    <t>uvrY</t>
  </si>
  <si>
    <t>dapE</t>
  </si>
  <si>
    <t>dcrB</t>
  </si>
  <si>
    <t>degS</t>
  </si>
  <si>
    <t>mglB</t>
  </si>
  <si>
    <t>dnaC</t>
  </si>
  <si>
    <t>dppC</t>
  </si>
  <si>
    <t>dsbA</t>
  </si>
  <si>
    <t>dsbC</t>
  </si>
  <si>
    <t>rseP</t>
  </si>
  <si>
    <t>elaA</t>
  </si>
  <si>
    <t>elaB</t>
  </si>
  <si>
    <t>miaB</t>
  </si>
  <si>
    <t>rimO</t>
  </si>
  <si>
    <t>nudJ</t>
  </si>
  <si>
    <t>entC</t>
  </si>
  <si>
    <t>envZ</t>
  </si>
  <si>
    <t>eutB</t>
  </si>
  <si>
    <t>fabG</t>
  </si>
  <si>
    <t>fabI</t>
  </si>
  <si>
    <t>fdoI</t>
  </si>
  <si>
    <t>fepB</t>
  </si>
  <si>
    <t>flgM</t>
  </si>
  <si>
    <t>fliA</t>
  </si>
  <si>
    <t>fliY</t>
  </si>
  <si>
    <t>fre</t>
  </si>
  <si>
    <t>fucU</t>
  </si>
  <si>
    <t>galU</t>
  </si>
  <si>
    <t>gcl</t>
  </si>
  <si>
    <t>glcG</t>
  </si>
  <si>
    <t>glnH</t>
  </si>
  <si>
    <t>glnP</t>
  </si>
  <si>
    <t>glpF</t>
  </si>
  <si>
    <t>gltJ</t>
  </si>
  <si>
    <t>gss</t>
  </si>
  <si>
    <t>gudD</t>
  </si>
  <si>
    <t>gyrA</t>
  </si>
  <si>
    <t>gyrB</t>
  </si>
  <si>
    <t>hdeA</t>
  </si>
  <si>
    <t>hdeB</t>
  </si>
  <si>
    <t>hdeD</t>
  </si>
  <si>
    <t>hdhA</t>
  </si>
  <si>
    <t>hisJ</t>
  </si>
  <si>
    <t>skp</t>
  </si>
  <si>
    <t>rssB</t>
  </si>
  <si>
    <t>hycI</t>
  </si>
  <si>
    <t>cpdA</t>
  </si>
  <si>
    <t>gsk</t>
  </si>
  <si>
    <t>fruK</t>
  </si>
  <si>
    <t>prkB</t>
  </si>
  <si>
    <t>malE</t>
  </si>
  <si>
    <t>marC</t>
  </si>
  <si>
    <t>mazG</t>
  </si>
  <si>
    <t>mdaB</t>
  </si>
  <si>
    <t>minD</t>
  </si>
  <si>
    <t>moaB</t>
  </si>
  <si>
    <t>modB</t>
  </si>
  <si>
    <t>mog</t>
  </si>
  <si>
    <t>motB</t>
  </si>
  <si>
    <t>mrp</t>
  </si>
  <si>
    <t>mtnN</t>
  </si>
  <si>
    <t>nagA</t>
  </si>
  <si>
    <t>nagC</t>
  </si>
  <si>
    <t>nagD</t>
  </si>
  <si>
    <t>narJ</t>
  </si>
  <si>
    <t>narL</t>
  </si>
  <si>
    <t>zapB</t>
  </si>
  <si>
    <t>yjbQ</t>
  </si>
  <si>
    <t>yjbR</t>
  </si>
  <si>
    <t>yjcH</t>
  </si>
  <si>
    <t>yjcO</t>
  </si>
  <si>
    <t>yjdI</t>
  </si>
  <si>
    <t>nsrR</t>
  </si>
  <si>
    <t>tsaE</t>
  </si>
  <si>
    <t>yjeI</t>
  </si>
  <si>
    <t>rraB</t>
  </si>
  <si>
    <t>ridA</t>
  </si>
  <si>
    <t>tabA</t>
  </si>
  <si>
    <t>lptF</t>
  </si>
  <si>
    <t>narX</t>
  </si>
  <si>
    <t>nhaB</t>
  </si>
  <si>
    <t>nlpI</t>
  </si>
  <si>
    <t>glnL</t>
  </si>
  <si>
    <t>glnG</t>
  </si>
  <si>
    <t>nudB</t>
  </si>
  <si>
    <t>nuoA</t>
  </si>
  <si>
    <t>nuoB</t>
  </si>
  <si>
    <t>nuoE</t>
  </si>
  <si>
    <t>nuoH</t>
  </si>
  <si>
    <t>nuoI</t>
  </si>
  <si>
    <t>nuoJ</t>
  </si>
  <si>
    <t>nuoK</t>
  </si>
  <si>
    <t>nuoM</t>
  </si>
  <si>
    <t>nuoN</t>
  </si>
  <si>
    <t>nupC</t>
  </si>
  <si>
    <t>nusA</t>
  </si>
  <si>
    <t>nusG</t>
  </si>
  <si>
    <t>sucA</t>
  </si>
  <si>
    <t>sucB</t>
  </si>
  <si>
    <t>aceE</t>
  </si>
  <si>
    <t>oppB</t>
  </si>
  <si>
    <t>oppC</t>
  </si>
  <si>
    <t>osmY</t>
  </si>
  <si>
    <t>parC</t>
  </si>
  <si>
    <t>pdxH</t>
  </si>
  <si>
    <t>perM</t>
  </si>
  <si>
    <t>phnA</t>
  </si>
  <si>
    <t>phoB</t>
  </si>
  <si>
    <t>pitA</t>
  </si>
  <si>
    <t>pmbA</t>
  </si>
  <si>
    <t>pnuC</t>
  </si>
  <si>
    <t>potB</t>
  </si>
  <si>
    <t>potC</t>
  </si>
  <si>
    <t>potD</t>
  </si>
  <si>
    <t>ppiA</t>
  </si>
  <si>
    <t>ppx</t>
  </si>
  <si>
    <t>proX</t>
  </si>
  <si>
    <t>psiF</t>
  </si>
  <si>
    <t>pspA</t>
  </si>
  <si>
    <t>pspB</t>
  </si>
  <si>
    <t>pspC</t>
  </si>
  <si>
    <t>ybgI</t>
  </si>
  <si>
    <t>ycfH</t>
  </si>
  <si>
    <t>rssA</t>
  </si>
  <si>
    <t>dauA</t>
  </si>
  <si>
    <t>yciO</t>
  </si>
  <si>
    <t>folM</t>
  </si>
  <si>
    <t>ydiK</t>
  </si>
  <si>
    <t>yecS</t>
  </si>
  <si>
    <t>yehT</t>
  </si>
  <si>
    <t>yejB</t>
  </si>
  <si>
    <t>glrR</t>
  </si>
  <si>
    <t>ribC</t>
  </si>
  <si>
    <t>rfaH</t>
  </si>
  <si>
    <t>rmf</t>
  </si>
  <si>
    <t>rnk</t>
  </si>
  <si>
    <t>rof</t>
  </si>
  <si>
    <t>hpf</t>
  </si>
  <si>
    <t>rsd</t>
  </si>
  <si>
    <t>rseB</t>
  </si>
  <si>
    <t>sanA</t>
  </si>
  <si>
    <t>seqA</t>
  </si>
  <si>
    <t>sseB</t>
  </si>
  <si>
    <t>sspB</t>
  </si>
  <si>
    <t>wzzE</t>
  </si>
  <si>
    <t>ubiX</t>
  </si>
  <si>
    <t>rpe</t>
  </si>
  <si>
    <t>sohB</t>
  </si>
  <si>
    <t>purF</t>
  </si>
  <si>
    <t>purE</t>
  </si>
  <si>
    <t>relA</t>
  </si>
  <si>
    <t>yibN</t>
  </si>
  <si>
    <t>rho</t>
  </si>
  <si>
    <t>ribF</t>
  </si>
  <si>
    <t>rplQ</t>
  </si>
  <si>
    <t>rplU</t>
  </si>
  <si>
    <t>rpmD</t>
  </si>
  <si>
    <t>rplF</t>
  </si>
  <si>
    <t>rpsN</t>
  </si>
  <si>
    <t>rpsQ</t>
  </si>
  <si>
    <t>rpsA</t>
  </si>
  <si>
    <t>rmuC</t>
  </si>
  <si>
    <t>sbp</t>
  </si>
  <si>
    <t>ugpB</t>
  </si>
  <si>
    <t>pstS</t>
  </si>
  <si>
    <t>yghA</t>
  </si>
  <si>
    <t>secB</t>
  </si>
  <si>
    <t>secD</t>
  </si>
  <si>
    <t>secF</t>
  </si>
  <si>
    <t>secE</t>
  </si>
  <si>
    <t>secG</t>
  </si>
  <si>
    <t>secY</t>
  </si>
  <si>
    <t>uhpA</t>
  </si>
  <si>
    <t>serB</t>
  </si>
  <si>
    <t>rpoE</t>
  </si>
  <si>
    <t>slt</t>
  </si>
  <si>
    <t>sodC</t>
  </si>
  <si>
    <t>sodB</t>
  </si>
  <si>
    <t>ffh</t>
  </si>
  <si>
    <t>ssb</t>
  </si>
  <si>
    <t>chrR</t>
  </si>
  <si>
    <t>sucD</t>
  </si>
  <si>
    <t>csdE</t>
  </si>
  <si>
    <t>tesB</t>
  </si>
  <si>
    <t>trxC</t>
  </si>
  <si>
    <t>tldD</t>
  </si>
  <si>
    <t>rbsC</t>
  </si>
  <si>
    <t>trkA</t>
  </si>
  <si>
    <t>trmH</t>
  </si>
  <si>
    <t>yfiF</t>
  </si>
  <si>
    <t>trmL</t>
  </si>
  <si>
    <t>tyrS</t>
  </si>
  <si>
    <t>yhbY</t>
  </si>
  <si>
    <t>iscR</t>
  </si>
  <si>
    <t>tdcF</t>
  </si>
  <si>
    <t>ratA</t>
  </si>
  <si>
    <t>rsmE</t>
  </si>
  <si>
    <t>rplR</t>
  </si>
  <si>
    <t>yaiE</t>
  </si>
  <si>
    <t>ibpA</t>
  </si>
  <si>
    <t>relE</t>
  </si>
  <si>
    <t>relB</t>
  </si>
  <si>
    <t>slmA</t>
  </si>
  <si>
    <t>srkA</t>
  </si>
  <si>
    <t>osmC</t>
  </si>
  <si>
    <t>proP</t>
  </si>
  <si>
    <t>mscS</t>
  </si>
  <si>
    <t>mepA</t>
  </si>
  <si>
    <t>rimK</t>
  </si>
  <si>
    <t>degP</t>
  </si>
  <si>
    <t>gatY</t>
  </si>
  <si>
    <t>gatZ</t>
  </si>
  <si>
    <t>eptC</t>
  </si>
  <si>
    <t>tufA</t>
  </si>
  <si>
    <t>tufB</t>
  </si>
  <si>
    <t>yghJ</t>
  </si>
  <si>
    <t>crfC</t>
  </si>
  <si>
    <t>rcsC</t>
  </si>
  <si>
    <t>rcsB</t>
  </si>
  <si>
    <t>rlpA</t>
  </si>
  <si>
    <t>ftsY</t>
  </si>
  <si>
    <t>glnQ</t>
  </si>
  <si>
    <t>hisA</t>
  </si>
  <si>
    <t>entE</t>
  </si>
  <si>
    <t>fadL</t>
  </si>
  <si>
    <t>secA</t>
  </si>
  <si>
    <t>lpxB</t>
  </si>
  <si>
    <t>dnaE</t>
  </si>
  <si>
    <t>nadB</t>
  </si>
  <si>
    <t>ugpC</t>
  </si>
  <si>
    <t>ugpQ</t>
  </si>
  <si>
    <t>aceK</t>
  </si>
  <si>
    <t>yfiL</t>
  </si>
  <si>
    <t>narH</t>
  </si>
  <si>
    <t>argH</t>
  </si>
  <si>
    <t>entF</t>
  </si>
  <si>
    <t>damX</t>
  </si>
  <si>
    <t>argS</t>
  </si>
  <si>
    <t>murF</t>
  </si>
  <si>
    <t>aroC</t>
  </si>
  <si>
    <t>moeA</t>
  </si>
  <si>
    <t>moeB</t>
  </si>
  <si>
    <t>ung</t>
  </si>
  <si>
    <t>udp</t>
  </si>
  <si>
    <t>ybhB</t>
  </si>
  <si>
    <t>bioH</t>
  </si>
  <si>
    <t>metH</t>
  </si>
  <si>
    <t>ampD</t>
  </si>
  <si>
    <t>fdhE</t>
  </si>
  <si>
    <t>katG</t>
  </si>
  <si>
    <t>glpD</t>
  </si>
  <si>
    <t>fecA</t>
  </si>
  <si>
    <t>rpoS</t>
  </si>
  <si>
    <t>sbcC</t>
  </si>
  <si>
    <t>treA</t>
  </si>
  <si>
    <t>csrD</t>
  </si>
  <si>
    <t>chiA</t>
  </si>
  <si>
    <t>nhaA</t>
  </si>
  <si>
    <t>rimL</t>
  </si>
  <si>
    <t>selB</t>
  </si>
  <si>
    <t>topB</t>
  </si>
  <si>
    <t>zraR</t>
  </si>
  <si>
    <t>fumB</t>
  </si>
  <si>
    <t>murD</t>
  </si>
  <si>
    <t>fecB</t>
  </si>
  <si>
    <t>recE</t>
  </si>
  <si>
    <t>pepP</t>
  </si>
  <si>
    <t>helD</t>
  </si>
  <si>
    <t>ligA</t>
  </si>
  <si>
    <t>entA</t>
  </si>
  <si>
    <t>glgX</t>
  </si>
  <si>
    <t>fliN</t>
  </si>
  <si>
    <t>cstA</t>
  </si>
  <si>
    <t>srlR</t>
  </si>
  <si>
    <t>purL</t>
  </si>
  <si>
    <t>flk</t>
  </si>
  <si>
    <t>pepD</t>
  </si>
  <si>
    <t>prlF</t>
  </si>
  <si>
    <t>purH</t>
  </si>
  <si>
    <t>purD</t>
  </si>
  <si>
    <t>dgt</t>
  </si>
  <si>
    <t>aroE</t>
  </si>
  <si>
    <t>gcd</t>
  </si>
  <si>
    <t>malQ</t>
  </si>
  <si>
    <t>sdaA</t>
  </si>
  <si>
    <t>panF</t>
  </si>
  <si>
    <t>miaA</t>
  </si>
  <si>
    <t>selD</t>
  </si>
  <si>
    <t>tus</t>
  </si>
  <si>
    <t>iclR</t>
  </si>
  <si>
    <t>proS</t>
  </si>
  <si>
    <t>cysA</t>
  </si>
  <si>
    <t>phnC</t>
  </si>
  <si>
    <t>phnB</t>
  </si>
  <si>
    <t>phnP</t>
  </si>
  <si>
    <t>cysP</t>
  </si>
  <si>
    <t>cysM</t>
  </si>
  <si>
    <t>mreC</t>
  </si>
  <si>
    <t>menD</t>
  </si>
  <si>
    <t>gutQ</t>
  </si>
  <si>
    <t>nfsA</t>
  </si>
  <si>
    <t>glmS</t>
  </si>
  <si>
    <t>cirA</t>
  </si>
  <si>
    <t>murG</t>
  </si>
  <si>
    <t>betB</t>
  </si>
  <si>
    <t>cysI</t>
  </si>
  <si>
    <t>cysH</t>
  </si>
  <si>
    <t>murC</t>
  </si>
  <si>
    <t>ubiG</t>
  </si>
  <si>
    <t>minC</t>
  </si>
  <si>
    <t>argD</t>
  </si>
  <si>
    <t>rstB</t>
  </si>
  <si>
    <t>dmsA</t>
  </si>
  <si>
    <t>dmsB</t>
  </si>
  <si>
    <t>nadE</t>
  </si>
  <si>
    <t>ggt</t>
  </si>
  <si>
    <t>narY</t>
  </si>
  <si>
    <t>narZ</t>
  </si>
  <si>
    <t>pdxA</t>
  </si>
  <si>
    <t>eutC</t>
  </si>
  <si>
    <t>agp</t>
  </si>
  <si>
    <t>tolA</t>
  </si>
  <si>
    <t>parE</t>
  </si>
  <si>
    <t>bisC</t>
  </si>
  <si>
    <t>fic</t>
  </si>
  <si>
    <t>fruA</t>
  </si>
  <si>
    <t>fadA</t>
  </si>
  <si>
    <t>cysD</t>
  </si>
  <si>
    <t>pepQ</t>
  </si>
  <si>
    <t>speC</t>
  </si>
  <si>
    <t>speA</t>
  </si>
  <si>
    <t>fadB</t>
  </si>
  <si>
    <t>katE</t>
  </si>
  <si>
    <t>polB</t>
  </si>
  <si>
    <t>rna</t>
  </si>
  <si>
    <t>yciF</t>
  </si>
  <si>
    <t>yciE</t>
  </si>
  <si>
    <t>yciC</t>
  </si>
  <si>
    <t>ycaC</t>
  </si>
  <si>
    <t>pncA</t>
  </si>
  <si>
    <t>rnr</t>
  </si>
  <si>
    <t>srmB</t>
  </si>
  <si>
    <t>rne</t>
  </si>
  <si>
    <t>pykA</t>
  </si>
  <si>
    <t>lpxD</t>
  </si>
  <si>
    <t>kdpD</t>
  </si>
  <si>
    <t>kdpE</t>
  </si>
  <si>
    <t>cysS</t>
  </si>
  <si>
    <t>aspS</t>
  </si>
  <si>
    <t>asnB</t>
  </si>
  <si>
    <t>mraZ</t>
  </si>
  <si>
    <t>murE</t>
  </si>
  <si>
    <t>cysQ</t>
  </si>
  <si>
    <t>gabT</t>
  </si>
  <si>
    <t>pckA</t>
  </si>
  <si>
    <t>add</t>
  </si>
  <si>
    <t>mukB</t>
  </si>
  <si>
    <t>mukE</t>
  </si>
  <si>
    <t>ycbB</t>
  </si>
  <si>
    <t>rihC</t>
  </si>
  <si>
    <t>murI</t>
  </si>
  <si>
    <t>ispA</t>
  </si>
  <si>
    <t>trmA</t>
  </si>
  <si>
    <t>tnaB</t>
  </si>
  <si>
    <t>mglC</t>
  </si>
  <si>
    <t>malY</t>
  </si>
  <si>
    <t>tdk</t>
  </si>
  <si>
    <t>mutL</t>
  </si>
  <si>
    <t>garL</t>
  </si>
  <si>
    <t>garK</t>
  </si>
  <si>
    <t>ppsA</t>
  </si>
  <si>
    <t>serC</t>
  </si>
  <si>
    <t>eco</t>
  </si>
  <si>
    <t>pssA</t>
  </si>
  <si>
    <t>phoP</t>
  </si>
  <si>
    <t>phoQ</t>
  </si>
  <si>
    <t>yicC</t>
  </si>
  <si>
    <t>oppA</t>
  </si>
  <si>
    <t>cysN</t>
  </si>
  <si>
    <t>dppA</t>
  </si>
  <si>
    <t>trkG</t>
  </si>
  <si>
    <t>pspE</t>
  </si>
  <si>
    <t>priC</t>
  </si>
  <si>
    <t>prc</t>
  </si>
  <si>
    <t>ppiB</t>
  </si>
  <si>
    <t>hemH</t>
  </si>
  <si>
    <t>fmt</t>
  </si>
  <si>
    <t>cydC</t>
  </si>
  <si>
    <t>hemL</t>
  </si>
  <si>
    <t>htpX</t>
  </si>
  <si>
    <t>argE</t>
  </si>
  <si>
    <t>mutS</t>
  </si>
  <si>
    <t>mak</t>
  </si>
  <si>
    <t>lnt</t>
  </si>
  <si>
    <t>dcp</t>
  </si>
  <si>
    <t>rfaC</t>
  </si>
  <si>
    <t>yffB</t>
  </si>
  <si>
    <t>accC</t>
  </si>
  <si>
    <t>fdnG</t>
  </si>
  <si>
    <t>folD</t>
  </si>
  <si>
    <t>hypE</t>
  </si>
  <si>
    <t>mrr</t>
  </si>
  <si>
    <t>yjiA</t>
  </si>
  <si>
    <t>lpxM</t>
  </si>
  <si>
    <t>uxuA</t>
  </si>
  <si>
    <t>fliD</t>
  </si>
  <si>
    <t>acpS</t>
  </si>
  <si>
    <t>dacB</t>
  </si>
  <si>
    <t>hmp</t>
  </si>
  <si>
    <t>ascG</t>
  </si>
  <si>
    <t>crl</t>
  </si>
  <si>
    <t>ybgA</t>
  </si>
  <si>
    <t>rpoN</t>
  </si>
  <si>
    <t>radA</t>
  </si>
  <si>
    <t>ptrB</t>
  </si>
  <si>
    <t>tehB</t>
  </si>
  <si>
    <t>frmA</t>
  </si>
  <si>
    <t>acnA</t>
  </si>
  <si>
    <t>hflX</t>
  </si>
  <si>
    <t>mnmE</t>
  </si>
  <si>
    <t>codA</t>
  </si>
  <si>
    <t>gabD</t>
  </si>
  <si>
    <t>ubiI</t>
  </si>
  <si>
    <t>yhdE</t>
  </si>
  <si>
    <t>ribD</t>
  </si>
  <si>
    <t>gppA</t>
  </si>
  <si>
    <t>aldA</t>
  </si>
  <si>
    <t>metE</t>
  </si>
  <si>
    <t>yidC</t>
  </si>
  <si>
    <t>malS</t>
  </si>
  <si>
    <t>rfaG</t>
  </si>
  <si>
    <t>rfaP</t>
  </si>
  <si>
    <t>rfaQ</t>
  </si>
  <si>
    <t>mnmA</t>
  </si>
  <si>
    <t>hflD</t>
  </si>
  <si>
    <t>galS</t>
  </si>
  <si>
    <t>fliF</t>
  </si>
  <si>
    <t>preA</t>
  </si>
  <si>
    <t>loiP</t>
  </si>
  <si>
    <t>ydbC</t>
  </si>
  <si>
    <t>folK</t>
  </si>
  <si>
    <t>amyA</t>
  </si>
  <si>
    <t>maeA</t>
  </si>
  <si>
    <t>acuI</t>
  </si>
  <si>
    <t>ftsP</t>
  </si>
  <si>
    <t>glgS</t>
  </si>
  <si>
    <t>cynR</t>
  </si>
  <si>
    <t>rfaI</t>
  </si>
  <si>
    <t>yfeD</t>
  </si>
  <si>
    <t>rfaY</t>
  </si>
  <si>
    <t>plsX</t>
  </si>
  <si>
    <t>gcvT</t>
  </si>
  <si>
    <t>glnD</t>
  </si>
  <si>
    <t>ahr</t>
  </si>
  <si>
    <t>nadR</t>
  </si>
  <si>
    <t>prlC</t>
  </si>
  <si>
    <t>tktA</t>
  </si>
  <si>
    <t>emrA</t>
  </si>
  <si>
    <t>sthA</t>
  </si>
  <si>
    <t>roxA</t>
  </si>
  <si>
    <t>rodZ</t>
  </si>
  <si>
    <t>acs</t>
  </si>
  <si>
    <t>wecB</t>
  </si>
  <si>
    <t>wecC</t>
  </si>
  <si>
    <t>rffG</t>
  </si>
  <si>
    <t>wecD</t>
  </si>
  <si>
    <t>wecG</t>
  </si>
  <si>
    <t>yifK</t>
  </si>
  <si>
    <t>cyaY</t>
  </si>
  <si>
    <t>yigL</t>
  </si>
  <si>
    <t>tatD</t>
  </si>
  <si>
    <t>yigZ</t>
  </si>
  <si>
    <t>mliC</t>
  </si>
  <si>
    <t>dcd</t>
  </si>
  <si>
    <t>asmA</t>
  </si>
  <si>
    <t>qorA</t>
  </si>
  <si>
    <t>pabC</t>
  </si>
  <si>
    <t>mltG</t>
  </si>
  <si>
    <t>adiA</t>
  </si>
  <si>
    <t>holA</t>
  </si>
  <si>
    <t>trmO</t>
  </si>
  <si>
    <t>metQ</t>
  </si>
  <si>
    <t>fpr</t>
  </si>
  <si>
    <t>nrdD</t>
  </si>
  <si>
    <t>treC</t>
  </si>
  <si>
    <t>holC</t>
  </si>
  <si>
    <t>dadX</t>
  </si>
  <si>
    <t>ycgB</t>
  </si>
  <si>
    <t>cydD</t>
  </si>
  <si>
    <t>ftsN</t>
  </si>
  <si>
    <t>menC</t>
  </si>
  <si>
    <t>yceH</t>
  </si>
  <si>
    <t>hemE</t>
  </si>
  <si>
    <t>pepT</t>
  </si>
  <si>
    <t>nadC</t>
  </si>
  <si>
    <t>rnt</t>
  </si>
  <si>
    <t>leuB</t>
  </si>
  <si>
    <t>leuD</t>
  </si>
  <si>
    <t>greB</t>
  </si>
  <si>
    <t>thiC</t>
  </si>
  <si>
    <t>hyi</t>
  </si>
  <si>
    <t>ybiB</t>
  </si>
  <si>
    <t>sdaB</t>
  </si>
  <si>
    <t>moaE</t>
  </si>
  <si>
    <t>metN</t>
  </si>
  <si>
    <t>baeS</t>
  </si>
  <si>
    <t>rnb</t>
  </si>
  <si>
    <t>artI</t>
  </si>
  <si>
    <t>artJ</t>
  </si>
  <si>
    <t>dkgB</t>
  </si>
  <si>
    <t>yafC</t>
  </si>
  <si>
    <t>glnE</t>
  </si>
  <si>
    <t>ygiF</t>
  </si>
  <si>
    <t>mfd</t>
  </si>
  <si>
    <t>panB</t>
  </si>
  <si>
    <t>modF</t>
  </si>
  <si>
    <t>yedD</t>
  </si>
  <si>
    <t>yedE</t>
  </si>
  <si>
    <t>fliH</t>
  </si>
  <si>
    <t>kch</t>
  </si>
  <si>
    <t>aas</t>
  </si>
  <si>
    <t>glmM</t>
  </si>
  <si>
    <t>ydeI</t>
  </si>
  <si>
    <t>ydeJ</t>
  </si>
  <si>
    <t>potF</t>
  </si>
  <si>
    <t>sseA</t>
  </si>
  <si>
    <t>acrB</t>
  </si>
  <si>
    <t>yicH</t>
  </si>
  <si>
    <t>ade</t>
  </si>
  <si>
    <t>yidR</t>
  </si>
  <si>
    <t>dgoR</t>
  </si>
  <si>
    <t>ravA</t>
  </si>
  <si>
    <t>yieP</t>
  </si>
  <si>
    <t>efeB</t>
  </si>
  <si>
    <t>thiB</t>
  </si>
  <si>
    <t>lptD</t>
  </si>
  <si>
    <t>hchA</t>
  </si>
  <si>
    <t>prpC</t>
  </si>
  <si>
    <t>panC</t>
  </si>
  <si>
    <t>otsA</t>
  </si>
  <si>
    <t>otsB</t>
  </si>
  <si>
    <t>fimC</t>
  </si>
  <si>
    <t>narP</t>
  </si>
  <si>
    <t>nnr</t>
  </si>
  <si>
    <t>yciK</t>
  </si>
  <si>
    <t>pqqL</t>
  </si>
  <si>
    <t>nuoF</t>
  </si>
  <si>
    <t>lplA</t>
  </si>
  <si>
    <t>hemN</t>
  </si>
  <si>
    <t>typA</t>
  </si>
  <si>
    <t>yihQ</t>
  </si>
  <si>
    <t>yihT</t>
  </si>
  <si>
    <t>yihW</t>
  </si>
  <si>
    <t>yiiM</t>
  </si>
  <si>
    <t>yiiQ</t>
  </si>
  <si>
    <t>yiiS</t>
  </si>
  <si>
    <t>menA</t>
  </si>
  <si>
    <t>mobA</t>
  </si>
  <si>
    <t>fdoG</t>
  </si>
  <si>
    <t>fdhD</t>
  </si>
  <si>
    <t>gph</t>
  </si>
  <si>
    <t>nudC</t>
  </si>
  <si>
    <t>fsaB</t>
  </si>
  <si>
    <t>ptsA</t>
  </si>
  <si>
    <t>pflC</t>
  </si>
  <si>
    <t>yjaG</t>
  </si>
  <si>
    <t>rluF</t>
  </si>
  <si>
    <t>yjbD</t>
  </si>
  <si>
    <t>dusA</t>
  </si>
  <si>
    <t>yjcE</t>
  </si>
  <si>
    <t>actP</t>
  </si>
  <si>
    <t>mdtO</t>
  </si>
  <si>
    <t>alsK</t>
  </si>
  <si>
    <t>alsE</t>
  </si>
  <si>
    <t>sbmC</t>
  </si>
  <si>
    <t>yeiG</t>
  </si>
  <si>
    <t>rihB</t>
  </si>
  <si>
    <t>psuG</t>
  </si>
  <si>
    <t>yeiR</t>
  </si>
  <si>
    <t>mdoG</t>
  </si>
  <si>
    <t>gcvP</t>
  </si>
  <si>
    <t>yebE</t>
  </si>
  <si>
    <t>yebF</t>
  </si>
  <si>
    <t>purT</t>
  </si>
  <si>
    <t>aidB</t>
  </si>
  <si>
    <t>torA</t>
  </si>
  <si>
    <t>lldD</t>
  </si>
  <si>
    <t>flgK</t>
  </si>
  <si>
    <t>yehS</t>
  </si>
  <si>
    <t>yehX</t>
  </si>
  <si>
    <t>yehZ</t>
  </si>
  <si>
    <t>bglX</t>
  </si>
  <si>
    <t>yohF</t>
  </si>
  <si>
    <t>dusC</t>
  </si>
  <si>
    <t>tktB</t>
  </si>
  <si>
    <t>nikA</t>
  </si>
  <si>
    <t>recX</t>
  </si>
  <si>
    <t>nuoC</t>
  </si>
  <si>
    <t>nuoG</t>
  </si>
  <si>
    <t>nuoL</t>
  </si>
  <si>
    <t>rluD</t>
  </si>
  <si>
    <t>yfiH</t>
  </si>
  <si>
    <t>yejA</t>
  </si>
  <si>
    <t>yejF</t>
  </si>
  <si>
    <t>yejK</t>
  </si>
  <si>
    <t>ccmF</t>
  </si>
  <si>
    <t>napA</t>
  </si>
  <si>
    <t>ydcF</t>
  </si>
  <si>
    <t>ahpF</t>
  </si>
  <si>
    <t>hemF</t>
  </si>
  <si>
    <t>cobT</t>
  </si>
  <si>
    <t>cueO</t>
  </si>
  <si>
    <t>dsbD</t>
  </si>
  <si>
    <t>cbpA</t>
  </si>
  <si>
    <t>treB</t>
  </si>
  <si>
    <t>treR</t>
  </si>
  <si>
    <t>zapD</t>
  </si>
  <si>
    <t>acnB</t>
  </si>
  <si>
    <t>rdgC</t>
  </si>
  <si>
    <t>lrhA</t>
  </si>
  <si>
    <t>dtpB</t>
  </si>
  <si>
    <t>yadG</t>
  </si>
  <si>
    <t>rsmB</t>
  </si>
  <si>
    <t>pgm</t>
  </si>
  <si>
    <t>rlmN</t>
  </si>
  <si>
    <t>rlmA</t>
  </si>
  <si>
    <t>lasT</t>
  </si>
  <si>
    <t>thpR</t>
  </si>
  <si>
    <t>btuF</t>
  </si>
  <si>
    <t>purU</t>
  </si>
  <si>
    <t>ychJ</t>
  </si>
  <si>
    <t>pepB</t>
  </si>
  <si>
    <t>nudK</t>
  </si>
  <si>
    <t>fxsA</t>
  </si>
  <si>
    <t>hybB</t>
  </si>
  <si>
    <t>hybD</t>
  </si>
  <si>
    <t>gatB</t>
  </si>
  <si>
    <t>slp</t>
  </si>
  <si>
    <t>dctR</t>
  </si>
  <si>
    <t>yhjA</t>
  </si>
  <si>
    <t>dppF</t>
  </si>
  <si>
    <t>ybcH</t>
  </si>
  <si>
    <t>yfdC</t>
  </si>
  <si>
    <t>modA</t>
  </si>
  <si>
    <t>glcB</t>
  </si>
  <si>
    <t>lhgO</t>
  </si>
  <si>
    <t>mdtK</t>
  </si>
  <si>
    <t>yjjI</t>
  </si>
  <si>
    <t>dhaM</t>
  </si>
  <si>
    <t>rpiB</t>
  </si>
  <si>
    <t>menE</t>
  </si>
  <si>
    <t>xylF</t>
  </si>
  <si>
    <t>ucpA</t>
  </si>
  <si>
    <t>pmrD</t>
  </si>
  <si>
    <t>iaaA</t>
  </si>
  <si>
    <t>panM</t>
  </si>
  <si>
    <t>yhhL</t>
  </si>
  <si>
    <t>yhhM</t>
  </si>
  <si>
    <t>zntA</t>
  </si>
  <si>
    <t>rbbA</t>
  </si>
  <si>
    <t>yhiI</t>
  </si>
  <si>
    <t>yhiN</t>
  </si>
  <si>
    <t>rlmJ</t>
  </si>
  <si>
    <t>mdtE</t>
  </si>
  <si>
    <t>mdtF</t>
  </si>
  <si>
    <t>yhjC</t>
  </si>
  <si>
    <t>yhjD</t>
  </si>
  <si>
    <t>yhjG</t>
  </si>
  <si>
    <t>kdgK</t>
  </si>
  <si>
    <t>yhjJ</t>
  </si>
  <si>
    <t>yhjK</t>
  </si>
  <si>
    <t>bcsZ</t>
  </si>
  <si>
    <t>bcsB</t>
  </si>
  <si>
    <t>bcsG</t>
  </si>
  <si>
    <t>eptB</t>
  </si>
  <si>
    <t>ghrB</t>
  </si>
  <si>
    <t>dlgD</t>
  </si>
  <si>
    <t>yiaO</t>
  </si>
  <si>
    <t>aldB</t>
  </si>
  <si>
    <t>gpmI</t>
  </si>
  <si>
    <t>envC</t>
  </si>
  <si>
    <t>yibQ</t>
  </si>
  <si>
    <t>rfaF</t>
  </si>
  <si>
    <t>rfbA</t>
  </si>
  <si>
    <t>rfbC</t>
  </si>
  <si>
    <t>glf</t>
  </si>
  <si>
    <t>wbbI</t>
  </si>
  <si>
    <t>wbbJ</t>
  </si>
  <si>
    <t>wbbK</t>
  </si>
  <si>
    <t>yddE</t>
  </si>
  <si>
    <t>rfbB</t>
  </si>
  <si>
    <t>rfbD</t>
  </si>
  <si>
    <t>rluB</t>
  </si>
  <si>
    <t>yfhH</t>
  </si>
  <si>
    <t>kduD</t>
  </si>
  <si>
    <t>mpl</t>
  </si>
  <si>
    <t>yecC</t>
  </si>
  <si>
    <t>chbG</t>
  </si>
  <si>
    <t>gltI</t>
  </si>
  <si>
    <t>uspF</t>
  </si>
  <si>
    <t>cysJ</t>
  </si>
  <si>
    <t>menF</t>
  </si>
  <si>
    <t>yegE</t>
  </si>
  <si>
    <t>rspA</t>
  </si>
  <si>
    <t>sieB</t>
  </si>
  <si>
    <t>nfsB</t>
  </si>
  <si>
    <t>yggL</t>
  </si>
  <si>
    <t>degQ</t>
  </si>
  <si>
    <t>uxuB</t>
  </si>
  <si>
    <t>uxuR</t>
  </si>
  <si>
    <t>znuA</t>
  </si>
  <si>
    <t>yeaD</t>
  </si>
  <si>
    <t>erfK</t>
  </si>
  <si>
    <t>uspG</t>
  </si>
  <si>
    <t>flu</t>
  </si>
  <si>
    <t>ytfJ</t>
  </si>
  <si>
    <t>lplT</t>
  </si>
  <si>
    <t>prmB</t>
  </si>
  <si>
    <t>alsB</t>
  </si>
  <si>
    <t>yjcZ</t>
  </si>
  <si>
    <t>yjdJ</t>
  </si>
  <si>
    <t>mscM</t>
  </si>
  <si>
    <t>rsgA</t>
  </si>
  <si>
    <t>bsmA</t>
  </si>
  <si>
    <t>yjfP</t>
  </si>
  <si>
    <t>ytfB</t>
  </si>
  <si>
    <t>qorB</t>
  </si>
  <si>
    <t>tamB</t>
  </si>
  <si>
    <t>ytfQ</t>
  </si>
  <si>
    <t>yjgH</t>
  </si>
  <si>
    <t>yjgM</t>
  </si>
  <si>
    <t>yjgR</t>
  </si>
  <si>
    <t>idnD</t>
  </si>
  <si>
    <t>yjhU</t>
  </si>
  <si>
    <t>yjhG</t>
  </si>
  <si>
    <t>sgcA</t>
  </si>
  <si>
    <t>sgcC</t>
  </si>
  <si>
    <t>sgcX</t>
  </si>
  <si>
    <t>nanM</t>
  </si>
  <si>
    <t>iadA</t>
  </si>
  <si>
    <t>yjiL</t>
  </si>
  <si>
    <t>yjiM</t>
  </si>
  <si>
    <t>yjiN</t>
  </si>
  <si>
    <t>yjiY</t>
  </si>
  <si>
    <t>mdoB</t>
  </si>
  <si>
    <t>fhuF</t>
  </si>
  <si>
    <t>rsmC</t>
  </si>
  <si>
    <t>yjjU</t>
  </si>
  <si>
    <t>yjjV</t>
  </si>
  <si>
    <t>yjjX</t>
  </si>
  <si>
    <t>adhP</t>
  </si>
  <si>
    <t>garD</t>
  </si>
  <si>
    <t>ybaL</t>
  </si>
  <si>
    <t>ydfG</t>
  </si>
  <si>
    <t>gntT</t>
  </si>
  <si>
    <t>rcsD</t>
  </si>
  <si>
    <t>mdoD</t>
  </si>
  <si>
    <t>pdxK</t>
  </si>
  <si>
    <t>nlpE</t>
  </si>
  <si>
    <t>solA</t>
  </si>
  <si>
    <t>ybiI</t>
  </si>
  <si>
    <t>azoR</t>
  </si>
  <si>
    <t>rihA</t>
  </si>
  <si>
    <t>patA</t>
  </si>
  <si>
    <t>ygjH</t>
  </si>
  <si>
    <t>ygjK</t>
  </si>
  <si>
    <t>fadH</t>
  </si>
  <si>
    <t>rlmG</t>
  </si>
  <si>
    <t>ygjR</t>
  </si>
  <si>
    <t>uxaA</t>
  </si>
  <si>
    <t>yqjC</t>
  </si>
  <si>
    <t>yqjF</t>
  </si>
  <si>
    <t>yqjG</t>
  </si>
  <si>
    <t>yhaK</t>
  </si>
  <si>
    <t>dlsT</t>
  </si>
  <si>
    <t>tdcE</t>
  </si>
  <si>
    <t>obgE</t>
  </si>
  <si>
    <t>agaV</t>
  </si>
  <si>
    <t>hrpA</t>
  </si>
  <si>
    <t>nudL</t>
  </si>
  <si>
    <t>ycaK</t>
  </si>
  <si>
    <t>lpxH</t>
  </si>
  <si>
    <t>pqiB</t>
  </si>
  <si>
    <t>uup</t>
  </si>
  <si>
    <t>kdsD</t>
  </si>
  <si>
    <t>yhcH</t>
  </si>
  <si>
    <t>nanK</t>
  </si>
  <si>
    <t>lpoA</t>
  </si>
  <si>
    <t>yraQ</t>
  </si>
  <si>
    <t>yraR</t>
  </si>
  <si>
    <t>yhbO</t>
  </si>
  <si>
    <t>fkpA</t>
  </si>
  <si>
    <t>tusB</t>
  </si>
  <si>
    <t>tusC</t>
  </si>
  <si>
    <t>yhfK</t>
  </si>
  <si>
    <t>frlR</t>
  </si>
  <si>
    <t>yhfZ</t>
  </si>
  <si>
    <t>dxr</t>
  </si>
  <si>
    <t>proQ</t>
  </si>
  <si>
    <t>luxS</t>
  </si>
  <si>
    <t>tsaC</t>
  </si>
  <si>
    <t>yrdD</t>
  </si>
  <si>
    <t>nudE</t>
  </si>
  <si>
    <t>yrfF</t>
  </si>
  <si>
    <t>cpoB</t>
  </si>
  <si>
    <t>hexR</t>
  </si>
  <si>
    <t>yajI</t>
  </si>
  <si>
    <t>yedI</t>
  </si>
  <si>
    <t>ybhC</t>
  </si>
  <si>
    <t>yhdP</t>
  </si>
  <si>
    <t>yhgF</t>
  </si>
  <si>
    <t>rtcA</t>
  </si>
  <si>
    <t>yhhW</t>
  </si>
  <si>
    <t>yhhX</t>
  </si>
  <si>
    <t>yhhY</t>
  </si>
  <si>
    <t>gntK</t>
  </si>
  <si>
    <t>yecH</t>
  </si>
  <si>
    <t>uspC</t>
  </si>
  <si>
    <t>ftsK</t>
  </si>
  <si>
    <t>torZ</t>
  </si>
  <si>
    <t>mlc</t>
  </si>
  <si>
    <t>puuE</t>
  </si>
  <si>
    <t>aer</t>
  </si>
  <si>
    <t>yaiL</t>
  </si>
  <si>
    <t>frmB</t>
  </si>
  <si>
    <t>ycjG</t>
  </si>
  <si>
    <t>nudI</t>
  </si>
  <si>
    <t>yecM</t>
  </si>
  <si>
    <t>yggU</t>
  </si>
  <si>
    <t>rdgB</t>
  </si>
  <si>
    <t>glcE</t>
  </si>
  <si>
    <t>qseB</t>
  </si>
  <si>
    <t>ldcC</t>
  </si>
  <si>
    <t>yaeR</t>
  </si>
  <si>
    <t>tilS</t>
  </si>
  <si>
    <t>glrK</t>
  </si>
  <si>
    <t>csgC</t>
  </si>
  <si>
    <t>rstA</t>
  </si>
  <si>
    <t>ratB</t>
  </si>
  <si>
    <t>ygbI</t>
  </si>
  <si>
    <t>fliI</t>
  </si>
  <si>
    <t>ldhA</t>
  </si>
  <si>
    <t>hslJ</t>
  </si>
  <si>
    <t>ydbK</t>
  </si>
  <si>
    <t>pgl</t>
  </si>
  <si>
    <t>rlmD</t>
  </si>
  <si>
    <t>ygaP</t>
  </si>
  <si>
    <t>wecF</t>
  </si>
  <si>
    <t>ysgA</t>
  </si>
  <si>
    <t>srlE</t>
  </si>
  <si>
    <t>ymdF</t>
  </si>
  <si>
    <t>rapA</t>
  </si>
  <si>
    <t>mukF</t>
  </si>
  <si>
    <t>truB</t>
  </si>
  <si>
    <t>rsmH</t>
  </si>
  <si>
    <t>rplB</t>
  </si>
  <si>
    <t>rplC</t>
  </si>
  <si>
    <t>ispU</t>
  </si>
  <si>
    <t>gmk</t>
  </si>
  <si>
    <t>guaC</t>
  </si>
  <si>
    <t>fixA</t>
  </si>
  <si>
    <t>hisH</t>
  </si>
  <si>
    <t>rplX</t>
  </si>
  <si>
    <t>speB</t>
  </si>
  <si>
    <t>hisF</t>
  </si>
  <si>
    <t>lipA</t>
  </si>
  <si>
    <t>lipB</t>
  </si>
  <si>
    <t>rplD</t>
  </si>
  <si>
    <t>msbA</t>
  </si>
  <si>
    <t>hisG</t>
  </si>
  <si>
    <t>plsY</t>
  </si>
  <si>
    <t>lepA</t>
  </si>
  <si>
    <t>yidE</t>
  </si>
  <si>
    <t>hisS</t>
  </si>
  <si>
    <t>rplV</t>
  </si>
  <si>
    <t>lolA</t>
  </si>
  <si>
    <t>lolB</t>
  </si>
  <si>
    <t>can</t>
  </si>
  <si>
    <t>ribE</t>
  </si>
  <si>
    <t>mdh</t>
  </si>
  <si>
    <t>fldA</t>
  </si>
  <si>
    <t>rplE</t>
  </si>
  <si>
    <t>mdoH</t>
  </si>
  <si>
    <t>treF</t>
  </si>
  <si>
    <t>ispE</t>
  </si>
  <si>
    <t>ispF</t>
  </si>
  <si>
    <t>ispG</t>
  </si>
  <si>
    <t>ispH</t>
  </si>
  <si>
    <t>apaG</t>
  </si>
  <si>
    <t>gpmA</t>
  </si>
  <si>
    <t>yaeH</t>
  </si>
  <si>
    <t>nfuA</t>
  </si>
  <si>
    <t>rlmB</t>
  </si>
  <si>
    <t>gadE</t>
  </si>
  <si>
    <t>gmhA</t>
  </si>
  <si>
    <t>gmhB</t>
  </si>
  <si>
    <t>gadC</t>
  </si>
  <si>
    <t>clpB</t>
  </si>
  <si>
    <t>yqeG</t>
  </si>
  <si>
    <t>mlaF</t>
  </si>
  <si>
    <t>yheS</t>
  </si>
  <si>
    <t>yhbS</t>
  </si>
  <si>
    <t>amiC</t>
  </si>
  <si>
    <t>zntB</t>
  </si>
  <si>
    <t>ypfJ</t>
  </si>
  <si>
    <t>ypjD</t>
  </si>
  <si>
    <t>ydcL</t>
  </si>
  <si>
    <t>ydcY</t>
  </si>
  <si>
    <t>lsrG</t>
  </si>
  <si>
    <t>ydfZ</t>
  </si>
  <si>
    <t>cnu</t>
  </si>
  <si>
    <t>ydiH</t>
  </si>
  <si>
    <t>ydiZ</t>
  </si>
  <si>
    <t>yeaK</t>
  </si>
  <si>
    <t>yoaC</t>
  </si>
  <si>
    <t>yoaF</t>
  </si>
  <si>
    <t>yebV</t>
  </si>
  <si>
    <t>yebY</t>
  </si>
  <si>
    <t>yecN</t>
  </si>
  <si>
    <t>yodD</t>
  </si>
  <si>
    <t>rcnR</t>
  </si>
  <si>
    <t>rcnB</t>
  </si>
  <si>
    <t>yfcL</t>
  </si>
  <si>
    <t>yfiR</t>
  </si>
  <si>
    <t>queE</t>
  </si>
  <si>
    <t>ygfM</t>
  </si>
  <si>
    <t>yggT</t>
  </si>
  <si>
    <t>higB</t>
  </si>
  <si>
    <t>yqjD</t>
  </si>
  <si>
    <t>yqjE</t>
  </si>
  <si>
    <t>yqjI</t>
  </si>
  <si>
    <t>yhaV</t>
  </si>
  <si>
    <t>yraP</t>
  </si>
  <si>
    <t>mlaB</t>
  </si>
  <si>
    <t>mlaD</t>
  </si>
  <si>
    <t>mlaE</t>
  </si>
  <si>
    <t>yheO</t>
  </si>
  <si>
    <t>ygdI</t>
  </si>
  <si>
    <t>yqcA</t>
  </si>
  <si>
    <t>yfcD</t>
  </si>
  <si>
    <t>ygeY</t>
  </si>
  <si>
    <t>queD</t>
  </si>
  <si>
    <t>diaA</t>
  </si>
  <si>
    <t>ygeX</t>
  </si>
  <si>
    <t>bepA</t>
  </si>
  <si>
    <t>yggS</t>
  </si>
  <si>
    <t>rsmI</t>
  </si>
  <si>
    <t>yfcE</t>
  </si>
  <si>
    <t>yhgN</t>
  </si>
  <si>
    <t>yqhA</t>
  </si>
  <si>
    <t>nemR</t>
  </si>
  <si>
    <t>yqfB</t>
  </si>
  <si>
    <t>yhaJ</t>
  </si>
  <si>
    <t>aaeR</t>
  </si>
  <si>
    <t>yhbP</t>
  </si>
  <si>
    <t>cutC</t>
  </si>
  <si>
    <t>hldD</t>
  </si>
  <si>
    <t>grcA</t>
  </si>
  <si>
    <t>malG</t>
  </si>
  <si>
    <t>malK</t>
  </si>
  <si>
    <t>sra</t>
  </si>
  <si>
    <t>yjbJ</t>
  </si>
  <si>
    <t>rpsU</t>
  </si>
  <si>
    <t>grxA</t>
  </si>
  <si>
    <t>atpE</t>
  </si>
  <si>
    <t>nfi</t>
  </si>
  <si>
    <t>pepA</t>
  </si>
  <si>
    <t>rplY</t>
  </si>
  <si>
    <t>sdhC</t>
  </si>
  <si>
    <t>infA</t>
  </si>
  <si>
    <t>baeR</t>
  </si>
  <si>
    <t>yefM</t>
  </si>
  <si>
    <t>yoeB</t>
  </si>
  <si>
    <t>fieF</t>
  </si>
  <si>
    <t>rcsF</t>
  </si>
  <si>
    <t>tatB</t>
  </si>
  <si>
    <t>tatA</t>
  </si>
  <si>
    <t>adk</t>
  </si>
  <si>
    <t>fadD</t>
  </si>
  <si>
    <t>cutA</t>
  </si>
  <si>
    <t>ccmE</t>
  </si>
  <si>
    <t>apt</t>
  </si>
  <si>
    <t>ytfE</t>
  </si>
  <si>
    <t>hyaA</t>
  </si>
  <si>
    <t>hybO</t>
  </si>
  <si>
    <t>lpp</t>
  </si>
  <si>
    <t>crr</t>
  </si>
  <si>
    <t>ptsG</t>
  </si>
  <si>
    <t>chbB</t>
  </si>
  <si>
    <t>manX</t>
  </si>
  <si>
    <t>manY</t>
  </si>
  <si>
    <t>manZ</t>
  </si>
  <si>
    <t>fruB</t>
  </si>
  <si>
    <t>ulaC</t>
  </si>
  <si>
    <t>ulaB</t>
  </si>
  <si>
    <t>cmtA</t>
  </si>
  <si>
    <t>gatA</t>
  </si>
  <si>
    <t>ptsN</t>
  </si>
  <si>
    <t>gatC</t>
  </si>
  <si>
    <t>dmsD</t>
  </si>
  <si>
    <t>potA</t>
  </si>
  <si>
    <t>gadA</t>
  </si>
  <si>
    <t>gadB</t>
  </si>
  <si>
    <t>csrA</t>
  </si>
  <si>
    <t>fucI</t>
  </si>
  <si>
    <t>nrdB</t>
  </si>
  <si>
    <t>yagE</t>
  </si>
  <si>
    <t>yahK</t>
  </si>
  <si>
    <t>yahO</t>
  </si>
  <si>
    <t>allE</t>
  </si>
  <si>
    <t>ubiF</t>
  </si>
  <si>
    <t>ybfF</t>
  </si>
  <si>
    <t>ybgK</t>
  </si>
  <si>
    <t>ybgL</t>
  </si>
  <si>
    <t>ybhK</t>
  </si>
  <si>
    <t>ybhG</t>
  </si>
  <si>
    <t>ybiX</t>
  </si>
  <si>
    <t>rlmF</t>
  </si>
  <si>
    <t>opgE</t>
  </si>
  <si>
    <t>ybiU</t>
  </si>
  <si>
    <t>ybiV</t>
  </si>
  <si>
    <t>gsiB</t>
  </si>
  <si>
    <t>gsiC</t>
  </si>
  <si>
    <t>ybjP</t>
  </si>
  <si>
    <t>ltaE</t>
  </si>
  <si>
    <t>ycaO</t>
  </si>
  <si>
    <t>ycaP</t>
  </si>
  <si>
    <t>gloC</t>
  </si>
  <si>
    <t>ssuA</t>
  </si>
  <si>
    <t>zapC</t>
  </si>
  <si>
    <t>ycbX</t>
  </si>
  <si>
    <t>rlmL</t>
  </si>
  <si>
    <t>ycbZ</t>
  </si>
  <si>
    <t>yccU</t>
  </si>
  <si>
    <t>rlmI</t>
  </si>
  <si>
    <t>ghrA</t>
  </si>
  <si>
    <t>ycdX</t>
  </si>
  <si>
    <t>ycdY</t>
  </si>
  <si>
    <t>yceM</t>
  </si>
  <si>
    <t>flgE</t>
  </si>
  <si>
    <t>nagZ</t>
  </si>
  <si>
    <t>comR</t>
  </si>
  <si>
    <t>lolD</t>
  </si>
  <si>
    <t>lolE</t>
  </si>
  <si>
    <t>nagK</t>
  </si>
  <si>
    <t>cobB</t>
  </si>
  <si>
    <t>rluE</t>
  </si>
  <si>
    <t>cohE</t>
  </si>
  <si>
    <t>jayE</t>
  </si>
  <si>
    <t>bluR</t>
  </si>
  <si>
    <t>ymgA</t>
  </si>
  <si>
    <t>ariR</t>
  </si>
  <si>
    <t>ycgJ</t>
  </si>
  <si>
    <t>pliG</t>
  </si>
  <si>
    <t>ycgM</t>
  </si>
  <si>
    <t>cvrA</t>
  </si>
  <si>
    <t>ldcA</t>
  </si>
  <si>
    <t>dhaL</t>
  </si>
  <si>
    <t>dhaK</t>
  </si>
  <si>
    <t>oppD</t>
  </si>
  <si>
    <t>ycjX</t>
  </si>
  <si>
    <t>ycjY</t>
  </si>
  <si>
    <t>ttcA</t>
  </si>
  <si>
    <t>racR</t>
  </si>
  <si>
    <t>ydaS</t>
  </si>
  <si>
    <t>ydbL</t>
  </si>
  <si>
    <t>paaX</t>
  </si>
  <si>
    <t>ydcJ</t>
  </si>
  <si>
    <t>ydcK</t>
  </si>
  <si>
    <t>ydcS</t>
  </si>
  <si>
    <t>curA</t>
  </si>
  <si>
    <t>mcbR</t>
  </si>
  <si>
    <t>yncD</t>
  </si>
  <si>
    <t>yncE</t>
  </si>
  <si>
    <t>yncG</t>
  </si>
  <si>
    <t>yddH</t>
  </si>
  <si>
    <t>ddpA</t>
  </si>
  <si>
    <t>lsrR</t>
  </si>
  <si>
    <t>lsrB</t>
  </si>
  <si>
    <t>lsrF</t>
  </si>
  <si>
    <t>tam</t>
  </si>
  <si>
    <t>sad</t>
  </si>
  <si>
    <t>ynfD</t>
  </si>
  <si>
    <t>ynfH</t>
  </si>
  <si>
    <t>ydgD</t>
  </si>
  <si>
    <t>ydgH</t>
  </si>
  <si>
    <t>ydhJ</t>
  </si>
  <si>
    <t>ydhF</t>
  </si>
  <si>
    <t>ydhV</t>
  </si>
  <si>
    <t>ynhG</t>
  </si>
  <si>
    <t>sufE</t>
  </si>
  <si>
    <t>ydiQ</t>
  </si>
  <si>
    <t>ydiY</t>
  </si>
  <si>
    <t>yniB</t>
  </si>
  <si>
    <t>astE</t>
  </si>
  <si>
    <t>astB</t>
  </si>
  <si>
    <t>astD</t>
  </si>
  <si>
    <t>ydjY</t>
  </si>
  <si>
    <t>ynjB</t>
  </si>
  <si>
    <t>ynjH</t>
  </si>
  <si>
    <t>yeaE</t>
  </si>
  <si>
    <t>yeaH</t>
  </si>
  <si>
    <t>yeaJ</t>
  </si>
  <si>
    <t>yeaO</t>
  </si>
  <si>
    <t>dmlA</t>
  </si>
  <si>
    <t>tsaB</t>
  </si>
  <si>
    <t>kdgR</t>
  </si>
  <si>
    <t>msrC</t>
  </si>
  <si>
    <t>yebT</t>
  </si>
  <si>
    <t>rsmF</t>
  </si>
  <si>
    <t>cmoA</t>
  </si>
  <si>
    <t>cmoB</t>
  </si>
  <si>
    <t>flhE</t>
  </si>
  <si>
    <t>flhA</t>
  </si>
  <si>
    <t>flhB</t>
  </si>
  <si>
    <t>yecR</t>
  </si>
  <si>
    <t>dcyD</t>
  </si>
  <si>
    <t>yedK</t>
  </si>
  <si>
    <t>yedP</t>
  </si>
  <si>
    <t>yedQ</t>
  </si>
  <si>
    <t>yedW</t>
  </si>
  <si>
    <t>hiuH</t>
  </si>
  <si>
    <t>msrP</t>
  </si>
  <si>
    <t>zinT</t>
  </si>
  <si>
    <t>mtfA</t>
  </si>
  <si>
    <t>wzzB</t>
  </si>
  <si>
    <t>yegH</t>
  </si>
  <si>
    <t>yegJ</t>
  </si>
  <si>
    <t>mdtA</t>
  </si>
  <si>
    <t>mdtB</t>
  </si>
  <si>
    <t>yegP</t>
  </si>
  <si>
    <t>yegQ</t>
  </si>
  <si>
    <t>yegR</t>
  </si>
  <si>
    <t>yegS</t>
  </si>
  <si>
    <t>yegU</t>
  </si>
  <si>
    <t>yegV</t>
  </si>
  <si>
    <t>preT</t>
  </si>
  <si>
    <t>yfbR</t>
  </si>
  <si>
    <t>yfcR</t>
  </si>
  <si>
    <t>sixA</t>
  </si>
  <si>
    <t>fadI</t>
  </si>
  <si>
    <t>mlaA</t>
  </si>
  <si>
    <t>yfdQ</t>
  </si>
  <si>
    <t>murQ</t>
  </si>
  <si>
    <t>yfeX</t>
  </si>
  <si>
    <t>yfeY</t>
  </si>
  <si>
    <t>ypeA</t>
  </si>
  <si>
    <t>eutL</t>
  </si>
  <si>
    <t>yffS</t>
  </si>
  <si>
    <t>eutQ</t>
  </si>
  <si>
    <t>maeB</t>
  </si>
  <si>
    <t>ypfG</t>
  </si>
  <si>
    <t>ypfH</t>
  </si>
  <si>
    <t>yfgD</t>
  </si>
  <si>
    <t>yfgI</t>
  </si>
  <si>
    <t>yfgJ</t>
  </si>
  <si>
    <t>yfgM</t>
  </si>
  <si>
    <t>yfhM</t>
  </si>
  <si>
    <t>yphB</t>
  </si>
  <si>
    <t>pka</t>
  </si>
  <si>
    <t>csiD</t>
  </si>
  <si>
    <t>guaD</t>
  </si>
  <si>
    <t>hldE</t>
  </si>
  <si>
    <t>ynjD</t>
  </si>
  <si>
    <t>ylbE</t>
  </si>
  <si>
    <t>ydhS</t>
  </si>
  <si>
    <t>pdxY</t>
  </si>
  <si>
    <t>glxR</t>
  </si>
  <si>
    <t>ykfB</t>
  </si>
  <si>
    <t>zipA</t>
  </si>
  <si>
    <t>paaY</t>
  </si>
  <si>
    <t>mnmC</t>
  </si>
  <si>
    <t>dsbG</t>
  </si>
  <si>
    <t>rclA</t>
  </si>
  <si>
    <t>ybdK</t>
  </si>
  <si>
    <t>rhmD</t>
  </si>
  <si>
    <t>prpD</t>
  </si>
  <si>
    <t>murR</t>
  </si>
  <si>
    <t>yniC</t>
  </si>
  <si>
    <t>ykgE</t>
  </si>
  <si>
    <t>ydjG</t>
  </si>
  <si>
    <t>lsrA</t>
  </si>
  <si>
    <t>nemA</t>
  </si>
  <si>
    <t>yphF</t>
  </si>
  <si>
    <t>murP</t>
  </si>
  <si>
    <t>fetA</t>
  </si>
  <si>
    <t>rsxG</t>
  </si>
  <si>
    <t>ydeU</t>
  </si>
  <si>
    <t>yfdH</t>
  </si>
  <si>
    <t>fetB</t>
  </si>
  <si>
    <t>ybdR</t>
  </si>
  <si>
    <t>ydeN</t>
  </si>
  <si>
    <t>borD</t>
  </si>
  <si>
    <t>hlyE</t>
  </si>
  <si>
    <t>mscK</t>
  </si>
  <si>
    <t>mppA</t>
  </si>
  <si>
    <t>glxK</t>
  </si>
  <si>
    <t>ybcL</t>
  </si>
  <si>
    <t>ynfE</t>
  </si>
  <si>
    <t>ydgJ</t>
  </si>
  <si>
    <t>rclR</t>
  </si>
  <si>
    <t>ybbN</t>
  </si>
  <si>
    <t>fadJ</t>
  </si>
  <si>
    <t>ykgG</t>
  </si>
  <si>
    <t>alaC</t>
  </si>
  <si>
    <t>sufS</t>
  </si>
  <si>
    <t>glsA1</t>
  </si>
  <si>
    <t>ylaB</t>
  </si>
  <si>
    <t>yqaB</t>
  </si>
  <si>
    <t>cusS</t>
  </si>
  <si>
    <t>dxs</t>
  </si>
  <si>
    <t>ydjH</t>
  </si>
  <si>
    <t>sufC</t>
  </si>
  <si>
    <t>ybbP</t>
  </si>
  <si>
    <t>sufB</t>
  </si>
  <si>
    <t>yfcG</t>
  </si>
  <si>
    <t>ydjN</t>
  </si>
  <si>
    <t>ykgF</t>
  </si>
  <si>
    <t>ydjL</t>
  </si>
  <si>
    <t>prpB</t>
  </si>
  <si>
    <t>yfcF</t>
  </si>
  <si>
    <t>ydhQ</t>
  </si>
  <si>
    <t>yahJ</t>
  </si>
  <si>
    <t>allD</t>
  </si>
  <si>
    <t>yaiW</t>
  </si>
  <si>
    <t>mhpR</t>
  </si>
  <si>
    <t>astC</t>
  </si>
  <si>
    <t>yagF</t>
  </si>
  <si>
    <t>rsxC</t>
  </si>
  <si>
    <t>ycjW</t>
  </si>
  <si>
    <t>yfeW</t>
  </si>
  <si>
    <t>yfbT</t>
  </si>
  <si>
    <t>ydiU</t>
  </si>
  <si>
    <t>sufA</t>
  </si>
  <si>
    <t>allB</t>
  </si>
  <si>
    <t>prr</t>
  </si>
  <si>
    <t>sufD</t>
  </si>
  <si>
    <t>gnsB</t>
  </si>
  <si>
    <t>fadM</t>
  </si>
  <si>
    <t>yagH</t>
  </si>
  <si>
    <t>ybaY</t>
  </si>
  <si>
    <t>thiI</t>
  </si>
  <si>
    <t>ydjF</t>
  </si>
  <si>
    <t>ydcR</t>
  </si>
  <si>
    <t>yajO</t>
  </si>
  <si>
    <t>oppF</t>
  </si>
  <si>
    <t>yniA</t>
  </si>
  <si>
    <t>ydiJ</t>
  </si>
  <si>
    <t>spy</t>
  </si>
  <si>
    <t>queC</t>
  </si>
  <si>
    <t>bamB</t>
  </si>
  <si>
    <t>yfcH</t>
  </si>
  <si>
    <t>menI</t>
  </si>
  <si>
    <t>ynfF</t>
  </si>
  <si>
    <t>maa</t>
  </si>
  <si>
    <t>ydcT</t>
  </si>
  <si>
    <t>ydgA</t>
  </si>
  <si>
    <t>yfaY</t>
  </si>
  <si>
    <t>fsaA</t>
  </si>
  <si>
    <t>ynjE</t>
  </si>
  <si>
    <t>feaB</t>
  </si>
  <si>
    <t>yibT</t>
  </si>
  <si>
    <t>yicS</t>
  </si>
  <si>
    <t>yobH</t>
  </si>
  <si>
    <t>ygeR</t>
  </si>
  <si>
    <t>xdhA</t>
  </si>
  <si>
    <t>xdhB</t>
  </si>
  <si>
    <t>xdhC</t>
  </si>
  <si>
    <t>ygeW</t>
  </si>
  <si>
    <t>hyuA</t>
  </si>
  <si>
    <t>yqeA</t>
  </si>
  <si>
    <t>ygfK</t>
  </si>
  <si>
    <t>ssnA</t>
  </si>
  <si>
    <t>xdhD</t>
  </si>
  <si>
    <t>idi</t>
  </si>
  <si>
    <t>bglA</t>
  </si>
  <si>
    <t>yghU</t>
  </si>
  <si>
    <t>gpr</t>
  </si>
  <si>
    <t>yqhD</t>
  </si>
  <si>
    <t>dkgA</t>
  </si>
  <si>
    <t>yqhG</t>
  </si>
  <si>
    <t>ygiS</t>
  </si>
  <si>
    <t>mqsA</t>
  </si>
  <si>
    <t>yqiC</t>
  </si>
  <si>
    <t>yqjH</t>
  </si>
  <si>
    <t>ygbM</t>
  </si>
  <si>
    <t>ispD</t>
  </si>
  <si>
    <t>queF</t>
  </si>
  <si>
    <t>tcdA</t>
  </si>
  <si>
    <t>kduI</t>
  </si>
  <si>
    <t>yajL</t>
  </si>
  <si>
    <t>fadE</t>
  </si>
  <si>
    <t>yafJ</t>
  </si>
  <si>
    <t>dinJ</t>
  </si>
  <si>
    <t>yafN</t>
  </si>
  <si>
    <t>tauA</t>
  </si>
  <si>
    <t>sapA</t>
  </si>
  <si>
    <t>yafV</t>
  </si>
  <si>
    <t>mmuM</t>
  </si>
  <si>
    <t>yqjK</t>
  </si>
  <si>
    <t>truD</t>
  </si>
  <si>
    <t>copA</t>
  </si>
  <si>
    <t>dgoA</t>
  </si>
  <si>
    <t>nudF</t>
  </si>
  <si>
    <t>kgtP</t>
  </si>
  <si>
    <t>yrdA</t>
  </si>
  <si>
    <t>mobB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</si>
</sst>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6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0.999739202189716</v>
      </c>
      <c r="C2">
        <v>0.6570510639031369</v>
      </c>
      <c r="D2">
        <v>0.977315089305375</v>
      </c>
      <c r="E2">
        <v>0.954654509339022</v>
      </c>
      <c r="F2">
        <v>1.0465949140172</v>
      </c>
      <c r="G2">
        <v>0.89578554202286</v>
      </c>
      <c r="H2">
        <v>0.886910125993402</v>
      </c>
      <c r="I2">
        <v>0.758852203050596</v>
      </c>
      <c r="J2">
        <v>0.633079358875636</v>
      </c>
      <c r="K2">
        <v>0.387855963993365</v>
      </c>
      <c r="L2">
        <v>973.431818708272</v>
      </c>
      <c r="M2">
        <v>14.8312517665075</v>
      </c>
      <c r="N2">
        <v>65.6338276830579</v>
      </c>
      <c r="O2">
        <v>64.4752562382926</v>
      </c>
      <c r="P2">
        <v>-0.0575136063725672</v>
      </c>
      <c r="Q2">
        <v>0</v>
      </c>
      <c r="R2">
        <v>0.662561118291047</v>
      </c>
      <c r="S2" t="s">
        <v>2195</v>
      </c>
      <c r="T2" t="s">
        <v>4362</v>
      </c>
      <c r="U2" t="s">
        <v>4362</v>
      </c>
      <c r="V2" t="s">
        <v>4362</v>
      </c>
      <c r="W2" t="s">
        <v>4364</v>
      </c>
      <c r="X2">
        <v>1</v>
      </c>
      <c r="Y2" t="s">
        <v>6523</v>
      </c>
      <c r="Z2" t="s">
        <v>8690</v>
      </c>
      <c r="AA2">
        <v>0.8867617393919089</v>
      </c>
      <c r="AB2">
        <f>HYPERLINK("Melting_Curves/meltCurve_C1P601_rzoQ.pdf", "Melting_Curves/meltCurve_C1P601_rzoQ.pdf")</f>
        <v>0</v>
      </c>
    </row>
    <row r="3" spans="1:28">
      <c r="A3" t="s">
        <v>29</v>
      </c>
      <c r="B3">
        <v>0.999739202189716</v>
      </c>
      <c r="C3">
        <v>1.6513928915262</v>
      </c>
      <c r="D3">
        <v>0.715487579315078</v>
      </c>
      <c r="E3">
        <v>0.640499569252311</v>
      </c>
      <c r="F3">
        <v>0.362794724967097</v>
      </c>
      <c r="G3">
        <v>0.311576814886536</v>
      </c>
      <c r="H3">
        <v>0.15988952278359</v>
      </c>
      <c r="I3">
        <v>0.116919297332002</v>
      </c>
      <c r="J3">
        <v>0.102040681031257</v>
      </c>
      <c r="K3">
        <v>0.09328062075528069</v>
      </c>
      <c r="L3">
        <v>910.651769024141</v>
      </c>
      <c r="M3">
        <v>19.0840098170407</v>
      </c>
      <c r="N3">
        <v>48.4267711742983</v>
      </c>
      <c r="O3">
        <v>47.2033590176004</v>
      </c>
      <c r="P3">
        <v>-0.0887621408073562</v>
      </c>
      <c r="Q3">
        <v>0.121839230901974</v>
      </c>
      <c r="R3">
        <v>0.781143239559461</v>
      </c>
      <c r="S3" t="s">
        <v>2196</v>
      </c>
      <c r="T3" t="s">
        <v>4362</v>
      </c>
      <c r="U3" t="s">
        <v>4362</v>
      </c>
      <c r="V3" t="s">
        <v>4362</v>
      </c>
      <c r="W3" t="s">
        <v>4365</v>
      </c>
      <c r="X3">
        <v>15</v>
      </c>
      <c r="Y3" t="s">
        <v>6524</v>
      </c>
      <c r="Z3" t="s">
        <v>8691</v>
      </c>
      <c r="AA3">
        <v>0.4481767403693795</v>
      </c>
      <c r="AB3">
        <f>HYPERLINK("Melting_Curves/meltCurve_G0ZKW2_lacZ.pdf", "Melting_Curves/meltCurve_G0ZKW2_lacZ.pdf")</f>
        <v>0</v>
      </c>
    </row>
    <row r="4" spans="1:28">
      <c r="A4" t="s">
        <v>30</v>
      </c>
      <c r="B4">
        <v>0.999739202189716</v>
      </c>
      <c r="C4">
        <v>0.854880396840193</v>
      </c>
      <c r="D4">
        <v>0.68495607637315</v>
      </c>
      <c r="E4">
        <v>0.489100127718042</v>
      </c>
      <c r="F4">
        <v>0.396725772722544</v>
      </c>
      <c r="G4">
        <v>0.208737254431848</v>
      </c>
      <c r="H4">
        <v>0.156311439187655</v>
      </c>
      <c r="I4">
        <v>0.150464169606398</v>
      </c>
      <c r="J4">
        <v>0.106522015179357</v>
      </c>
      <c r="K4">
        <v>0.0738204139143919</v>
      </c>
      <c r="L4">
        <v>497.688598764089</v>
      </c>
      <c r="M4">
        <v>10.7593737287535</v>
      </c>
      <c r="N4">
        <v>46.822609338796</v>
      </c>
      <c r="O4">
        <v>44.7443264662135</v>
      </c>
      <c r="P4">
        <v>-0.0564687784993964</v>
      </c>
      <c r="Q4">
        <v>0.061012425591347</v>
      </c>
      <c r="R4">
        <v>0.990850403721615</v>
      </c>
      <c r="S4" t="s">
        <v>2197</v>
      </c>
      <c r="T4" t="s">
        <v>4362</v>
      </c>
      <c r="U4" t="s">
        <v>4362</v>
      </c>
      <c r="V4" t="s">
        <v>4362</v>
      </c>
      <c r="W4" t="s">
        <v>4366</v>
      </c>
      <c r="X4">
        <v>1</v>
      </c>
      <c r="Y4" t="s">
        <v>6525</v>
      </c>
      <c r="Z4" t="s">
        <v>8692</v>
      </c>
      <c r="AA4">
        <v>0.3888957666127927</v>
      </c>
      <c r="AB4">
        <f>HYPERLINK("Melting_Curves/meltCurve_G1E6H3_pmrB.pdf", "Melting_Curves/meltCurve_G1E6H3_pmrB.pdf")</f>
        <v>0</v>
      </c>
    </row>
    <row r="5" spans="1:28">
      <c r="A5" t="s">
        <v>31</v>
      </c>
      <c r="B5">
        <v>0.999739202189716</v>
      </c>
      <c r="C5">
        <v>0.89834636816247</v>
      </c>
      <c r="D5">
        <v>0.9887497346974909</v>
      </c>
      <c r="E5">
        <v>0.707703181373798</v>
      </c>
      <c r="F5">
        <v>0.719805110201536</v>
      </c>
      <c r="G5">
        <v>0.557395535526886</v>
      </c>
      <c r="H5">
        <v>0.370681578267337</v>
      </c>
      <c r="I5">
        <v>0.142876207537829</v>
      </c>
      <c r="J5">
        <v>0.111162195425933</v>
      </c>
      <c r="K5">
        <v>0.08747385740609009</v>
      </c>
      <c r="L5">
        <v>580.103508268905</v>
      </c>
      <c r="M5">
        <v>10.8113815086183</v>
      </c>
      <c r="N5">
        <v>53.6567528167052</v>
      </c>
      <c r="O5">
        <v>51.9188461986074</v>
      </c>
      <c r="P5">
        <v>-0.0520778284557712</v>
      </c>
      <c r="Q5">
        <v>0</v>
      </c>
      <c r="R5">
        <v>0.966066014343968</v>
      </c>
      <c r="S5" t="s">
        <v>2198</v>
      </c>
      <c r="T5" t="s">
        <v>4362</v>
      </c>
      <c r="U5" t="s">
        <v>4362</v>
      </c>
      <c r="V5" t="s">
        <v>4362</v>
      </c>
      <c r="W5" t="s">
        <v>4367</v>
      </c>
      <c r="X5">
        <v>15</v>
      </c>
      <c r="Y5" t="s">
        <v>6526</v>
      </c>
      <c r="Z5" t="s">
        <v>8693</v>
      </c>
      <c r="AA5">
        <v>0.5746325934647936</v>
      </c>
      <c r="AB5">
        <f>HYPERLINK("Melting_Curves/meltCurve_P00350_gnd.pdf", "Melting_Curves/meltCurve_P00350_gnd.pdf")</f>
        <v>0</v>
      </c>
    </row>
    <row r="6" spans="1:28">
      <c r="A6" t="s">
        <v>32</v>
      </c>
      <c r="B6">
        <v>0.999739202189716</v>
      </c>
      <c r="C6">
        <v>1.16024818257672</v>
      </c>
      <c r="D6">
        <v>0.940293933455303</v>
      </c>
      <c r="E6">
        <v>0.772975467240138</v>
      </c>
      <c r="F6">
        <v>0.313820863197972</v>
      </c>
      <c r="G6">
        <v>0.161639393239552</v>
      </c>
      <c r="H6">
        <v>0.134346432044027</v>
      </c>
      <c r="I6">
        <v>0.116458101825258</v>
      </c>
      <c r="J6">
        <v>0.10143346988534</v>
      </c>
      <c r="K6">
        <v>0.09243765831290369</v>
      </c>
      <c r="L6">
        <v>1419.60262614428</v>
      </c>
      <c r="M6">
        <v>29.4378982896484</v>
      </c>
      <c r="N6">
        <v>48.6337876555493</v>
      </c>
      <c r="O6">
        <v>48.0027489078669</v>
      </c>
      <c r="P6">
        <v>-0.136461979183828</v>
      </c>
      <c r="Q6">
        <v>0.109922337432006</v>
      </c>
      <c r="R6">
        <v>0.983273197239075</v>
      </c>
      <c r="S6" t="s">
        <v>2199</v>
      </c>
      <c r="T6" t="s">
        <v>4362</v>
      </c>
      <c r="U6" t="s">
        <v>4362</v>
      </c>
      <c r="V6" t="s">
        <v>4362</v>
      </c>
      <c r="W6" t="s">
        <v>4368</v>
      </c>
      <c r="X6">
        <v>19</v>
      </c>
      <c r="Y6" t="s">
        <v>6527</v>
      </c>
      <c r="Z6" t="s">
        <v>8694</v>
      </c>
      <c r="AA6">
        <v>0.4484173650281756</v>
      </c>
      <c r="AB6">
        <f>HYPERLINK("Melting_Curves/meltCurve_P00363_frdA.pdf", "Melting_Curves/meltCurve_P00363_frdA.pdf")</f>
        <v>0</v>
      </c>
    </row>
    <row r="7" spans="1:28">
      <c r="A7" t="s">
        <v>33</v>
      </c>
      <c r="B7">
        <v>0.999739202189716</v>
      </c>
      <c r="C7">
        <v>1.08536674510135</v>
      </c>
      <c r="D7">
        <v>1.14156328113491</v>
      </c>
      <c r="E7">
        <v>0.928596682926055</v>
      </c>
      <c r="F7">
        <v>0.7092105639488751</v>
      </c>
      <c r="G7">
        <v>0.83703772117929</v>
      </c>
      <c r="H7">
        <v>0.403929929821047</v>
      </c>
      <c r="I7">
        <v>0.113732300241653</v>
      </c>
      <c r="J7">
        <v>0.08161161371653319</v>
      </c>
      <c r="K7">
        <v>0.0570131687613264</v>
      </c>
      <c r="L7">
        <v>1074.4531783201</v>
      </c>
      <c r="M7">
        <v>19.1047774220274</v>
      </c>
      <c r="N7">
        <v>56.2400260443089</v>
      </c>
      <c r="O7">
        <v>55.6347070470152</v>
      </c>
      <c r="P7">
        <v>-0.08585253053944129</v>
      </c>
      <c r="Q7">
        <v>0</v>
      </c>
      <c r="R7">
        <v>0.944642681781067</v>
      </c>
      <c r="S7" t="s">
        <v>2200</v>
      </c>
      <c r="T7" t="s">
        <v>4362</v>
      </c>
      <c r="U7" t="s">
        <v>4362</v>
      </c>
      <c r="V7" t="s">
        <v>4362</v>
      </c>
      <c r="W7" t="s">
        <v>4369</v>
      </c>
      <c r="X7">
        <v>14</v>
      </c>
      <c r="Y7" t="s">
        <v>6528</v>
      </c>
      <c r="Z7" t="s">
        <v>8695</v>
      </c>
      <c r="AA7">
        <v>0.6516023877002808</v>
      </c>
      <c r="AB7">
        <f>HYPERLINK("Melting_Curves/meltCurve_P00370_gdhA.pdf", "Melting_Curves/meltCurve_P00370_gdhA.pdf")</f>
        <v>0</v>
      </c>
    </row>
    <row r="8" spans="1:28">
      <c r="A8" t="s">
        <v>34</v>
      </c>
      <c r="B8">
        <v>0.999739202189716</v>
      </c>
      <c r="C8">
        <v>0.963129994716489</v>
      </c>
      <c r="D8">
        <v>0.745801168650759</v>
      </c>
      <c r="E8">
        <v>0.339220111724897</v>
      </c>
      <c r="F8">
        <v>0.189788411843558</v>
      </c>
      <c r="G8">
        <v>0.111505662476391</v>
      </c>
      <c r="H8">
        <v>0.0919423397837783</v>
      </c>
      <c r="I8">
        <v>0.0676376584295382</v>
      </c>
      <c r="J8">
        <v>0.06276654641562281</v>
      </c>
      <c r="K8">
        <v>0.0539331165208788</v>
      </c>
      <c r="L8">
        <v>980.239595263252</v>
      </c>
      <c r="M8">
        <v>21.8336220827452</v>
      </c>
      <c r="N8">
        <v>45.2244107251834</v>
      </c>
      <c r="O8">
        <v>44.5243449712171</v>
      </c>
      <c r="P8">
        <v>-0.113606122716733</v>
      </c>
      <c r="Q8">
        <v>0.07333345678607781</v>
      </c>
      <c r="R8">
        <v>0.997842471014413</v>
      </c>
      <c r="S8" t="s">
        <v>2201</v>
      </c>
      <c r="T8" t="s">
        <v>4362</v>
      </c>
      <c r="U8" t="s">
        <v>4362</v>
      </c>
      <c r="V8" t="s">
        <v>4362</v>
      </c>
      <c r="W8" t="s">
        <v>4370</v>
      </c>
      <c r="X8">
        <v>9</v>
      </c>
      <c r="Y8" t="s">
        <v>6529</v>
      </c>
      <c r="Z8" t="s">
        <v>8696</v>
      </c>
      <c r="AA8">
        <v>0.3273522113260885</v>
      </c>
      <c r="AB8">
        <f>HYPERLINK("Melting_Curves/meltCurve_P00393_ndh.pdf", "Melting_Curves/meltCurve_P00393_ndh.pdf")</f>
        <v>0</v>
      </c>
    </row>
    <row r="9" spans="1:28">
      <c r="A9" t="s">
        <v>35</v>
      </c>
      <c r="B9">
        <v>0.999739202189716</v>
      </c>
      <c r="C9">
        <v>0.813205796731006</v>
      </c>
      <c r="D9">
        <v>0.993764512951122</v>
      </c>
      <c r="E9">
        <v>0.8933922157397</v>
      </c>
      <c r="F9">
        <v>1.1440081332475</v>
      </c>
      <c r="G9">
        <v>0.84244016772478</v>
      </c>
      <c r="H9">
        <v>1.0219569526461</v>
      </c>
      <c r="I9">
        <v>0.754483447786145</v>
      </c>
      <c r="J9">
        <v>0.738946301459917</v>
      </c>
      <c r="K9">
        <v>0.414435443733315</v>
      </c>
      <c r="L9">
        <v>1240.76767717564</v>
      </c>
      <c r="M9">
        <v>18.7086310856277</v>
      </c>
      <c r="N9">
        <v>66.32060206223559</v>
      </c>
      <c r="O9">
        <v>65.57680636606111</v>
      </c>
      <c r="P9">
        <v>-0.0713263754985887</v>
      </c>
      <c r="Q9">
        <v>0</v>
      </c>
      <c r="R9">
        <v>0.707012688504876</v>
      </c>
      <c r="S9" t="s">
        <v>2202</v>
      </c>
      <c r="T9" t="s">
        <v>4362</v>
      </c>
      <c r="U9" t="s">
        <v>4362</v>
      </c>
      <c r="V9" t="s">
        <v>4362</v>
      </c>
      <c r="W9" t="s">
        <v>4371</v>
      </c>
      <c r="X9">
        <v>5</v>
      </c>
      <c r="Y9" t="s">
        <v>6530</v>
      </c>
      <c r="Z9" t="s">
        <v>8697</v>
      </c>
      <c r="AA9">
        <v>0.9151213452365528</v>
      </c>
      <c r="AB9">
        <f>HYPERLINK("Melting_Curves/meltCurve_P00448_sodA.pdf", "Melting_Curves/meltCurve_P00448_sodA.pdf")</f>
        <v>0</v>
      </c>
    </row>
    <row r="10" spans="1:28">
      <c r="A10" t="s">
        <v>36</v>
      </c>
      <c r="B10">
        <v>0.999739202189716</v>
      </c>
      <c r="C10">
        <v>1.1421015799431</v>
      </c>
      <c r="D10">
        <v>0.776640042126134</v>
      </c>
      <c r="E10">
        <v>0.5569689165402441</v>
      </c>
      <c r="F10">
        <v>0.219857275959292</v>
      </c>
      <c r="G10">
        <v>0.138744964255507</v>
      </c>
      <c r="H10">
        <v>0.101764212923127</v>
      </c>
      <c r="I10">
        <v>0.07788441039342869</v>
      </c>
      <c r="J10">
        <v>0.06506652122773331</v>
      </c>
      <c r="K10">
        <v>0.0538504051296579</v>
      </c>
      <c r="L10">
        <v>966.735651066317</v>
      </c>
      <c r="M10">
        <v>20.7685539268788</v>
      </c>
      <c r="N10">
        <v>46.8839967203347</v>
      </c>
      <c r="O10">
        <v>46.1229411094975</v>
      </c>
      <c r="P10">
        <v>-0.104791838166378</v>
      </c>
      <c r="Q10">
        <v>0.0691365842570158</v>
      </c>
      <c r="R10">
        <v>0.9765260007997431</v>
      </c>
      <c r="S10" t="s">
        <v>2203</v>
      </c>
      <c r="T10" t="s">
        <v>4362</v>
      </c>
      <c r="U10" t="s">
        <v>4362</v>
      </c>
      <c r="V10" t="s">
        <v>4362</v>
      </c>
      <c r="W10" t="s">
        <v>4372</v>
      </c>
      <c r="X10">
        <v>23</v>
      </c>
      <c r="Y10" t="s">
        <v>6531</v>
      </c>
      <c r="Z10" t="s">
        <v>8698</v>
      </c>
      <c r="AA10">
        <v>0.3766919337006128</v>
      </c>
      <c r="AB10">
        <f>HYPERLINK("Melting_Curves/meltCurve_P00452_nrdA.pdf", "Melting_Curves/meltCurve_P00452_nrdA.pdf")</f>
        <v>0</v>
      </c>
    </row>
    <row r="11" spans="1:28">
      <c r="A11" t="s">
        <v>37</v>
      </c>
      <c r="B11">
        <v>0.999739202189716</v>
      </c>
      <c r="C11">
        <v>0.800563166682747</v>
      </c>
      <c r="D11">
        <v>0.5378307839769479</v>
      </c>
      <c r="E11">
        <v>0.464283581957526</v>
      </c>
      <c r="F11">
        <v>0.319909321398695</v>
      </c>
      <c r="G11">
        <v>0.27597126933034</v>
      </c>
      <c r="H11">
        <v>0.187684419152887</v>
      </c>
      <c r="I11">
        <v>0.108499725918339</v>
      </c>
      <c r="J11">
        <v>0.0791542130065208</v>
      </c>
      <c r="K11">
        <v>0.0677131372999947</v>
      </c>
      <c r="L11">
        <v>433.17931584516</v>
      </c>
      <c r="M11">
        <v>9.59603031692364</v>
      </c>
      <c r="N11">
        <v>45.6544616197184</v>
      </c>
      <c r="O11">
        <v>43.3117141222223</v>
      </c>
      <c r="P11">
        <v>-0.0525887188906681</v>
      </c>
      <c r="Q11">
        <v>0.051102770076631</v>
      </c>
      <c r="R11">
        <v>0.971297643410265</v>
      </c>
      <c r="S11" t="s">
        <v>2204</v>
      </c>
      <c r="T11" t="s">
        <v>4362</v>
      </c>
      <c r="U11" t="s">
        <v>4362</v>
      </c>
      <c r="V11" t="s">
        <v>4362</v>
      </c>
      <c r="W11" t="s">
        <v>4373</v>
      </c>
      <c r="X11">
        <v>25</v>
      </c>
      <c r="Y11" t="s">
        <v>6532</v>
      </c>
      <c r="Z11" t="s">
        <v>8699</v>
      </c>
      <c r="AA11">
        <v>0.3582907955222104</v>
      </c>
      <c r="AB11">
        <f>HYPERLINK("Melting_Curves/meltCurve_P00490_malP.pdf", "Melting_Curves/meltCurve_P00490_malP.pdf")</f>
        <v>0</v>
      </c>
    </row>
    <row r="12" spans="1:28">
      <c r="A12" t="s">
        <v>38</v>
      </c>
      <c r="B12">
        <v>0.999739202189716</v>
      </c>
      <c r="C12">
        <v>0.956924596333375</v>
      </c>
      <c r="D12">
        <v>1.03772035053965</v>
      </c>
      <c r="E12">
        <v>0.865251332732846</v>
      </c>
      <c r="F12">
        <v>0.970895773057927</v>
      </c>
      <c r="G12">
        <v>0.893454308124518</v>
      </c>
      <c r="H12">
        <v>0.650730266687648</v>
      </c>
      <c r="I12">
        <v>0.25324315845841</v>
      </c>
      <c r="J12">
        <v>0.139480464561533</v>
      </c>
      <c r="K12">
        <v>0.09150975872181651</v>
      </c>
      <c r="L12">
        <v>1588.98609350625</v>
      </c>
      <c r="M12">
        <v>27.2585439193521</v>
      </c>
      <c r="N12">
        <v>58.5675045105433</v>
      </c>
      <c r="O12">
        <v>57.9821042876367</v>
      </c>
      <c r="P12">
        <v>-0.110486729357368</v>
      </c>
      <c r="Q12">
        <v>0.0599361648721054</v>
      </c>
      <c r="R12">
        <v>0.9822578851317481</v>
      </c>
      <c r="S12" t="s">
        <v>2205</v>
      </c>
      <c r="T12" t="s">
        <v>4362</v>
      </c>
      <c r="U12" t="s">
        <v>4362</v>
      </c>
      <c r="V12" t="s">
        <v>4362</v>
      </c>
      <c r="W12" t="s">
        <v>4374</v>
      </c>
      <c r="X12">
        <v>20</v>
      </c>
      <c r="Y12" t="s">
        <v>6533</v>
      </c>
      <c r="Z12" t="s">
        <v>8700</v>
      </c>
      <c r="AA12">
        <v>0.7326377625290639</v>
      </c>
      <c r="AB12">
        <f>HYPERLINK("Melting_Curves/meltCurve_P00509_aspC.pdf", "Melting_Curves/meltCurve_P00509_aspC.pdf")</f>
        <v>0</v>
      </c>
    </row>
    <row r="13" spans="1:28">
      <c r="A13" t="s">
        <v>39</v>
      </c>
      <c r="B13">
        <v>0.999739202189716</v>
      </c>
      <c r="C13">
        <v>0.903802899321963</v>
      </c>
      <c r="D13">
        <v>0.890402119712578</v>
      </c>
      <c r="E13">
        <v>0.7443465385504759</v>
      </c>
      <c r="F13">
        <v>0.682825876585312</v>
      </c>
      <c r="G13">
        <v>0.492997157629465</v>
      </c>
      <c r="H13">
        <v>0.419906175930231</v>
      </c>
      <c r="I13">
        <v>0.359966868978949</v>
      </c>
      <c r="J13">
        <v>0.304602287749853</v>
      </c>
      <c r="K13">
        <v>0.26482943044903</v>
      </c>
      <c r="L13">
        <v>427.96778998829</v>
      </c>
      <c r="M13">
        <v>8.20784080036622</v>
      </c>
      <c r="N13">
        <v>54.5304835942432</v>
      </c>
      <c r="O13">
        <v>49.3206562073675</v>
      </c>
      <c r="P13">
        <v>-0.0353574016722684</v>
      </c>
      <c r="Q13">
        <v>0.151026017766918</v>
      </c>
      <c r="R13">
        <v>0.991953620182218</v>
      </c>
      <c r="S13" t="s">
        <v>2206</v>
      </c>
      <c r="T13" t="s">
        <v>4362</v>
      </c>
      <c r="U13" t="s">
        <v>4362</v>
      </c>
      <c r="V13" t="s">
        <v>4362</v>
      </c>
      <c r="W13" t="s">
        <v>4375</v>
      </c>
      <c r="X13">
        <v>9</v>
      </c>
      <c r="Y13" t="s">
        <v>6534</v>
      </c>
      <c r="Z13" t="s">
        <v>8701</v>
      </c>
      <c r="AA13">
        <v>0.6029123259796426</v>
      </c>
      <c r="AB13">
        <f>HYPERLINK("Melting_Curves/meltCurve_P00547_thrB.pdf", "Melting_Curves/meltCurve_P00547_thrB.pdf")</f>
        <v>0</v>
      </c>
    </row>
    <row r="14" spans="1:28">
      <c r="A14" t="s">
        <v>40</v>
      </c>
      <c r="B14">
        <v>0.999739202189716</v>
      </c>
      <c r="C14">
        <v>1.01776811107712</v>
      </c>
      <c r="D14">
        <v>0.50739178848634</v>
      </c>
      <c r="E14">
        <v>0.337996639149122</v>
      </c>
      <c r="F14">
        <v>0.18264418833232</v>
      </c>
      <c r="G14">
        <v>0.123193033800265</v>
      </c>
      <c r="H14">
        <v>0.103332263108218</v>
      </c>
      <c r="I14">
        <v>0.08515697082273049</v>
      </c>
      <c r="J14">
        <v>0.075661355719792</v>
      </c>
      <c r="K14">
        <v>0.06866099993443139</v>
      </c>
      <c r="L14">
        <v>956.278897715213</v>
      </c>
      <c r="M14">
        <v>21.9606534328299</v>
      </c>
      <c r="N14">
        <v>43.9863852405257</v>
      </c>
      <c r="O14">
        <v>43.1888435612636</v>
      </c>
      <c r="P14">
        <v>-0.114554857538774</v>
      </c>
      <c r="Q14">
        <v>0.0988644796425153</v>
      </c>
      <c r="R14">
        <v>0.972643380476761</v>
      </c>
      <c r="S14" t="s">
        <v>2207</v>
      </c>
      <c r="T14" t="s">
        <v>4362</v>
      </c>
      <c r="U14" t="s">
        <v>4362</v>
      </c>
      <c r="V14" t="s">
        <v>4362</v>
      </c>
      <c r="W14" t="s">
        <v>4376</v>
      </c>
      <c r="X14">
        <v>11</v>
      </c>
      <c r="Y14" t="s">
        <v>6535</v>
      </c>
      <c r="Z14" t="s">
        <v>8702</v>
      </c>
      <c r="AA14">
        <v>0.3053998964036732</v>
      </c>
      <c r="AB14">
        <f>HYPERLINK("Melting_Curves/meltCurve_P00550_mtlA.pdf", "Melting_Curves/meltCurve_P00550_mtlA.pdf")</f>
        <v>0</v>
      </c>
    </row>
    <row r="15" spans="1:28">
      <c r="A15" t="s">
        <v>41</v>
      </c>
      <c r="B15">
        <v>0.999739202189716</v>
      </c>
      <c r="C15">
        <v>0.965518410682197</v>
      </c>
      <c r="D15">
        <v>0.391653674132133</v>
      </c>
      <c r="E15">
        <v>0.315948927665635</v>
      </c>
      <c r="F15">
        <v>0.185663290923083</v>
      </c>
      <c r="G15">
        <v>0.146163931130126</v>
      </c>
      <c r="H15">
        <v>0.120058808097453</v>
      </c>
      <c r="I15">
        <v>0.09309760364830311</v>
      </c>
      <c r="J15">
        <v>0.0877218812613843</v>
      </c>
      <c r="K15">
        <v>0.0877038052578366</v>
      </c>
      <c r="L15">
        <v>1644.00315498055</v>
      </c>
      <c r="M15">
        <v>38.9310996242238</v>
      </c>
      <c r="N15">
        <v>42.5921408257771</v>
      </c>
      <c r="O15">
        <v>42.1175609042884</v>
      </c>
      <c r="P15">
        <v>-0.198415251541871</v>
      </c>
      <c r="Q15">
        <v>0.141380622070273</v>
      </c>
      <c r="R15">
        <v>0.96713234062331</v>
      </c>
      <c r="S15" t="s">
        <v>2208</v>
      </c>
      <c r="T15" t="s">
        <v>4362</v>
      </c>
      <c r="U15" t="s">
        <v>4362</v>
      </c>
      <c r="V15" t="s">
        <v>4362</v>
      </c>
      <c r="W15" t="s">
        <v>4377</v>
      </c>
      <c r="X15">
        <v>7</v>
      </c>
      <c r="Y15" t="s">
        <v>6536</v>
      </c>
      <c r="Z15" t="s">
        <v>8703</v>
      </c>
      <c r="AA15">
        <v>0.2937653422853331</v>
      </c>
      <c r="AB15">
        <f>HYPERLINK("Melting_Curves/meltCurve_P00561_thrA.pdf", "Melting_Curves/meltCurve_P00561_thrA.pdf")</f>
        <v>0</v>
      </c>
    </row>
    <row r="16" spans="1:28">
      <c r="A16" t="s">
        <v>42</v>
      </c>
      <c r="B16">
        <v>0.999739202189716</v>
      </c>
      <c r="C16">
        <v>0.950413217926863</v>
      </c>
      <c r="D16">
        <v>0.5481592823511749</v>
      </c>
      <c r="E16">
        <v>0.526476960919392</v>
      </c>
      <c r="F16">
        <v>0.363988495793588</v>
      </c>
      <c r="G16">
        <v>0.224644125075609</v>
      </c>
      <c r="H16">
        <v>0.181992373706565</v>
      </c>
      <c r="I16">
        <v>0.152894484887101</v>
      </c>
      <c r="J16">
        <v>0.211993634769141</v>
      </c>
      <c r="K16">
        <v>0.190045111859034</v>
      </c>
      <c r="L16">
        <v>611.9474489450899</v>
      </c>
      <c r="M16">
        <v>13.7321760949988</v>
      </c>
      <c r="N16">
        <v>45.9715520620963</v>
      </c>
      <c r="O16">
        <v>43.6498899044505</v>
      </c>
      <c r="P16">
        <v>-0.0651532259969515</v>
      </c>
      <c r="Q16">
        <v>0.171719133972237</v>
      </c>
      <c r="R16">
        <v>0.957325939018562</v>
      </c>
      <c r="S16" t="s">
        <v>2209</v>
      </c>
      <c r="T16" t="s">
        <v>4362</v>
      </c>
      <c r="U16" t="s">
        <v>4362</v>
      </c>
      <c r="V16" t="s">
        <v>4362</v>
      </c>
      <c r="W16" t="s">
        <v>4378</v>
      </c>
      <c r="X16">
        <v>2</v>
      </c>
      <c r="Y16" t="s">
        <v>6537</v>
      </c>
      <c r="Z16" t="s">
        <v>8704</v>
      </c>
      <c r="AA16">
        <v>0.4044389529757483</v>
      </c>
      <c r="AB16">
        <f>HYPERLINK("Melting_Curves/meltCurve_P00562_metL.pdf", "Melting_Curves/meltCurve_P00562_metL.pdf")</f>
        <v>0</v>
      </c>
    </row>
    <row r="17" spans="1:28">
      <c r="A17" t="s">
        <v>43</v>
      </c>
      <c r="B17">
        <v>0.999739202189716</v>
      </c>
      <c r="C17">
        <v>0.854502920208613</v>
      </c>
      <c r="D17">
        <v>0.386279047842371</v>
      </c>
      <c r="E17">
        <v>0.174006107851561</v>
      </c>
      <c r="F17">
        <v>0.105812961072271</v>
      </c>
      <c r="G17">
        <v>0.0751476860943335</v>
      </c>
      <c r="H17">
        <v>0.0586103775343199</v>
      </c>
      <c r="I17">
        <v>0.044681907403487</v>
      </c>
      <c r="J17">
        <v>0.0421717394049169</v>
      </c>
      <c r="K17">
        <v>0.0349757870233626</v>
      </c>
      <c r="L17">
        <v>1135.67128841163</v>
      </c>
      <c r="M17">
        <v>26.917396360938</v>
      </c>
      <c r="N17">
        <v>42.3991098765221</v>
      </c>
      <c r="O17">
        <v>41.960184303131</v>
      </c>
      <c r="P17">
        <v>-0.150450540213571</v>
      </c>
      <c r="Q17">
        <v>0.0618902820558472</v>
      </c>
      <c r="R17">
        <v>0.99478335908875</v>
      </c>
      <c r="S17" t="s">
        <v>2210</v>
      </c>
      <c r="T17" t="s">
        <v>4362</v>
      </c>
      <c r="U17" t="s">
        <v>4362</v>
      </c>
      <c r="V17" t="s">
        <v>4362</v>
      </c>
      <c r="W17" t="s">
        <v>4379</v>
      </c>
      <c r="X17">
        <v>16</v>
      </c>
      <c r="Y17" t="s">
        <v>6538</v>
      </c>
      <c r="Z17" t="s">
        <v>8705</v>
      </c>
      <c r="AA17">
        <v>0.2311199090948406</v>
      </c>
      <c r="AB17">
        <f>HYPERLINK("Melting_Curves/meltCurve_P00579_rpoD.pdf", "Melting_Curves/meltCurve_P00579_rpoD.pdf")</f>
        <v>0</v>
      </c>
    </row>
    <row r="18" spans="1:28">
      <c r="A18" t="s">
        <v>44</v>
      </c>
      <c r="B18">
        <v>0.999739202189716</v>
      </c>
      <c r="C18">
        <v>1.31686072980613</v>
      </c>
      <c r="D18">
        <v>0.561779536642865</v>
      </c>
      <c r="E18">
        <v>0.421347137957329</v>
      </c>
      <c r="F18">
        <v>0.269326022849319</v>
      </c>
      <c r="G18">
        <v>0.164688415417659</v>
      </c>
      <c r="H18">
        <v>0.09188975829120211</v>
      </c>
      <c r="I18">
        <v>0.07495915069006349</v>
      </c>
      <c r="J18">
        <v>0.0650957255974652</v>
      </c>
      <c r="K18">
        <v>0.049388850330482</v>
      </c>
      <c r="L18">
        <v>940.126053818507</v>
      </c>
      <c r="M18">
        <v>20.8844812673023</v>
      </c>
      <c r="N18">
        <v>45.4636662701862</v>
      </c>
      <c r="O18">
        <v>44.608900377202</v>
      </c>
      <c r="P18">
        <v>-0.106156834045309</v>
      </c>
      <c r="Q18">
        <v>0.0930280375700227</v>
      </c>
      <c r="R18">
        <v>0.89044917726888</v>
      </c>
      <c r="S18" t="s">
        <v>2211</v>
      </c>
      <c r="T18" t="s">
        <v>4362</v>
      </c>
      <c r="U18" t="s">
        <v>4362</v>
      </c>
      <c r="V18" t="s">
        <v>4362</v>
      </c>
      <c r="W18" t="s">
        <v>4380</v>
      </c>
      <c r="X18">
        <v>22</v>
      </c>
      <c r="Y18" t="s">
        <v>6539</v>
      </c>
      <c r="Z18" t="s">
        <v>8706</v>
      </c>
      <c r="AA18">
        <v>0.3462344947343904</v>
      </c>
      <c r="AB18">
        <f>HYPERLINK("Melting_Curves/meltCurve_P00582_polA.pdf", "Melting_Curves/meltCurve_P00582_polA.pdf")</f>
        <v>0</v>
      </c>
    </row>
    <row r="19" spans="1:28">
      <c r="A19" t="s">
        <v>45</v>
      </c>
      <c r="B19">
        <v>0.999739202189716</v>
      </c>
      <c r="C19">
        <v>1.20994363081472</v>
      </c>
      <c r="D19">
        <v>0.823000106888043</v>
      </c>
      <c r="E19">
        <v>0.98388344690231</v>
      </c>
      <c r="F19">
        <v>0.872221941711781</v>
      </c>
      <c r="G19">
        <v>0.746664825641862</v>
      </c>
      <c r="H19">
        <v>0.661048363553827</v>
      </c>
      <c r="I19">
        <v>0.590961120811025</v>
      </c>
      <c r="J19">
        <v>0.620657441099117</v>
      </c>
      <c r="K19">
        <v>0.517936323783142</v>
      </c>
      <c r="L19">
        <v>711.757303065717</v>
      </c>
      <c r="M19">
        <v>13.2456844433644</v>
      </c>
      <c r="O19">
        <v>52.5545348963931</v>
      </c>
      <c r="P19">
        <v>-0.030272786557195</v>
      </c>
      <c r="Q19">
        <v>0.519628813032436</v>
      </c>
      <c r="R19">
        <v>0.81800740679846</v>
      </c>
      <c r="S19" t="s">
        <v>2212</v>
      </c>
      <c r="T19" t="s">
        <v>4362</v>
      </c>
      <c r="U19" t="s">
        <v>4362</v>
      </c>
      <c r="V19" t="s">
        <v>4362</v>
      </c>
      <c r="W19" t="s">
        <v>4381</v>
      </c>
      <c r="X19">
        <v>7</v>
      </c>
      <c r="Y19" t="s">
        <v>6540</v>
      </c>
      <c r="Z19" t="s">
        <v>8707</v>
      </c>
      <c r="AA19">
        <v>0.7962844932956095</v>
      </c>
      <c r="AB19">
        <f>HYPERLINK("Melting_Curves/meltCurve_P00634_phoA.pdf", "Melting_Curves/meltCurve_P00634_phoA.pdf")</f>
        <v>0</v>
      </c>
    </row>
    <row r="20" spans="1:28">
      <c r="A20" t="s">
        <v>46</v>
      </c>
      <c r="B20">
        <v>0.999739202189716</v>
      </c>
      <c r="C20">
        <v>0.932924814816207</v>
      </c>
      <c r="D20">
        <v>0.992899184358894</v>
      </c>
      <c r="E20">
        <v>0.728642104856279</v>
      </c>
      <c r="F20">
        <v>0.309692068700445</v>
      </c>
      <c r="G20">
        <v>0.128818109479126</v>
      </c>
      <c r="H20">
        <v>0.0827885891008506</v>
      </c>
      <c r="I20">
        <v>0.0644868445914767</v>
      </c>
      <c r="J20">
        <v>0.06725339893002261</v>
      </c>
      <c r="K20">
        <v>0.0582941611014403</v>
      </c>
      <c r="L20">
        <v>1270.45508639663</v>
      </c>
      <c r="M20">
        <v>26.3391256427714</v>
      </c>
      <c r="N20">
        <v>48.4891293335714</v>
      </c>
      <c r="O20">
        <v>47.9590543460948</v>
      </c>
      <c r="P20">
        <v>-0.12843428602629</v>
      </c>
      <c r="Q20">
        <v>0.06458252910551909</v>
      </c>
      <c r="R20">
        <v>0.996884741783991</v>
      </c>
      <c r="S20" t="s">
        <v>2213</v>
      </c>
      <c r="T20" t="s">
        <v>4362</v>
      </c>
      <c r="U20" t="s">
        <v>4362</v>
      </c>
      <c r="V20" t="s">
        <v>4362</v>
      </c>
      <c r="W20" t="s">
        <v>4382</v>
      </c>
      <c r="X20">
        <v>11</v>
      </c>
      <c r="Y20" t="s">
        <v>6541</v>
      </c>
      <c r="Z20" t="s">
        <v>8708</v>
      </c>
      <c r="AA20">
        <v>0.4220956227931352</v>
      </c>
      <c r="AB20">
        <f>HYPERLINK("Melting_Curves/meltCurve_P00803_lepB.pdf", "Melting_Curves/meltCurve_P00803_lepB.pdf")</f>
        <v>0</v>
      </c>
    </row>
    <row r="21" spans="1:28">
      <c r="A21" t="s">
        <v>47</v>
      </c>
      <c r="B21">
        <v>0.999739202189716</v>
      </c>
      <c r="C21">
        <v>0.937808281910819</v>
      </c>
      <c r="D21">
        <v>0.929140690391606</v>
      </c>
      <c r="E21">
        <v>0.948717156502903</v>
      </c>
      <c r="F21">
        <v>0.85342217832927</v>
      </c>
      <c r="G21">
        <v>0.609268292798133</v>
      </c>
      <c r="H21">
        <v>0.433853502536337</v>
      </c>
      <c r="I21">
        <v>0.350869599274681</v>
      </c>
      <c r="J21">
        <v>0.322054716685179</v>
      </c>
      <c r="K21">
        <v>0.262284458181953</v>
      </c>
      <c r="L21">
        <v>919.7410941897911</v>
      </c>
      <c r="M21">
        <v>17.1275929641163</v>
      </c>
      <c r="N21">
        <v>56.0714064716466</v>
      </c>
      <c r="O21">
        <v>52.9833829274089</v>
      </c>
      <c r="P21">
        <v>-0.0599906932079583</v>
      </c>
      <c r="Q21">
        <v>0.25773127467082</v>
      </c>
      <c r="R21">
        <v>0.988706205623453</v>
      </c>
      <c r="S21" t="s">
        <v>2214</v>
      </c>
      <c r="T21" t="s">
        <v>4362</v>
      </c>
      <c r="U21" t="s">
        <v>4362</v>
      </c>
      <c r="V21" t="s">
        <v>4362</v>
      </c>
      <c r="W21" t="s">
        <v>4383</v>
      </c>
      <c r="X21">
        <v>14</v>
      </c>
      <c r="Y21" t="s">
        <v>6542</v>
      </c>
      <c r="Z21" t="s">
        <v>8709</v>
      </c>
      <c r="AA21">
        <v>0.6818875866538451</v>
      </c>
      <c r="AB21">
        <f>HYPERLINK("Melting_Curves/meltCurve_P00805_ansB.pdf", "Melting_Curves/meltCurve_P00805_ansB.pdf")</f>
        <v>0</v>
      </c>
    </row>
    <row r="22" spans="1:28">
      <c r="A22" t="s">
        <v>48</v>
      </c>
      <c r="B22">
        <v>0.999739202189716</v>
      </c>
      <c r="C22">
        <v>0.918112780855066</v>
      </c>
      <c r="D22">
        <v>0.952665896770999</v>
      </c>
      <c r="E22">
        <v>0.841466715684444</v>
      </c>
      <c r="F22">
        <v>0.919446555982346</v>
      </c>
      <c r="G22">
        <v>0.726801278526892</v>
      </c>
      <c r="H22">
        <v>0.396465593192848</v>
      </c>
      <c r="I22">
        <v>0.254470034728641</v>
      </c>
      <c r="J22">
        <v>0.250262170701264</v>
      </c>
      <c r="K22">
        <v>0.198224585032725</v>
      </c>
      <c r="L22">
        <v>1172.35060888396</v>
      </c>
      <c r="M22">
        <v>21.2909903228367</v>
      </c>
      <c r="N22">
        <v>56.2636522872982</v>
      </c>
      <c r="O22">
        <v>54.5843511349364</v>
      </c>
      <c r="P22">
        <v>-0.07971584369504391</v>
      </c>
      <c r="Q22">
        <v>0.18254086109035</v>
      </c>
      <c r="R22">
        <v>0.967307228492476</v>
      </c>
      <c r="S22" t="s">
        <v>2215</v>
      </c>
      <c r="T22" t="s">
        <v>4362</v>
      </c>
      <c r="U22" t="s">
        <v>4362</v>
      </c>
      <c r="V22" t="s">
        <v>4362</v>
      </c>
      <c r="W22" t="s">
        <v>4384</v>
      </c>
      <c r="X22">
        <v>9</v>
      </c>
      <c r="Y22" t="s">
        <v>6543</v>
      </c>
      <c r="Z22" t="s">
        <v>8710</v>
      </c>
      <c r="AA22">
        <v>0.6833353724069605</v>
      </c>
      <c r="AB22">
        <f>HYPERLINK("Melting_Curves/meltCurve_P00811_ampC.pdf", "Melting_Curves/meltCurve_P00811_ampC.pdf")</f>
        <v>0</v>
      </c>
    </row>
    <row r="23" spans="1:28">
      <c r="A23" t="s">
        <v>49</v>
      </c>
      <c r="B23">
        <v>0.999739202189716</v>
      </c>
      <c r="C23">
        <v>0.567753844976115</v>
      </c>
      <c r="D23">
        <v>0.190880198920589</v>
      </c>
      <c r="E23">
        <v>0.130955785492339</v>
      </c>
      <c r="F23">
        <v>0.0954703174754151</v>
      </c>
      <c r="G23">
        <v>0.0592896091827156</v>
      </c>
      <c r="H23">
        <v>0.0512010749339173</v>
      </c>
      <c r="I23">
        <v>0.0424375107731981</v>
      </c>
      <c r="J23">
        <v>0.0381868224762439</v>
      </c>
      <c r="K23">
        <v>0.0324675521615475</v>
      </c>
      <c r="L23">
        <v>1263.90733943383</v>
      </c>
      <c r="M23">
        <v>31.4190408769583</v>
      </c>
      <c r="N23">
        <v>40.4016955273653</v>
      </c>
      <c r="O23">
        <v>40.0655325466134</v>
      </c>
      <c r="P23">
        <v>-0.183625594715086</v>
      </c>
      <c r="Q23">
        <v>0.0633685696463771</v>
      </c>
      <c r="R23">
        <v>0.988705446812011</v>
      </c>
      <c r="S23" t="s">
        <v>2216</v>
      </c>
      <c r="T23" t="s">
        <v>4362</v>
      </c>
      <c r="U23" t="s">
        <v>4362</v>
      </c>
      <c r="V23" t="s">
        <v>4362</v>
      </c>
      <c r="W23" t="s">
        <v>4385</v>
      </c>
      <c r="X23">
        <v>20</v>
      </c>
      <c r="Y23" t="s">
        <v>6544</v>
      </c>
      <c r="Z23" t="s">
        <v>8711</v>
      </c>
      <c r="AA23">
        <v>0.1703770848169638</v>
      </c>
      <c r="AB23">
        <f>HYPERLINK("Melting_Curves/meltCurve_P00864_ppc.pdf", "Melting_Curves/meltCurve_P00864_ppc.pdf")</f>
        <v>0</v>
      </c>
    </row>
    <row r="24" spans="1:28">
      <c r="A24" t="s">
        <v>50</v>
      </c>
      <c r="B24">
        <v>0.999739202189716</v>
      </c>
      <c r="C24">
        <v>0.385664697979166</v>
      </c>
      <c r="D24">
        <v>0.275157511409161</v>
      </c>
      <c r="E24">
        <v>0.220055886659603</v>
      </c>
      <c r="F24">
        <v>0.183877100052426</v>
      </c>
      <c r="G24">
        <v>0.132117875639682</v>
      </c>
      <c r="H24">
        <v>0.09558432280601011</v>
      </c>
      <c r="I24">
        <v>0.08480509336919199</v>
      </c>
      <c r="J24">
        <v>0.07735546365521929</v>
      </c>
      <c r="K24">
        <v>0.06844909855720489</v>
      </c>
      <c r="L24">
        <v>2083.6454462852</v>
      </c>
      <c r="M24">
        <v>53.0739337950368</v>
      </c>
      <c r="N24">
        <v>39.5039836637918</v>
      </c>
      <c r="O24">
        <v>39.2036815151099</v>
      </c>
      <c r="P24">
        <v>-0.29103894250859</v>
      </c>
      <c r="Q24">
        <v>0.140083312458522</v>
      </c>
      <c r="R24">
        <v>0.94447594873323</v>
      </c>
      <c r="S24" t="s">
        <v>2217</v>
      </c>
      <c r="T24" t="s">
        <v>4362</v>
      </c>
      <c r="U24" t="s">
        <v>4362</v>
      </c>
      <c r="V24" t="s">
        <v>4362</v>
      </c>
      <c r="W24" t="s">
        <v>4386</v>
      </c>
      <c r="X24">
        <v>3</v>
      </c>
      <c r="Y24" t="s">
        <v>6545</v>
      </c>
      <c r="Z24" t="s">
        <v>8712</v>
      </c>
      <c r="AA24">
        <v>0.2068627231288714</v>
      </c>
      <c r="AB24">
        <f>HYPERLINK("Melting_Curves/meltCurve_P00887_aroH.pdf", "Melting_Curves/meltCurve_P00887_aroH.pdf")</f>
        <v>0</v>
      </c>
    </row>
    <row r="25" spans="1:28">
      <c r="A25" t="s">
        <v>51</v>
      </c>
      <c r="B25">
        <v>0.999739202189716</v>
      </c>
      <c r="C25">
        <v>1.16647365611276</v>
      </c>
      <c r="D25">
        <v>0.829789695762554</v>
      </c>
      <c r="E25">
        <v>0.706125732733455</v>
      </c>
      <c r="F25">
        <v>0.468374428177945</v>
      </c>
      <c r="G25">
        <v>0.313807699150542</v>
      </c>
      <c r="H25">
        <v>0.196659234907422</v>
      </c>
      <c r="I25">
        <v>0.135603654345974</v>
      </c>
      <c r="J25">
        <v>0.124138939753376</v>
      </c>
      <c r="K25">
        <v>0.110288445685443</v>
      </c>
      <c r="L25">
        <v>734.14548062294</v>
      </c>
      <c r="M25">
        <v>14.9781463346729</v>
      </c>
      <c r="N25">
        <v>49.7615826128875</v>
      </c>
      <c r="O25">
        <v>48.1656410736324</v>
      </c>
      <c r="P25">
        <v>-0.06992155179847551</v>
      </c>
      <c r="Q25">
        <v>0.100696675470477</v>
      </c>
      <c r="R25">
        <v>0.968459501328568</v>
      </c>
      <c r="S25" t="s">
        <v>2218</v>
      </c>
      <c r="T25" t="s">
        <v>4362</v>
      </c>
      <c r="U25" t="s">
        <v>4362</v>
      </c>
      <c r="V25" t="s">
        <v>4362</v>
      </c>
      <c r="W25" t="s">
        <v>4387</v>
      </c>
      <c r="X25">
        <v>12</v>
      </c>
      <c r="Y25" t="s">
        <v>6546</v>
      </c>
      <c r="Z25" t="s">
        <v>8713</v>
      </c>
      <c r="AA25">
        <v>0.4802341055458323</v>
      </c>
      <c r="AB25">
        <f>HYPERLINK("Melting_Curves/meltCurve_P00895_trpE.pdf", "Melting_Curves/meltCurve_P00895_trpE.pdf")</f>
        <v>0</v>
      </c>
    </row>
    <row r="26" spans="1:28">
      <c r="A26" t="s">
        <v>52</v>
      </c>
      <c r="B26">
        <v>0.999739202189716</v>
      </c>
      <c r="C26">
        <v>0.890902935404464</v>
      </c>
      <c r="D26">
        <v>0.8185636028611309</v>
      </c>
      <c r="E26">
        <v>0.668928696678222</v>
      </c>
      <c r="F26">
        <v>0.505886450751189</v>
      </c>
      <c r="G26">
        <v>0.382801049372958</v>
      </c>
      <c r="H26">
        <v>0.315846384867472</v>
      </c>
      <c r="I26">
        <v>0.232947094863523</v>
      </c>
      <c r="J26">
        <v>0.224464984274989</v>
      </c>
      <c r="K26">
        <v>0.163538366850713</v>
      </c>
      <c r="L26">
        <v>463.575340239463</v>
      </c>
      <c r="M26">
        <v>9.443926920328851</v>
      </c>
      <c r="N26">
        <v>50.5401128782589</v>
      </c>
      <c r="O26">
        <v>47.0371995437699</v>
      </c>
      <c r="P26">
        <v>-0.0442534556193304</v>
      </c>
      <c r="Q26">
        <v>0.118883432644431</v>
      </c>
      <c r="R26">
        <v>0.99635267425895</v>
      </c>
      <c r="S26" t="s">
        <v>2219</v>
      </c>
      <c r="T26" t="s">
        <v>4362</v>
      </c>
      <c r="U26" t="s">
        <v>4362</v>
      </c>
      <c r="V26" t="s">
        <v>4362</v>
      </c>
      <c r="W26" t="s">
        <v>4388</v>
      </c>
      <c r="X26">
        <v>2</v>
      </c>
      <c r="Y26" t="s">
        <v>6547</v>
      </c>
      <c r="Z26" t="s">
        <v>8714</v>
      </c>
      <c r="AA26">
        <v>0.5084221558133889</v>
      </c>
      <c r="AB26">
        <f>HYPERLINK("Melting_Curves/meltCurve_P00903_pabA.pdf", "Melting_Curves/meltCurve_P00903_pabA.pdf")</f>
        <v>0</v>
      </c>
    </row>
    <row r="27" spans="1:28">
      <c r="A27" t="s">
        <v>53</v>
      </c>
      <c r="B27">
        <v>0.999739202189716</v>
      </c>
      <c r="C27">
        <v>0.8416797467706471</v>
      </c>
      <c r="D27">
        <v>0.647015390788646</v>
      </c>
      <c r="E27">
        <v>0.563686241214238</v>
      </c>
      <c r="F27">
        <v>0.412977182525138</v>
      </c>
      <c r="G27">
        <v>0.313110711374454</v>
      </c>
      <c r="H27">
        <v>0.26094255245421</v>
      </c>
      <c r="I27">
        <v>0.217986046733229</v>
      </c>
      <c r="J27">
        <v>0.179018814561901</v>
      </c>
      <c r="K27">
        <v>0.178222564036399</v>
      </c>
      <c r="L27">
        <v>454.569395692426</v>
      </c>
      <c r="M27">
        <v>9.905903901236769</v>
      </c>
      <c r="N27">
        <v>47.5627687606002</v>
      </c>
      <c r="O27">
        <v>44.1360400241768</v>
      </c>
      <c r="P27">
        <v>-0.0478758773859876</v>
      </c>
      <c r="Q27">
        <v>0.147180398200179</v>
      </c>
      <c r="R27">
        <v>0.986549207501569</v>
      </c>
      <c r="S27" t="s">
        <v>2220</v>
      </c>
      <c r="T27" t="s">
        <v>4362</v>
      </c>
      <c r="U27" t="s">
        <v>4362</v>
      </c>
      <c r="V27" t="s">
        <v>4362</v>
      </c>
      <c r="W27" t="s">
        <v>4389</v>
      </c>
      <c r="X27">
        <v>2</v>
      </c>
      <c r="Y27" t="s">
        <v>6548</v>
      </c>
      <c r="Z27" t="s">
        <v>8715</v>
      </c>
      <c r="AA27">
        <v>0.4401757564728795</v>
      </c>
      <c r="AB27">
        <f>HYPERLINK("Melting_Curves/meltCurve_P00904_trpGD.pdf", "Melting_Curves/meltCurve_P00904_trpGD.pdf")</f>
        <v>0</v>
      </c>
    </row>
    <row r="28" spans="1:28">
      <c r="A28" t="s">
        <v>54</v>
      </c>
      <c r="B28">
        <v>0.999739202189716</v>
      </c>
      <c r="C28">
        <v>0.967750213891776</v>
      </c>
      <c r="D28">
        <v>0.81255101877306</v>
      </c>
      <c r="E28">
        <v>0.404172895824659</v>
      </c>
      <c r="F28">
        <v>0.194256660229849</v>
      </c>
      <c r="G28">
        <v>0.128675448095278</v>
      </c>
      <c r="H28">
        <v>0.124718860713846</v>
      </c>
      <c r="I28">
        <v>0.086513744822379</v>
      </c>
      <c r="J28">
        <v>0.07248946664511979</v>
      </c>
      <c r="K28">
        <v>0.0566742248848709</v>
      </c>
      <c r="L28">
        <v>1028.49508249698</v>
      </c>
      <c r="M28">
        <v>22.6257231583131</v>
      </c>
      <c r="N28">
        <v>45.8409774577215</v>
      </c>
      <c r="O28">
        <v>45.1062792996524</v>
      </c>
      <c r="P28">
        <v>-0.114576937832133</v>
      </c>
      <c r="Q28">
        <v>0.0863435422866114</v>
      </c>
      <c r="R28">
        <v>0.997931415840693</v>
      </c>
      <c r="S28" t="s">
        <v>2221</v>
      </c>
      <c r="T28" t="s">
        <v>4362</v>
      </c>
      <c r="U28" t="s">
        <v>4362</v>
      </c>
      <c r="V28" t="s">
        <v>4362</v>
      </c>
      <c r="W28" t="s">
        <v>4390</v>
      </c>
      <c r="X28">
        <v>15</v>
      </c>
      <c r="Y28" t="s">
        <v>6549</v>
      </c>
      <c r="Z28" t="s">
        <v>8716</v>
      </c>
      <c r="AA28">
        <v>0.3531608313339011</v>
      </c>
      <c r="AB28">
        <f>HYPERLINK("Melting_Curves/meltCurve_P00909_trpC.pdf", "Melting_Curves/meltCurve_P00909_trpC.pdf")</f>
        <v>0</v>
      </c>
    </row>
    <row r="29" spans="1:28">
      <c r="A29" t="s">
        <v>55</v>
      </c>
      <c r="B29">
        <v>0.999739202189716</v>
      </c>
      <c r="C29">
        <v>1.03550259236933</v>
      </c>
      <c r="D29">
        <v>1.0328304862673</v>
      </c>
      <c r="E29">
        <v>0.793168358592659</v>
      </c>
      <c r="F29">
        <v>0.354639543429758</v>
      </c>
      <c r="G29">
        <v>0.173790103658368</v>
      </c>
      <c r="H29">
        <v>0.144782288577603</v>
      </c>
      <c r="I29">
        <v>0.115887472905018</v>
      </c>
      <c r="J29">
        <v>0.105388854925615</v>
      </c>
      <c r="K29">
        <v>0.103582049173073</v>
      </c>
      <c r="L29">
        <v>1455.71329411756</v>
      </c>
      <c r="M29">
        <v>29.9924379487112</v>
      </c>
      <c r="N29">
        <v>48.971388323936</v>
      </c>
      <c r="O29">
        <v>48.321772502071</v>
      </c>
      <c r="P29">
        <v>-0.137011960334158</v>
      </c>
      <c r="Q29">
        <v>0.117028418305811</v>
      </c>
      <c r="R29">
        <v>0.9969610578164571</v>
      </c>
      <c r="S29" t="s">
        <v>2222</v>
      </c>
      <c r="T29" t="s">
        <v>4362</v>
      </c>
      <c r="U29" t="s">
        <v>4362</v>
      </c>
      <c r="V29" t="s">
        <v>4362</v>
      </c>
      <c r="W29" t="s">
        <v>4391</v>
      </c>
      <c r="X29">
        <v>9</v>
      </c>
      <c r="Y29" t="s">
        <v>6550</v>
      </c>
      <c r="Z29" t="s">
        <v>8717</v>
      </c>
      <c r="AA29">
        <v>0.4618448974684931</v>
      </c>
      <c r="AB29">
        <f>HYPERLINK("Melting_Curves/meltCurve_P00926_dsdA.pdf", "Melting_Curves/meltCurve_P00926_dsdA.pdf")</f>
        <v>0</v>
      </c>
    </row>
    <row r="30" spans="1:28">
      <c r="A30" t="s">
        <v>56</v>
      </c>
      <c r="B30">
        <v>0.999739202189716</v>
      </c>
      <c r="C30">
        <v>0.807082668826331</v>
      </c>
      <c r="D30">
        <v>0.799375722293254</v>
      </c>
      <c r="E30">
        <v>0.592301064328091</v>
      </c>
      <c r="F30">
        <v>0.460813512263014</v>
      </c>
      <c r="G30">
        <v>0.271194285456725</v>
      </c>
      <c r="H30">
        <v>0.165808235111342</v>
      </c>
      <c r="I30">
        <v>0.127018796863362</v>
      </c>
      <c r="J30">
        <v>0.0947260037657892</v>
      </c>
      <c r="K30">
        <v>0.093862863848537</v>
      </c>
      <c r="L30">
        <v>456.636131854061</v>
      </c>
      <c r="M30">
        <v>9.40630835896421</v>
      </c>
      <c r="N30">
        <v>48.5808697907926</v>
      </c>
      <c r="O30">
        <v>46.5032743119366</v>
      </c>
      <c r="P30">
        <v>-0.050427418042732</v>
      </c>
      <c r="Q30">
        <v>0.00339204102780617</v>
      </c>
      <c r="R30">
        <v>0.988362055095569</v>
      </c>
      <c r="S30" t="s">
        <v>2223</v>
      </c>
      <c r="T30" t="s">
        <v>4362</v>
      </c>
      <c r="U30" t="s">
        <v>4362</v>
      </c>
      <c r="V30" t="s">
        <v>4362</v>
      </c>
      <c r="W30" t="s">
        <v>4392</v>
      </c>
      <c r="X30">
        <v>10</v>
      </c>
      <c r="Y30" t="s">
        <v>6551</v>
      </c>
      <c r="Z30" t="s">
        <v>8718</v>
      </c>
      <c r="AA30">
        <v>0.4281478168768701</v>
      </c>
      <c r="AB30">
        <f>HYPERLINK("Melting_Curves/meltCurve_P00934_thrC.pdf", "Melting_Curves/meltCurve_P00934_thrC.pdf")</f>
        <v>0</v>
      </c>
    </row>
    <row r="31" spans="1:28">
      <c r="A31" t="s">
        <v>57</v>
      </c>
      <c r="B31">
        <v>0.999739202189716</v>
      </c>
      <c r="C31">
        <v>0.781751671603143</v>
      </c>
      <c r="D31">
        <v>0.781554910438356</v>
      </c>
      <c r="E31">
        <v>0.584922313328911</v>
      </c>
      <c r="F31">
        <v>0.513862398050229</v>
      </c>
      <c r="G31">
        <v>0.477343796583586</v>
      </c>
      <c r="H31">
        <v>0.323892980489946</v>
      </c>
      <c r="I31">
        <v>0.255601044067507</v>
      </c>
      <c r="J31">
        <v>0.170176819831692</v>
      </c>
      <c r="K31">
        <v>0.0996841158933409</v>
      </c>
      <c r="L31">
        <v>339.463718498811</v>
      </c>
      <c r="M31">
        <v>6.7159111574279</v>
      </c>
      <c r="N31">
        <v>50.5461892615991</v>
      </c>
      <c r="O31">
        <v>46.6305400975067</v>
      </c>
      <c r="P31">
        <v>-0.0360836317023069</v>
      </c>
      <c r="Q31">
        <v>0</v>
      </c>
      <c r="R31">
        <v>0.966702206987255</v>
      </c>
      <c r="S31" t="s">
        <v>2224</v>
      </c>
      <c r="T31" t="s">
        <v>4362</v>
      </c>
      <c r="U31" t="s">
        <v>4362</v>
      </c>
      <c r="V31" t="s">
        <v>4362</v>
      </c>
      <c r="W31" t="s">
        <v>4393</v>
      </c>
      <c r="X31">
        <v>4</v>
      </c>
      <c r="Y31" t="s">
        <v>6552</v>
      </c>
      <c r="Z31" t="s">
        <v>8719</v>
      </c>
      <c r="AA31">
        <v>0.4924835278225873</v>
      </c>
      <c r="AB31">
        <f>HYPERLINK("Melting_Curves/meltCurve_P00935_metB.pdf", "Melting_Curves/meltCurve_P00935_metB.pdf")</f>
        <v>0</v>
      </c>
    </row>
    <row r="32" spans="1:28">
      <c r="A32" t="s">
        <v>58</v>
      </c>
      <c r="B32">
        <v>0.999739202189716</v>
      </c>
      <c r="C32">
        <v>1.07408541694267</v>
      </c>
      <c r="D32">
        <v>0.834918122086901</v>
      </c>
      <c r="E32">
        <v>0.589746309359246</v>
      </c>
      <c r="F32">
        <v>0.347214608496341</v>
      </c>
      <c r="G32">
        <v>0.248879178706206</v>
      </c>
      <c r="H32">
        <v>0.181330876767439</v>
      </c>
      <c r="I32">
        <v>0.131414287644482</v>
      </c>
      <c r="J32">
        <v>0.119633650770536</v>
      </c>
      <c r="K32">
        <v>0.09671437801182101</v>
      </c>
      <c r="L32">
        <v>810.584949704732</v>
      </c>
      <c r="M32">
        <v>17.1788467986184</v>
      </c>
      <c r="N32">
        <v>47.9464693879907</v>
      </c>
      <c r="O32">
        <v>46.5595794590377</v>
      </c>
      <c r="P32">
        <v>-0.0812343232214245</v>
      </c>
      <c r="Q32">
        <v>0.119379176554909</v>
      </c>
      <c r="R32">
        <v>0.987931168276197</v>
      </c>
      <c r="S32" t="s">
        <v>2225</v>
      </c>
      <c r="T32" t="s">
        <v>4362</v>
      </c>
      <c r="U32" t="s">
        <v>4362</v>
      </c>
      <c r="V32" t="s">
        <v>4362</v>
      </c>
      <c r="W32" t="s">
        <v>4394</v>
      </c>
      <c r="X32">
        <v>6</v>
      </c>
      <c r="Y32" t="s">
        <v>6553</v>
      </c>
      <c r="Z32" t="s">
        <v>8720</v>
      </c>
      <c r="AA32">
        <v>0.4337733361381874</v>
      </c>
      <c r="AB32">
        <f>HYPERLINK("Melting_Curves/meltCurve_P00944_xylA.pdf", "Melting_Curves/meltCurve_P00944_xylA.pdf")</f>
        <v>0</v>
      </c>
    </row>
    <row r="33" spans="1:28">
      <c r="A33" t="s">
        <v>59</v>
      </c>
      <c r="B33">
        <v>0.999739202189716</v>
      </c>
      <c r="C33">
        <v>0.909279316849097</v>
      </c>
      <c r="D33">
        <v>0.967506765890648</v>
      </c>
      <c r="E33">
        <v>0.865862004812363</v>
      </c>
      <c r="F33">
        <v>1.06871116465193</v>
      </c>
      <c r="G33">
        <v>0.730896339494565</v>
      </c>
      <c r="H33">
        <v>0.524089239073902</v>
      </c>
      <c r="I33">
        <v>0.256988836742299</v>
      </c>
      <c r="J33">
        <v>0.180370556497255</v>
      </c>
      <c r="K33">
        <v>0.0981308135264493</v>
      </c>
      <c r="L33">
        <v>1159.30274758539</v>
      </c>
      <c r="M33">
        <v>20.3300812543792</v>
      </c>
      <c r="N33">
        <v>57.4555815098667</v>
      </c>
      <c r="O33">
        <v>56.4808885110407</v>
      </c>
      <c r="P33">
        <v>-0.0836174496035625</v>
      </c>
      <c r="Q33">
        <v>0.0708069265637922</v>
      </c>
      <c r="R33">
        <v>0.963427443754367</v>
      </c>
      <c r="S33" t="s">
        <v>2226</v>
      </c>
      <c r="T33" t="s">
        <v>4362</v>
      </c>
      <c r="U33" t="s">
        <v>4362</v>
      </c>
      <c r="V33" t="s">
        <v>4362</v>
      </c>
      <c r="W33" t="s">
        <v>4395</v>
      </c>
      <c r="X33">
        <v>7</v>
      </c>
      <c r="Y33" t="s">
        <v>6554</v>
      </c>
      <c r="Z33" t="s">
        <v>8721</v>
      </c>
      <c r="AA33">
        <v>0.699089403003247</v>
      </c>
      <c r="AB33">
        <f>HYPERLINK("Melting_Curves/meltCurve_P00946_manA.pdf", "Melting_Curves/meltCurve_P00946_manA.pdf")</f>
        <v>0</v>
      </c>
    </row>
    <row r="34" spans="1:28">
      <c r="A34" t="s">
        <v>60</v>
      </c>
      <c r="B34">
        <v>0.999739202189716</v>
      </c>
      <c r="C34">
        <v>1.01849046429126</v>
      </c>
      <c r="D34">
        <v>0.598999432991292</v>
      </c>
      <c r="E34">
        <v>0.542656703673607</v>
      </c>
      <c r="F34">
        <v>0.249497985378825</v>
      </c>
      <c r="G34">
        <v>0.153775100093867</v>
      </c>
      <c r="H34">
        <v>0.113932545833131</v>
      </c>
      <c r="I34">
        <v>0.100095434043453</v>
      </c>
      <c r="J34">
        <v>0.0981990427915554</v>
      </c>
      <c r="K34">
        <v>0.0831440207686303</v>
      </c>
      <c r="L34">
        <v>685.029310966182</v>
      </c>
      <c r="M34">
        <v>15.0312455188775</v>
      </c>
      <c r="N34">
        <v>46.1019534350081</v>
      </c>
      <c r="O34">
        <v>44.7898810926964</v>
      </c>
      <c r="P34">
        <v>-0.0772691669753168</v>
      </c>
      <c r="Q34">
        <v>0.07911023823284979</v>
      </c>
      <c r="R34">
        <v>0.968900216899609</v>
      </c>
      <c r="S34" t="s">
        <v>2227</v>
      </c>
      <c r="T34" t="s">
        <v>4362</v>
      </c>
      <c r="U34" t="s">
        <v>4362</v>
      </c>
      <c r="V34" t="s">
        <v>4362</v>
      </c>
      <c r="W34" t="s">
        <v>4396</v>
      </c>
      <c r="X34">
        <v>9</v>
      </c>
      <c r="Y34" t="s">
        <v>6555</v>
      </c>
      <c r="Z34" t="s">
        <v>8722</v>
      </c>
      <c r="AA34">
        <v>0.3636996357294783</v>
      </c>
      <c r="AB34">
        <f>HYPERLINK("Melting_Curves/meltCurve_P00954_trpS.pdf", "Melting_Curves/meltCurve_P00954_trpS.pdf")</f>
        <v>0</v>
      </c>
    </row>
    <row r="35" spans="1:28">
      <c r="A35" t="s">
        <v>61</v>
      </c>
      <c r="B35">
        <v>0.999739202189716</v>
      </c>
      <c r="C35">
        <v>1.25186292365979</v>
      </c>
      <c r="D35">
        <v>0.992160551950298</v>
      </c>
      <c r="E35">
        <v>1.08881343678003</v>
      </c>
      <c r="F35">
        <v>0.772092600166022</v>
      </c>
      <c r="G35">
        <v>0.579760238766356</v>
      </c>
      <c r="H35">
        <v>0.179609819929322</v>
      </c>
      <c r="I35">
        <v>0.0948992318529773</v>
      </c>
      <c r="J35">
        <v>0.0824326683479282</v>
      </c>
      <c r="K35">
        <v>0.0695254751652841</v>
      </c>
      <c r="L35">
        <v>1301.27327920849</v>
      </c>
      <c r="M35">
        <v>24.1995807522738</v>
      </c>
      <c r="N35">
        <v>54.0147427949402</v>
      </c>
      <c r="O35">
        <v>53.4093952974484</v>
      </c>
      <c r="P35">
        <v>-0.107451878053801</v>
      </c>
      <c r="Q35">
        <v>0.0514129844169173</v>
      </c>
      <c r="R35">
        <v>0.955610385275487</v>
      </c>
      <c r="S35" t="s">
        <v>2228</v>
      </c>
      <c r="T35" t="s">
        <v>4362</v>
      </c>
      <c r="U35" t="s">
        <v>4362</v>
      </c>
      <c r="V35" t="s">
        <v>4362</v>
      </c>
      <c r="W35" t="s">
        <v>4397</v>
      </c>
      <c r="X35">
        <v>31</v>
      </c>
      <c r="Y35" t="s">
        <v>6556</v>
      </c>
      <c r="Z35" t="s">
        <v>8723</v>
      </c>
      <c r="AA35">
        <v>0.5905176159521559</v>
      </c>
      <c r="AB35">
        <f>HYPERLINK("Melting_Curves/meltCurve_P00956_ileS.pdf", "Melting_Curves/meltCurve_P00956_ileS.pdf")</f>
        <v>0</v>
      </c>
    </row>
    <row r="36" spans="1:28">
      <c r="A36" t="s">
        <v>62</v>
      </c>
      <c r="B36">
        <v>0.999739202189716</v>
      </c>
      <c r="C36">
        <v>1.32496053882499</v>
      </c>
      <c r="D36">
        <v>1.15035107720836</v>
      </c>
      <c r="E36">
        <v>1.38020866226889</v>
      </c>
      <c r="F36">
        <v>0.764061054763216</v>
      </c>
      <c r="G36">
        <v>0.325475400391997</v>
      </c>
      <c r="H36">
        <v>0.118837578712344</v>
      </c>
      <c r="I36">
        <v>0.07847403240873339</v>
      </c>
      <c r="J36">
        <v>0.0750329904716968</v>
      </c>
      <c r="K36">
        <v>0.0585425021692507</v>
      </c>
      <c r="L36">
        <v>1949.34390922151</v>
      </c>
      <c r="M36">
        <v>37.3740348516541</v>
      </c>
      <c r="N36">
        <v>52.3919309871435</v>
      </c>
      <c r="O36">
        <v>52.0090620813443</v>
      </c>
      <c r="P36">
        <v>-0.165830271911349</v>
      </c>
      <c r="Q36">
        <v>0.0769364825577268</v>
      </c>
      <c r="R36">
        <v>0.896537740608029</v>
      </c>
      <c r="S36" t="s">
        <v>2229</v>
      </c>
      <c r="T36" t="s">
        <v>4362</v>
      </c>
      <c r="U36" t="s">
        <v>4362</v>
      </c>
      <c r="V36" t="s">
        <v>4362</v>
      </c>
      <c r="W36" t="s">
        <v>4398</v>
      </c>
      <c r="X36">
        <v>39</v>
      </c>
      <c r="Y36" t="s">
        <v>6557</v>
      </c>
      <c r="Z36" t="s">
        <v>8724</v>
      </c>
      <c r="AA36">
        <v>0.5471193481806549</v>
      </c>
      <c r="AB36">
        <f>HYPERLINK("Melting_Curves/meltCurve_P00957_alaS.pdf", "Melting_Curves/meltCurve_P00957_alaS.pdf")</f>
        <v>0</v>
      </c>
    </row>
    <row r="37" spans="1:28">
      <c r="A37" t="s">
        <v>63</v>
      </c>
      <c r="B37">
        <v>0.999739202189716</v>
      </c>
      <c r="C37">
        <v>1.12133575867988</v>
      </c>
      <c r="D37">
        <v>0.790645691266576</v>
      </c>
      <c r="E37">
        <v>0.592141934935705</v>
      </c>
      <c r="F37">
        <v>0.356096313035821</v>
      </c>
      <c r="G37">
        <v>0.217279667691684</v>
      </c>
      <c r="H37">
        <v>0.190194982055406</v>
      </c>
      <c r="I37">
        <v>0.154871561567885</v>
      </c>
      <c r="J37">
        <v>0.151446831448146</v>
      </c>
      <c r="K37">
        <v>0.122298989641701</v>
      </c>
      <c r="L37">
        <v>847.282128634924</v>
      </c>
      <c r="M37">
        <v>18.0844718935195</v>
      </c>
      <c r="N37">
        <v>47.7400918052759</v>
      </c>
      <c r="O37">
        <v>46.2897489309141</v>
      </c>
      <c r="P37">
        <v>-0.08371475016081251</v>
      </c>
      <c r="Q37">
        <v>0.142922729587524</v>
      </c>
      <c r="R37">
        <v>0.976693064675894</v>
      </c>
      <c r="S37" t="s">
        <v>2230</v>
      </c>
      <c r="T37" t="s">
        <v>4362</v>
      </c>
      <c r="U37" t="s">
        <v>4362</v>
      </c>
      <c r="V37" t="s">
        <v>4362</v>
      </c>
      <c r="W37" t="s">
        <v>4399</v>
      </c>
      <c r="X37">
        <v>23</v>
      </c>
      <c r="Y37" t="s">
        <v>6558</v>
      </c>
      <c r="Z37" t="s">
        <v>8725</v>
      </c>
      <c r="AA37">
        <v>0.4380144294144557</v>
      </c>
      <c r="AB37">
        <f>HYPERLINK("Melting_Curves/meltCurve_P00959_metG.pdf", "Melting_Curves/meltCurve_P00959_metG.pdf")</f>
        <v>0</v>
      </c>
    </row>
    <row r="38" spans="1:28">
      <c r="A38" t="s">
        <v>64</v>
      </c>
      <c r="B38">
        <v>0.999739202189716</v>
      </c>
      <c r="C38">
        <v>0.7295876793763511</v>
      </c>
      <c r="D38">
        <v>0.60859675910267</v>
      </c>
      <c r="E38">
        <v>0.408859297904911</v>
      </c>
      <c r="F38">
        <v>0.262230443404493</v>
      </c>
      <c r="G38">
        <v>0.215989140327436</v>
      </c>
      <c r="H38">
        <v>0.132760776815588</v>
      </c>
      <c r="I38">
        <v>0.105421321587289</v>
      </c>
      <c r="J38">
        <v>0.0805529065340541</v>
      </c>
      <c r="K38">
        <v>0.0726440683470706</v>
      </c>
      <c r="L38">
        <v>493.812648979132</v>
      </c>
      <c r="M38">
        <v>11.1378675120091</v>
      </c>
      <c r="N38">
        <v>44.8867556686942</v>
      </c>
      <c r="O38">
        <v>42.979142557698</v>
      </c>
      <c r="P38">
        <v>-0.0606708941339329</v>
      </c>
      <c r="Q38">
        <v>0.0638264449352869</v>
      </c>
      <c r="R38">
        <v>0.9849536340175959</v>
      </c>
      <c r="S38" t="s">
        <v>2231</v>
      </c>
      <c r="T38" t="s">
        <v>4362</v>
      </c>
      <c r="U38" t="s">
        <v>4362</v>
      </c>
      <c r="V38" t="s">
        <v>4362</v>
      </c>
      <c r="W38" t="s">
        <v>4400</v>
      </c>
      <c r="X38">
        <v>8</v>
      </c>
      <c r="Y38" t="s">
        <v>6559</v>
      </c>
      <c r="Z38" t="s">
        <v>8726</v>
      </c>
      <c r="AA38">
        <v>0.3332884312002224</v>
      </c>
      <c r="AB38">
        <f>HYPERLINK("Melting_Curves/meltCurve_P00960_glyQ.pdf", "Melting_Curves/meltCurve_P00960_glyQ.pdf")</f>
        <v>0</v>
      </c>
    </row>
    <row r="39" spans="1:28">
      <c r="A39" t="s">
        <v>65</v>
      </c>
      <c r="B39">
        <v>0.999739202189716</v>
      </c>
      <c r="C39">
        <v>1.15707363176585</v>
      </c>
      <c r="D39">
        <v>0.927241223233694</v>
      </c>
      <c r="E39">
        <v>0.519075706591095</v>
      </c>
      <c r="F39">
        <v>0.178997801390146</v>
      </c>
      <c r="G39">
        <v>0.110994689174979</v>
      </c>
      <c r="H39">
        <v>0.0873461713047564</v>
      </c>
      <c r="I39">
        <v>0.0692018410023041</v>
      </c>
      <c r="J39">
        <v>0.0639010866011646</v>
      </c>
      <c r="K39">
        <v>0.0569392015452813</v>
      </c>
      <c r="L39">
        <v>1431.59820458418</v>
      </c>
      <c r="M39">
        <v>30.7635786628685</v>
      </c>
      <c r="N39">
        <v>46.7857850971413</v>
      </c>
      <c r="O39">
        <v>46.3401801496966</v>
      </c>
      <c r="P39">
        <v>-0.153373228158343</v>
      </c>
      <c r="Q39">
        <v>0.0758811104909366</v>
      </c>
      <c r="R39">
        <v>0.984475607311038</v>
      </c>
      <c r="S39" t="s">
        <v>2232</v>
      </c>
      <c r="T39" t="s">
        <v>4362</v>
      </c>
      <c r="U39" t="s">
        <v>4362</v>
      </c>
      <c r="V39" t="s">
        <v>4362</v>
      </c>
      <c r="W39" t="s">
        <v>4401</v>
      </c>
      <c r="X39">
        <v>33</v>
      </c>
      <c r="Y39" t="s">
        <v>6560</v>
      </c>
      <c r="Z39" t="s">
        <v>8727</v>
      </c>
      <c r="AA39">
        <v>0.3746715599321154</v>
      </c>
      <c r="AB39">
        <f>HYPERLINK("Melting_Curves/meltCurve_P00961_glyS.pdf", "Melting_Curves/meltCurve_P00961_glyS.pdf")</f>
        <v>0</v>
      </c>
    </row>
    <row r="40" spans="1:28">
      <c r="A40" t="s">
        <v>66</v>
      </c>
      <c r="B40">
        <v>0.999739202189716</v>
      </c>
      <c r="C40">
        <v>1.20054176212969</v>
      </c>
      <c r="D40">
        <v>0.972892872009478</v>
      </c>
      <c r="E40">
        <v>0.670302852977135</v>
      </c>
      <c r="F40">
        <v>0.229958144880323</v>
      </c>
      <c r="G40">
        <v>0.117133751635083</v>
      </c>
      <c r="H40">
        <v>0.08775293508903829</v>
      </c>
      <c r="I40">
        <v>0.0631348894427288</v>
      </c>
      <c r="J40">
        <v>0.0606133279883252</v>
      </c>
      <c r="K40">
        <v>0.0541592864176946</v>
      </c>
      <c r="L40">
        <v>1452.72421056895</v>
      </c>
      <c r="M40">
        <v>30.5347778540465</v>
      </c>
      <c r="N40">
        <v>47.8120575657446</v>
      </c>
      <c r="O40">
        <v>47.3733933902396</v>
      </c>
      <c r="P40">
        <v>-0.149867182462589</v>
      </c>
      <c r="Q40">
        <v>0.0699557252764562</v>
      </c>
      <c r="R40">
        <v>0.978087077937694</v>
      </c>
      <c r="S40" t="s">
        <v>2233</v>
      </c>
      <c r="T40" t="s">
        <v>4362</v>
      </c>
      <c r="U40" t="s">
        <v>4362</v>
      </c>
      <c r="V40" t="s">
        <v>4362</v>
      </c>
      <c r="W40" t="s">
        <v>4402</v>
      </c>
      <c r="X40">
        <v>19</v>
      </c>
      <c r="Y40" t="s">
        <v>6561</v>
      </c>
      <c r="Z40" t="s">
        <v>8728</v>
      </c>
      <c r="AA40">
        <v>0.4031024527477177</v>
      </c>
      <c r="AB40">
        <f>HYPERLINK("Melting_Curves/meltCurve_P00962_glnS.pdf", "Melting_Curves/meltCurve_P00962_glnS.pdf")</f>
        <v>0</v>
      </c>
    </row>
    <row r="41" spans="1:28">
      <c r="A41" t="s">
        <v>67</v>
      </c>
      <c r="B41">
        <v>0.999739202189716</v>
      </c>
      <c r="C41">
        <v>0.839302122696913</v>
      </c>
      <c r="D41">
        <v>0.643564537998782</v>
      </c>
      <c r="E41">
        <v>0.505660063809772</v>
      </c>
      <c r="F41">
        <v>0.44230572390673</v>
      </c>
      <c r="G41">
        <v>0.332821282155211</v>
      </c>
      <c r="H41">
        <v>0.302323239862853</v>
      </c>
      <c r="I41">
        <v>0.207867649203036</v>
      </c>
      <c r="J41">
        <v>0.193211037407414</v>
      </c>
      <c r="K41">
        <v>0.152835820621191</v>
      </c>
      <c r="L41">
        <v>428.927550932145</v>
      </c>
      <c r="M41">
        <v>9.358289381400141</v>
      </c>
      <c r="N41">
        <v>47.5641724414373</v>
      </c>
      <c r="O41">
        <v>43.8871348363412</v>
      </c>
      <c r="P41">
        <v>-0.0456468742131013</v>
      </c>
      <c r="Q41">
        <v>0.144263835067512</v>
      </c>
      <c r="R41">
        <v>0.978204342072734</v>
      </c>
      <c r="S41" t="s">
        <v>2234</v>
      </c>
      <c r="T41" t="s">
        <v>4362</v>
      </c>
      <c r="U41" t="s">
        <v>4362</v>
      </c>
      <c r="V41" t="s">
        <v>4362</v>
      </c>
      <c r="W41" t="s">
        <v>4403</v>
      </c>
      <c r="X41">
        <v>3</v>
      </c>
      <c r="Y41" t="s">
        <v>6562</v>
      </c>
      <c r="Z41" t="s">
        <v>8729</v>
      </c>
      <c r="AA41">
        <v>0.440420416478487</v>
      </c>
      <c r="AB41">
        <f>HYPERLINK("Melting_Curves/meltCurve_P00963_asnA.pdf", "Melting_Curves/meltCurve_P00963_asnA.pdf")</f>
        <v>0</v>
      </c>
    </row>
    <row r="42" spans="1:28">
      <c r="A42" t="s">
        <v>68</v>
      </c>
      <c r="B42">
        <v>0.999739202189716</v>
      </c>
      <c r="C42">
        <v>1.29632687819349</v>
      </c>
      <c r="D42">
        <v>0.688122330969538</v>
      </c>
      <c r="E42">
        <v>0.643391684365323</v>
      </c>
      <c r="F42">
        <v>0.505389488828096</v>
      </c>
      <c r="G42">
        <v>0.368404144081093</v>
      </c>
      <c r="H42">
        <v>0.263128091159916</v>
      </c>
      <c r="I42">
        <v>0.137217581666978</v>
      </c>
      <c r="J42">
        <v>0.10075258354103</v>
      </c>
      <c r="K42">
        <v>0.08196928582459539</v>
      </c>
      <c r="L42">
        <v>566.533156427577</v>
      </c>
      <c r="M42">
        <v>11.4131241341094</v>
      </c>
      <c r="N42">
        <v>50.1229589867608</v>
      </c>
      <c r="O42">
        <v>48.1881275530189</v>
      </c>
      <c r="P42">
        <v>-0.0561370053439715</v>
      </c>
      <c r="Q42">
        <v>0.0521979344166572</v>
      </c>
      <c r="R42">
        <v>0.8912152704622019</v>
      </c>
      <c r="S42" t="s">
        <v>2235</v>
      </c>
      <c r="T42" t="s">
        <v>4362</v>
      </c>
      <c r="U42" t="s">
        <v>4362</v>
      </c>
      <c r="V42" t="s">
        <v>4362</v>
      </c>
      <c r="W42" t="s">
        <v>4404</v>
      </c>
      <c r="X42">
        <v>11</v>
      </c>
      <c r="Y42" t="s">
        <v>6563</v>
      </c>
      <c r="Z42" t="s">
        <v>8730</v>
      </c>
      <c r="AA42">
        <v>0.4803213547957889</v>
      </c>
      <c r="AB42">
        <f>HYPERLINK("Melting_Curves/meltCurve_P00968_carB.pdf", "Melting_Curves/meltCurve_P00968_carB.pdf")</f>
        <v>0</v>
      </c>
    </row>
    <row r="43" spans="1:28">
      <c r="A43" t="s">
        <v>69</v>
      </c>
      <c r="B43">
        <v>0.999739202189716</v>
      </c>
      <c r="C43">
        <v>1.04626815925867</v>
      </c>
      <c r="D43">
        <v>0.823788133209656</v>
      </c>
      <c r="E43">
        <v>1.05638808080356</v>
      </c>
      <c r="F43">
        <v>0.973075046047689</v>
      </c>
      <c r="G43">
        <v>0.73901945785104</v>
      </c>
      <c r="H43">
        <v>0.680528125647644</v>
      </c>
      <c r="I43">
        <v>0.628074669002965</v>
      </c>
      <c r="J43">
        <v>0.472837693376587</v>
      </c>
      <c r="K43">
        <v>0.579917552511952</v>
      </c>
      <c r="L43">
        <v>1232.4610810936</v>
      </c>
      <c r="M43">
        <v>22.7463575173023</v>
      </c>
      <c r="O43">
        <v>53.7692194463603</v>
      </c>
      <c r="P43">
        <v>-0.0480319615137409</v>
      </c>
      <c r="Q43">
        <v>0.54584542846721</v>
      </c>
      <c r="R43">
        <v>0.866683807012547</v>
      </c>
      <c r="S43" t="s">
        <v>2236</v>
      </c>
      <c r="T43" t="s">
        <v>4362</v>
      </c>
      <c r="U43" t="s">
        <v>4362</v>
      </c>
      <c r="V43" t="s">
        <v>4362</v>
      </c>
      <c r="W43" t="s">
        <v>4405</v>
      </c>
      <c r="X43">
        <v>5</v>
      </c>
      <c r="Y43" t="s">
        <v>6564</v>
      </c>
      <c r="Z43" t="s">
        <v>8731</v>
      </c>
      <c r="AA43">
        <v>0.8105319787031962</v>
      </c>
      <c r="AB43">
        <f>HYPERLINK("Melting_Curves/meltCurve_P02358_rpsF.pdf", "Melting_Curves/meltCurve_P02358_rpsF.pdf")</f>
        <v>0</v>
      </c>
    </row>
    <row r="44" spans="1:28">
      <c r="A44" t="s">
        <v>70</v>
      </c>
      <c r="B44">
        <v>0.999739202189716</v>
      </c>
      <c r="C44">
        <v>0.55438455651366</v>
      </c>
      <c r="D44">
        <v>0.229130562748281</v>
      </c>
      <c r="E44">
        <v>0.204727974441949</v>
      </c>
      <c r="F44">
        <v>0.113685300175904</v>
      </c>
      <c r="G44">
        <v>0.0763814485571276</v>
      </c>
      <c r="H44">
        <v>0.0546757788125809</v>
      </c>
      <c r="I44">
        <v>0.0459493920524593</v>
      </c>
      <c r="J44">
        <v>0.054099636318386</v>
      </c>
      <c r="K44">
        <v>0.0702241191245014</v>
      </c>
      <c r="L44">
        <v>1114.51183911444</v>
      </c>
      <c r="M44">
        <v>27.7099516305884</v>
      </c>
      <c r="N44">
        <v>40.4918964540788</v>
      </c>
      <c r="O44">
        <v>40.0129112503378</v>
      </c>
      <c r="P44">
        <v>-0.158465384858843</v>
      </c>
      <c r="Q44">
        <v>0.0847180647007271</v>
      </c>
      <c r="R44">
        <v>0.974773340951978</v>
      </c>
      <c r="S44" t="s">
        <v>2237</v>
      </c>
      <c r="T44" t="s">
        <v>4362</v>
      </c>
      <c r="U44" t="s">
        <v>4362</v>
      </c>
      <c r="V44" t="s">
        <v>4362</v>
      </c>
      <c r="W44" t="s">
        <v>4406</v>
      </c>
      <c r="X44">
        <v>6</v>
      </c>
      <c r="Y44" t="s">
        <v>6565</v>
      </c>
      <c r="Z44" t="s">
        <v>8732</v>
      </c>
      <c r="AA44">
        <v>0.1913502173728269</v>
      </c>
      <c r="AB44">
        <f>HYPERLINK("Melting_Curves/meltCurve_P02359_rpsG.pdf", "Melting_Curves/meltCurve_P02359_rpsG.pdf")</f>
        <v>0</v>
      </c>
    </row>
    <row r="45" spans="1:28">
      <c r="A45" t="s">
        <v>71</v>
      </c>
      <c r="B45">
        <v>0.999739202189716</v>
      </c>
      <c r="C45">
        <v>0.688894097682065</v>
      </c>
      <c r="D45">
        <v>0.386102292372168</v>
      </c>
      <c r="E45">
        <v>0.261189250214592</v>
      </c>
      <c r="F45">
        <v>0.189872833195087</v>
      </c>
      <c r="G45">
        <v>0.148066696925006</v>
      </c>
      <c r="H45">
        <v>0.123467657100419</v>
      </c>
      <c r="I45">
        <v>0.100861834012218</v>
      </c>
      <c r="J45">
        <v>0.113255419654139</v>
      </c>
      <c r="K45">
        <v>0.122345838394748</v>
      </c>
      <c r="L45">
        <v>831.305284181289</v>
      </c>
      <c r="M45">
        <v>20.0996991841211</v>
      </c>
      <c r="N45">
        <v>41.9930344326284</v>
      </c>
      <c r="O45">
        <v>40.9562487112725</v>
      </c>
      <c r="P45">
        <v>-0.106638267371923</v>
      </c>
      <c r="Q45">
        <v>0.130860345476506</v>
      </c>
      <c r="R45">
        <v>0.985509461469431</v>
      </c>
      <c r="S45" t="s">
        <v>2238</v>
      </c>
      <c r="T45" t="s">
        <v>4362</v>
      </c>
      <c r="U45" t="s">
        <v>4362</v>
      </c>
      <c r="V45" t="s">
        <v>4362</v>
      </c>
      <c r="W45" t="s">
        <v>4407</v>
      </c>
      <c r="X45">
        <v>5</v>
      </c>
      <c r="Y45" t="s">
        <v>6566</v>
      </c>
      <c r="Z45" t="s">
        <v>8733</v>
      </c>
      <c r="AA45">
        <v>0.2711112367916818</v>
      </c>
      <c r="AB45">
        <f>HYPERLINK("Melting_Curves/meltCurve_P02413_rplO.pdf", "Melting_Curves/meltCurve_P02413_rplO.pdf")</f>
        <v>0</v>
      </c>
    </row>
    <row r="46" spans="1:28">
      <c r="A46" t="s">
        <v>72</v>
      </c>
      <c r="B46">
        <v>0.999739202189716</v>
      </c>
      <c r="C46">
        <v>1.38027015211003</v>
      </c>
      <c r="D46">
        <v>0.836965558074072</v>
      </c>
      <c r="E46">
        <v>0.224835669933307</v>
      </c>
      <c r="F46">
        <v>0.147343374325642</v>
      </c>
      <c r="G46">
        <v>0.0846425094692487</v>
      </c>
      <c r="H46">
        <v>0.0727987287662408</v>
      </c>
      <c r="I46">
        <v>0.0471733716164168</v>
      </c>
      <c r="J46">
        <v>0.0443589133438664</v>
      </c>
      <c r="K46">
        <v>0.0392347269939344</v>
      </c>
      <c r="L46">
        <v>1915.33488369595</v>
      </c>
      <c r="M46">
        <v>42.7694002115352</v>
      </c>
      <c r="N46">
        <v>44.9446030959992</v>
      </c>
      <c r="O46">
        <v>44.6852602654805</v>
      </c>
      <c r="P46">
        <v>-0.222210931306017</v>
      </c>
      <c r="Q46">
        <v>0.0713418940909272</v>
      </c>
      <c r="R46">
        <v>0.928751603320513</v>
      </c>
      <c r="S46" t="s">
        <v>2239</v>
      </c>
      <c r="T46" t="s">
        <v>4362</v>
      </c>
      <c r="U46" t="s">
        <v>4362</v>
      </c>
      <c r="V46" t="s">
        <v>4362</v>
      </c>
      <c r="W46" t="s">
        <v>4408</v>
      </c>
      <c r="X46">
        <v>13</v>
      </c>
      <c r="Y46" t="s">
        <v>6567</v>
      </c>
      <c r="Z46" t="s">
        <v>8734</v>
      </c>
      <c r="AA46">
        <v>0.3147765331463012</v>
      </c>
      <c r="AB46">
        <f>HYPERLINK("Melting_Curves/meltCurve_P02918_mrcA.pdf", "Melting_Curves/meltCurve_P02918_mrcA.pdf")</f>
        <v>0</v>
      </c>
    </row>
    <row r="47" spans="1:28">
      <c r="A47" t="s">
        <v>73</v>
      </c>
      <c r="B47">
        <v>0.999739202189716</v>
      </c>
      <c r="C47">
        <v>1.09658260299419</v>
      </c>
      <c r="D47">
        <v>0.951465801066447</v>
      </c>
      <c r="E47">
        <v>1.09329518224467</v>
      </c>
      <c r="F47">
        <v>0.709115160355384</v>
      </c>
      <c r="G47">
        <v>0.37391312029609</v>
      </c>
      <c r="H47">
        <v>0.304076436805176</v>
      </c>
      <c r="I47">
        <v>0.262822459921761</v>
      </c>
      <c r="J47">
        <v>0.165142938652293</v>
      </c>
      <c r="K47">
        <v>0.145837133073653</v>
      </c>
      <c r="L47">
        <v>1557.51247263743</v>
      </c>
      <c r="M47">
        <v>30.2780047738065</v>
      </c>
      <c r="N47">
        <v>52.3630504470144</v>
      </c>
      <c r="O47">
        <v>51.2175688735528</v>
      </c>
      <c r="P47">
        <v>-0.117239176173686</v>
      </c>
      <c r="Q47">
        <v>0.206728753609642</v>
      </c>
      <c r="R47">
        <v>0.971374973178935</v>
      </c>
      <c r="S47" t="s">
        <v>2240</v>
      </c>
      <c r="T47" t="s">
        <v>4362</v>
      </c>
      <c r="U47" t="s">
        <v>4362</v>
      </c>
      <c r="V47" t="s">
        <v>4362</v>
      </c>
      <c r="W47" t="s">
        <v>4409</v>
      </c>
      <c r="X47">
        <v>23</v>
      </c>
      <c r="Y47" t="s">
        <v>6568</v>
      </c>
      <c r="Z47" t="s">
        <v>8735</v>
      </c>
      <c r="AA47">
        <v>0.5934506676589871</v>
      </c>
      <c r="AB47">
        <f>HYPERLINK("Melting_Curves/meltCurve_P02919_mrcB.pdf", "Melting_Curves/meltCurve_P02919_mrcB.pdf")</f>
        <v>0</v>
      </c>
    </row>
    <row r="48" spans="1:28">
      <c r="A48" t="s">
        <v>74</v>
      </c>
      <c r="B48">
        <v>0.999739202189716</v>
      </c>
      <c r="C48">
        <v>0.917858406810665</v>
      </c>
      <c r="D48">
        <v>1.00212873689723</v>
      </c>
      <c r="E48">
        <v>0.996406278039174</v>
      </c>
      <c r="F48">
        <v>0.9735892888040359</v>
      </c>
      <c r="G48">
        <v>0.805972643704121</v>
      </c>
      <c r="H48">
        <v>0.791538904466749</v>
      </c>
      <c r="I48">
        <v>0.694155490017534</v>
      </c>
      <c r="J48">
        <v>0.679639237074056</v>
      </c>
      <c r="K48">
        <v>0.599188989824512</v>
      </c>
      <c r="L48">
        <v>734.845585554064</v>
      </c>
      <c r="M48">
        <v>12.9199244429687</v>
      </c>
      <c r="O48">
        <v>55.5660551982062</v>
      </c>
      <c r="P48">
        <v>-0.0250214675723834</v>
      </c>
      <c r="Q48">
        <v>0.569628394675586</v>
      </c>
      <c r="R48">
        <v>0.936395969943014</v>
      </c>
      <c r="S48" t="s">
        <v>2241</v>
      </c>
      <c r="T48" t="s">
        <v>4362</v>
      </c>
      <c r="U48" t="s">
        <v>4362</v>
      </c>
      <c r="V48" t="s">
        <v>4362</v>
      </c>
      <c r="W48" t="s">
        <v>4410</v>
      </c>
      <c r="X48">
        <v>21</v>
      </c>
      <c r="Y48" t="s">
        <v>6569</v>
      </c>
      <c r="Z48" t="s">
        <v>8736</v>
      </c>
      <c r="AA48">
        <v>0.8576945399900749</v>
      </c>
      <c r="AB48">
        <f>HYPERLINK("Melting_Curves/meltCurve_P02924_araF.pdf", "Melting_Curves/meltCurve_P02924_araF.pdf")</f>
        <v>0</v>
      </c>
    </row>
    <row r="49" spans="1:28">
      <c r="A49" t="s">
        <v>75</v>
      </c>
      <c r="B49">
        <v>0.999739202189716</v>
      </c>
      <c r="C49">
        <v>0.986918872840992</v>
      </c>
      <c r="D49">
        <v>0.932711483841787</v>
      </c>
      <c r="E49">
        <v>0.943901879796335</v>
      </c>
      <c r="F49">
        <v>0.986474480872734</v>
      </c>
      <c r="G49">
        <v>0.828251456206283</v>
      </c>
      <c r="H49">
        <v>0.934048652982914</v>
      </c>
      <c r="I49">
        <v>0.8498705027592069</v>
      </c>
      <c r="J49">
        <v>0.798738056562835</v>
      </c>
      <c r="K49">
        <v>0.714548116629528</v>
      </c>
      <c r="L49">
        <v>331.479603902591</v>
      </c>
      <c r="M49">
        <v>3.86014649166307</v>
      </c>
      <c r="Q49">
        <v>0</v>
      </c>
      <c r="R49">
        <v>0.792702122172236</v>
      </c>
      <c r="S49" t="s">
        <v>2242</v>
      </c>
      <c r="T49" t="s">
        <v>4362</v>
      </c>
      <c r="U49" t="s">
        <v>4362</v>
      </c>
      <c r="V49" t="s">
        <v>4362</v>
      </c>
      <c r="W49" t="s">
        <v>4411</v>
      </c>
      <c r="X49">
        <v>24</v>
      </c>
      <c r="Y49" t="s">
        <v>6570</v>
      </c>
      <c r="Z49" t="s">
        <v>8737</v>
      </c>
      <c r="AA49">
        <v>0.9059886330471227</v>
      </c>
      <c r="AB49">
        <f>HYPERLINK("Melting_Curves/meltCurve_P02925_rbsB.pdf", "Melting_Curves/meltCurve_P02925_rbsB.pdf")</f>
        <v>0</v>
      </c>
    </row>
    <row r="50" spans="1:28">
      <c r="A50" t="s">
        <v>76</v>
      </c>
      <c r="B50">
        <v>0.999739202189716</v>
      </c>
      <c r="C50">
        <v>1.09362673558328</v>
      </c>
      <c r="D50">
        <v>0.714361966247832</v>
      </c>
      <c r="E50">
        <v>0.805749267022378</v>
      </c>
      <c r="F50">
        <v>0.61344883130959</v>
      </c>
      <c r="G50">
        <v>0.438533609177223</v>
      </c>
      <c r="H50">
        <v>0.347533530742917</v>
      </c>
      <c r="I50">
        <v>0.247697476593074</v>
      </c>
      <c r="J50">
        <v>0.219657128400872</v>
      </c>
      <c r="K50">
        <v>0.191948190567851</v>
      </c>
      <c r="L50">
        <v>499.678382958049</v>
      </c>
      <c r="M50">
        <v>9.74607656904247</v>
      </c>
      <c r="N50">
        <v>52.5472375421055</v>
      </c>
      <c r="O50">
        <v>49.2509078262358</v>
      </c>
      <c r="P50">
        <v>-0.0442768141500723</v>
      </c>
      <c r="Q50">
        <v>0.105484632314028</v>
      </c>
      <c r="R50">
        <v>0.945843362291954</v>
      </c>
      <c r="S50" t="s">
        <v>2243</v>
      </c>
      <c r="T50" t="s">
        <v>4362</v>
      </c>
      <c r="U50" t="s">
        <v>4362</v>
      </c>
      <c r="V50" t="s">
        <v>4362</v>
      </c>
      <c r="W50" t="s">
        <v>4412</v>
      </c>
      <c r="X50">
        <v>2</v>
      </c>
      <c r="Y50" t="s">
        <v>6571</v>
      </c>
      <c r="Z50" t="s">
        <v>8738</v>
      </c>
      <c r="AA50">
        <v>0.5577952947676169</v>
      </c>
      <c r="AB50">
        <f>HYPERLINK("Melting_Curves/meltCurve_P02929_tonB.pdf", "Melting_Curves/meltCurve_P02929_tonB.pdf")</f>
        <v>0</v>
      </c>
    </row>
    <row r="51" spans="1:28">
      <c r="A51" t="s">
        <v>77</v>
      </c>
      <c r="B51">
        <v>0.999739202189716</v>
      </c>
      <c r="C51">
        <v>1.0990321173967</v>
      </c>
      <c r="D51">
        <v>1.03893478169216</v>
      </c>
      <c r="E51">
        <v>1.04231075685935</v>
      </c>
      <c r="F51">
        <v>0.890953077189538</v>
      </c>
      <c r="G51">
        <v>0.814900960908958</v>
      </c>
      <c r="H51">
        <v>0.581847030926161</v>
      </c>
      <c r="I51">
        <v>0.443140875332845</v>
      </c>
      <c r="J51">
        <v>0.375191717742426</v>
      </c>
      <c r="K51">
        <v>0.242214629316171</v>
      </c>
      <c r="L51">
        <v>884.905184113673</v>
      </c>
      <c r="M51">
        <v>15.3465637825484</v>
      </c>
      <c r="N51">
        <v>59.5228546507881</v>
      </c>
      <c r="O51">
        <v>56.7089849465134</v>
      </c>
      <c r="P51">
        <v>-0.0547661013300925</v>
      </c>
      <c r="Q51">
        <v>0.190582810619294</v>
      </c>
      <c r="R51">
        <v>0.976641179014839</v>
      </c>
      <c r="S51" t="s">
        <v>2244</v>
      </c>
      <c r="T51" t="s">
        <v>4362</v>
      </c>
      <c r="U51" t="s">
        <v>4362</v>
      </c>
      <c r="V51" t="s">
        <v>4362</v>
      </c>
      <c r="W51" t="s">
        <v>4413</v>
      </c>
      <c r="X51">
        <v>14</v>
      </c>
      <c r="Y51" t="s">
        <v>6572</v>
      </c>
      <c r="Z51" t="s">
        <v>8739</v>
      </c>
      <c r="AA51">
        <v>0.7528346342651997</v>
      </c>
      <c r="AB51">
        <f>HYPERLINK("Melting_Curves/meltCurve_P02930_tolC.pdf", "Melting_Curves/meltCurve_P02930_tolC.pdf")</f>
        <v>0</v>
      </c>
    </row>
    <row r="52" spans="1:28">
      <c r="A52" t="s">
        <v>78</v>
      </c>
      <c r="B52">
        <v>0.999739202189716</v>
      </c>
      <c r="C52">
        <v>1.04983757461318</v>
      </c>
      <c r="D52">
        <v>1.15935159173523</v>
      </c>
      <c r="E52">
        <v>0.706882489198933</v>
      </c>
      <c r="F52">
        <v>0.49710600377593</v>
      </c>
      <c r="G52">
        <v>0.339825322012952</v>
      </c>
      <c r="H52">
        <v>0.165347368854459</v>
      </c>
      <c r="I52">
        <v>0.154880806288601</v>
      </c>
      <c r="J52">
        <v>0.139408399904593</v>
      </c>
      <c r="K52">
        <v>0.112312988533243</v>
      </c>
      <c r="L52">
        <v>977.755832478167</v>
      </c>
      <c r="M52">
        <v>19.7746463396593</v>
      </c>
      <c r="N52">
        <v>50.2180068334304</v>
      </c>
      <c r="O52">
        <v>48.9475956461268</v>
      </c>
      <c r="P52">
        <v>-0.08774828212285921</v>
      </c>
      <c r="Q52">
        <v>0.1312266975446</v>
      </c>
      <c r="R52">
        <v>0.962949671204706</v>
      </c>
      <c r="S52" t="s">
        <v>2245</v>
      </c>
      <c r="T52" t="s">
        <v>4362</v>
      </c>
      <c r="U52" t="s">
        <v>4362</v>
      </c>
      <c r="V52" t="s">
        <v>4362</v>
      </c>
      <c r="W52" t="s">
        <v>4414</v>
      </c>
      <c r="X52">
        <v>7</v>
      </c>
      <c r="Y52" t="s">
        <v>6573</v>
      </c>
      <c r="Z52" t="s">
        <v>8740</v>
      </c>
      <c r="AA52">
        <v>0.5033044006207538</v>
      </c>
      <c r="AB52">
        <f>HYPERLINK("Melting_Curves/meltCurve_P02931_ompF.pdf", "Melting_Curves/meltCurve_P02931_ompF.pdf")</f>
        <v>0</v>
      </c>
    </row>
    <row r="53" spans="1:28">
      <c r="A53" t="s">
        <v>79</v>
      </c>
      <c r="B53">
        <v>0.999739202189716</v>
      </c>
      <c r="C53">
        <v>1.04014494150698</v>
      </c>
      <c r="D53">
        <v>0.9623813567459381</v>
      </c>
      <c r="E53">
        <v>0.924859895249969</v>
      </c>
      <c r="F53">
        <v>0.830851561054353</v>
      </c>
      <c r="G53">
        <v>0.677116970767345</v>
      </c>
      <c r="H53">
        <v>0.565356476611297</v>
      </c>
      <c r="I53">
        <v>0.43505805273222</v>
      </c>
      <c r="J53">
        <v>0.36152321775838</v>
      </c>
      <c r="K53">
        <v>0.254906673469949</v>
      </c>
      <c r="L53">
        <v>554.442519976135</v>
      </c>
      <c r="M53">
        <v>9.56522238697932</v>
      </c>
      <c r="N53">
        <v>58.9693654139423</v>
      </c>
      <c r="O53">
        <v>55.6007149482264</v>
      </c>
      <c r="P53">
        <v>-0.039796828156649</v>
      </c>
      <c r="Q53">
        <v>0.0752094411472756</v>
      </c>
      <c r="R53">
        <v>0.994147712516688</v>
      </c>
      <c r="S53" t="s">
        <v>2246</v>
      </c>
      <c r="T53" t="s">
        <v>4362</v>
      </c>
      <c r="U53" t="s">
        <v>4362</v>
      </c>
      <c r="V53" t="s">
        <v>4362</v>
      </c>
      <c r="W53" t="s">
        <v>4415</v>
      </c>
      <c r="X53">
        <v>18</v>
      </c>
      <c r="Y53" t="s">
        <v>6574</v>
      </c>
      <c r="Z53" t="s">
        <v>8741</v>
      </c>
      <c r="AA53">
        <v>0.7118249103212914</v>
      </c>
      <c r="AB53">
        <f>HYPERLINK("Melting_Curves/meltCurve_P02942_tsr.pdf", "Melting_Curves/meltCurve_P02942_tsr.pdf")</f>
        <v>0</v>
      </c>
    </row>
    <row r="54" spans="1:28">
      <c r="A54" t="s">
        <v>80</v>
      </c>
      <c r="B54">
        <v>0.999739202189716</v>
      </c>
      <c r="C54">
        <v>1.26231300016683</v>
      </c>
      <c r="D54">
        <v>1.21805448050733</v>
      </c>
      <c r="E54">
        <v>1.30299475834445</v>
      </c>
      <c r="F54">
        <v>1.14820182159887</v>
      </c>
      <c r="G54">
        <v>1.10447014933314</v>
      </c>
      <c r="H54">
        <v>1.03040996841381</v>
      </c>
      <c r="I54">
        <v>0.900147924642926</v>
      </c>
      <c r="J54">
        <v>0.979492665528693</v>
      </c>
      <c r="K54">
        <v>0.682894792088063</v>
      </c>
      <c r="L54">
        <v>4015.73042708663</v>
      </c>
      <c r="M54">
        <v>59.1660640195934</v>
      </c>
      <c r="Q54">
        <v>0</v>
      </c>
      <c r="R54">
        <v>0.196601099184591</v>
      </c>
      <c r="S54" t="s">
        <v>2247</v>
      </c>
      <c r="T54" t="s">
        <v>4362</v>
      </c>
      <c r="U54" t="s">
        <v>4362</v>
      </c>
      <c r="V54" t="s">
        <v>4362</v>
      </c>
      <c r="W54" t="s">
        <v>4416</v>
      </c>
      <c r="X54">
        <v>10</v>
      </c>
      <c r="Y54" t="s">
        <v>6575</v>
      </c>
      <c r="Z54" t="s">
        <v>8742</v>
      </c>
      <c r="AA54">
        <v>0.9863187471850734</v>
      </c>
      <c r="AB54">
        <f>HYPERLINK("Melting_Curves/meltCurve_P02943_lamB.pdf", "Melting_Curves/meltCurve_P02943_lamB.pdf")</f>
        <v>0</v>
      </c>
    </row>
    <row r="55" spans="1:28">
      <c r="A55" t="s">
        <v>81</v>
      </c>
      <c r="B55">
        <v>0.999739202189716</v>
      </c>
      <c r="C55">
        <v>0.742507930121487</v>
      </c>
      <c r="D55">
        <v>0.587956339583952</v>
      </c>
      <c r="E55">
        <v>0.43002511936461</v>
      </c>
      <c r="F55">
        <v>0.331759571021552</v>
      </c>
      <c r="G55">
        <v>0.20454317816701</v>
      </c>
      <c r="H55">
        <v>0.107499823555387</v>
      </c>
      <c r="I55">
        <v>0.09609909537265381</v>
      </c>
      <c r="J55">
        <v>0.132209092928362</v>
      </c>
      <c r="K55">
        <v>0.109112247505531</v>
      </c>
      <c r="L55">
        <v>484.831980106117</v>
      </c>
      <c r="M55">
        <v>10.9218201787257</v>
      </c>
      <c r="N55">
        <v>45.0963934672014</v>
      </c>
      <c r="O55">
        <v>42.9807625441246</v>
      </c>
      <c r="P55">
        <v>-0.0585603088427114</v>
      </c>
      <c r="Q55">
        <v>0.0785075355341186</v>
      </c>
      <c r="R55">
        <v>0.979793736250966</v>
      </c>
      <c r="S55" t="s">
        <v>2248</v>
      </c>
      <c r="T55" t="s">
        <v>4362</v>
      </c>
      <c r="U55" t="s">
        <v>4362</v>
      </c>
      <c r="V55" t="s">
        <v>4362</v>
      </c>
      <c r="W55" t="s">
        <v>4417</v>
      </c>
      <c r="X55">
        <v>3</v>
      </c>
      <c r="Y55" t="s">
        <v>6576</v>
      </c>
      <c r="Z55" t="s">
        <v>8743</v>
      </c>
      <c r="AA55">
        <v>0.3466683703473981</v>
      </c>
      <c r="AB55">
        <f>HYPERLINK("Melting_Curves/meltCurve_P03004_dnaA.pdf", "Melting_Curves/meltCurve_P03004_dnaA.pdf")</f>
        <v>0</v>
      </c>
    </row>
    <row r="56" spans="1:28">
      <c r="A56" t="s">
        <v>82</v>
      </c>
      <c r="B56">
        <v>0.999739202189716</v>
      </c>
      <c r="C56">
        <v>0.883641973338268</v>
      </c>
      <c r="D56">
        <v>0.869752901729676</v>
      </c>
      <c r="E56">
        <v>0.747755473136604</v>
      </c>
      <c r="F56">
        <v>0.507865273585643</v>
      </c>
      <c r="G56">
        <v>0.222253614530451</v>
      </c>
      <c r="H56">
        <v>0.108087963457742</v>
      </c>
      <c r="I56">
        <v>0.0824156731715336</v>
      </c>
      <c r="J56">
        <v>0.064780210860818</v>
      </c>
      <c r="K56">
        <v>0.0665562380293583</v>
      </c>
      <c r="L56">
        <v>709.937511511741</v>
      </c>
      <c r="M56">
        <v>14.3083711585295</v>
      </c>
      <c r="N56">
        <v>49.7433519555062</v>
      </c>
      <c r="O56">
        <v>48.6779486894231</v>
      </c>
      <c r="P56">
        <v>-0.07218141849420021</v>
      </c>
      <c r="Q56">
        <v>0.0178570652006155</v>
      </c>
      <c r="R56">
        <v>0.989477196397072</v>
      </c>
      <c r="S56" t="s">
        <v>2249</v>
      </c>
      <c r="T56" t="s">
        <v>4362</v>
      </c>
      <c r="U56" t="s">
        <v>4362</v>
      </c>
      <c r="V56" t="s">
        <v>4362</v>
      </c>
      <c r="W56" t="s">
        <v>4418</v>
      </c>
      <c r="X56">
        <v>3</v>
      </c>
      <c r="Y56" t="s">
        <v>6577</v>
      </c>
      <c r="Z56" t="s">
        <v>8744</v>
      </c>
      <c r="AA56">
        <v>0.4531760461593815</v>
      </c>
      <c r="AB56">
        <f>HYPERLINK("Melting_Curves/meltCurve_P03007_dnaQ.pdf", "Melting_Curves/meltCurve_P03007_dnaQ.pdf")</f>
        <v>0</v>
      </c>
    </row>
    <row r="57" spans="1:28">
      <c r="A57" t="s">
        <v>83</v>
      </c>
      <c r="B57">
        <v>0.999739202189716</v>
      </c>
      <c r="C57">
        <v>1.17510022017034</v>
      </c>
      <c r="D57">
        <v>0.716917199657222</v>
      </c>
      <c r="E57">
        <v>0.333972419474673</v>
      </c>
      <c r="F57">
        <v>0.18307681223975</v>
      </c>
      <c r="G57">
        <v>0.120566135748926</v>
      </c>
      <c r="H57">
        <v>0.108159250035781</v>
      </c>
      <c r="I57">
        <v>0.0763664442525146</v>
      </c>
      <c r="J57">
        <v>0.07156853446919011</v>
      </c>
      <c r="K57">
        <v>0.0701117350673045</v>
      </c>
      <c r="L57">
        <v>1243.13721014549</v>
      </c>
      <c r="M57">
        <v>27.7873360373898</v>
      </c>
      <c r="N57">
        <v>45.0840075481596</v>
      </c>
      <c r="O57">
        <v>44.5077621612443</v>
      </c>
      <c r="P57">
        <v>-0.141076678275783</v>
      </c>
      <c r="Q57">
        <v>0.0961418645242908</v>
      </c>
      <c r="R57">
        <v>0.968562738834978</v>
      </c>
      <c r="S57" t="s">
        <v>2250</v>
      </c>
      <c r="T57" t="s">
        <v>4362</v>
      </c>
      <c r="U57" t="s">
        <v>4362</v>
      </c>
      <c r="V57" t="s">
        <v>4362</v>
      </c>
      <c r="W57" t="s">
        <v>4419</v>
      </c>
      <c r="X57">
        <v>6</v>
      </c>
      <c r="Y57" t="s">
        <v>6578</v>
      </c>
      <c r="Z57" t="s">
        <v>8745</v>
      </c>
      <c r="AA57">
        <v>0.3351952950641234</v>
      </c>
      <c r="AB57">
        <f>HYPERLINK("Melting_Curves/meltCurve_P03018_uvrD.pdf", "Melting_Curves/meltCurve_P03018_uvrD.pdf")</f>
        <v>0</v>
      </c>
    </row>
    <row r="58" spans="1:28">
      <c r="A58" t="s">
        <v>84</v>
      </c>
      <c r="B58">
        <v>0.999739202189716</v>
      </c>
      <c r="C58">
        <v>0.8543573650094169</v>
      </c>
      <c r="D58">
        <v>0.582681002594775</v>
      </c>
      <c r="E58">
        <v>0.287214566060138</v>
      </c>
      <c r="F58">
        <v>0.159931501014519</v>
      </c>
      <c r="G58">
        <v>0.09443284776703351</v>
      </c>
      <c r="H58">
        <v>0.07953068734958429</v>
      </c>
      <c r="I58">
        <v>0.0551804100992949</v>
      </c>
      <c r="J58">
        <v>0.0546080137221368</v>
      </c>
      <c r="K58">
        <v>0.0444740295718999</v>
      </c>
      <c r="L58">
        <v>779.081240168733</v>
      </c>
      <c r="M58">
        <v>17.836338255924</v>
      </c>
      <c r="N58">
        <v>43.9767047368786</v>
      </c>
      <c r="O58">
        <v>43.1414730506051</v>
      </c>
      <c r="P58">
        <v>-0.097494634227899</v>
      </c>
      <c r="Q58">
        <v>0.056791171961024</v>
      </c>
      <c r="R58">
        <v>0.99812145569071</v>
      </c>
      <c r="S58" t="s">
        <v>2251</v>
      </c>
      <c r="T58" t="s">
        <v>4362</v>
      </c>
      <c r="U58" t="s">
        <v>4362</v>
      </c>
      <c r="V58" t="s">
        <v>4362</v>
      </c>
      <c r="W58" t="s">
        <v>4420</v>
      </c>
      <c r="X58">
        <v>6</v>
      </c>
      <c r="Y58" t="s">
        <v>6579</v>
      </c>
      <c r="Z58" t="s">
        <v>8746</v>
      </c>
      <c r="AA58">
        <v>0.2832174977765803</v>
      </c>
      <c r="AB58">
        <f>HYPERLINK("Melting_Curves/meltCurve_P03023_lacI.pdf", "Melting_Curves/meltCurve_P03023_lacI.pdf")</f>
        <v>0</v>
      </c>
    </row>
    <row r="59" spans="1:28">
      <c r="A59" t="s">
        <v>85</v>
      </c>
      <c r="B59">
        <v>0.999739202189716</v>
      </c>
      <c r="C59">
        <v>1.0411451915916</v>
      </c>
      <c r="D59">
        <v>0.70781300198346</v>
      </c>
      <c r="E59">
        <v>0.382495098917952</v>
      </c>
      <c r="F59">
        <v>0.228572127176884</v>
      </c>
      <c r="G59">
        <v>0.13693097968497</v>
      </c>
      <c r="H59">
        <v>0.104607257270426</v>
      </c>
      <c r="I59">
        <v>0.07388677676454521</v>
      </c>
      <c r="J59">
        <v>0.0747072870626669</v>
      </c>
      <c r="K59">
        <v>0.0561896160859694</v>
      </c>
      <c r="L59">
        <v>916.684684696184</v>
      </c>
      <c r="M59">
        <v>20.3337850386271</v>
      </c>
      <c r="N59">
        <v>45.4911719771742</v>
      </c>
      <c r="O59">
        <v>44.6526165751248</v>
      </c>
      <c r="P59">
        <v>-0.104329911538509</v>
      </c>
      <c r="Q59">
        <v>0.08360169826973619</v>
      </c>
      <c r="R59">
        <v>0.988378274441758</v>
      </c>
      <c r="S59" t="s">
        <v>2252</v>
      </c>
      <c r="T59" t="s">
        <v>4362</v>
      </c>
      <c r="U59" t="s">
        <v>4362</v>
      </c>
      <c r="V59" t="s">
        <v>4362</v>
      </c>
      <c r="W59" t="s">
        <v>4421</v>
      </c>
      <c r="X59">
        <v>2</v>
      </c>
      <c r="Y59" t="s">
        <v>6580</v>
      </c>
      <c r="Z59" t="s">
        <v>8747</v>
      </c>
      <c r="AA59">
        <v>0.3420960202950308</v>
      </c>
      <c r="AB59">
        <f>HYPERLINK("Melting_Curves/meltCurve_P03024_galR.pdf", "Melting_Curves/meltCurve_P03024_galR.pdf")</f>
        <v>0</v>
      </c>
    </row>
    <row r="60" spans="1:28">
      <c r="A60" t="s">
        <v>86</v>
      </c>
      <c r="B60">
        <v>0.999739202189716</v>
      </c>
      <c r="C60">
        <v>0.712554539958428</v>
      </c>
      <c r="D60">
        <v>0.573992644144383</v>
      </c>
      <c r="E60">
        <v>0.50652950360184</v>
      </c>
      <c r="F60">
        <v>0.425187468628884</v>
      </c>
      <c r="G60">
        <v>0.303472601286683</v>
      </c>
      <c r="H60">
        <v>0.238531153309519</v>
      </c>
      <c r="I60">
        <v>0.215864466126265</v>
      </c>
      <c r="J60">
        <v>0.18089098981203</v>
      </c>
      <c r="K60">
        <v>0.212172475645285</v>
      </c>
      <c r="L60">
        <v>413.205146734111</v>
      </c>
      <c r="M60">
        <v>9.351424941399911</v>
      </c>
      <c r="N60">
        <v>46.1663507610798</v>
      </c>
      <c r="O60">
        <v>42.3069145123676</v>
      </c>
      <c r="P60">
        <v>-0.046159558794664</v>
      </c>
      <c r="Q60">
        <v>0.165199814084109</v>
      </c>
      <c r="R60">
        <v>0.95888338459279</v>
      </c>
      <c r="S60" t="s">
        <v>2253</v>
      </c>
      <c r="T60" t="s">
        <v>4362</v>
      </c>
      <c r="U60" t="s">
        <v>4362</v>
      </c>
      <c r="V60" t="s">
        <v>4362</v>
      </c>
      <c r="W60" t="s">
        <v>4422</v>
      </c>
      <c r="X60">
        <v>3</v>
      </c>
      <c r="Y60" t="s">
        <v>6581</v>
      </c>
      <c r="Z60" t="s">
        <v>8748</v>
      </c>
      <c r="AA60">
        <v>0.4140831377161981</v>
      </c>
      <c r="AB60">
        <f>HYPERLINK("Melting_Curves/meltCurve_P03813_ygeA.pdf", "Melting_Curves/meltCurve_P03813_ygeA.pdf")</f>
        <v>0</v>
      </c>
    </row>
    <row r="61" spans="1:28">
      <c r="A61" t="s">
        <v>87</v>
      </c>
      <c r="B61">
        <v>0.999739202189716</v>
      </c>
      <c r="C61">
        <v>1.5042008198487</v>
      </c>
      <c r="D61">
        <v>0.613937524411086</v>
      </c>
      <c r="E61">
        <v>0.865029713585945</v>
      </c>
      <c r="F61">
        <v>0.954854836730728</v>
      </c>
      <c r="G61">
        <v>0.570488509380752</v>
      </c>
      <c r="H61">
        <v>0.477252029392869</v>
      </c>
      <c r="I61">
        <v>0.475219860260604</v>
      </c>
      <c r="J61">
        <v>0.36075317906957</v>
      </c>
      <c r="K61">
        <v>0.434886833864425</v>
      </c>
      <c r="L61">
        <v>827.698549688576</v>
      </c>
      <c r="M61">
        <v>15.6953147523659</v>
      </c>
      <c r="N61">
        <v>57.7181872407983</v>
      </c>
      <c r="O61">
        <v>51.9015723650729</v>
      </c>
      <c r="P61">
        <v>-0.0475555551055033</v>
      </c>
      <c r="Q61">
        <v>0.371022661007064</v>
      </c>
      <c r="R61">
        <v>0.618537498370665</v>
      </c>
      <c r="S61" t="s">
        <v>2254</v>
      </c>
      <c r="T61" t="s">
        <v>4362</v>
      </c>
      <c r="U61" t="s">
        <v>4362</v>
      </c>
      <c r="V61" t="s">
        <v>4362</v>
      </c>
      <c r="W61" t="s">
        <v>4423</v>
      </c>
      <c r="X61">
        <v>1</v>
      </c>
      <c r="Y61" t="s">
        <v>6582</v>
      </c>
      <c r="Z61" t="s">
        <v>8749</v>
      </c>
      <c r="AA61">
        <v>0.7118549024697906</v>
      </c>
      <c r="AB61">
        <f>HYPERLINK("Melting_Curves/meltCurve_P03817_mioC.pdf", "Melting_Curves/meltCurve_P03817_mioC.pdf")</f>
        <v>0</v>
      </c>
    </row>
    <row r="62" spans="1:28">
      <c r="A62" t="s">
        <v>88</v>
      </c>
      <c r="B62">
        <v>0.999739202189716</v>
      </c>
      <c r="C62">
        <v>1.15998320845533</v>
      </c>
      <c r="D62">
        <v>0.37681527420964</v>
      </c>
      <c r="E62">
        <v>0.422902558980589</v>
      </c>
      <c r="F62">
        <v>0.510167359226701</v>
      </c>
      <c r="G62">
        <v>0.238307996273809</v>
      </c>
      <c r="H62">
        <v>0.236122678846148</v>
      </c>
      <c r="I62">
        <v>0.221012355104412</v>
      </c>
      <c r="J62">
        <v>0.249580682822345</v>
      </c>
      <c r="K62">
        <v>0.203834025611708</v>
      </c>
      <c r="L62">
        <v>10661.4036170936</v>
      </c>
      <c r="M62">
        <v>250</v>
      </c>
      <c r="N62">
        <v>42.8002879546968</v>
      </c>
      <c r="O62">
        <v>42.6428830491486</v>
      </c>
      <c r="P62">
        <v>-1.02974646957102</v>
      </c>
      <c r="Q62">
        <v>0.297418229175702</v>
      </c>
      <c r="R62">
        <v>0.895367108792764</v>
      </c>
      <c r="S62" t="s">
        <v>2255</v>
      </c>
      <c r="T62" t="s">
        <v>4362</v>
      </c>
      <c r="U62" t="s">
        <v>4362</v>
      </c>
      <c r="V62" t="s">
        <v>4362</v>
      </c>
      <c r="W62" t="s">
        <v>4424</v>
      </c>
      <c r="X62">
        <v>4</v>
      </c>
      <c r="Y62" t="s">
        <v>6583</v>
      </c>
      <c r="Z62" t="s">
        <v>8750</v>
      </c>
      <c r="AA62">
        <v>0.4296876724271018</v>
      </c>
      <c r="AB62">
        <f>HYPERLINK("Melting_Curves/meltCurve_P03819_kefC.pdf", "Melting_Curves/meltCurve_P03819_kefC.pdf")</f>
        <v>0</v>
      </c>
    </row>
    <row r="63" spans="1:28">
      <c r="A63" t="s">
        <v>89</v>
      </c>
      <c r="B63">
        <v>0.999739202189716</v>
      </c>
      <c r="C63">
        <v>0.947821675783907</v>
      </c>
      <c r="D63">
        <v>0.784488935326714</v>
      </c>
      <c r="E63">
        <v>0.973419907310207</v>
      </c>
      <c r="F63">
        <v>0.850173542300809</v>
      </c>
      <c r="G63">
        <v>0.745314260769814</v>
      </c>
      <c r="H63">
        <v>0.684404347741729</v>
      </c>
      <c r="I63">
        <v>0.535504446049209</v>
      </c>
      <c r="J63">
        <v>0.383881663774797</v>
      </c>
      <c r="K63">
        <v>0.395630347307959</v>
      </c>
      <c r="L63">
        <v>423.095697788259</v>
      </c>
      <c r="M63">
        <v>6.80739588116847</v>
      </c>
      <c r="N63">
        <v>62.1523565891104</v>
      </c>
      <c r="O63">
        <v>57.4505443562799</v>
      </c>
      <c r="P63">
        <v>-0.0296836596028456</v>
      </c>
      <c r="Q63">
        <v>0</v>
      </c>
      <c r="R63">
        <v>0.912239799766917</v>
      </c>
      <c r="S63" t="s">
        <v>2256</v>
      </c>
      <c r="T63" t="s">
        <v>4362</v>
      </c>
      <c r="U63" t="s">
        <v>4362</v>
      </c>
      <c r="V63" t="s">
        <v>4362</v>
      </c>
      <c r="W63" t="s">
        <v>4425</v>
      </c>
      <c r="X63">
        <v>10</v>
      </c>
      <c r="Y63" t="s">
        <v>6584</v>
      </c>
      <c r="Z63" t="s">
        <v>8751</v>
      </c>
      <c r="AA63">
        <v>0.7499813081118268</v>
      </c>
      <c r="AB63">
        <f>HYPERLINK("Melting_Curves/meltCurve_P03841_malM.pdf", "Melting_Curves/meltCurve_P03841_malM.pdf")</f>
        <v>0</v>
      </c>
    </row>
    <row r="64" spans="1:28">
      <c r="A64" t="s">
        <v>90</v>
      </c>
      <c r="B64">
        <v>0.999739202189716</v>
      </c>
      <c r="C64">
        <v>0.852848704949188</v>
      </c>
      <c r="D64">
        <v>0.70037222805731</v>
      </c>
      <c r="E64">
        <v>0.41744308175749</v>
      </c>
      <c r="F64">
        <v>0.260369878391176</v>
      </c>
      <c r="G64">
        <v>0.183777524821691</v>
      </c>
      <c r="H64">
        <v>0.15467598668185</v>
      </c>
      <c r="I64">
        <v>0.133318061686734</v>
      </c>
      <c r="J64">
        <v>0.124623017501176</v>
      </c>
      <c r="K64">
        <v>0.114609507698932</v>
      </c>
      <c r="L64">
        <v>680.8614764275979</v>
      </c>
      <c r="M64">
        <v>15.2316380735527</v>
      </c>
      <c r="N64">
        <v>45.5027094506879</v>
      </c>
      <c r="O64">
        <v>43.9512270619994</v>
      </c>
      <c r="P64">
        <v>-0.0764446658266071</v>
      </c>
      <c r="Q64">
        <v>0.117752900146725</v>
      </c>
      <c r="R64">
        <v>0.997737792421856</v>
      </c>
      <c r="S64" t="s">
        <v>2257</v>
      </c>
      <c r="T64" t="s">
        <v>4362</v>
      </c>
      <c r="U64" t="s">
        <v>4362</v>
      </c>
      <c r="V64" t="s">
        <v>4362</v>
      </c>
      <c r="W64" t="s">
        <v>4426</v>
      </c>
      <c r="X64">
        <v>7</v>
      </c>
      <c r="Y64" t="s">
        <v>6585</v>
      </c>
      <c r="Z64" t="s">
        <v>8752</v>
      </c>
      <c r="AA64">
        <v>0.3647879807719355</v>
      </c>
      <c r="AB64">
        <f>HYPERLINK("Melting_Curves/meltCurve_P04036_dapB.pdf", "Melting_Curves/meltCurve_P04036_dapB.pdf")</f>
        <v>0</v>
      </c>
    </row>
    <row r="65" spans="1:28">
      <c r="A65" t="s">
        <v>91</v>
      </c>
      <c r="B65">
        <v>0.999739202189716</v>
      </c>
      <c r="C65">
        <v>1.04670087567879</v>
      </c>
      <c r="D65">
        <v>1.15437006090047</v>
      </c>
      <c r="E65">
        <v>0.934177546568308</v>
      </c>
      <c r="F65">
        <v>1.0435603364876</v>
      </c>
      <c r="G65">
        <v>0.81449850570935</v>
      </c>
      <c r="H65">
        <v>0.225204019464639</v>
      </c>
      <c r="I65">
        <v>0.116155228367789</v>
      </c>
      <c r="J65">
        <v>0.0945842868239116</v>
      </c>
      <c r="K65">
        <v>0.0788393722872065</v>
      </c>
      <c r="L65">
        <v>2709.55354441784</v>
      </c>
      <c r="M65">
        <v>48.980989472084</v>
      </c>
      <c r="N65">
        <v>55.5520030951015</v>
      </c>
      <c r="O65">
        <v>55.2264821765718</v>
      </c>
      <c r="P65">
        <v>-0.201097182327857</v>
      </c>
      <c r="Q65">
        <v>0.0930454460704785</v>
      </c>
      <c r="R65">
        <v>0.982494178645801</v>
      </c>
      <c r="S65" t="s">
        <v>2258</v>
      </c>
      <c r="T65" t="s">
        <v>4362</v>
      </c>
      <c r="U65" t="s">
        <v>4362</v>
      </c>
      <c r="V65" t="s">
        <v>4362</v>
      </c>
      <c r="W65" t="s">
        <v>4427</v>
      </c>
      <c r="X65">
        <v>18</v>
      </c>
      <c r="Y65" t="s">
        <v>6586</v>
      </c>
      <c r="Z65" t="s">
        <v>8753</v>
      </c>
      <c r="AA65">
        <v>0.6491425490372745</v>
      </c>
      <c r="AB65">
        <f>HYPERLINK("Melting_Curves/meltCurve_P04079_guaA.pdf", "Melting_Curves/meltCurve_P04079_guaA.pdf")</f>
        <v>0</v>
      </c>
    </row>
    <row r="66" spans="1:28">
      <c r="A66" t="s">
        <v>92</v>
      </c>
      <c r="B66">
        <v>0.999739202189716</v>
      </c>
      <c r="C66">
        <v>1.00762037772431</v>
      </c>
      <c r="D66">
        <v>0.889679988289709</v>
      </c>
      <c r="E66">
        <v>0.573302709277999</v>
      </c>
      <c r="F66">
        <v>0.334605215913961</v>
      </c>
      <c r="G66">
        <v>0.208641927157986</v>
      </c>
      <c r="H66">
        <v>0.154516838719795</v>
      </c>
      <c r="I66">
        <v>0.104886703129636</v>
      </c>
      <c r="J66">
        <v>0.0944192467474459</v>
      </c>
      <c r="K66">
        <v>0.092477978281971</v>
      </c>
      <c r="L66">
        <v>863.396934184886</v>
      </c>
      <c r="M66">
        <v>18.2920511775707</v>
      </c>
      <c r="N66">
        <v>47.7891117796488</v>
      </c>
      <c r="O66">
        <v>46.6473964329596</v>
      </c>
      <c r="P66">
        <v>-0.08815233674973789</v>
      </c>
      <c r="Q66">
        <v>0.100836574107342</v>
      </c>
      <c r="R66">
        <v>0.996968419109154</v>
      </c>
      <c r="S66" t="s">
        <v>2259</v>
      </c>
      <c r="T66" t="s">
        <v>4362</v>
      </c>
      <c r="U66" t="s">
        <v>4362</v>
      </c>
      <c r="V66" t="s">
        <v>4362</v>
      </c>
      <c r="W66" t="s">
        <v>4428</v>
      </c>
      <c r="X66">
        <v>10</v>
      </c>
      <c r="Y66" t="s">
        <v>6587</v>
      </c>
      <c r="Z66" t="s">
        <v>8754</v>
      </c>
      <c r="AA66">
        <v>0.4205589505856333</v>
      </c>
      <c r="AB66">
        <f>HYPERLINK("Melting_Curves/meltCurve_P04335_frsA.pdf", "Melting_Curves/meltCurve_P04335_frsA.pdf")</f>
        <v>0</v>
      </c>
    </row>
    <row r="67" spans="1:28">
      <c r="A67" t="s">
        <v>93</v>
      </c>
      <c r="B67">
        <v>0.999739202189716</v>
      </c>
      <c r="C67">
        <v>0.924314040372064</v>
      </c>
      <c r="D67">
        <v>1.04191504124702</v>
      </c>
      <c r="E67">
        <v>1.0479038117495</v>
      </c>
      <c r="F67">
        <v>0.991446737457665</v>
      </c>
      <c r="G67">
        <v>0.856499572526123</v>
      </c>
      <c r="H67">
        <v>0.594827169097597</v>
      </c>
      <c r="I67">
        <v>0.290641120167266</v>
      </c>
      <c r="J67">
        <v>0.11740334349101</v>
      </c>
      <c r="K67">
        <v>0.0886091478041344</v>
      </c>
      <c r="L67">
        <v>1338.89930376522</v>
      </c>
      <c r="M67">
        <v>23.0121260965647</v>
      </c>
      <c r="N67">
        <v>58.3566696477974</v>
      </c>
      <c r="O67">
        <v>57.7483355615174</v>
      </c>
      <c r="P67">
        <v>-0.0963148399141654</v>
      </c>
      <c r="Q67">
        <v>0.033220027332249</v>
      </c>
      <c r="R67">
        <v>0.991912878521033</v>
      </c>
      <c r="S67" t="s">
        <v>2260</v>
      </c>
      <c r="T67" t="s">
        <v>4362</v>
      </c>
      <c r="U67" t="s">
        <v>4362</v>
      </c>
      <c r="V67" t="s">
        <v>4362</v>
      </c>
      <c r="W67" t="s">
        <v>4429</v>
      </c>
      <c r="X67">
        <v>11</v>
      </c>
      <c r="Y67" t="s">
        <v>6588</v>
      </c>
      <c r="Z67" t="s">
        <v>8755</v>
      </c>
      <c r="AA67">
        <v>0.7220926794543161</v>
      </c>
      <c r="AB67">
        <f>HYPERLINK("Melting_Curves/meltCurve_P04425_gshB.pdf", "Melting_Curves/meltCurve_P04425_gshB.pdf")</f>
        <v>0</v>
      </c>
    </row>
    <row r="68" spans="1:28">
      <c r="A68" t="s">
        <v>94</v>
      </c>
      <c r="B68">
        <v>0.999739202189716</v>
      </c>
      <c r="C68">
        <v>0.918051951557007</v>
      </c>
      <c r="D68">
        <v>0.80632663132545</v>
      </c>
      <c r="E68">
        <v>0.433029311636405</v>
      </c>
      <c r="F68">
        <v>0.285803479088079</v>
      </c>
      <c r="G68">
        <v>0.117561805212308</v>
      </c>
      <c r="H68">
        <v>0.0778004599115381</v>
      </c>
      <c r="I68">
        <v>0.0515630083120899</v>
      </c>
      <c r="J68">
        <v>0.0500616757126264</v>
      </c>
      <c r="K68">
        <v>0.0414710390760421</v>
      </c>
      <c r="L68">
        <v>751.364402574458</v>
      </c>
      <c r="M68">
        <v>16.2896109051894</v>
      </c>
      <c r="N68">
        <v>46.360777803762</v>
      </c>
      <c r="O68">
        <v>45.4470525263152</v>
      </c>
      <c r="P68">
        <v>-0.0860572132730555</v>
      </c>
      <c r="Q68">
        <v>0.0396922236638722</v>
      </c>
      <c r="R68">
        <v>0.995826632672931</v>
      </c>
      <c r="S68" t="s">
        <v>2261</v>
      </c>
      <c r="T68" t="s">
        <v>4362</v>
      </c>
      <c r="U68" t="s">
        <v>4362</v>
      </c>
      <c r="V68" t="s">
        <v>4362</v>
      </c>
      <c r="W68" t="s">
        <v>4430</v>
      </c>
      <c r="X68">
        <v>7</v>
      </c>
      <c r="Y68" t="s">
        <v>6589</v>
      </c>
      <c r="Z68" t="s">
        <v>8756</v>
      </c>
      <c r="AA68">
        <v>0.350654721667056</v>
      </c>
      <c r="AB68">
        <f>HYPERLINK("Melting_Curves/meltCurve_P04693_tyrB.pdf", "Melting_Curves/meltCurve_P04693_tyrB.pdf")</f>
        <v>0</v>
      </c>
    </row>
    <row r="69" spans="1:28">
      <c r="A69" t="s">
        <v>95</v>
      </c>
      <c r="B69">
        <v>0.999739202189716</v>
      </c>
      <c r="C69">
        <v>1.04701048924025</v>
      </c>
      <c r="D69">
        <v>1.1279774554271</v>
      </c>
      <c r="E69">
        <v>0.960242553113634</v>
      </c>
      <c r="F69">
        <v>0.974905020932927</v>
      </c>
      <c r="G69">
        <v>0.259921831071488</v>
      </c>
      <c r="H69">
        <v>0.111767939810558</v>
      </c>
      <c r="I69">
        <v>0.0725188593682547</v>
      </c>
      <c r="J69">
        <v>0.0647039083017259</v>
      </c>
      <c r="K69">
        <v>0.0546523853122186</v>
      </c>
      <c r="L69">
        <v>3604.13945531244</v>
      </c>
      <c r="M69">
        <v>68.3666395636053</v>
      </c>
      <c r="N69">
        <v>52.8429073995254</v>
      </c>
      <c r="O69">
        <v>52.6727584196244</v>
      </c>
      <c r="P69">
        <v>-0.300243634746674</v>
      </c>
      <c r="Q69">
        <v>0.07471501145207581</v>
      </c>
      <c r="R69">
        <v>0.98968318217229</v>
      </c>
      <c r="S69" t="s">
        <v>2262</v>
      </c>
      <c r="T69" t="s">
        <v>4362</v>
      </c>
      <c r="U69" t="s">
        <v>4362</v>
      </c>
      <c r="V69" t="s">
        <v>4362</v>
      </c>
      <c r="W69" t="s">
        <v>4431</v>
      </c>
      <c r="X69">
        <v>11</v>
      </c>
      <c r="Y69" t="s">
        <v>6590</v>
      </c>
      <c r="Z69" t="s">
        <v>8757</v>
      </c>
      <c r="AA69">
        <v>0.5606446229458413</v>
      </c>
      <c r="AB69">
        <f>HYPERLINK("Melting_Curves/meltCurve_P04805_gltX.pdf", "Melting_Curves/meltCurve_P04805_gltX.pdf")</f>
        <v>0</v>
      </c>
    </row>
    <row r="70" spans="1:28">
      <c r="A70" t="s">
        <v>96</v>
      </c>
      <c r="B70">
        <v>0.999739202189716</v>
      </c>
      <c r="C70">
        <v>0.995754051978307</v>
      </c>
      <c r="D70">
        <v>0.856256793548271</v>
      </c>
      <c r="E70">
        <v>0.816694457807483</v>
      </c>
      <c r="F70">
        <v>0.884255912401438</v>
      </c>
      <c r="G70">
        <v>0.690739343996237</v>
      </c>
      <c r="H70">
        <v>0.711053379073129</v>
      </c>
      <c r="I70">
        <v>0.512796620982901</v>
      </c>
      <c r="J70">
        <v>0.455206989793561</v>
      </c>
      <c r="K70">
        <v>0.33768370807483</v>
      </c>
      <c r="L70">
        <v>388.908067876717</v>
      </c>
      <c r="M70">
        <v>6.26855689684124</v>
      </c>
      <c r="N70">
        <v>62.0410844120582</v>
      </c>
      <c r="O70">
        <v>56.6236543285775</v>
      </c>
      <c r="P70">
        <v>-0.0277530143556746</v>
      </c>
      <c r="Q70">
        <v>0</v>
      </c>
      <c r="R70">
        <v>0.937441720919013</v>
      </c>
      <c r="S70" t="s">
        <v>2263</v>
      </c>
      <c r="T70" t="s">
        <v>4362</v>
      </c>
      <c r="U70" t="s">
        <v>4362</v>
      </c>
      <c r="V70" t="s">
        <v>4362</v>
      </c>
      <c r="W70" t="s">
        <v>4432</v>
      </c>
      <c r="X70">
        <v>7</v>
      </c>
      <c r="Y70" t="s">
        <v>6591</v>
      </c>
      <c r="Z70" t="s">
        <v>8758</v>
      </c>
      <c r="AA70">
        <v>0.738840435832095</v>
      </c>
      <c r="AB70">
        <f>HYPERLINK("Melting_Curves/meltCurve_P04816_livK.pdf", "Melting_Curves/meltCurve_P04816_livK.pdf")</f>
        <v>0</v>
      </c>
    </row>
    <row r="71" spans="1:28">
      <c r="A71" t="s">
        <v>97</v>
      </c>
      <c r="B71">
        <v>0.999739202189716</v>
      </c>
      <c r="C71">
        <v>1.12843816301747</v>
      </c>
      <c r="D71">
        <v>0.914349052900148</v>
      </c>
      <c r="E71">
        <v>0.803079373578393</v>
      </c>
      <c r="F71">
        <v>0.470010114583038</v>
      </c>
      <c r="G71">
        <v>0.202032354761576</v>
      </c>
      <c r="H71">
        <v>0.110678857722923</v>
      </c>
      <c r="I71">
        <v>0.06561675366999679</v>
      </c>
      <c r="J71">
        <v>0.06310732441922109</v>
      </c>
      <c r="K71">
        <v>0.0521400463198004</v>
      </c>
      <c r="L71">
        <v>1019.09217675617</v>
      </c>
      <c r="M71">
        <v>20.5499241455658</v>
      </c>
      <c r="N71">
        <v>49.84620352563</v>
      </c>
      <c r="O71">
        <v>49.1286021400799</v>
      </c>
      <c r="P71">
        <v>-0.09935427954294949</v>
      </c>
      <c r="Q71">
        <v>0.0499246373217794</v>
      </c>
      <c r="R71">
        <v>0.988119464277093</v>
      </c>
      <c r="S71" t="s">
        <v>2264</v>
      </c>
      <c r="T71" t="s">
        <v>4362</v>
      </c>
      <c r="U71" t="s">
        <v>4362</v>
      </c>
      <c r="V71" t="s">
        <v>4362</v>
      </c>
      <c r="W71" t="s">
        <v>4433</v>
      </c>
      <c r="X71">
        <v>22</v>
      </c>
      <c r="Y71" t="s">
        <v>6592</v>
      </c>
      <c r="Z71" t="s">
        <v>8759</v>
      </c>
      <c r="AA71">
        <v>0.4605989111053784</v>
      </c>
      <c r="AB71">
        <f>HYPERLINK("Melting_Curves/meltCurve_P04825_pepN.pdf", "Melting_Curves/meltCurve_P04825_pepN.pdf")</f>
        <v>0</v>
      </c>
    </row>
    <row r="72" spans="1:28">
      <c r="A72" t="s">
        <v>98</v>
      </c>
      <c r="B72">
        <v>0.999739202189716</v>
      </c>
      <c r="C72">
        <v>0.743819862116248</v>
      </c>
      <c r="D72">
        <v>0.989316211832585</v>
      </c>
      <c r="E72">
        <v>0.658401283533018</v>
      </c>
      <c r="F72">
        <v>0.579764548217682</v>
      </c>
      <c r="G72">
        <v>0.285827050275052</v>
      </c>
      <c r="H72">
        <v>0.253986561363573</v>
      </c>
      <c r="I72">
        <v>0.207464812776327</v>
      </c>
      <c r="J72">
        <v>0.232057361991329</v>
      </c>
      <c r="K72">
        <v>0.155597583525014</v>
      </c>
      <c r="L72">
        <v>575.671333471951</v>
      </c>
      <c r="M72">
        <v>11.7269525409508</v>
      </c>
      <c r="N72">
        <v>50.3986455036541</v>
      </c>
      <c r="O72">
        <v>47.7273245341248</v>
      </c>
      <c r="P72">
        <v>-0.0533762374057512</v>
      </c>
      <c r="Q72">
        <v>0.131288775340201</v>
      </c>
      <c r="R72">
        <v>0.925140971090362</v>
      </c>
      <c r="S72" t="s">
        <v>2265</v>
      </c>
      <c r="T72" t="s">
        <v>4362</v>
      </c>
      <c r="U72" t="s">
        <v>4362</v>
      </c>
      <c r="V72" t="s">
        <v>4362</v>
      </c>
      <c r="W72" t="s">
        <v>4434</v>
      </c>
      <c r="X72">
        <v>7</v>
      </c>
      <c r="Y72" t="s">
        <v>6593</v>
      </c>
      <c r="Z72" t="s">
        <v>8760</v>
      </c>
      <c r="AA72">
        <v>0.5078360017151947</v>
      </c>
      <c r="AB72">
        <f>HYPERLINK("Melting_Curves/meltCurve_P04846_nlpA.pdf", "Melting_Curves/meltCurve_P04846_nlpA.pdf")</f>
        <v>0</v>
      </c>
    </row>
    <row r="73" spans="1:28">
      <c r="A73" t="s">
        <v>99</v>
      </c>
      <c r="B73">
        <v>0.999739202189716</v>
      </c>
      <c r="C73">
        <v>1.14042194168246</v>
      </c>
      <c r="D73">
        <v>1.14114829859628</v>
      </c>
      <c r="E73">
        <v>1.61844001161273</v>
      </c>
      <c r="F73">
        <v>1.76535453017108</v>
      </c>
      <c r="G73">
        <v>1.45515912356224</v>
      </c>
      <c r="H73">
        <v>1.76718935303415</v>
      </c>
      <c r="I73">
        <v>1.4880522957458</v>
      </c>
      <c r="J73">
        <v>1.64405165321367</v>
      </c>
      <c r="K73">
        <v>1.10453720119735</v>
      </c>
      <c r="L73">
        <v>10790.1232162881</v>
      </c>
      <c r="M73">
        <v>250</v>
      </c>
      <c r="O73">
        <v>43.1577309024652</v>
      </c>
      <c r="P73">
        <v>0.7240881158372789</v>
      </c>
      <c r="Q73">
        <v>1.5</v>
      </c>
      <c r="R73">
        <v>0.53720144043747</v>
      </c>
      <c r="S73" t="s">
        <v>2266</v>
      </c>
      <c r="T73" t="s">
        <v>4362</v>
      </c>
      <c r="U73" t="s">
        <v>4362</v>
      </c>
      <c r="V73" t="s">
        <v>4362</v>
      </c>
      <c r="W73" t="s">
        <v>4435</v>
      </c>
      <c r="X73">
        <v>14</v>
      </c>
      <c r="Y73" t="s">
        <v>6594</v>
      </c>
      <c r="Z73" t="s">
        <v>8761</v>
      </c>
      <c r="AA73">
        <v>1.3972872459175</v>
      </c>
      <c r="AB73">
        <f>HYPERLINK("Melting_Curves/meltCurve_P04949_fliC.pdf", "Melting_Curves/meltCurve_P04949_fliC.pdf")</f>
        <v>0</v>
      </c>
    </row>
    <row r="74" spans="1:28">
      <c r="A74" t="s">
        <v>100</v>
      </c>
      <c r="B74">
        <v>0.999739202189716</v>
      </c>
      <c r="C74">
        <v>0.851870048240596</v>
      </c>
      <c r="D74">
        <v>0.776698827934845</v>
      </c>
      <c r="E74">
        <v>0.735585602163829</v>
      </c>
      <c r="F74">
        <v>0.610258036928094</v>
      </c>
      <c r="G74">
        <v>0.478939455058145</v>
      </c>
      <c r="H74">
        <v>0.414369421871266</v>
      </c>
      <c r="I74">
        <v>0.30015252022592</v>
      </c>
      <c r="J74">
        <v>0.232325851259993</v>
      </c>
      <c r="K74">
        <v>0.22746351645335</v>
      </c>
      <c r="L74">
        <v>334.393334020706</v>
      </c>
      <c r="M74">
        <v>6.2726806392937</v>
      </c>
      <c r="N74">
        <v>53.3094785498164</v>
      </c>
      <c r="O74">
        <v>48.6597700788915</v>
      </c>
      <c r="P74">
        <v>-0.0323162427241157</v>
      </c>
      <c r="Q74">
        <v>0</v>
      </c>
      <c r="R74">
        <v>0.986446560305165</v>
      </c>
      <c r="S74" t="s">
        <v>2267</v>
      </c>
      <c r="T74" t="s">
        <v>4362</v>
      </c>
      <c r="U74" t="s">
        <v>4362</v>
      </c>
      <c r="V74" t="s">
        <v>4362</v>
      </c>
      <c r="W74" t="s">
        <v>4436</v>
      </c>
      <c r="X74">
        <v>6</v>
      </c>
      <c r="Y74" t="s">
        <v>6595</v>
      </c>
      <c r="Z74" t="s">
        <v>8762</v>
      </c>
      <c r="AA74">
        <v>0.5590346755076289</v>
      </c>
      <c r="AB74">
        <f>HYPERLINK("Melting_Curves/meltCurve_P04951_kdsB.pdf", "Melting_Curves/meltCurve_P04951_kdsB.pdf")</f>
        <v>0</v>
      </c>
    </row>
    <row r="75" spans="1:28">
      <c r="A75" t="s">
        <v>101</v>
      </c>
      <c r="B75">
        <v>0.999739202189716</v>
      </c>
      <c r="C75">
        <v>0.986767692694505</v>
      </c>
      <c r="D75">
        <v>0.510354963193093</v>
      </c>
      <c r="E75">
        <v>0.381517620667049</v>
      </c>
      <c r="F75">
        <v>0.220738130598167</v>
      </c>
      <c r="G75">
        <v>0.142357035796706</v>
      </c>
      <c r="H75">
        <v>0.122220811282522</v>
      </c>
      <c r="I75">
        <v>0.09447290086736509</v>
      </c>
      <c r="J75">
        <v>0.123880145997552</v>
      </c>
      <c r="K75">
        <v>0.0903453010789726</v>
      </c>
      <c r="L75">
        <v>837.166542612434</v>
      </c>
      <c r="M75">
        <v>19.1731210465843</v>
      </c>
      <c r="N75">
        <v>44.2780439435483</v>
      </c>
      <c r="O75">
        <v>43.1968814575567</v>
      </c>
      <c r="P75">
        <v>-0.0980053761685491</v>
      </c>
      <c r="Q75">
        <v>0.116812790570539</v>
      </c>
      <c r="R75">
        <v>0.9717136308895949</v>
      </c>
      <c r="S75" t="s">
        <v>2268</v>
      </c>
      <c r="T75" t="s">
        <v>4362</v>
      </c>
      <c r="U75" t="s">
        <v>4362</v>
      </c>
      <c r="V75" t="s">
        <v>4362</v>
      </c>
      <c r="W75" t="s">
        <v>4437</v>
      </c>
      <c r="X75">
        <v>2</v>
      </c>
      <c r="Y75" t="s">
        <v>6596</v>
      </c>
      <c r="Z75" t="s">
        <v>8763</v>
      </c>
      <c r="AA75">
        <v>0.3261050159528633</v>
      </c>
      <c r="AB75">
        <f>HYPERLINK("Melting_Curves/meltCurve_P04968_ilvA.pdf", "Melting_Curves/meltCurve_P04968_ilvA.pdf")</f>
        <v>0</v>
      </c>
    </row>
    <row r="76" spans="1:28">
      <c r="A76" t="s">
        <v>102</v>
      </c>
      <c r="B76">
        <v>0.999739202189716</v>
      </c>
      <c r="C76">
        <v>1.04171926405069</v>
      </c>
      <c r="D76">
        <v>0.80992882309851</v>
      </c>
      <c r="E76">
        <v>0.860327501945377</v>
      </c>
      <c r="F76">
        <v>0.812381903685206</v>
      </c>
      <c r="G76">
        <v>0.5748234932424729</v>
      </c>
      <c r="H76">
        <v>0.5317051361067719</v>
      </c>
      <c r="I76">
        <v>0.478630252051774</v>
      </c>
      <c r="J76">
        <v>0.457812432436118</v>
      </c>
      <c r="K76">
        <v>0.333983939799494</v>
      </c>
      <c r="L76">
        <v>431.736169331804</v>
      </c>
      <c r="M76">
        <v>7.89287428949099</v>
      </c>
      <c r="N76">
        <v>59.1812968319915</v>
      </c>
      <c r="O76">
        <v>51.522236324046</v>
      </c>
      <c r="P76">
        <v>-0.0297176989949089</v>
      </c>
      <c r="Q76">
        <v>0.224970249569064</v>
      </c>
      <c r="R76">
        <v>0.941331497033884</v>
      </c>
      <c r="S76" t="s">
        <v>2269</v>
      </c>
      <c r="T76" t="s">
        <v>4362</v>
      </c>
      <c r="U76" t="s">
        <v>4362</v>
      </c>
      <c r="V76" t="s">
        <v>4362</v>
      </c>
      <c r="W76" t="s">
        <v>4438</v>
      </c>
      <c r="X76">
        <v>4</v>
      </c>
      <c r="Y76" t="s">
        <v>6597</v>
      </c>
      <c r="Z76" t="s">
        <v>8764</v>
      </c>
      <c r="AA76">
        <v>0.6890515238941177</v>
      </c>
      <c r="AB76">
        <f>HYPERLINK("Melting_Curves/meltCurve_P04982_rbsD.pdf", "Melting_Curves/meltCurve_P04982_rbsD.pdf")</f>
        <v>0</v>
      </c>
    </row>
    <row r="77" spans="1:28">
      <c r="A77" t="s">
        <v>103</v>
      </c>
      <c r="B77">
        <v>0.999739202189716</v>
      </c>
      <c r="C77">
        <v>0.833773346250021</v>
      </c>
      <c r="D77">
        <v>0.258081930454536</v>
      </c>
      <c r="E77">
        <v>0.141705072923292</v>
      </c>
      <c r="F77">
        <v>0.10481710257416</v>
      </c>
      <c r="G77">
        <v>0.0789765025624692</v>
      </c>
      <c r="H77">
        <v>0.0686641980334321</v>
      </c>
      <c r="I77">
        <v>0.06916263160584429</v>
      </c>
      <c r="J77">
        <v>0.0606891093110043</v>
      </c>
      <c r="K77">
        <v>0.0582662538226896</v>
      </c>
      <c r="L77">
        <v>1579.50965553898</v>
      </c>
      <c r="M77">
        <v>38.1021107093604</v>
      </c>
      <c r="N77">
        <v>41.645464731332</v>
      </c>
      <c r="O77">
        <v>41.3409584390684</v>
      </c>
      <c r="P77">
        <v>-0.21195938028925</v>
      </c>
      <c r="Q77">
        <v>0.08009496959030241</v>
      </c>
      <c r="R77">
        <v>0.996236204746525</v>
      </c>
      <c r="S77" t="s">
        <v>2270</v>
      </c>
      <c r="T77" t="s">
        <v>4362</v>
      </c>
      <c r="U77" t="s">
        <v>4362</v>
      </c>
      <c r="V77" t="s">
        <v>4362</v>
      </c>
      <c r="W77" t="s">
        <v>4439</v>
      </c>
      <c r="X77">
        <v>17</v>
      </c>
      <c r="Y77" t="s">
        <v>6598</v>
      </c>
      <c r="Z77" t="s">
        <v>8765</v>
      </c>
      <c r="AA77">
        <v>0.2198560143491105</v>
      </c>
      <c r="AB77">
        <f>HYPERLINK("Melting_Curves/meltCurve_P04983_rbsA.pdf", "Melting_Curves/meltCurve_P04983_rbsA.pdf")</f>
        <v>0</v>
      </c>
    </row>
    <row r="78" spans="1:28">
      <c r="A78" t="s">
        <v>104</v>
      </c>
      <c r="B78">
        <v>0.999739202189716</v>
      </c>
      <c r="C78">
        <v>0.6846891248577009</v>
      </c>
      <c r="D78">
        <v>1.26175481242944</v>
      </c>
      <c r="E78">
        <v>0.81781869625218</v>
      </c>
      <c r="F78">
        <v>0.967244697517136</v>
      </c>
      <c r="G78">
        <v>0.407973799492371</v>
      </c>
      <c r="H78">
        <v>0.246667479552971</v>
      </c>
      <c r="I78">
        <v>0.09162043858380869</v>
      </c>
      <c r="J78">
        <v>0.0721467078778755</v>
      </c>
      <c r="K78">
        <v>0.0420093971073356</v>
      </c>
      <c r="L78">
        <v>1685.43939169569</v>
      </c>
      <c r="M78">
        <v>31.6422834576011</v>
      </c>
      <c r="N78">
        <v>53.5522911615949</v>
      </c>
      <c r="O78">
        <v>53.0540230953655</v>
      </c>
      <c r="P78">
        <v>-0.137480826675728</v>
      </c>
      <c r="Q78">
        <v>0.0779587666274119</v>
      </c>
      <c r="R78">
        <v>0.878243908791725</v>
      </c>
      <c r="S78" t="s">
        <v>2271</v>
      </c>
      <c r="T78" t="s">
        <v>4362</v>
      </c>
      <c r="U78" t="s">
        <v>4362</v>
      </c>
      <c r="V78" t="s">
        <v>4362</v>
      </c>
      <c r="W78" t="s">
        <v>4440</v>
      </c>
      <c r="X78">
        <v>1</v>
      </c>
      <c r="Y78" t="s">
        <v>6599</v>
      </c>
      <c r="Z78" t="s">
        <v>8766</v>
      </c>
      <c r="AA78">
        <v>0.5831914996414551</v>
      </c>
      <c r="AB78">
        <f>HYPERLINK("Melting_Curves/meltCurve_P04993_recD.pdf", "Melting_Curves/meltCurve_P04993_recD.pdf")</f>
        <v>0</v>
      </c>
    </row>
    <row r="79" spans="1:28">
      <c r="A79" t="s">
        <v>105</v>
      </c>
      <c r="B79">
        <v>0.999739202189716</v>
      </c>
      <c r="C79">
        <v>1.17287294333907</v>
      </c>
      <c r="D79">
        <v>0.889626641572039</v>
      </c>
      <c r="E79">
        <v>0.832284232831136</v>
      </c>
      <c r="F79">
        <v>0.617420880177929</v>
      </c>
      <c r="G79">
        <v>0.424653998392382</v>
      </c>
      <c r="H79">
        <v>0.286397838013111</v>
      </c>
      <c r="I79">
        <v>0.237248629168367</v>
      </c>
      <c r="J79">
        <v>0.247354312019165</v>
      </c>
      <c r="K79">
        <v>0.170785123958569</v>
      </c>
      <c r="L79">
        <v>795.415873791896</v>
      </c>
      <c r="M79">
        <v>15.7120374243406</v>
      </c>
      <c r="N79">
        <v>52.1521389268029</v>
      </c>
      <c r="O79">
        <v>49.8258313628836</v>
      </c>
      <c r="P79">
        <v>-0.06430151904640501</v>
      </c>
      <c r="Q79">
        <v>0.184419761477736</v>
      </c>
      <c r="R79">
        <v>0.9662193928931589</v>
      </c>
      <c r="S79" t="s">
        <v>2272</v>
      </c>
      <c r="T79" t="s">
        <v>4362</v>
      </c>
      <c r="U79" t="s">
        <v>4362</v>
      </c>
      <c r="V79" t="s">
        <v>4362</v>
      </c>
      <c r="W79" t="s">
        <v>4441</v>
      </c>
      <c r="X79">
        <v>4</v>
      </c>
      <c r="Y79" t="s">
        <v>6600</v>
      </c>
      <c r="Z79" t="s">
        <v>8767</v>
      </c>
      <c r="AA79">
        <v>0.5704494779868809</v>
      </c>
      <c r="AB79">
        <f>HYPERLINK("Melting_Curves/meltCurve_P04994_xseA.pdf", "Melting_Curves/meltCurve_P04994_xseA.pdf")</f>
        <v>0</v>
      </c>
    </row>
    <row r="80" spans="1:28">
      <c r="A80" t="s">
        <v>106</v>
      </c>
      <c r="B80">
        <v>0.999739202189716</v>
      </c>
      <c r="C80">
        <v>0.970900128330327</v>
      </c>
      <c r="D80">
        <v>0.651151727483119</v>
      </c>
      <c r="E80">
        <v>0.671434688021542</v>
      </c>
      <c r="F80">
        <v>0.48551874311661</v>
      </c>
      <c r="G80">
        <v>0.36684487334281</v>
      </c>
      <c r="H80">
        <v>0.309814193823773</v>
      </c>
      <c r="I80">
        <v>0.266137902592177</v>
      </c>
      <c r="J80">
        <v>0.21480208498593</v>
      </c>
      <c r="K80">
        <v>0.246187638324685</v>
      </c>
      <c r="L80">
        <v>484.802083604642</v>
      </c>
      <c r="M80">
        <v>10.2836372508053</v>
      </c>
      <c r="N80">
        <v>49.5025707811298</v>
      </c>
      <c r="O80">
        <v>45.464754690613</v>
      </c>
      <c r="P80">
        <v>-0.0456119418708383</v>
      </c>
      <c r="Q80">
        <v>0.19373670623189</v>
      </c>
      <c r="R80">
        <v>0.96246770839464</v>
      </c>
      <c r="S80" t="s">
        <v>2273</v>
      </c>
      <c r="T80" t="s">
        <v>4362</v>
      </c>
      <c r="U80" t="s">
        <v>4362</v>
      </c>
      <c r="V80" t="s">
        <v>4362</v>
      </c>
      <c r="W80" t="s">
        <v>4442</v>
      </c>
      <c r="X80">
        <v>2</v>
      </c>
      <c r="Y80" t="s">
        <v>6601</v>
      </c>
      <c r="Z80" t="s">
        <v>8768</v>
      </c>
      <c r="AA80">
        <v>0.4994646446236111</v>
      </c>
      <c r="AB80">
        <f>HYPERLINK("Melting_Curves/meltCurve_P04995_sbcB.pdf", "Melting_Curves/meltCurve_P04995_sbcB.pdf")</f>
        <v>0</v>
      </c>
    </row>
    <row r="81" spans="1:28">
      <c r="A81" t="s">
        <v>107</v>
      </c>
      <c r="B81">
        <v>0.999739202189716</v>
      </c>
      <c r="C81">
        <v>0.980930634354827</v>
      </c>
      <c r="D81">
        <v>0.767269414798521</v>
      </c>
      <c r="E81">
        <v>0.822903141793044</v>
      </c>
      <c r="F81">
        <v>0.796720640042753</v>
      </c>
      <c r="G81">
        <v>0.6650407472579</v>
      </c>
      <c r="H81">
        <v>0.6218771932363</v>
      </c>
      <c r="I81">
        <v>0.542429625574934</v>
      </c>
      <c r="J81">
        <v>0.546576082836603</v>
      </c>
      <c r="K81">
        <v>0.395402400883084</v>
      </c>
      <c r="L81">
        <v>268.881318994295</v>
      </c>
      <c r="M81">
        <v>4.22740323315069</v>
      </c>
      <c r="N81">
        <v>63.604364993954</v>
      </c>
      <c r="O81">
        <v>53.1081963255529</v>
      </c>
      <c r="P81">
        <v>-0.0201138266333484</v>
      </c>
      <c r="Q81">
        <v>0</v>
      </c>
      <c r="R81">
        <v>0.9231651720176201</v>
      </c>
      <c r="S81" t="s">
        <v>2274</v>
      </c>
      <c r="T81" t="s">
        <v>4362</v>
      </c>
      <c r="U81" t="s">
        <v>4362</v>
      </c>
      <c r="V81" t="s">
        <v>4362</v>
      </c>
      <c r="W81" t="s">
        <v>4443</v>
      </c>
      <c r="X81">
        <v>9</v>
      </c>
      <c r="Y81" t="s">
        <v>6602</v>
      </c>
      <c r="Z81" t="s">
        <v>8769</v>
      </c>
      <c r="AA81">
        <v>0.7141335070257657</v>
      </c>
      <c r="AB81">
        <f>HYPERLINK("Melting_Curves/meltCurve_P05020_pyrC.pdf", "Melting_Curves/meltCurve_P05020_pyrC.pdf")</f>
        <v>0</v>
      </c>
    </row>
    <row r="82" spans="1:28">
      <c r="A82" t="s">
        <v>108</v>
      </c>
      <c r="B82">
        <v>0.999739202189716</v>
      </c>
      <c r="C82">
        <v>0.992352064519872</v>
      </c>
      <c r="D82">
        <v>0.721977479562959</v>
      </c>
      <c r="E82">
        <v>0.407103851711397</v>
      </c>
      <c r="F82">
        <v>0.171114504735987</v>
      </c>
      <c r="G82">
        <v>0.0930915866391382</v>
      </c>
      <c r="H82">
        <v>0.07982703164358849</v>
      </c>
      <c r="I82">
        <v>0.0635844690086079</v>
      </c>
      <c r="J82">
        <v>0.06632336148292869</v>
      </c>
      <c r="K82">
        <v>0.0598054082749895</v>
      </c>
      <c r="L82">
        <v>921.230370815528</v>
      </c>
      <c r="M82">
        <v>20.3817595735757</v>
      </c>
      <c r="N82">
        <v>45.4962774356613</v>
      </c>
      <c r="O82">
        <v>44.7704083785358</v>
      </c>
      <c r="P82">
        <v>-0.106715126488752</v>
      </c>
      <c r="Q82">
        <v>0.0623899732009265</v>
      </c>
      <c r="R82">
        <v>0.9970298479134549</v>
      </c>
      <c r="S82" t="s">
        <v>2275</v>
      </c>
      <c r="T82" t="s">
        <v>4362</v>
      </c>
      <c r="U82" t="s">
        <v>4362</v>
      </c>
      <c r="V82" t="s">
        <v>4362</v>
      </c>
      <c r="W82" t="s">
        <v>4444</v>
      </c>
      <c r="X82">
        <v>3</v>
      </c>
      <c r="Y82" t="s">
        <v>6603</v>
      </c>
      <c r="Z82" t="s">
        <v>8770</v>
      </c>
      <c r="AA82">
        <v>0.3304530480570531</v>
      </c>
      <c r="AB82">
        <f>HYPERLINK("Melting_Curves/meltCurve_P05041_pabB.pdf", "Melting_Curves/meltCurve_P05041_pabB.pdf")</f>
        <v>0</v>
      </c>
    </row>
    <row r="83" spans="1:28">
      <c r="A83" t="s">
        <v>109</v>
      </c>
      <c r="B83">
        <v>0.999739202189716</v>
      </c>
      <c r="C83">
        <v>1.10333947996722</v>
      </c>
      <c r="D83">
        <v>1.26348052630282</v>
      </c>
      <c r="E83">
        <v>1.16455363306155</v>
      </c>
      <c r="F83">
        <v>0.889104915647307</v>
      </c>
      <c r="G83">
        <v>0.373859493530916</v>
      </c>
      <c r="H83">
        <v>0.159466933151109</v>
      </c>
      <c r="I83">
        <v>0.09328941533159719</v>
      </c>
      <c r="J83">
        <v>0.072033874278218</v>
      </c>
      <c r="K83">
        <v>0.0573992943014229</v>
      </c>
      <c r="L83">
        <v>2083.98405774271</v>
      </c>
      <c r="M83">
        <v>39.4619143978461</v>
      </c>
      <c r="N83">
        <v>53.0541515956556</v>
      </c>
      <c r="O83">
        <v>52.6749542313027</v>
      </c>
      <c r="P83">
        <v>-0.171738708572843</v>
      </c>
      <c r="Q83">
        <v>0.08303426174382079</v>
      </c>
      <c r="R83">
        <v>0.952188073100078</v>
      </c>
      <c r="S83" t="s">
        <v>2276</v>
      </c>
      <c r="T83" t="s">
        <v>4362</v>
      </c>
      <c r="U83" t="s">
        <v>4362</v>
      </c>
      <c r="V83" t="s">
        <v>4362</v>
      </c>
      <c r="W83" t="s">
        <v>4445</v>
      </c>
      <c r="X83">
        <v>11</v>
      </c>
      <c r="Y83" t="s">
        <v>6604</v>
      </c>
      <c r="Z83" t="s">
        <v>8771</v>
      </c>
      <c r="AA83">
        <v>0.5696999503206859</v>
      </c>
      <c r="AB83">
        <f>HYPERLINK("Melting_Curves/meltCurve_P05042_fumC.pdf", "Melting_Curves/meltCurve_P05042_fumC.pdf")</f>
        <v>0</v>
      </c>
    </row>
    <row r="84" spans="1:28">
      <c r="A84" t="s">
        <v>110</v>
      </c>
      <c r="B84">
        <v>0.999739202189716</v>
      </c>
      <c r="C84">
        <v>0.8382889971823621</v>
      </c>
      <c r="D84">
        <v>0.989874171095215</v>
      </c>
      <c r="E84">
        <v>0.666646106644278</v>
      </c>
      <c r="F84">
        <v>0.458082454628738</v>
      </c>
      <c r="G84">
        <v>0.316320774833072</v>
      </c>
      <c r="H84">
        <v>0.222781825663612</v>
      </c>
      <c r="I84">
        <v>0.15851589061788</v>
      </c>
      <c r="J84">
        <v>0.134221604565416</v>
      </c>
      <c r="K84">
        <v>0.126888782011054</v>
      </c>
      <c r="L84">
        <v>680.726523097502</v>
      </c>
      <c r="M84">
        <v>13.9393672498409</v>
      </c>
      <c r="N84">
        <v>49.7217253636317</v>
      </c>
      <c r="O84">
        <v>47.8626873198657</v>
      </c>
      <c r="P84">
        <v>-0.0648038076444002</v>
      </c>
      <c r="Q84">
        <v>0.110069486359395</v>
      </c>
      <c r="R84">
        <v>0.974848962154758</v>
      </c>
      <c r="S84" t="s">
        <v>2277</v>
      </c>
      <c r="T84" t="s">
        <v>4362</v>
      </c>
      <c r="U84" t="s">
        <v>4362</v>
      </c>
      <c r="V84" t="s">
        <v>4362</v>
      </c>
      <c r="W84" t="s">
        <v>4446</v>
      </c>
      <c r="X84">
        <v>2</v>
      </c>
      <c r="Y84" t="s">
        <v>6605</v>
      </c>
      <c r="Z84" t="s">
        <v>8772</v>
      </c>
      <c r="AA84">
        <v>0.4826809983294567</v>
      </c>
      <c r="AB84">
        <f>HYPERLINK("Melting_Curves/meltCurve_P05050_alkB.pdf", "Melting_Curves/meltCurve_P05050_alkB.pdf")</f>
        <v>0</v>
      </c>
    </row>
    <row r="85" spans="1:28">
      <c r="A85" t="s">
        <v>111</v>
      </c>
      <c r="B85">
        <v>0.999739202189716</v>
      </c>
      <c r="C85">
        <v>1.37439412910914</v>
      </c>
      <c r="D85">
        <v>1.13230274583886</v>
      </c>
      <c r="E85">
        <v>1.29035575391131</v>
      </c>
      <c r="F85">
        <v>0.902401152244951</v>
      </c>
      <c r="G85">
        <v>0.831242872933339</v>
      </c>
      <c r="H85">
        <v>0.580053570291771</v>
      </c>
      <c r="I85">
        <v>0.352285311064151</v>
      </c>
      <c r="J85">
        <v>0.175068436616108</v>
      </c>
      <c r="K85">
        <v>0.123741977454881</v>
      </c>
      <c r="L85">
        <v>1153.35164923984</v>
      </c>
      <c r="M85">
        <v>19.8449534346323</v>
      </c>
      <c r="N85">
        <v>58.5078241505457</v>
      </c>
      <c r="O85">
        <v>57.5376375977826</v>
      </c>
      <c r="P85">
        <v>-0.0808906818373069</v>
      </c>
      <c r="Q85">
        <v>0.0619071068218001</v>
      </c>
      <c r="R85">
        <v>0.862421149319843</v>
      </c>
      <c r="S85" t="s">
        <v>2278</v>
      </c>
      <c r="T85" t="s">
        <v>4362</v>
      </c>
      <c r="U85" t="s">
        <v>4362</v>
      </c>
      <c r="V85" t="s">
        <v>4362</v>
      </c>
      <c r="W85" t="s">
        <v>4447</v>
      </c>
      <c r="X85">
        <v>23</v>
      </c>
      <c r="Y85" t="s">
        <v>6606</v>
      </c>
      <c r="Z85" t="s">
        <v>8773</v>
      </c>
      <c r="AA85">
        <v>0.7283293592078421</v>
      </c>
      <c r="AB85">
        <f>HYPERLINK("Melting_Curves/meltCurve_P05055_pnp.pdf", "Melting_Curves/meltCurve_P05055_pnp.pdf")</f>
        <v>0</v>
      </c>
    </row>
    <row r="86" spans="1:28">
      <c r="A86" t="s">
        <v>112</v>
      </c>
      <c r="B86">
        <v>0.999739202189716</v>
      </c>
      <c r="C86">
        <v>0.857410657612906</v>
      </c>
      <c r="D86">
        <v>0.759706155977839</v>
      </c>
      <c r="E86">
        <v>0.759731398515645</v>
      </c>
      <c r="F86">
        <v>0.396309048885942</v>
      </c>
      <c r="G86">
        <v>0.145773114267776</v>
      </c>
      <c r="H86">
        <v>0.08420741516958451</v>
      </c>
      <c r="I86">
        <v>0.068355350346785</v>
      </c>
      <c r="J86">
        <v>0.06380148664408609</v>
      </c>
      <c r="K86">
        <v>0.0575453663280364</v>
      </c>
      <c r="L86">
        <v>645.697551969407</v>
      </c>
      <c r="M86">
        <v>13.2985903744807</v>
      </c>
      <c r="N86">
        <v>48.5707472340595</v>
      </c>
      <c r="O86">
        <v>47.4953363895351</v>
      </c>
      <c r="P86">
        <v>-0.06984904712135261</v>
      </c>
      <c r="Q86">
        <v>0.00231002329448407</v>
      </c>
      <c r="R86">
        <v>0.970833746778893</v>
      </c>
      <c r="S86" t="s">
        <v>2279</v>
      </c>
      <c r="T86" t="s">
        <v>4362</v>
      </c>
      <c r="U86" t="s">
        <v>4362</v>
      </c>
      <c r="V86" t="s">
        <v>4362</v>
      </c>
      <c r="W86" t="s">
        <v>4448</v>
      </c>
      <c r="X86">
        <v>9</v>
      </c>
      <c r="Y86" t="s">
        <v>6607</v>
      </c>
      <c r="Z86" t="s">
        <v>8774</v>
      </c>
      <c r="AA86">
        <v>0.4127311046719683</v>
      </c>
      <c r="AB86">
        <f>HYPERLINK("Melting_Curves/meltCurve_P05194_aroD.pdf", "Melting_Curves/meltCurve_P05194_aroD.pdf")</f>
        <v>0</v>
      </c>
    </row>
    <row r="87" spans="1:28">
      <c r="A87" t="s">
        <v>113</v>
      </c>
      <c r="B87">
        <v>0.999739202189716</v>
      </c>
      <c r="C87">
        <v>1.5183784611027</v>
      </c>
      <c r="D87">
        <v>0.919177996157669</v>
      </c>
      <c r="E87">
        <v>1.13262723241573</v>
      </c>
      <c r="F87">
        <v>0.421409606950529</v>
      </c>
      <c r="G87">
        <v>0.270051917002626</v>
      </c>
      <c r="H87">
        <v>0.145895432374506</v>
      </c>
      <c r="I87">
        <v>0.0990377103176877</v>
      </c>
      <c r="J87">
        <v>0.0809365855126056</v>
      </c>
      <c r="K87">
        <v>0.07951872359801571</v>
      </c>
      <c r="L87">
        <v>7442.33336926613</v>
      </c>
      <c r="M87">
        <v>148.956957452319</v>
      </c>
      <c r="N87">
        <v>50.0688561520691</v>
      </c>
      <c r="O87">
        <v>49.9539747940199</v>
      </c>
      <c r="P87">
        <v>-0.644772770332125</v>
      </c>
      <c r="Q87">
        <v>0.135080014699779</v>
      </c>
      <c r="R87">
        <v>0.873410979277542</v>
      </c>
      <c r="S87" t="s">
        <v>2280</v>
      </c>
      <c r="T87" t="s">
        <v>4362</v>
      </c>
      <c r="U87" t="s">
        <v>4362</v>
      </c>
      <c r="V87" t="s">
        <v>4362</v>
      </c>
      <c r="W87" t="s">
        <v>4449</v>
      </c>
      <c r="X87">
        <v>20</v>
      </c>
      <c r="Y87" t="s">
        <v>6608</v>
      </c>
      <c r="Z87" t="s">
        <v>8775</v>
      </c>
      <c r="AA87">
        <v>0.5090250539919502</v>
      </c>
      <c r="AB87">
        <f>HYPERLINK("Melting_Curves/meltCurve_P05458_ptrA.pdf", "Melting_Curves/meltCurve_P05458_ptrA.pdf")</f>
        <v>0</v>
      </c>
    </row>
    <row r="88" spans="1:28">
      <c r="A88" t="s">
        <v>114</v>
      </c>
      <c r="B88">
        <v>0.999739202189716</v>
      </c>
      <c r="C88">
        <v>0.916409503084729</v>
      </c>
      <c r="D88">
        <v>0.968132961020833</v>
      </c>
      <c r="E88">
        <v>0.706711659629315</v>
      </c>
      <c r="F88">
        <v>0.351617102375047</v>
      </c>
      <c r="G88">
        <v>0.120494883900943</v>
      </c>
      <c r="H88">
        <v>0.0808070690849084</v>
      </c>
      <c r="I88">
        <v>0.0601999701377531</v>
      </c>
      <c r="J88">
        <v>0.0639490139237322</v>
      </c>
      <c r="K88">
        <v>0.0521488486703405</v>
      </c>
      <c r="L88">
        <v>1088.03816324877</v>
      </c>
      <c r="M88">
        <v>22.5044530858853</v>
      </c>
      <c r="N88">
        <v>48.5820100555018</v>
      </c>
      <c r="O88">
        <v>47.9707758804614</v>
      </c>
      <c r="P88">
        <v>-0.11125261474321</v>
      </c>
      <c r="Q88">
        <v>0.0514293850782672</v>
      </c>
      <c r="R88">
        <v>0.995603409615422</v>
      </c>
      <c r="S88" t="s">
        <v>2281</v>
      </c>
      <c r="T88" t="s">
        <v>4362</v>
      </c>
      <c r="U88" t="s">
        <v>4362</v>
      </c>
      <c r="V88" t="s">
        <v>4362</v>
      </c>
      <c r="W88" t="s">
        <v>4450</v>
      </c>
      <c r="X88">
        <v>17</v>
      </c>
      <c r="Y88" t="s">
        <v>6609</v>
      </c>
      <c r="Z88" t="s">
        <v>8776</v>
      </c>
      <c r="AA88">
        <v>0.4202037381590454</v>
      </c>
      <c r="AB88">
        <f>HYPERLINK("Melting_Curves/meltCurve_P05459_pdxB.pdf", "Melting_Curves/meltCurve_P05459_pdxB.pdf")</f>
        <v>0</v>
      </c>
    </row>
    <row r="89" spans="1:28">
      <c r="A89" t="s">
        <v>115</v>
      </c>
      <c r="B89">
        <v>0.999739202189716</v>
      </c>
      <c r="C89">
        <v>1.05865840876166</v>
      </c>
      <c r="D89">
        <v>1.10298002463383</v>
      </c>
      <c r="E89">
        <v>0.963850298115874</v>
      </c>
      <c r="F89">
        <v>0.586375218751507</v>
      </c>
      <c r="G89">
        <v>0.186513764436613</v>
      </c>
      <c r="H89">
        <v>0.131613800739203</v>
      </c>
      <c r="I89">
        <v>0.0965759560179377</v>
      </c>
      <c r="J89">
        <v>0.101240937723541</v>
      </c>
      <c r="K89">
        <v>0.07959617149410909</v>
      </c>
      <c r="L89">
        <v>1849.24255577321</v>
      </c>
      <c r="M89">
        <v>36.6569151681068</v>
      </c>
      <c r="N89">
        <v>50.7547554725225</v>
      </c>
      <c r="O89">
        <v>50.2978823169948</v>
      </c>
      <c r="P89">
        <v>-0.164058952473212</v>
      </c>
      <c r="Q89">
        <v>0.0995650011334961</v>
      </c>
      <c r="R89">
        <v>0.991807811378306</v>
      </c>
      <c r="S89" t="s">
        <v>2282</v>
      </c>
      <c r="T89" t="s">
        <v>4362</v>
      </c>
      <c r="U89" t="s">
        <v>4362</v>
      </c>
      <c r="V89" t="s">
        <v>4362</v>
      </c>
      <c r="W89" t="s">
        <v>4451</v>
      </c>
      <c r="X89">
        <v>3</v>
      </c>
      <c r="Y89" t="s">
        <v>6610</v>
      </c>
      <c r="Z89" t="s">
        <v>8777</v>
      </c>
      <c r="AA89">
        <v>0.506916115960972</v>
      </c>
      <c r="AB89">
        <f>HYPERLINK("Melting_Curves/meltCurve_P05523_mutM.pdf", "Melting_Curves/meltCurve_P05523_mutM.pdf")</f>
        <v>0</v>
      </c>
    </row>
    <row r="90" spans="1:28">
      <c r="A90" t="s">
        <v>116</v>
      </c>
      <c r="B90">
        <v>0.999739202189716</v>
      </c>
      <c r="C90">
        <v>0.868001101824657</v>
      </c>
      <c r="D90">
        <v>0.8459947635271799</v>
      </c>
      <c r="E90">
        <v>0.621097416997157</v>
      </c>
      <c r="F90">
        <v>0.501844505155982</v>
      </c>
      <c r="G90">
        <v>0.393031639569573</v>
      </c>
      <c r="H90">
        <v>0.244390417861848</v>
      </c>
      <c r="I90">
        <v>0.178957242772771</v>
      </c>
      <c r="J90">
        <v>0.140349832785486</v>
      </c>
      <c r="K90">
        <v>0.108964110270556</v>
      </c>
      <c r="L90">
        <v>435.91089953308</v>
      </c>
      <c r="M90">
        <v>8.702961129919229</v>
      </c>
      <c r="N90">
        <v>50.2167732316285</v>
      </c>
      <c r="O90">
        <v>47.6539835922629</v>
      </c>
      <c r="P90">
        <v>-0.0451890932768487</v>
      </c>
      <c r="Q90">
        <v>0.0110646702853668</v>
      </c>
      <c r="R90">
        <v>0.9926560208672009</v>
      </c>
      <c r="S90" t="s">
        <v>2283</v>
      </c>
      <c r="T90" t="s">
        <v>4362</v>
      </c>
      <c r="U90" t="s">
        <v>4362</v>
      </c>
      <c r="V90" t="s">
        <v>4362</v>
      </c>
      <c r="W90" t="s">
        <v>4452</v>
      </c>
      <c r="X90">
        <v>6</v>
      </c>
      <c r="Y90" t="s">
        <v>6611</v>
      </c>
      <c r="Z90" t="s">
        <v>8778</v>
      </c>
      <c r="AA90">
        <v>0.4799269450655745</v>
      </c>
      <c r="AB90">
        <f>HYPERLINK("Melting_Curves/meltCurve_P05637_apaH.pdf", "Melting_Curves/meltCurve_P05637_apaH.pdf")</f>
        <v>0</v>
      </c>
    </row>
    <row r="91" spans="1:28">
      <c r="A91" t="s">
        <v>117</v>
      </c>
      <c r="B91">
        <v>0.999739202189716</v>
      </c>
      <c r="C91">
        <v>0.891847773117867</v>
      </c>
      <c r="D91">
        <v>0.689918191032702</v>
      </c>
      <c r="E91">
        <v>0.466921147604558</v>
      </c>
      <c r="F91">
        <v>0.2983144665389</v>
      </c>
      <c r="G91">
        <v>0.208191202427342</v>
      </c>
      <c r="H91">
        <v>0.172035861658077</v>
      </c>
      <c r="I91">
        <v>0.145000524683624</v>
      </c>
      <c r="J91">
        <v>0.142102477332387</v>
      </c>
      <c r="K91">
        <v>0.115174881328955</v>
      </c>
      <c r="L91">
        <v>646.231504641071</v>
      </c>
      <c r="M91">
        <v>14.3237278084046</v>
      </c>
      <c r="N91">
        <v>46.0425681894845</v>
      </c>
      <c r="O91">
        <v>44.2641220421283</v>
      </c>
      <c r="P91">
        <v>-0.0707796597269172</v>
      </c>
      <c r="Q91">
        <v>0.125194213576177</v>
      </c>
      <c r="R91">
        <v>0.99772436279524</v>
      </c>
      <c r="S91" t="s">
        <v>2284</v>
      </c>
      <c r="T91" t="s">
        <v>4362</v>
      </c>
      <c r="U91" t="s">
        <v>4362</v>
      </c>
      <c r="V91" t="s">
        <v>4362</v>
      </c>
      <c r="W91" t="s">
        <v>4453</v>
      </c>
      <c r="X91">
        <v>11</v>
      </c>
      <c r="Y91" t="s">
        <v>6612</v>
      </c>
      <c r="Z91" t="s">
        <v>8779</v>
      </c>
      <c r="AA91">
        <v>0.3845530231336222</v>
      </c>
      <c r="AB91">
        <f>HYPERLINK("Melting_Curves/meltCurve_P05704_trg.pdf", "Melting_Curves/meltCurve_P05704_trg.pdf")</f>
        <v>0</v>
      </c>
    </row>
    <row r="92" spans="1:28">
      <c r="A92" t="s">
        <v>118</v>
      </c>
      <c r="B92">
        <v>0.999739202189716</v>
      </c>
      <c r="C92">
        <v>0.972750375164722</v>
      </c>
      <c r="D92">
        <v>1.00311159809173</v>
      </c>
      <c r="E92">
        <v>0.338317526203492</v>
      </c>
      <c r="F92">
        <v>0.212271989465545</v>
      </c>
      <c r="G92">
        <v>0.096974869581486</v>
      </c>
      <c r="H92">
        <v>0.0701871618552785</v>
      </c>
      <c r="I92">
        <v>0.0494752188182574</v>
      </c>
      <c r="J92">
        <v>0.0534793730706908</v>
      </c>
      <c r="K92">
        <v>0.0390046226774804</v>
      </c>
      <c r="L92">
        <v>2369.12278589561</v>
      </c>
      <c r="M92">
        <v>51.7344665399816</v>
      </c>
      <c r="N92">
        <v>45.9569739644771</v>
      </c>
      <c r="O92">
        <v>45.7256275620669</v>
      </c>
      <c r="P92">
        <v>-0.259134821724884</v>
      </c>
      <c r="Q92">
        <v>0.0838530624155478</v>
      </c>
      <c r="R92">
        <v>0.98762841588074</v>
      </c>
      <c r="S92" t="s">
        <v>2285</v>
      </c>
      <c r="T92" t="s">
        <v>4362</v>
      </c>
      <c r="U92" t="s">
        <v>4362</v>
      </c>
      <c r="V92" t="s">
        <v>4362</v>
      </c>
      <c r="W92" t="s">
        <v>4454</v>
      </c>
      <c r="X92">
        <v>4</v>
      </c>
      <c r="Y92" t="s">
        <v>6613</v>
      </c>
      <c r="Z92" t="s">
        <v>8780</v>
      </c>
      <c r="AA92">
        <v>0.3541311257989059</v>
      </c>
      <c r="AB92">
        <f>HYPERLINK("Melting_Curves/meltCurve_P05707_srlD.pdf", "Melting_Curves/meltCurve_P05707_srlD.pdf")</f>
        <v>0</v>
      </c>
    </row>
    <row r="93" spans="1:28">
      <c r="A93" t="s">
        <v>119</v>
      </c>
      <c r="B93">
        <v>0.999739202189716</v>
      </c>
      <c r="C93">
        <v>1.02186257752652</v>
      </c>
      <c r="D93">
        <v>0.742428070543816</v>
      </c>
      <c r="E93">
        <v>0.6500563008553381</v>
      </c>
      <c r="F93">
        <v>0.451422480162626</v>
      </c>
      <c r="G93">
        <v>0.328618864004939</v>
      </c>
      <c r="H93">
        <v>0.212901590564896</v>
      </c>
      <c r="I93">
        <v>0.165407797753332</v>
      </c>
      <c r="J93">
        <v>0.170483902272458</v>
      </c>
      <c r="K93">
        <v>0.157471739244785</v>
      </c>
      <c r="L93">
        <v>584.982531062998</v>
      </c>
      <c r="M93">
        <v>12.2087625868137</v>
      </c>
      <c r="N93">
        <v>49.0719965273898</v>
      </c>
      <c r="O93">
        <v>46.6838268607245</v>
      </c>
      <c r="P93">
        <v>-0.0572160991840557</v>
      </c>
      <c r="Q93">
        <v>0.125066233224944</v>
      </c>
      <c r="R93">
        <v>0.983657054420403</v>
      </c>
      <c r="S93" t="s">
        <v>2286</v>
      </c>
      <c r="T93" t="s">
        <v>4362</v>
      </c>
      <c r="U93" t="s">
        <v>4362</v>
      </c>
      <c r="V93" t="s">
        <v>4362</v>
      </c>
      <c r="W93" t="s">
        <v>4455</v>
      </c>
      <c r="X93">
        <v>11</v>
      </c>
      <c r="Y93" t="s">
        <v>6614</v>
      </c>
      <c r="Z93" t="s">
        <v>8781</v>
      </c>
      <c r="AA93">
        <v>0.4702077905194966</v>
      </c>
      <c r="AB93">
        <f>HYPERLINK("Melting_Curves/meltCurve_P05791_ilvD.pdf", "Melting_Curves/meltCurve_P05791_ilvD.pdf")</f>
        <v>0</v>
      </c>
    </row>
    <row r="94" spans="1:28">
      <c r="A94" t="s">
        <v>120</v>
      </c>
      <c r="B94">
        <v>0.999739202189716</v>
      </c>
      <c r="C94">
        <v>1.12890000038345</v>
      </c>
      <c r="D94">
        <v>1.18049930066523</v>
      </c>
      <c r="E94">
        <v>0.488125516453869</v>
      </c>
      <c r="F94">
        <v>0.248552080938424</v>
      </c>
      <c r="G94">
        <v>0.131259300251417</v>
      </c>
      <c r="H94">
        <v>0.0901256891908918</v>
      </c>
      <c r="I94">
        <v>0.0651787989947545</v>
      </c>
      <c r="J94">
        <v>0.0551504284284109</v>
      </c>
      <c r="K94">
        <v>0.0417238405424384</v>
      </c>
      <c r="L94">
        <v>3725.88093203145</v>
      </c>
      <c r="M94">
        <v>80.2315421256247</v>
      </c>
      <c r="N94">
        <v>46.5754908120641</v>
      </c>
      <c r="O94">
        <v>46.4102706729948</v>
      </c>
      <c r="P94">
        <v>-0.38693320315687</v>
      </c>
      <c r="Q94">
        <v>0.104707487724602</v>
      </c>
      <c r="R94">
        <v>0.961422841783639</v>
      </c>
      <c r="S94" t="s">
        <v>2287</v>
      </c>
      <c r="T94" t="s">
        <v>4362</v>
      </c>
      <c r="U94" t="s">
        <v>4362</v>
      </c>
      <c r="V94" t="s">
        <v>4362</v>
      </c>
      <c r="W94" t="s">
        <v>4456</v>
      </c>
      <c r="X94">
        <v>12</v>
      </c>
      <c r="Y94" t="s">
        <v>6615</v>
      </c>
      <c r="Z94" t="s">
        <v>8782</v>
      </c>
      <c r="AA94">
        <v>0.3871092854220768</v>
      </c>
      <c r="AB94">
        <f>HYPERLINK("Melting_Curves/meltCurve_P05793_ilvC.pdf", "Melting_Curves/meltCurve_P05793_ilvC.pdf")</f>
        <v>0</v>
      </c>
    </row>
    <row r="95" spans="1:28">
      <c r="A95" t="s">
        <v>121</v>
      </c>
      <c r="B95">
        <v>0.999739202189716</v>
      </c>
      <c r="C95">
        <v>1.24018063089986</v>
      </c>
      <c r="D95">
        <v>0.865592791771205</v>
      </c>
      <c r="E95">
        <v>0.705107678095659</v>
      </c>
      <c r="F95">
        <v>0.32489428775109</v>
      </c>
      <c r="G95">
        <v>0.278992002135665</v>
      </c>
      <c r="H95">
        <v>0.178590340286887</v>
      </c>
      <c r="I95">
        <v>0.120401002844632</v>
      </c>
      <c r="J95">
        <v>0.113537086096797</v>
      </c>
      <c r="K95">
        <v>0.10294540640993</v>
      </c>
      <c r="L95">
        <v>1008.24701844395</v>
      </c>
      <c r="M95">
        <v>21.0448908882597</v>
      </c>
      <c r="N95">
        <v>48.5903365760044</v>
      </c>
      <c r="O95">
        <v>47.4830491905552</v>
      </c>
      <c r="P95">
        <v>-0.09665412768118389</v>
      </c>
      <c r="Q95">
        <v>0.127710228952715</v>
      </c>
      <c r="R95">
        <v>0.952007001058785</v>
      </c>
      <c r="S95" t="s">
        <v>2288</v>
      </c>
      <c r="T95" t="s">
        <v>4362</v>
      </c>
      <c r="U95" t="s">
        <v>4362</v>
      </c>
      <c r="V95" t="s">
        <v>4362</v>
      </c>
      <c r="W95" t="s">
        <v>4457</v>
      </c>
      <c r="X95">
        <v>5</v>
      </c>
      <c r="Y95" t="s">
        <v>6616</v>
      </c>
      <c r="Z95" t="s">
        <v>8783</v>
      </c>
      <c r="AA95">
        <v>0.455308898615103</v>
      </c>
      <c r="AB95">
        <f>HYPERLINK("Melting_Curves/meltCurve_P05804_uidA.pdf", "Melting_Curves/meltCurve_P05804_uidA.pdf")</f>
        <v>0</v>
      </c>
    </row>
    <row r="96" spans="1:28">
      <c r="A96" t="s">
        <v>122</v>
      </c>
      <c r="B96">
        <v>0.999739202189716</v>
      </c>
      <c r="C96">
        <v>0.968617947297468</v>
      </c>
      <c r="D96">
        <v>0.88311920824517</v>
      </c>
      <c r="E96">
        <v>0.567638024970306</v>
      </c>
      <c r="F96">
        <v>0.450367076677178</v>
      </c>
      <c r="G96">
        <v>0.379169184712172</v>
      </c>
      <c r="H96">
        <v>0.271211342969514</v>
      </c>
      <c r="I96">
        <v>0.248705775474015</v>
      </c>
      <c r="J96">
        <v>0.258796698386675</v>
      </c>
      <c r="K96">
        <v>0.265900159075971</v>
      </c>
      <c r="L96">
        <v>774.040689635942</v>
      </c>
      <c r="M96">
        <v>16.6434229262896</v>
      </c>
      <c r="N96">
        <v>48.6316061714113</v>
      </c>
      <c r="O96">
        <v>45.851436796379</v>
      </c>
      <c r="P96">
        <v>-0.0673089592098496</v>
      </c>
      <c r="Q96">
        <v>0.258324146107421</v>
      </c>
      <c r="R96">
        <v>0.990003495584153</v>
      </c>
      <c r="S96" t="s">
        <v>2289</v>
      </c>
      <c r="T96" t="s">
        <v>4362</v>
      </c>
      <c r="U96" t="s">
        <v>4362</v>
      </c>
      <c r="V96" t="s">
        <v>4362</v>
      </c>
      <c r="W96" t="s">
        <v>4458</v>
      </c>
      <c r="X96">
        <v>1</v>
      </c>
      <c r="Y96" t="s">
        <v>6617</v>
      </c>
      <c r="Z96" t="s">
        <v>8784</v>
      </c>
      <c r="AA96">
        <v>0.5072599634203153</v>
      </c>
      <c r="AB96">
        <f>HYPERLINK("Melting_Curves/meltCurve_P05825_fepA.pdf", "Melting_Curves/meltCurve_P05825_fepA.pdf")</f>
        <v>0</v>
      </c>
    </row>
    <row r="97" spans="1:28">
      <c r="A97" t="s">
        <v>123</v>
      </c>
      <c r="B97">
        <v>0.999739202189716</v>
      </c>
      <c r="C97">
        <v>0.895115435818052</v>
      </c>
      <c r="D97">
        <v>0.65546780106184</v>
      </c>
      <c r="E97">
        <v>0.595888404973529</v>
      </c>
      <c r="F97">
        <v>0.753561429956055</v>
      </c>
      <c r="G97">
        <v>0.6438122114992469</v>
      </c>
      <c r="H97">
        <v>0.5830827962955329</v>
      </c>
      <c r="I97">
        <v>0.463986057600635</v>
      </c>
      <c r="J97">
        <v>0.383390975967518</v>
      </c>
      <c r="K97">
        <v>0.34334823559512</v>
      </c>
      <c r="L97">
        <v>221.121887387667</v>
      </c>
      <c r="M97">
        <v>3.77247945813646</v>
      </c>
      <c r="N97">
        <v>58.6144838858413</v>
      </c>
      <c r="O97">
        <v>47.2006080860042</v>
      </c>
      <c r="P97">
        <v>-0.020290458302004</v>
      </c>
      <c r="Q97">
        <v>0</v>
      </c>
      <c r="R97">
        <v>0.825732611187888</v>
      </c>
      <c r="S97" t="s">
        <v>2290</v>
      </c>
      <c r="T97" t="s">
        <v>4362</v>
      </c>
      <c r="U97" t="s">
        <v>4362</v>
      </c>
      <c r="V97" t="s">
        <v>4362</v>
      </c>
      <c r="W97" t="s">
        <v>4459</v>
      </c>
      <c r="X97">
        <v>2</v>
      </c>
      <c r="Y97" t="s">
        <v>6618</v>
      </c>
      <c r="Z97" t="s">
        <v>8785</v>
      </c>
      <c r="AA97">
        <v>0.628034404951772</v>
      </c>
      <c r="AB97">
        <f>HYPERLINK("Melting_Curves/meltCurve_P05827_ilvY.pdf", "Melting_Curves/meltCurve_P05827_ilvY.pdf")</f>
        <v>0</v>
      </c>
    </row>
    <row r="98" spans="1:28">
      <c r="A98" t="s">
        <v>124</v>
      </c>
      <c r="B98">
        <v>0.999739202189716</v>
      </c>
      <c r="C98">
        <v>1.08342106406527</v>
      </c>
      <c r="D98">
        <v>0.812320236066932</v>
      </c>
      <c r="E98">
        <v>0.803069973170318</v>
      </c>
      <c r="F98">
        <v>0.659796557160596</v>
      </c>
      <c r="G98">
        <v>0.581990766715005</v>
      </c>
      <c r="H98">
        <v>0.529232908665904</v>
      </c>
      <c r="I98">
        <v>0.437462544918955</v>
      </c>
      <c r="J98">
        <v>0.396672214931992</v>
      </c>
      <c r="K98">
        <v>0.189991889975077</v>
      </c>
      <c r="L98">
        <v>366.392724939589</v>
      </c>
      <c r="M98">
        <v>6.41145123750715</v>
      </c>
      <c r="N98">
        <v>57.1466138524785</v>
      </c>
      <c r="O98">
        <v>52.3470516857522</v>
      </c>
      <c r="P98">
        <v>-0.0306980728034002</v>
      </c>
      <c r="Q98">
        <v>0</v>
      </c>
      <c r="R98">
        <v>0.935656525753513</v>
      </c>
      <c r="S98" t="s">
        <v>2291</v>
      </c>
      <c r="T98" t="s">
        <v>4362</v>
      </c>
      <c r="U98" t="s">
        <v>4362</v>
      </c>
      <c r="V98" t="s">
        <v>4362</v>
      </c>
      <c r="W98" t="s">
        <v>4460</v>
      </c>
      <c r="X98">
        <v>4</v>
      </c>
      <c r="Y98" t="s">
        <v>6619</v>
      </c>
      <c r="Z98" t="s">
        <v>8786</v>
      </c>
      <c r="AA98">
        <v>0.6455558166713813</v>
      </c>
      <c r="AB98">
        <f>HYPERLINK("Melting_Curves/meltCurve_P06129_btuB.pdf", "Melting_Curves/meltCurve_P06129_btuB.pdf")</f>
        <v>0</v>
      </c>
    </row>
    <row r="99" spans="1:28">
      <c r="A99" t="s">
        <v>125</v>
      </c>
      <c r="B99">
        <v>0.999739202189716</v>
      </c>
      <c r="C99">
        <v>0.945737466585741</v>
      </c>
      <c r="D99">
        <v>0.567577542459667</v>
      </c>
      <c r="E99">
        <v>0.397176475325141</v>
      </c>
      <c r="F99">
        <v>0.467956278584146</v>
      </c>
      <c r="G99">
        <v>0.265381895573486</v>
      </c>
      <c r="H99">
        <v>0.184136618371969</v>
      </c>
      <c r="I99">
        <v>0.127161225802957</v>
      </c>
      <c r="J99">
        <v>0.13051244317305</v>
      </c>
      <c r="K99">
        <v>0.122780527554535</v>
      </c>
      <c r="L99">
        <v>517.763899465438</v>
      </c>
      <c r="M99">
        <v>11.4709954745072</v>
      </c>
      <c r="N99">
        <v>46.2155227514491</v>
      </c>
      <c r="O99">
        <v>43.8303929984637</v>
      </c>
      <c r="P99">
        <v>-0.0577603732611209</v>
      </c>
      <c r="Q99">
        <v>0.117449701011079</v>
      </c>
      <c r="R99">
        <v>0.941463949943924</v>
      </c>
      <c r="S99" t="s">
        <v>2292</v>
      </c>
      <c r="T99" t="s">
        <v>4362</v>
      </c>
      <c r="U99" t="s">
        <v>4362</v>
      </c>
      <c r="V99" t="s">
        <v>4362</v>
      </c>
      <c r="W99" t="s">
        <v>4461</v>
      </c>
      <c r="X99">
        <v>2</v>
      </c>
      <c r="Y99" t="s">
        <v>6620</v>
      </c>
      <c r="Z99" t="s">
        <v>8787</v>
      </c>
      <c r="AA99">
        <v>0.3913096046832624</v>
      </c>
      <c r="AB99">
        <f>HYPERLINK("Melting_Curves/meltCurve_P06134_ada.pdf", "Melting_Curves/meltCurve_P06134_ada.pdf")</f>
        <v>0</v>
      </c>
    </row>
    <row r="100" spans="1:28">
      <c r="A100" t="s">
        <v>126</v>
      </c>
      <c r="B100">
        <v>0.999739202189716</v>
      </c>
      <c r="C100">
        <v>1.0273070759854</v>
      </c>
      <c r="D100">
        <v>0.800653595782521</v>
      </c>
      <c r="E100">
        <v>0.569871749549094</v>
      </c>
      <c r="F100">
        <v>0.440930346388076</v>
      </c>
      <c r="G100">
        <v>0.320329909751097</v>
      </c>
      <c r="H100">
        <v>0.296902025467317</v>
      </c>
      <c r="I100">
        <v>0.2356116060631</v>
      </c>
      <c r="J100">
        <v>0.188796757767616</v>
      </c>
      <c r="K100">
        <v>0.09101211701793541</v>
      </c>
      <c r="L100">
        <v>601.766214180982</v>
      </c>
      <c r="M100">
        <v>12.6931353983669</v>
      </c>
      <c r="N100">
        <v>48.8388378858651</v>
      </c>
      <c r="O100">
        <v>46.2782734105636</v>
      </c>
      <c r="P100">
        <v>-0.0579383374643518</v>
      </c>
      <c r="Q100">
        <v>0.155207474856871</v>
      </c>
      <c r="R100">
        <v>0.975575308661208</v>
      </c>
      <c r="S100" t="s">
        <v>2293</v>
      </c>
      <c r="T100" t="s">
        <v>4362</v>
      </c>
      <c r="U100" t="s">
        <v>4362</v>
      </c>
      <c r="V100" t="s">
        <v>4362</v>
      </c>
      <c r="W100" t="s">
        <v>4462</v>
      </c>
      <c r="X100">
        <v>26</v>
      </c>
      <c r="Y100" t="s">
        <v>6621</v>
      </c>
      <c r="Z100" t="s">
        <v>8788</v>
      </c>
      <c r="AA100">
        <v>0.4732430445338499</v>
      </c>
      <c r="AB100">
        <f>HYPERLINK("Melting_Curves/meltCurve_P06149_dld.pdf", "Melting_Curves/meltCurve_P06149_dld.pdf")</f>
        <v>0</v>
      </c>
    </row>
    <row r="101" spans="1:28">
      <c r="A101" t="s">
        <v>127</v>
      </c>
      <c r="B101">
        <v>0.999739202189716</v>
      </c>
      <c r="C101">
        <v>1.0768932446924</v>
      </c>
      <c r="D101">
        <v>0.607530547297919</v>
      </c>
      <c r="E101">
        <v>0.94592754854227</v>
      </c>
      <c r="F101">
        <v>0.490582305852661</v>
      </c>
      <c r="G101">
        <v>0.264818376393574</v>
      </c>
      <c r="H101">
        <v>0.207408320339908</v>
      </c>
      <c r="I101">
        <v>0.117013012394827</v>
      </c>
      <c r="J101">
        <v>0.104373505834918</v>
      </c>
      <c r="K101">
        <v>0.0901263400149887</v>
      </c>
      <c r="L101">
        <v>655.45374469582</v>
      </c>
      <c r="M101">
        <v>13.0657871322604</v>
      </c>
      <c r="N101">
        <v>50.4942272609981</v>
      </c>
      <c r="O101">
        <v>49.034158832936</v>
      </c>
      <c r="P101">
        <v>-0.0639118466006403</v>
      </c>
      <c r="Q101">
        <v>0.0407555796741371</v>
      </c>
      <c r="R101">
        <v>0.896733783288027</v>
      </c>
      <c r="S101" t="s">
        <v>2294</v>
      </c>
      <c r="T101" t="s">
        <v>4362</v>
      </c>
      <c r="U101" t="s">
        <v>4362</v>
      </c>
      <c r="V101" t="s">
        <v>4362</v>
      </c>
      <c r="W101" t="s">
        <v>4463</v>
      </c>
      <c r="X101">
        <v>8</v>
      </c>
      <c r="Y101" t="s">
        <v>6622</v>
      </c>
      <c r="Z101" t="s">
        <v>8789</v>
      </c>
      <c r="AA101">
        <v>0.4857124171667547</v>
      </c>
      <c r="AB101">
        <f>HYPERLINK("Melting_Curves/meltCurve_P06282_cdh.pdf", "Melting_Curves/meltCurve_P06282_cdh.pdf")</f>
        <v>0</v>
      </c>
    </row>
    <row r="102" spans="1:28">
      <c r="A102" t="s">
        <v>128</v>
      </c>
      <c r="B102">
        <v>0.999739202189716</v>
      </c>
      <c r="C102">
        <v>0.7466617648682859</v>
      </c>
      <c r="D102">
        <v>0.915095083924294</v>
      </c>
      <c r="E102">
        <v>0.60971602542402</v>
      </c>
      <c r="F102">
        <v>0.472305849517034</v>
      </c>
      <c r="G102">
        <v>0.317562567463672</v>
      </c>
      <c r="H102">
        <v>0.232763566712067</v>
      </c>
      <c r="I102">
        <v>0.235847708208782</v>
      </c>
      <c r="J102">
        <v>0.172598327498209</v>
      </c>
      <c r="K102">
        <v>0.187264328637404</v>
      </c>
      <c r="L102">
        <v>501.001759944541</v>
      </c>
      <c r="M102">
        <v>10.4518360893451</v>
      </c>
      <c r="N102">
        <v>49.3135130771135</v>
      </c>
      <c r="O102">
        <v>46.2792831754203</v>
      </c>
      <c r="P102">
        <v>-0.0493255296974551</v>
      </c>
      <c r="Q102">
        <v>0.126732595532049</v>
      </c>
      <c r="R102">
        <v>0.950823976270037</v>
      </c>
      <c r="S102" t="s">
        <v>2295</v>
      </c>
      <c r="T102" t="s">
        <v>4362</v>
      </c>
      <c r="U102" t="s">
        <v>4362</v>
      </c>
      <c r="V102" t="s">
        <v>4362</v>
      </c>
      <c r="W102" t="s">
        <v>4464</v>
      </c>
      <c r="X102">
        <v>3</v>
      </c>
      <c r="Y102" t="s">
        <v>6623</v>
      </c>
      <c r="Z102" t="s">
        <v>8790</v>
      </c>
      <c r="AA102">
        <v>0.4782939146871392</v>
      </c>
      <c r="AB102">
        <f>HYPERLINK("Melting_Curves/meltCurve_P06610_btuE.pdf", "Melting_Curves/meltCurve_P06610_btuE.pdf")</f>
        <v>0</v>
      </c>
    </row>
    <row r="103" spans="1:28">
      <c r="A103" t="s">
        <v>129</v>
      </c>
      <c r="B103">
        <v>0.999739202189716</v>
      </c>
      <c r="C103">
        <v>1.54074589130438</v>
      </c>
      <c r="D103">
        <v>1.12239318496266</v>
      </c>
      <c r="E103">
        <v>1.1943557993579</v>
      </c>
      <c r="F103">
        <v>0.630562197196315</v>
      </c>
      <c r="G103">
        <v>0.362162888063111</v>
      </c>
      <c r="H103">
        <v>0.131188212605774</v>
      </c>
      <c r="I103">
        <v>0.0878762766046247</v>
      </c>
      <c r="J103">
        <v>0.0786374827045051</v>
      </c>
      <c r="K103">
        <v>0.0748771606948495</v>
      </c>
      <c r="L103">
        <v>1533.09583917554</v>
      </c>
      <c r="M103">
        <v>29.6873391426822</v>
      </c>
      <c r="N103">
        <v>51.9718339792447</v>
      </c>
      <c r="O103">
        <v>51.4088020348403</v>
      </c>
      <c r="P103">
        <v>-0.131953721773114</v>
      </c>
      <c r="Q103">
        <v>0.0860030722537992</v>
      </c>
      <c r="R103">
        <v>0.863985150131138</v>
      </c>
      <c r="S103" t="s">
        <v>2296</v>
      </c>
      <c r="T103" t="s">
        <v>4362</v>
      </c>
      <c r="U103" t="s">
        <v>4362</v>
      </c>
      <c r="V103" t="s">
        <v>4362</v>
      </c>
      <c r="W103" t="s">
        <v>4465</v>
      </c>
      <c r="X103">
        <v>37</v>
      </c>
      <c r="Y103" t="s">
        <v>6624</v>
      </c>
      <c r="Z103" t="s">
        <v>8791</v>
      </c>
      <c r="AA103">
        <v>0.5379362518272739</v>
      </c>
      <c r="AB103">
        <f>HYPERLINK("Melting_Curves/meltCurve_P06612_topA.pdf", "Melting_Curves/meltCurve_P06612_topA.pdf")</f>
        <v>0</v>
      </c>
    </row>
    <row r="104" spans="1:28">
      <c r="A104" t="s">
        <v>130</v>
      </c>
      <c r="B104">
        <v>0.999739202189716</v>
      </c>
      <c r="C104">
        <v>0.818260294572887</v>
      </c>
      <c r="D104">
        <v>0.680464356714934</v>
      </c>
      <c r="E104">
        <v>0.301554236756174</v>
      </c>
      <c r="F104">
        <v>0.146871128569794</v>
      </c>
      <c r="G104">
        <v>0.108508356207528</v>
      </c>
      <c r="H104">
        <v>0.08560979951607101</v>
      </c>
      <c r="I104">
        <v>0.0605381191119567</v>
      </c>
      <c r="J104">
        <v>0.0546594817644267</v>
      </c>
      <c r="K104">
        <v>0.0555143236636447</v>
      </c>
      <c r="L104">
        <v>776.359028775144</v>
      </c>
      <c r="M104">
        <v>17.5860382694662</v>
      </c>
      <c r="N104">
        <v>44.4476749088333</v>
      </c>
      <c r="O104">
        <v>43.5873622828191</v>
      </c>
      <c r="P104">
        <v>-0.09520347593015061</v>
      </c>
      <c r="Q104">
        <v>0.0561958444040026</v>
      </c>
      <c r="R104">
        <v>0.994066391905181</v>
      </c>
      <c r="S104" t="s">
        <v>2297</v>
      </c>
      <c r="T104" t="s">
        <v>4362</v>
      </c>
      <c r="U104" t="s">
        <v>4362</v>
      </c>
      <c r="V104" t="s">
        <v>4362</v>
      </c>
      <c r="W104" t="s">
        <v>4466</v>
      </c>
      <c r="X104">
        <v>4</v>
      </c>
      <c r="Y104" t="s">
        <v>6625</v>
      </c>
      <c r="Z104" t="s">
        <v>8792</v>
      </c>
      <c r="AA104">
        <v>0.2976495167348485</v>
      </c>
      <c r="AB104">
        <f>HYPERLINK("Melting_Curves/meltCurve_P06616_era.pdf", "Melting_Curves/meltCurve_P06616_era.pdf")</f>
        <v>0</v>
      </c>
    </row>
    <row r="105" spans="1:28">
      <c r="A105" t="s">
        <v>131</v>
      </c>
      <c r="B105">
        <v>0.999739202189716</v>
      </c>
      <c r="C105">
        <v>0.5940433598196569</v>
      </c>
      <c r="D105">
        <v>0.497140972292196</v>
      </c>
      <c r="E105">
        <v>0.323625745958699</v>
      </c>
      <c r="F105">
        <v>0.259181736101921</v>
      </c>
      <c r="G105">
        <v>0.187793088909935</v>
      </c>
      <c r="H105">
        <v>0.157372740436613</v>
      </c>
      <c r="I105">
        <v>0.134146993747667</v>
      </c>
      <c r="J105">
        <v>0.122684569380786</v>
      </c>
      <c r="K105">
        <v>0.0906588959087021</v>
      </c>
      <c r="L105">
        <v>547.470439811682</v>
      </c>
      <c r="M105">
        <v>13.0553408372656</v>
      </c>
      <c r="N105">
        <v>42.8768306855676</v>
      </c>
      <c r="O105">
        <v>40.987292389169</v>
      </c>
      <c r="P105">
        <v>-0.06971218579591359</v>
      </c>
      <c r="Q105">
        <v>0.124705322037521</v>
      </c>
      <c r="R105">
        <v>0.95537211973228</v>
      </c>
      <c r="S105" t="s">
        <v>2298</v>
      </c>
      <c r="T105" t="s">
        <v>4362</v>
      </c>
      <c r="U105" t="s">
        <v>4362</v>
      </c>
      <c r="V105" t="s">
        <v>4362</v>
      </c>
      <c r="W105" t="s">
        <v>4467</v>
      </c>
      <c r="X105">
        <v>2</v>
      </c>
      <c r="Y105" t="s">
        <v>6626</v>
      </c>
      <c r="Z105" t="s">
        <v>8793</v>
      </c>
      <c r="AA105">
        <v>0.3025702789875789</v>
      </c>
      <c r="AB105">
        <f>HYPERLINK("Melting_Curves/meltCurve_P06709_birA.pdf", "Melting_Curves/meltCurve_P06709_birA.pdf")</f>
        <v>0</v>
      </c>
    </row>
    <row r="106" spans="1:28">
      <c r="A106" t="s">
        <v>132</v>
      </c>
      <c r="B106">
        <v>0.999739202189716</v>
      </c>
      <c r="C106">
        <v>0.941450010488775</v>
      </c>
      <c r="D106">
        <v>0.70953160119129</v>
      </c>
      <c r="E106">
        <v>0.545665678595622</v>
      </c>
      <c r="F106">
        <v>0.44719436363479</v>
      </c>
      <c r="G106">
        <v>0.3231662517944</v>
      </c>
      <c r="H106">
        <v>0.275376396128878</v>
      </c>
      <c r="I106">
        <v>0.228522048846259</v>
      </c>
      <c r="J106">
        <v>0.223841765044991</v>
      </c>
      <c r="K106">
        <v>0.202790051698361</v>
      </c>
      <c r="L106">
        <v>562.5623402010769</v>
      </c>
      <c r="M106">
        <v>12.2428889038376</v>
      </c>
      <c r="N106">
        <v>47.9660273132871</v>
      </c>
      <c r="O106">
        <v>44.7757708406649</v>
      </c>
      <c r="P106">
        <v>-0.054621510567549</v>
      </c>
      <c r="Q106">
        <v>0.201111799144205</v>
      </c>
      <c r="R106">
        <v>0.989286000053203</v>
      </c>
      <c r="S106" t="s">
        <v>2299</v>
      </c>
      <c r="T106" t="s">
        <v>4362</v>
      </c>
      <c r="U106" t="s">
        <v>4362</v>
      </c>
      <c r="V106" t="s">
        <v>4362</v>
      </c>
      <c r="W106" t="s">
        <v>4468</v>
      </c>
      <c r="X106">
        <v>12</v>
      </c>
      <c r="Y106" t="s">
        <v>6627</v>
      </c>
      <c r="Z106" t="s">
        <v>8794</v>
      </c>
      <c r="AA106">
        <v>0.4661435949966493</v>
      </c>
      <c r="AB106">
        <f>HYPERLINK("Melting_Curves/meltCurve_P06710_dnaX.pdf", "Melting_Curves/meltCurve_P06710_dnaX.pdf")</f>
        <v>0</v>
      </c>
    </row>
    <row r="107" spans="1:28">
      <c r="A107" t="s">
        <v>133</v>
      </c>
      <c r="B107">
        <v>0.999739202189716</v>
      </c>
      <c r="C107">
        <v>1.0724710472844</v>
      </c>
      <c r="D107">
        <v>1.22598389152284</v>
      </c>
      <c r="E107">
        <v>1.14479094483701</v>
      </c>
      <c r="F107">
        <v>1.01438888297576</v>
      </c>
      <c r="G107">
        <v>1.09081796152903</v>
      </c>
      <c r="H107">
        <v>0.853219914746237</v>
      </c>
      <c r="I107">
        <v>0.705092110118663</v>
      </c>
      <c r="J107">
        <v>0.358457200581763</v>
      </c>
      <c r="K107">
        <v>0.176829901734303</v>
      </c>
      <c r="L107">
        <v>1613.03344087295</v>
      </c>
      <c r="M107">
        <v>25.719506116427</v>
      </c>
      <c r="N107">
        <v>62.7778544857402</v>
      </c>
      <c r="O107">
        <v>62.3408835646008</v>
      </c>
      <c r="P107">
        <v>-0.101858482432295</v>
      </c>
      <c r="Q107">
        <v>0.01244270990518</v>
      </c>
      <c r="R107">
        <v>0.914920861199552</v>
      </c>
      <c r="S107" t="s">
        <v>2300</v>
      </c>
      <c r="T107" t="s">
        <v>4362</v>
      </c>
      <c r="U107" t="s">
        <v>4362</v>
      </c>
      <c r="V107" t="s">
        <v>4362</v>
      </c>
      <c r="W107" t="s">
        <v>4469</v>
      </c>
      <c r="X107">
        <v>13</v>
      </c>
      <c r="Y107" t="s">
        <v>6628</v>
      </c>
      <c r="Z107" t="s">
        <v>8795</v>
      </c>
      <c r="AA107">
        <v>0.851682763870559</v>
      </c>
      <c r="AB107">
        <f>HYPERLINK("Melting_Curves/meltCurve_P06715_gor.pdf", "Melting_Curves/meltCurve_P06715_gor.pdf")</f>
        <v>0</v>
      </c>
    </row>
    <row r="108" spans="1:28">
      <c r="A108" t="s">
        <v>134</v>
      </c>
      <c r="B108">
        <v>0.999739202189716</v>
      </c>
      <c r="C108">
        <v>0.70903341723102</v>
      </c>
      <c r="D108">
        <v>0.697966193564956</v>
      </c>
      <c r="E108">
        <v>0.424300453744582</v>
      </c>
      <c r="F108">
        <v>0.39473631264966</v>
      </c>
      <c r="G108">
        <v>0.320894042151843</v>
      </c>
      <c r="H108">
        <v>0.274033104057586</v>
      </c>
      <c r="I108">
        <v>0.239164343278493</v>
      </c>
      <c r="J108">
        <v>0.240032092893749</v>
      </c>
      <c r="K108">
        <v>0.165598603182775</v>
      </c>
      <c r="L108">
        <v>471.669260268454</v>
      </c>
      <c r="M108">
        <v>10.7244237696333</v>
      </c>
      <c r="N108">
        <v>46.1449655561032</v>
      </c>
      <c r="O108">
        <v>42.5343914970334</v>
      </c>
      <c r="P108">
        <v>-0.0505952751448861</v>
      </c>
      <c r="Q108">
        <v>0.197629986625784</v>
      </c>
      <c r="R108">
        <v>0.958174600501713</v>
      </c>
      <c r="S108" t="s">
        <v>2301</v>
      </c>
      <c r="T108" t="s">
        <v>4362</v>
      </c>
      <c r="U108" t="s">
        <v>4362</v>
      </c>
      <c r="V108" t="s">
        <v>4362</v>
      </c>
      <c r="W108" t="s">
        <v>4470</v>
      </c>
      <c r="X108">
        <v>4</v>
      </c>
      <c r="Y108" t="s">
        <v>6629</v>
      </c>
      <c r="Z108" t="s">
        <v>8796</v>
      </c>
      <c r="AA108">
        <v>0.4223921956222862</v>
      </c>
      <c r="AB108">
        <f>HYPERLINK("Melting_Curves/meltCurve_P06720_melA.pdf", "Melting_Curves/meltCurve_P06720_melA.pdf")</f>
        <v>0</v>
      </c>
    </row>
    <row r="109" spans="1:28">
      <c r="A109" t="s">
        <v>135</v>
      </c>
      <c r="B109">
        <v>0.999739202189716</v>
      </c>
      <c r="C109">
        <v>0.868113425183222</v>
      </c>
      <c r="D109">
        <v>0.716357692156149</v>
      </c>
      <c r="E109">
        <v>0.393808660429756</v>
      </c>
      <c r="F109">
        <v>0.260652354187964</v>
      </c>
      <c r="G109">
        <v>0.163059393463946</v>
      </c>
      <c r="H109">
        <v>0.107205117697762</v>
      </c>
      <c r="I109">
        <v>0.08107464130488309</v>
      </c>
      <c r="J109">
        <v>0.06778393554881711</v>
      </c>
      <c r="K109">
        <v>0.0514615638855877</v>
      </c>
      <c r="L109">
        <v>658.7323231193</v>
      </c>
      <c r="M109">
        <v>14.571589678049</v>
      </c>
      <c r="N109">
        <v>45.6122750145801</v>
      </c>
      <c r="O109">
        <v>44.3808160291262</v>
      </c>
      <c r="P109">
        <v>-0.0771032104910032</v>
      </c>
      <c r="Q109">
        <v>0.0607709077565488</v>
      </c>
      <c r="R109">
        <v>0.996365603193601</v>
      </c>
      <c r="S109" t="s">
        <v>2302</v>
      </c>
      <c r="T109" t="s">
        <v>4362</v>
      </c>
      <c r="U109" t="s">
        <v>4362</v>
      </c>
      <c r="V109" t="s">
        <v>4362</v>
      </c>
      <c r="W109" t="s">
        <v>4471</v>
      </c>
      <c r="X109">
        <v>2</v>
      </c>
      <c r="Y109" t="s">
        <v>6630</v>
      </c>
      <c r="Z109" t="s">
        <v>8797</v>
      </c>
      <c r="AA109">
        <v>0.341179822727363</v>
      </c>
      <c r="AB109">
        <f>HYPERLINK("Melting_Curves/meltCurve_P06721_metC.pdf", "Melting_Curves/meltCurve_P06721_metC.pdf")</f>
        <v>0</v>
      </c>
    </row>
    <row r="110" spans="1:28">
      <c r="A110" t="s">
        <v>136</v>
      </c>
      <c r="B110">
        <v>0.999739202189716</v>
      </c>
      <c r="C110">
        <v>0.909437502059816</v>
      </c>
      <c r="D110">
        <v>0.899508722997493</v>
      </c>
      <c r="E110">
        <v>0.808327046236571</v>
      </c>
      <c r="F110">
        <v>0.782468308905611</v>
      </c>
      <c r="G110">
        <v>0.598758886339357</v>
      </c>
      <c r="H110">
        <v>0.417247417379178</v>
      </c>
      <c r="I110">
        <v>0.261624969599079</v>
      </c>
      <c r="J110">
        <v>0.12173844261149</v>
      </c>
      <c r="K110">
        <v>0.0565219496093908</v>
      </c>
      <c r="L110">
        <v>618.118916833796</v>
      </c>
      <c r="M110">
        <v>11.2297605308849</v>
      </c>
      <c r="N110">
        <v>55.0429543004144</v>
      </c>
      <c r="O110">
        <v>53.3840442584598</v>
      </c>
      <c r="P110">
        <v>-0.0526058832505481</v>
      </c>
      <c r="Q110">
        <v>0</v>
      </c>
      <c r="R110">
        <v>0.977237531435315</v>
      </c>
      <c r="S110" t="s">
        <v>2303</v>
      </c>
      <c r="T110" t="s">
        <v>4362</v>
      </c>
      <c r="U110" t="s">
        <v>4362</v>
      </c>
      <c r="V110" t="s">
        <v>4362</v>
      </c>
      <c r="W110" t="s">
        <v>4472</v>
      </c>
      <c r="X110">
        <v>4</v>
      </c>
      <c r="Y110" t="s">
        <v>6631</v>
      </c>
      <c r="Z110" t="s">
        <v>8798</v>
      </c>
      <c r="AA110">
        <v>0.614922794921254</v>
      </c>
      <c r="AB110">
        <f>HYPERLINK("Melting_Curves/meltCurve_P06846_ebgR.pdf", "Melting_Curves/meltCurve_P06846_ebgR.pdf")</f>
        <v>0</v>
      </c>
    </row>
    <row r="111" spans="1:28">
      <c r="A111" t="s">
        <v>137</v>
      </c>
      <c r="B111">
        <v>0.999739202189716</v>
      </c>
      <c r="C111">
        <v>2.90505806858514</v>
      </c>
      <c r="D111">
        <v>2.15502873823522</v>
      </c>
      <c r="E111">
        <v>2.52716393792906</v>
      </c>
      <c r="F111">
        <v>1.23919708283786</v>
      </c>
      <c r="G111">
        <v>1.1354581515054</v>
      </c>
      <c r="H111">
        <v>0.938402435578956</v>
      </c>
      <c r="I111">
        <v>0.8827271910725381</v>
      </c>
      <c r="J111">
        <v>0.527630537247323</v>
      </c>
      <c r="K111">
        <v>0.461194074279883</v>
      </c>
      <c r="L111">
        <v>3820.19629906466</v>
      </c>
      <c r="M111">
        <v>61.370324001717</v>
      </c>
      <c r="N111">
        <v>64.7125156565413</v>
      </c>
      <c r="O111">
        <v>62.1822753039045</v>
      </c>
      <c r="P111">
        <v>-0.135287609705707</v>
      </c>
      <c r="Q111">
        <v>0.451690173245323</v>
      </c>
      <c r="R111">
        <v>-0.138122025450562</v>
      </c>
      <c r="S111" t="s">
        <v>2304</v>
      </c>
      <c r="T111" t="s">
        <v>4362</v>
      </c>
      <c r="U111" t="s">
        <v>4362</v>
      </c>
      <c r="V111" t="s">
        <v>4362</v>
      </c>
      <c r="W111" t="s">
        <v>4473</v>
      </c>
      <c r="X111">
        <v>32</v>
      </c>
      <c r="Y111" t="s">
        <v>6632</v>
      </c>
      <c r="Z111" t="s">
        <v>8799</v>
      </c>
      <c r="AA111">
        <v>0.9138650983356502</v>
      </c>
      <c r="AB111">
        <f>HYPERLINK("Melting_Curves/meltCurve_P06959_aceF.pdf", "Melting_Curves/meltCurve_P06959_aceF.pdf")</f>
        <v>0</v>
      </c>
    </row>
    <row r="112" spans="1:28">
      <c r="A112" t="s">
        <v>138</v>
      </c>
      <c r="B112">
        <v>0.999739202189716</v>
      </c>
      <c r="C112">
        <v>0.8471378862018309</v>
      </c>
      <c r="D112">
        <v>0.594799146387875</v>
      </c>
      <c r="E112">
        <v>0.44649386104089</v>
      </c>
      <c r="F112">
        <v>0.372522479663441</v>
      </c>
      <c r="G112">
        <v>0.231211047147409</v>
      </c>
      <c r="H112">
        <v>0.197412895347243</v>
      </c>
      <c r="I112">
        <v>0.117748358056804</v>
      </c>
      <c r="J112">
        <v>0.150342338857554</v>
      </c>
      <c r="K112">
        <v>0.118937636173131</v>
      </c>
      <c r="L112">
        <v>516.18072664435</v>
      </c>
      <c r="M112">
        <v>11.5261064551534</v>
      </c>
      <c r="N112">
        <v>45.8243422970898</v>
      </c>
      <c r="O112">
        <v>43.4992111323364</v>
      </c>
      <c r="P112">
        <v>-0.0586312681910542</v>
      </c>
      <c r="Q112">
        <v>0.115158080035059</v>
      </c>
      <c r="R112">
        <v>0.9824005662872139</v>
      </c>
      <c r="S112" t="s">
        <v>2305</v>
      </c>
      <c r="T112" t="s">
        <v>4362</v>
      </c>
      <c r="U112" t="s">
        <v>4362</v>
      </c>
      <c r="V112" t="s">
        <v>4362</v>
      </c>
      <c r="W112" t="s">
        <v>4474</v>
      </c>
      <c r="X112">
        <v>12</v>
      </c>
      <c r="Y112" t="s">
        <v>6633</v>
      </c>
      <c r="Z112" t="s">
        <v>8800</v>
      </c>
      <c r="AA112">
        <v>0.3797579376500815</v>
      </c>
      <c r="AB112">
        <f>HYPERLINK("Melting_Curves/meltCurve_P06961_cca.pdf", "Melting_Curves/meltCurve_P06961_cca.pdf")</f>
        <v>0</v>
      </c>
    </row>
    <row r="113" spans="1:28">
      <c r="A113" t="s">
        <v>139</v>
      </c>
      <c r="B113">
        <v>0.999739202189716</v>
      </c>
      <c r="C113">
        <v>1.26680759241177</v>
      </c>
      <c r="D113">
        <v>1.01716609690802</v>
      </c>
      <c r="E113">
        <v>1.09755201759777</v>
      </c>
      <c r="F113">
        <v>0.772533792978318</v>
      </c>
      <c r="G113">
        <v>0.319272261836382</v>
      </c>
      <c r="H113">
        <v>0.130537257582725</v>
      </c>
      <c r="I113">
        <v>0.0735444449331181</v>
      </c>
      <c r="J113">
        <v>0.051336499492044</v>
      </c>
      <c r="K113">
        <v>0.0528370843498642</v>
      </c>
      <c r="L113">
        <v>1709.87513103416</v>
      </c>
      <c r="M113">
        <v>32.7797988258508</v>
      </c>
      <c r="N113">
        <v>52.377254887753</v>
      </c>
      <c r="O113">
        <v>51.9695055979637</v>
      </c>
      <c r="P113">
        <v>-0.147771437728942</v>
      </c>
      <c r="Q113">
        <v>0.0628899378007419</v>
      </c>
      <c r="R113">
        <v>0.9612257323779499</v>
      </c>
      <c r="S113" t="s">
        <v>2306</v>
      </c>
      <c r="T113" t="s">
        <v>4362</v>
      </c>
      <c r="U113" t="s">
        <v>4362</v>
      </c>
      <c r="V113" t="s">
        <v>4362</v>
      </c>
      <c r="W113" t="s">
        <v>4475</v>
      </c>
      <c r="X113">
        <v>1</v>
      </c>
      <c r="Y113" t="s">
        <v>6634</v>
      </c>
      <c r="Z113" t="s">
        <v>8801</v>
      </c>
      <c r="AA113">
        <v>0.54151199724664</v>
      </c>
      <c r="AB113">
        <f>HYPERLINK("Melting_Curves/meltCurve_P06966_dicA.pdf", "Melting_Curves/meltCurve_P06966_dicA.pdf")</f>
        <v>0</v>
      </c>
    </row>
    <row r="114" spans="1:28">
      <c r="A114" t="s">
        <v>140</v>
      </c>
      <c r="B114">
        <v>0.999739202189716</v>
      </c>
      <c r="C114">
        <v>0.845071380921152</v>
      </c>
      <c r="D114">
        <v>0.833537297557586</v>
      </c>
      <c r="E114">
        <v>0.980684037976651</v>
      </c>
      <c r="F114">
        <v>0.873260118265517</v>
      </c>
      <c r="G114">
        <v>0.773844535085406</v>
      </c>
      <c r="H114">
        <v>0.649747293519139</v>
      </c>
      <c r="I114">
        <v>0.631587780764997</v>
      </c>
      <c r="J114">
        <v>0.413186221037013</v>
      </c>
      <c r="K114">
        <v>0.422249747973353</v>
      </c>
      <c r="L114">
        <v>401.110720758008</v>
      </c>
      <c r="M114">
        <v>6.31062985048012</v>
      </c>
      <c r="N114">
        <v>63.5611230757839</v>
      </c>
      <c r="O114">
        <v>58.0745919633073</v>
      </c>
      <c r="P114">
        <v>-0.027239471273761</v>
      </c>
      <c r="Q114">
        <v>0</v>
      </c>
      <c r="R114">
        <v>0.877207619175947</v>
      </c>
      <c r="S114" t="s">
        <v>2307</v>
      </c>
      <c r="T114" t="s">
        <v>4362</v>
      </c>
      <c r="U114" t="s">
        <v>4362</v>
      </c>
      <c r="V114" t="s">
        <v>4362</v>
      </c>
      <c r="W114" t="s">
        <v>4476</v>
      </c>
      <c r="X114">
        <v>1</v>
      </c>
      <c r="Y114" t="s">
        <v>6635</v>
      </c>
      <c r="Z114" t="s">
        <v>8802</v>
      </c>
      <c r="AA114">
        <v>0.7655512612124957</v>
      </c>
      <c r="AB114">
        <f>HYPERLINK("Melting_Curves/meltCurve_P06968_dut.pdf", "Melting_Curves/meltCurve_P06968_dut.pdf")</f>
        <v>0</v>
      </c>
    </row>
    <row r="115" spans="1:28">
      <c r="A115" t="s">
        <v>141</v>
      </c>
      <c r="B115">
        <v>0.999739202189716</v>
      </c>
      <c r="C115">
        <v>1.21878708764437</v>
      </c>
      <c r="D115">
        <v>0.813270940993031</v>
      </c>
      <c r="E115">
        <v>0.929097519898145</v>
      </c>
      <c r="F115">
        <v>0.676462648433079</v>
      </c>
      <c r="G115">
        <v>0.5345869884332251</v>
      </c>
      <c r="H115">
        <v>0.433974547860593</v>
      </c>
      <c r="I115">
        <v>0.353819216184611</v>
      </c>
      <c r="J115">
        <v>0.32997112943401</v>
      </c>
      <c r="K115">
        <v>0.262713092339243</v>
      </c>
      <c r="L115">
        <v>706.214502663911</v>
      </c>
      <c r="M115">
        <v>13.6372697651871</v>
      </c>
      <c r="N115">
        <v>54.7654750147269</v>
      </c>
      <c r="O115">
        <v>50.7101591643664</v>
      </c>
      <c r="P115">
        <v>-0.0496291777774421</v>
      </c>
      <c r="Q115">
        <v>0.261924337318382</v>
      </c>
      <c r="R115">
        <v>0.915031093925268</v>
      </c>
      <c r="S115" t="s">
        <v>2308</v>
      </c>
      <c r="T115" t="s">
        <v>4362</v>
      </c>
      <c r="U115" t="s">
        <v>4362</v>
      </c>
      <c r="V115" t="s">
        <v>4362</v>
      </c>
      <c r="W115" t="s">
        <v>4477</v>
      </c>
      <c r="X115">
        <v>7</v>
      </c>
      <c r="Y115" t="s">
        <v>6636</v>
      </c>
      <c r="Z115" t="s">
        <v>8803</v>
      </c>
      <c r="AA115">
        <v>0.6415845165172669</v>
      </c>
      <c r="AB115">
        <f>HYPERLINK("Melting_Curves/meltCurve_P06971_fhuA.pdf", "Melting_Curves/meltCurve_P06971_fhuA.pdf")</f>
        <v>0</v>
      </c>
    </row>
    <row r="116" spans="1:28">
      <c r="A116" t="s">
        <v>142</v>
      </c>
      <c r="B116">
        <v>0.999739202189716</v>
      </c>
      <c r="C116">
        <v>0.853545802990987</v>
      </c>
      <c r="D116">
        <v>0.560981943735672</v>
      </c>
      <c r="E116">
        <v>0.38426904543972</v>
      </c>
      <c r="F116">
        <v>0.268222171897302</v>
      </c>
      <c r="G116">
        <v>0.168781896330175</v>
      </c>
      <c r="H116">
        <v>0.113389595675924</v>
      </c>
      <c r="I116">
        <v>0.08815554747596339</v>
      </c>
      <c r="J116">
        <v>0.07428188803511521</v>
      </c>
      <c r="K116">
        <v>0.06462266642099369</v>
      </c>
      <c r="L116">
        <v>597.038773749463</v>
      </c>
      <c r="M116">
        <v>13.5031524438608</v>
      </c>
      <c r="N116">
        <v>44.7384363368036</v>
      </c>
      <c r="O116">
        <v>43.2788399953977</v>
      </c>
      <c r="P116">
        <v>-0.0723101431728518</v>
      </c>
      <c r="Q116">
        <v>0.0730987673953703</v>
      </c>
      <c r="R116">
        <v>0.989324248442659</v>
      </c>
      <c r="S116" t="s">
        <v>2309</v>
      </c>
      <c r="T116" t="s">
        <v>4362</v>
      </c>
      <c r="U116" t="s">
        <v>4362</v>
      </c>
      <c r="V116" t="s">
        <v>4362</v>
      </c>
      <c r="W116" t="s">
        <v>4478</v>
      </c>
      <c r="X116">
        <v>3</v>
      </c>
      <c r="Y116" t="s">
        <v>6637</v>
      </c>
      <c r="Z116" t="s">
        <v>8804</v>
      </c>
      <c r="AA116">
        <v>0.3241791478186585</v>
      </c>
      <c r="AB116">
        <f>HYPERLINK("Melting_Curves/meltCurve_P06974_fliM.pdf", "Melting_Curves/meltCurve_P06974_fliM.pdf")</f>
        <v>0</v>
      </c>
    </row>
    <row r="117" spans="1:28">
      <c r="A117" t="s">
        <v>143</v>
      </c>
      <c r="B117">
        <v>0.999739202189716</v>
      </c>
      <c r="C117">
        <v>0.936136131542722</v>
      </c>
      <c r="D117">
        <v>0.916094097536934</v>
      </c>
      <c r="E117">
        <v>0.905462302825613</v>
      </c>
      <c r="F117">
        <v>0.904625349255276</v>
      </c>
      <c r="G117">
        <v>0.772487757933927</v>
      </c>
      <c r="H117">
        <v>0.784178584211919</v>
      </c>
      <c r="I117">
        <v>0.713388475476623</v>
      </c>
      <c r="J117">
        <v>0.751549082029045</v>
      </c>
      <c r="K117">
        <v>0.539544968317698</v>
      </c>
      <c r="L117">
        <v>278.187472853414</v>
      </c>
      <c r="M117">
        <v>3.66356166737554</v>
      </c>
      <c r="O117">
        <v>60.5276020916226</v>
      </c>
      <c r="P117">
        <v>-0.0153885550496796</v>
      </c>
      <c r="Q117">
        <v>0</v>
      </c>
      <c r="R117">
        <v>0.879892764700966</v>
      </c>
      <c r="S117" t="s">
        <v>2310</v>
      </c>
      <c r="T117" t="s">
        <v>4362</v>
      </c>
      <c r="U117" t="s">
        <v>4362</v>
      </c>
      <c r="V117" t="s">
        <v>4362</v>
      </c>
      <c r="W117" t="s">
        <v>4479</v>
      </c>
      <c r="X117">
        <v>6</v>
      </c>
      <c r="Y117" t="s">
        <v>6638</v>
      </c>
      <c r="Z117" t="s">
        <v>8805</v>
      </c>
      <c r="AA117">
        <v>0.8283188004379214</v>
      </c>
      <c r="AB117">
        <f>HYPERLINK("Melting_Curves/meltCurve_P06983_hemC.pdf", "Melting_Curves/meltCurve_P06983_hemC.pdf")</f>
        <v>0</v>
      </c>
    </row>
    <row r="118" spans="1:28">
      <c r="A118" t="s">
        <v>144</v>
      </c>
      <c r="B118">
        <v>0.999739202189716</v>
      </c>
      <c r="C118">
        <v>0.797806158601598</v>
      </c>
      <c r="D118">
        <v>0.996640316205928</v>
      </c>
      <c r="E118">
        <v>0.658523092150549</v>
      </c>
      <c r="F118">
        <v>0.256076370294197</v>
      </c>
      <c r="G118">
        <v>0.15263160724903</v>
      </c>
      <c r="H118">
        <v>0.114811280264475</v>
      </c>
      <c r="I118">
        <v>0.0847270525020383</v>
      </c>
      <c r="J118">
        <v>0.07803734493195701</v>
      </c>
      <c r="K118">
        <v>0.0664521653985892</v>
      </c>
      <c r="L118">
        <v>1240.95488232206</v>
      </c>
      <c r="M118">
        <v>26.0995057979265</v>
      </c>
      <c r="N118">
        <v>47.892118327433</v>
      </c>
      <c r="O118">
        <v>47.2705727043847</v>
      </c>
      <c r="P118">
        <v>-0.126203223767009</v>
      </c>
      <c r="Q118">
        <v>0.0857098973004313</v>
      </c>
      <c r="R118">
        <v>0.969799306142034</v>
      </c>
      <c r="S118" t="s">
        <v>2311</v>
      </c>
      <c r="T118" t="s">
        <v>4362</v>
      </c>
      <c r="U118" t="s">
        <v>4362</v>
      </c>
      <c r="V118" t="s">
        <v>4362</v>
      </c>
      <c r="W118" t="s">
        <v>4480</v>
      </c>
      <c r="X118">
        <v>14</v>
      </c>
      <c r="Y118" t="s">
        <v>6639</v>
      </c>
      <c r="Z118" t="s">
        <v>8806</v>
      </c>
      <c r="AA118">
        <v>0.414248190468653</v>
      </c>
      <c r="AB118">
        <f>HYPERLINK("Melting_Curves/meltCurve_P06986_hisC.pdf", "Melting_Curves/meltCurve_P06986_hisC.pdf")</f>
        <v>0</v>
      </c>
    </row>
    <row r="119" spans="1:28">
      <c r="A119" t="s">
        <v>145</v>
      </c>
      <c r="B119">
        <v>0.999739202189716</v>
      </c>
      <c r="C119">
        <v>0.915969287006329</v>
      </c>
      <c r="D119">
        <v>0.621757831308635</v>
      </c>
      <c r="E119">
        <v>0.483037625251815</v>
      </c>
      <c r="F119">
        <v>0.246923025946603</v>
      </c>
      <c r="G119">
        <v>0.143615545316586</v>
      </c>
      <c r="H119">
        <v>0.09399689556604281</v>
      </c>
      <c r="I119">
        <v>0.0500535991190785</v>
      </c>
      <c r="J119">
        <v>0.0541416293499657</v>
      </c>
      <c r="K119">
        <v>0.0543819211805893</v>
      </c>
      <c r="L119">
        <v>611.487572314811</v>
      </c>
      <c r="M119">
        <v>13.4393732832968</v>
      </c>
      <c r="N119">
        <v>45.7487277042434</v>
      </c>
      <c r="O119">
        <v>44.5277370314389</v>
      </c>
      <c r="P119">
        <v>-0.0728050949306209</v>
      </c>
      <c r="Q119">
        <v>0.0352695884069429</v>
      </c>
      <c r="R119">
        <v>0.990718967538442</v>
      </c>
      <c r="S119" t="s">
        <v>2312</v>
      </c>
      <c r="T119" t="s">
        <v>4362</v>
      </c>
      <c r="U119" t="s">
        <v>4362</v>
      </c>
      <c r="V119" t="s">
        <v>4362</v>
      </c>
      <c r="W119" t="s">
        <v>4481</v>
      </c>
      <c r="X119">
        <v>6</v>
      </c>
      <c r="Y119" t="s">
        <v>6640</v>
      </c>
      <c r="Z119" t="s">
        <v>8807</v>
      </c>
      <c r="AA119">
        <v>0.3364210584256969</v>
      </c>
      <c r="AB119">
        <f>HYPERLINK("Melting_Curves/meltCurve_P06987_hisB.pdf", "Melting_Curves/meltCurve_P06987_hisB.pdf")</f>
        <v>0</v>
      </c>
    </row>
    <row r="120" spans="1:28">
      <c r="A120" t="s">
        <v>146</v>
      </c>
      <c r="B120">
        <v>0.999739202189716</v>
      </c>
      <c r="C120">
        <v>0.939418020048946</v>
      </c>
      <c r="D120">
        <v>1.19020391654795</v>
      </c>
      <c r="E120">
        <v>0.931651351813291</v>
      </c>
      <c r="F120">
        <v>1.0190121489239</v>
      </c>
      <c r="G120">
        <v>0.915548980625937</v>
      </c>
      <c r="H120">
        <v>0.761737393053799</v>
      </c>
      <c r="I120">
        <v>0.726809787139159</v>
      </c>
      <c r="J120">
        <v>0.652837586183</v>
      </c>
      <c r="K120">
        <v>0.328651546723582</v>
      </c>
      <c r="L120">
        <v>811.182186832994</v>
      </c>
      <c r="M120">
        <v>12.4563915595658</v>
      </c>
      <c r="N120">
        <v>65.1217645460432</v>
      </c>
      <c r="O120">
        <v>63.5116952752969</v>
      </c>
      <c r="P120">
        <v>-0.049042109235339</v>
      </c>
      <c r="Q120">
        <v>0</v>
      </c>
      <c r="R120">
        <v>0.862291325330673</v>
      </c>
      <c r="S120" t="s">
        <v>2313</v>
      </c>
      <c r="T120" t="s">
        <v>4362</v>
      </c>
      <c r="U120" t="s">
        <v>4362</v>
      </c>
      <c r="V120" t="s">
        <v>4362</v>
      </c>
      <c r="W120" t="s">
        <v>4482</v>
      </c>
      <c r="X120">
        <v>23</v>
      </c>
      <c r="Y120" t="s">
        <v>6641</v>
      </c>
      <c r="Z120" t="s">
        <v>8808</v>
      </c>
      <c r="AA120">
        <v>0.8635736979056419</v>
      </c>
      <c r="AB120">
        <f>HYPERLINK("Melting_Curves/meltCurve_P06988_hisD.pdf", "Melting_Curves/meltCurve_P06988_hisD.pdf")</f>
        <v>0</v>
      </c>
    </row>
    <row r="121" spans="1:28">
      <c r="A121" t="s">
        <v>147</v>
      </c>
      <c r="B121">
        <v>0.999739202189716</v>
      </c>
      <c r="C121">
        <v>0.957285497983641</v>
      </c>
      <c r="D121">
        <v>0.8088066409778339</v>
      </c>
      <c r="E121">
        <v>0.777245402499698</v>
      </c>
      <c r="F121">
        <v>0.568668195659694</v>
      </c>
      <c r="G121">
        <v>0.399629865034223</v>
      </c>
      <c r="H121">
        <v>0.299858725463452</v>
      </c>
      <c r="I121">
        <v>0.211436911295754</v>
      </c>
      <c r="J121">
        <v>0.159848199985905</v>
      </c>
      <c r="K121">
        <v>0.139929423771382</v>
      </c>
      <c r="L121">
        <v>493.171148999306</v>
      </c>
      <c r="M121">
        <v>9.6251605761591</v>
      </c>
      <c r="N121">
        <v>51.7297660041199</v>
      </c>
      <c r="O121">
        <v>49.1725268466176</v>
      </c>
      <c r="P121">
        <v>-0.0468213124798509</v>
      </c>
      <c r="Q121">
        <v>0.0437448352096922</v>
      </c>
      <c r="R121">
        <v>0.99349741661004</v>
      </c>
      <c r="S121" t="s">
        <v>2314</v>
      </c>
      <c r="T121" t="s">
        <v>4362</v>
      </c>
      <c r="U121" t="s">
        <v>4362</v>
      </c>
      <c r="V121" t="s">
        <v>4362</v>
      </c>
      <c r="W121" t="s">
        <v>4483</v>
      </c>
      <c r="X121">
        <v>4</v>
      </c>
      <c r="Y121" t="s">
        <v>6642</v>
      </c>
      <c r="Z121" t="s">
        <v>8809</v>
      </c>
      <c r="AA121">
        <v>0.5266069505286314</v>
      </c>
      <c r="AB121">
        <f>HYPERLINK("Melting_Curves/meltCurve_P06989_hisI.pdf", "Melting_Curves/meltCurve_P06989_hisI.pdf")</f>
        <v>0</v>
      </c>
    </row>
    <row r="122" spans="1:28">
      <c r="A122" t="s">
        <v>148</v>
      </c>
      <c r="B122">
        <v>0.999739202189716</v>
      </c>
      <c r="C122">
        <v>0.691678934354109</v>
      </c>
      <c r="D122">
        <v>0.723198879516177</v>
      </c>
      <c r="E122">
        <v>0.277609836434967</v>
      </c>
      <c r="F122">
        <v>0.08460950399590091</v>
      </c>
      <c r="G122">
        <v>0.0592671653796476</v>
      </c>
      <c r="H122">
        <v>0.0317007458592898</v>
      </c>
      <c r="I122">
        <v>0.0237159196991191</v>
      </c>
      <c r="J122">
        <v>0.02072106588521</v>
      </c>
      <c r="K122">
        <v>0.019196123967453</v>
      </c>
      <c r="L122">
        <v>683.7722350933479</v>
      </c>
      <c r="M122">
        <v>15.4934444918921</v>
      </c>
      <c r="N122">
        <v>44.1404485820768</v>
      </c>
      <c r="O122">
        <v>43.4173672662446</v>
      </c>
      <c r="P122">
        <v>-0.08910395872400351</v>
      </c>
      <c r="Q122">
        <v>0.00130226676368231</v>
      </c>
      <c r="R122">
        <v>0.96561529821223</v>
      </c>
      <c r="S122" t="s">
        <v>2315</v>
      </c>
      <c r="T122" t="s">
        <v>4362</v>
      </c>
      <c r="U122" t="s">
        <v>4362</v>
      </c>
      <c r="V122" t="s">
        <v>4362</v>
      </c>
      <c r="W122" t="s">
        <v>4484</v>
      </c>
      <c r="X122">
        <v>1</v>
      </c>
      <c r="Y122" t="s">
        <v>6643</v>
      </c>
      <c r="Z122" t="s">
        <v>8810</v>
      </c>
      <c r="AA122">
        <v>0.2617975341429811</v>
      </c>
      <c r="AB122">
        <f>HYPERLINK("Melting_Curves/meltCurve_P06992_rsmA.pdf", "Melting_Curves/meltCurve_P06992_rsmA.pdf")</f>
        <v>0</v>
      </c>
    </row>
    <row r="123" spans="1:28">
      <c r="A123" t="s">
        <v>149</v>
      </c>
      <c r="B123">
        <v>0.999739202189716</v>
      </c>
      <c r="C123">
        <v>1.42277987507352</v>
      </c>
      <c r="D123">
        <v>0.638764060497468</v>
      </c>
      <c r="E123">
        <v>0.64104870182677</v>
      </c>
      <c r="F123">
        <v>0.629943214177015</v>
      </c>
      <c r="G123">
        <v>0.299025952061937</v>
      </c>
      <c r="H123">
        <v>0.301499986374805</v>
      </c>
      <c r="I123">
        <v>0.250964653559143</v>
      </c>
      <c r="J123">
        <v>0.217163809603656</v>
      </c>
      <c r="K123">
        <v>0.0878937498164994</v>
      </c>
      <c r="L123">
        <v>611.118802750985</v>
      </c>
      <c r="M123">
        <v>12.4186222930392</v>
      </c>
      <c r="N123">
        <v>50.5489091776829</v>
      </c>
      <c r="O123">
        <v>47.9860982286213</v>
      </c>
      <c r="P123">
        <v>-0.0556421547032521</v>
      </c>
      <c r="Q123">
        <v>0.140166617322956</v>
      </c>
      <c r="R123">
        <v>0.797765637505805</v>
      </c>
      <c r="S123" t="s">
        <v>2316</v>
      </c>
      <c r="T123" t="s">
        <v>4362</v>
      </c>
      <c r="U123" t="s">
        <v>4362</v>
      </c>
      <c r="V123" t="s">
        <v>4362</v>
      </c>
      <c r="W123" t="s">
        <v>4485</v>
      </c>
      <c r="X123">
        <v>11</v>
      </c>
      <c r="Y123" t="s">
        <v>6644</v>
      </c>
      <c r="Z123" t="s">
        <v>8811</v>
      </c>
      <c r="AA123">
        <v>0.5142584168585131</v>
      </c>
      <c r="AB123">
        <f>HYPERLINK("Melting_Curves/meltCurve_P06996_ompC.pdf", "Melting_Curves/meltCurve_P06996_ompC.pdf")</f>
        <v>0</v>
      </c>
    </row>
    <row r="124" spans="1:28">
      <c r="A124" t="s">
        <v>150</v>
      </c>
      <c r="B124">
        <v>0.999739202189716</v>
      </c>
      <c r="C124">
        <v>0.830647700350112</v>
      </c>
      <c r="D124">
        <v>1.0968689379314</v>
      </c>
      <c r="E124">
        <v>0.957709282684631</v>
      </c>
      <c r="F124">
        <v>0.934947481457398</v>
      </c>
      <c r="G124">
        <v>0.777804407474267</v>
      </c>
      <c r="H124">
        <v>0.681569389123409</v>
      </c>
      <c r="I124">
        <v>0.585722657681813</v>
      </c>
      <c r="J124">
        <v>0.514199365593726</v>
      </c>
      <c r="K124">
        <v>0.410686757938308</v>
      </c>
      <c r="L124">
        <v>651.8136856305171</v>
      </c>
      <c r="M124">
        <v>11.0956030635279</v>
      </c>
      <c r="N124">
        <v>63.6703265396413</v>
      </c>
      <c r="O124">
        <v>56.9338660788737</v>
      </c>
      <c r="P124">
        <v>-0.0346983260077758</v>
      </c>
      <c r="Q124">
        <v>0.28805478271131</v>
      </c>
      <c r="R124">
        <v>0.907713664188093</v>
      </c>
      <c r="S124" t="s">
        <v>2317</v>
      </c>
      <c r="T124" t="s">
        <v>4362</v>
      </c>
      <c r="U124" t="s">
        <v>4362</v>
      </c>
      <c r="V124" t="s">
        <v>4362</v>
      </c>
      <c r="W124" t="s">
        <v>4486</v>
      </c>
      <c r="X124">
        <v>8</v>
      </c>
      <c r="Y124" t="s">
        <v>6645</v>
      </c>
      <c r="Z124" t="s">
        <v>8812</v>
      </c>
      <c r="AA124">
        <v>0.7971501742603823</v>
      </c>
      <c r="AB124">
        <f>HYPERLINK("Melting_Curves/meltCurve_P06999_pfkB.pdf", "Melting_Curves/meltCurve_P06999_pfkB.pdf")</f>
        <v>0</v>
      </c>
    </row>
    <row r="125" spans="1:28">
      <c r="A125" t="s">
        <v>151</v>
      </c>
      <c r="B125">
        <v>0.999739202189716</v>
      </c>
      <c r="C125">
        <v>0.907024711628276</v>
      </c>
      <c r="D125">
        <v>0.850545320690322</v>
      </c>
      <c r="E125">
        <v>0.407174488682337</v>
      </c>
      <c r="F125">
        <v>0.307555804579354</v>
      </c>
      <c r="G125">
        <v>0.246710323185199</v>
      </c>
      <c r="H125">
        <v>0.17034691754481</v>
      </c>
      <c r="I125">
        <v>0.167351889518219</v>
      </c>
      <c r="J125">
        <v>0.170456434407913</v>
      </c>
      <c r="K125">
        <v>0.0917028194597254</v>
      </c>
      <c r="L125">
        <v>894.4409218269381</v>
      </c>
      <c r="M125">
        <v>19.7018538536052</v>
      </c>
      <c r="N125">
        <v>46.2894869360985</v>
      </c>
      <c r="O125">
        <v>44.9388622191024</v>
      </c>
      <c r="P125">
        <v>-0.09231605690832689</v>
      </c>
      <c r="Q125">
        <v>0.157757285939393</v>
      </c>
      <c r="R125">
        <v>0.982834896969201</v>
      </c>
      <c r="S125" t="s">
        <v>2318</v>
      </c>
      <c r="T125" t="s">
        <v>4362</v>
      </c>
      <c r="U125" t="s">
        <v>4362</v>
      </c>
      <c r="V125" t="s">
        <v>4362</v>
      </c>
      <c r="W125" t="s">
        <v>4487</v>
      </c>
      <c r="X125">
        <v>1</v>
      </c>
      <c r="Y125" t="s">
        <v>6646</v>
      </c>
      <c r="Z125" t="s">
        <v>8813</v>
      </c>
      <c r="AA125">
        <v>0.4049333385449971</v>
      </c>
      <c r="AB125">
        <f>HYPERLINK("Melting_Curves/meltCurve_P07000_pldB.pdf", "Melting_Curves/meltCurve_P07000_pldB.pdf")</f>
        <v>0</v>
      </c>
    </row>
    <row r="126" spans="1:28">
      <c r="A126" t="s">
        <v>152</v>
      </c>
      <c r="B126">
        <v>0.999739202189716</v>
      </c>
      <c r="C126">
        <v>1.2598582495092</v>
      </c>
      <c r="D126">
        <v>1.11180239584758</v>
      </c>
      <c r="E126">
        <v>0.990010632941988</v>
      </c>
      <c r="F126">
        <v>0.774207894693877</v>
      </c>
      <c r="G126">
        <v>0.296044008532126</v>
      </c>
      <c r="H126">
        <v>0.142770127171845</v>
      </c>
      <c r="I126">
        <v>0.100100031439695</v>
      </c>
      <c r="J126">
        <v>0.101984909679074</v>
      </c>
      <c r="K126">
        <v>0.0736026863686594</v>
      </c>
      <c r="L126">
        <v>1757.0396404991</v>
      </c>
      <c r="M126">
        <v>33.8864727298007</v>
      </c>
      <c r="N126">
        <v>52.1704152549118</v>
      </c>
      <c r="O126">
        <v>51.6711922278415</v>
      </c>
      <c r="P126">
        <v>-0.148583517749368</v>
      </c>
      <c r="Q126">
        <v>0.09374379325388769</v>
      </c>
      <c r="R126">
        <v>0.961649932951702</v>
      </c>
      <c r="S126" t="s">
        <v>2319</v>
      </c>
      <c r="T126" t="s">
        <v>4362</v>
      </c>
      <c r="U126" t="s">
        <v>4362</v>
      </c>
      <c r="V126" t="s">
        <v>4362</v>
      </c>
      <c r="W126" t="s">
        <v>4488</v>
      </c>
      <c r="X126">
        <v>8</v>
      </c>
      <c r="Y126" t="s">
        <v>6647</v>
      </c>
      <c r="Z126" t="s">
        <v>8814</v>
      </c>
      <c r="AA126">
        <v>0.546867519205825</v>
      </c>
      <c r="AB126">
        <f>HYPERLINK("Melting_Curves/meltCurve_P07001_pntA.pdf", "Melting_Curves/meltCurve_P07001_pntA.pdf")</f>
        <v>0</v>
      </c>
    </row>
    <row r="127" spans="1:28">
      <c r="A127" t="s">
        <v>153</v>
      </c>
      <c r="B127">
        <v>0.999739202189716</v>
      </c>
      <c r="C127">
        <v>0.932661628191524</v>
      </c>
      <c r="D127">
        <v>0.479377195814094</v>
      </c>
      <c r="E127">
        <v>0.343860746621492</v>
      </c>
      <c r="F127">
        <v>0.252722115310024</v>
      </c>
      <c r="G127">
        <v>0.156882372549384</v>
      </c>
      <c r="H127">
        <v>0.109590682057583</v>
      </c>
      <c r="I127">
        <v>0.09370249032482569</v>
      </c>
      <c r="J127">
        <v>0.100804301003322</v>
      </c>
      <c r="K127">
        <v>0.09460192692294329</v>
      </c>
      <c r="L127">
        <v>799.449251757114</v>
      </c>
      <c r="M127">
        <v>18.481082438358</v>
      </c>
      <c r="N127">
        <v>43.8891803974241</v>
      </c>
      <c r="O127">
        <v>42.7607728145679</v>
      </c>
      <c r="P127">
        <v>-0.0954396651133697</v>
      </c>
      <c r="Q127">
        <v>0.116741667870283</v>
      </c>
      <c r="R127">
        <v>0.973306426606119</v>
      </c>
      <c r="S127" t="s">
        <v>2320</v>
      </c>
      <c r="T127" t="s">
        <v>4362</v>
      </c>
      <c r="U127" t="s">
        <v>4362</v>
      </c>
      <c r="V127" t="s">
        <v>4362</v>
      </c>
      <c r="W127" t="s">
        <v>4489</v>
      </c>
      <c r="X127">
        <v>17</v>
      </c>
      <c r="Y127" t="s">
        <v>6648</v>
      </c>
      <c r="Z127" t="s">
        <v>8815</v>
      </c>
      <c r="AA127">
        <v>0.3154959306568632</v>
      </c>
      <c r="AB127">
        <f>HYPERLINK("Melting_Curves/meltCurve_P07003_poxB.pdf", "Melting_Curves/meltCurve_P07003_poxB.pdf")</f>
        <v>0</v>
      </c>
    </row>
    <row r="128" spans="1:28">
      <c r="A128" t="s">
        <v>154</v>
      </c>
      <c r="B128">
        <v>0.999739202189716</v>
      </c>
      <c r="C128">
        <v>0.967934224179797</v>
      </c>
      <c r="D128">
        <v>1.2425525222683</v>
      </c>
      <c r="E128">
        <v>1.0305459122391</v>
      </c>
      <c r="F128">
        <v>0.920959902383848</v>
      </c>
      <c r="G128">
        <v>0.854334128263287</v>
      </c>
      <c r="H128">
        <v>0.603897881841952</v>
      </c>
      <c r="I128">
        <v>0.535141795600495</v>
      </c>
      <c r="J128">
        <v>0.434607939073403</v>
      </c>
      <c r="K128">
        <v>0.218304419281749</v>
      </c>
      <c r="L128">
        <v>765.855874476744</v>
      </c>
      <c r="M128">
        <v>12.656941181993</v>
      </c>
      <c r="N128">
        <v>61.074124453319</v>
      </c>
      <c r="O128">
        <v>59.0579043581422</v>
      </c>
      <c r="P128">
        <v>-0.0506265759107478</v>
      </c>
      <c r="Q128">
        <v>0.0552806100855112</v>
      </c>
      <c r="R128">
        <v>0.9121243504116699</v>
      </c>
      <c r="S128" t="s">
        <v>2321</v>
      </c>
      <c r="T128" t="s">
        <v>4362</v>
      </c>
      <c r="U128" t="s">
        <v>4362</v>
      </c>
      <c r="V128" t="s">
        <v>4362</v>
      </c>
      <c r="W128" t="s">
        <v>4490</v>
      </c>
      <c r="X128">
        <v>19</v>
      </c>
      <c r="Y128" t="s">
        <v>6649</v>
      </c>
      <c r="Z128" t="s">
        <v>8816</v>
      </c>
      <c r="AA128">
        <v>0.7786576918488156</v>
      </c>
      <c r="AB128">
        <f>HYPERLINK("Melting_Curves/meltCurve_P07004_proA.pdf", "Melting_Curves/meltCurve_P07004_proA.pdf")</f>
        <v>0</v>
      </c>
    </row>
    <row r="129" spans="1:28">
      <c r="A129" t="s">
        <v>155</v>
      </c>
      <c r="B129">
        <v>0.999739202189716</v>
      </c>
      <c r="C129">
        <v>1.03056962953715</v>
      </c>
      <c r="D129">
        <v>0.923505659891137</v>
      </c>
      <c r="E129">
        <v>0.7047402551463759</v>
      </c>
      <c r="F129">
        <v>0.499478209234094</v>
      </c>
      <c r="G129">
        <v>0.389052538609121</v>
      </c>
      <c r="H129">
        <v>0.332424176938143</v>
      </c>
      <c r="I129">
        <v>0.318708138167869</v>
      </c>
      <c r="J129">
        <v>0.290485202751872</v>
      </c>
      <c r="K129">
        <v>0.305347044219037</v>
      </c>
      <c r="L129">
        <v>897.988427047649</v>
      </c>
      <c r="M129">
        <v>18.8610540604559</v>
      </c>
      <c r="N129">
        <v>50.0859682338874</v>
      </c>
      <c r="O129">
        <v>47.0852002146852</v>
      </c>
      <c r="P129">
        <v>-0.0697888700998491</v>
      </c>
      <c r="Q129">
        <v>0.303137973385068</v>
      </c>
      <c r="R129">
        <v>0.996151079204837</v>
      </c>
      <c r="S129" t="s">
        <v>2322</v>
      </c>
      <c r="T129" t="s">
        <v>4362</v>
      </c>
      <c r="U129" t="s">
        <v>4362</v>
      </c>
      <c r="V129" t="s">
        <v>4362</v>
      </c>
      <c r="W129" t="s">
        <v>4491</v>
      </c>
      <c r="X129">
        <v>16</v>
      </c>
      <c r="Y129" t="s">
        <v>6650</v>
      </c>
      <c r="Z129" t="s">
        <v>8817</v>
      </c>
      <c r="AA129">
        <v>0.5598331645670391</v>
      </c>
      <c r="AB129">
        <f>HYPERLINK("Melting_Curves/meltCurve_P07012_prfB.pdf", "Melting_Curves/meltCurve_P07012_prfB.pdf")</f>
        <v>0</v>
      </c>
    </row>
    <row r="130" spans="1:28">
      <c r="A130" t="s">
        <v>156</v>
      </c>
      <c r="B130">
        <v>0.999739202189716</v>
      </c>
      <c r="C130">
        <v>1.00328654021302</v>
      </c>
      <c r="D130">
        <v>0.785670730821553</v>
      </c>
      <c r="E130">
        <v>1.22404587935644</v>
      </c>
      <c r="F130">
        <v>1.03261848128874</v>
      </c>
      <c r="G130">
        <v>0.8899447705919969</v>
      </c>
      <c r="H130">
        <v>0.805995296583511</v>
      </c>
      <c r="I130">
        <v>0.623362706501248</v>
      </c>
      <c r="J130">
        <v>0.647763668130199</v>
      </c>
      <c r="K130">
        <v>0.602359035759409</v>
      </c>
      <c r="L130">
        <v>1562.70768358399</v>
      </c>
      <c r="M130">
        <v>27.4858414148873</v>
      </c>
      <c r="O130">
        <v>56.5566059714652</v>
      </c>
      <c r="P130">
        <v>-0.0481086813618766</v>
      </c>
      <c r="Q130">
        <v>0.604037794226477</v>
      </c>
      <c r="R130">
        <v>0.7286837644126291</v>
      </c>
      <c r="S130" t="s">
        <v>2323</v>
      </c>
      <c r="T130" t="s">
        <v>4362</v>
      </c>
      <c r="U130" t="s">
        <v>4362</v>
      </c>
      <c r="V130" t="s">
        <v>4362</v>
      </c>
      <c r="W130" t="s">
        <v>4492</v>
      </c>
      <c r="X130">
        <v>1</v>
      </c>
      <c r="Y130" t="s">
        <v>6651</v>
      </c>
      <c r="Z130" t="s">
        <v>8818</v>
      </c>
      <c r="AA130">
        <v>0.8687846565626646</v>
      </c>
      <c r="AB130">
        <f>HYPERLINK("Melting_Curves/meltCurve_P07013_priB.pdf", "Melting_Curves/meltCurve_P07013_priB.pdf")</f>
        <v>0</v>
      </c>
    </row>
    <row r="131" spans="1:28">
      <c r="A131" t="s">
        <v>157</v>
      </c>
      <c r="B131">
        <v>0.999739202189716</v>
      </c>
      <c r="C131">
        <v>0.711192122812722</v>
      </c>
      <c r="D131">
        <v>0.691135172219156</v>
      </c>
      <c r="E131">
        <v>0.552470136556074</v>
      </c>
      <c r="F131">
        <v>0.309596837779368</v>
      </c>
      <c r="G131">
        <v>0.172991571726769</v>
      </c>
      <c r="H131">
        <v>0.108857533235492</v>
      </c>
      <c r="I131">
        <v>0.07311865115962959</v>
      </c>
      <c r="J131">
        <v>0.0569911293032575</v>
      </c>
      <c r="K131">
        <v>0.04696155533004</v>
      </c>
      <c r="L131">
        <v>459.629911359835</v>
      </c>
      <c r="M131">
        <v>9.932265998056071</v>
      </c>
      <c r="N131">
        <v>46.2764641579984</v>
      </c>
      <c r="O131">
        <v>44.5177386836617</v>
      </c>
      <c r="P131">
        <v>-0.0558048563036228</v>
      </c>
      <c r="Q131">
        <v>0</v>
      </c>
      <c r="R131">
        <v>0.975100801218356</v>
      </c>
      <c r="S131" t="s">
        <v>2324</v>
      </c>
      <c r="T131" t="s">
        <v>4362</v>
      </c>
      <c r="U131" t="s">
        <v>4362</v>
      </c>
      <c r="V131" t="s">
        <v>4362</v>
      </c>
      <c r="W131" t="s">
        <v>4493</v>
      </c>
      <c r="X131">
        <v>6</v>
      </c>
      <c r="Y131" t="s">
        <v>6652</v>
      </c>
      <c r="Z131" t="s">
        <v>8819</v>
      </c>
      <c r="AA131">
        <v>0.3550428193640224</v>
      </c>
      <c r="AB131">
        <f>HYPERLINK("Melting_Curves/meltCurve_P07014_sdhB.pdf", "Melting_Curves/meltCurve_P07014_sdhB.pdf")</f>
        <v>0</v>
      </c>
    </row>
    <row r="132" spans="1:28">
      <c r="A132" t="s">
        <v>158</v>
      </c>
      <c r="B132">
        <v>0.999739202189716</v>
      </c>
      <c r="C132">
        <v>0.965983436250612</v>
      </c>
      <c r="D132">
        <v>0.726925690427315</v>
      </c>
      <c r="E132">
        <v>0.737874308212455</v>
      </c>
      <c r="F132">
        <v>0.564679116042778</v>
      </c>
      <c r="G132">
        <v>0.376060362145733</v>
      </c>
      <c r="H132">
        <v>0.244272591008838</v>
      </c>
      <c r="I132">
        <v>0.169045928778019</v>
      </c>
      <c r="J132">
        <v>0.13296284174679</v>
      </c>
      <c r="K132">
        <v>0.104494122363165</v>
      </c>
      <c r="L132">
        <v>461.646624779996</v>
      </c>
      <c r="M132">
        <v>9.07405184128438</v>
      </c>
      <c r="N132">
        <v>50.8754665291642</v>
      </c>
      <c r="O132">
        <v>48.5870693499761</v>
      </c>
      <c r="P132">
        <v>-0.046722514148196</v>
      </c>
      <c r="Q132">
        <v>0</v>
      </c>
      <c r="R132">
        <v>0.982026877369492</v>
      </c>
      <c r="S132" t="s">
        <v>2325</v>
      </c>
      <c r="T132" t="s">
        <v>4362</v>
      </c>
      <c r="U132" t="s">
        <v>4362</v>
      </c>
      <c r="V132" t="s">
        <v>4362</v>
      </c>
      <c r="W132" t="s">
        <v>4494</v>
      </c>
      <c r="X132">
        <v>21</v>
      </c>
      <c r="Y132" t="s">
        <v>6653</v>
      </c>
      <c r="Z132" t="s">
        <v>8820</v>
      </c>
      <c r="AA132">
        <v>0.4956355083316973</v>
      </c>
      <c r="AB132">
        <f>HYPERLINK("Melting_Curves/meltCurve_P07017_tar.pdf", "Melting_Curves/meltCurve_P07017_tar.pdf")</f>
        <v>0</v>
      </c>
    </row>
    <row r="133" spans="1:28">
      <c r="A133" t="s">
        <v>159</v>
      </c>
      <c r="B133">
        <v>0.999739202189716</v>
      </c>
      <c r="C133">
        <v>0.8890842935264009</v>
      </c>
      <c r="D133">
        <v>0.789263673850424</v>
      </c>
      <c r="E133">
        <v>0.631555268944712</v>
      </c>
      <c r="F133">
        <v>0.381307688288919</v>
      </c>
      <c r="G133">
        <v>0.27034823685002</v>
      </c>
      <c r="H133">
        <v>0.227590553474745</v>
      </c>
      <c r="I133">
        <v>0.189023112984435</v>
      </c>
      <c r="J133">
        <v>0.179609562683223</v>
      </c>
      <c r="K133">
        <v>0.143994818244322</v>
      </c>
      <c r="L133">
        <v>596.214935892969</v>
      </c>
      <c r="M133">
        <v>12.6759040661749</v>
      </c>
      <c r="N133">
        <v>48.2658788828967</v>
      </c>
      <c r="O133">
        <v>45.9107547571741</v>
      </c>
      <c r="P133">
        <v>-0.0595054256653177</v>
      </c>
      <c r="Q133">
        <v>0.138079094366097</v>
      </c>
      <c r="R133">
        <v>0.995506163851552</v>
      </c>
      <c r="S133" t="s">
        <v>2326</v>
      </c>
      <c r="T133" t="s">
        <v>4362</v>
      </c>
      <c r="U133" t="s">
        <v>4362</v>
      </c>
      <c r="V133" t="s">
        <v>4362</v>
      </c>
      <c r="W133" t="s">
        <v>4495</v>
      </c>
      <c r="X133">
        <v>7</v>
      </c>
      <c r="Y133" t="s">
        <v>6654</v>
      </c>
      <c r="Z133" t="s">
        <v>8821</v>
      </c>
      <c r="AA133">
        <v>0.4522830615749217</v>
      </c>
      <c r="AB133">
        <f>HYPERLINK("Melting_Curves/meltCurve_P07018_tap.pdf", "Melting_Curves/meltCurve_P07018_tap.pdf")</f>
        <v>0</v>
      </c>
    </row>
    <row r="134" spans="1:28">
      <c r="A134" t="s">
        <v>160</v>
      </c>
      <c r="B134">
        <v>0.999739202189716</v>
      </c>
      <c r="C134">
        <v>0.927658769214335</v>
      </c>
      <c r="D134">
        <v>0.858058153827151</v>
      </c>
      <c r="E134">
        <v>0.649284700470203</v>
      </c>
      <c r="F134">
        <v>0.472610557738915</v>
      </c>
      <c r="G134">
        <v>0.281250647327651</v>
      </c>
      <c r="H134">
        <v>0.209232729551214</v>
      </c>
      <c r="I134">
        <v>0.162523487329068</v>
      </c>
      <c r="J134">
        <v>0.148325260683484</v>
      </c>
      <c r="K134">
        <v>0.138668115901882</v>
      </c>
      <c r="L134">
        <v>625.108244979744</v>
      </c>
      <c r="M134">
        <v>12.9316117543815</v>
      </c>
      <c r="N134">
        <v>49.2798248411752</v>
      </c>
      <c r="O134">
        <v>47.2273760791402</v>
      </c>
      <c r="P134">
        <v>-0.0609811073121413</v>
      </c>
      <c r="Q134">
        <v>0.109327602128851</v>
      </c>
      <c r="R134">
        <v>0.998498023382681</v>
      </c>
      <c r="S134" t="s">
        <v>2327</v>
      </c>
      <c r="T134" t="s">
        <v>4362</v>
      </c>
      <c r="U134" t="s">
        <v>4362</v>
      </c>
      <c r="V134" t="s">
        <v>4362</v>
      </c>
      <c r="W134" t="s">
        <v>4496</v>
      </c>
      <c r="X134">
        <v>7</v>
      </c>
      <c r="Y134" t="s">
        <v>6655</v>
      </c>
      <c r="Z134" t="s">
        <v>8822</v>
      </c>
      <c r="AA134">
        <v>0.4705710396069839</v>
      </c>
      <c r="AB134">
        <f>HYPERLINK("Melting_Curves/meltCurve_P07023_tyrA.pdf", "Melting_Curves/meltCurve_P07023_tyrA.pdf")</f>
        <v>0</v>
      </c>
    </row>
    <row r="135" spans="1:28">
      <c r="A135" t="s">
        <v>161</v>
      </c>
      <c r="B135">
        <v>0.999739202189716</v>
      </c>
      <c r="C135">
        <v>1.15196965709541</v>
      </c>
      <c r="D135">
        <v>1.07956231746157</v>
      </c>
      <c r="E135">
        <v>1.12110362714425</v>
      </c>
      <c r="F135">
        <v>0.99839369162574</v>
      </c>
      <c r="G135">
        <v>0.974598855403783</v>
      </c>
      <c r="H135">
        <v>0.846951689561286</v>
      </c>
      <c r="I135">
        <v>0.602234840454414</v>
      </c>
      <c r="J135">
        <v>0.268680669663023</v>
      </c>
      <c r="K135">
        <v>0.137840450794083</v>
      </c>
      <c r="L135">
        <v>1518.68837170802</v>
      </c>
      <c r="M135">
        <v>24.5816890825738</v>
      </c>
      <c r="N135">
        <v>61.7812855404053</v>
      </c>
      <c r="O135">
        <v>61.3767708306639</v>
      </c>
      <c r="P135">
        <v>-0.1001276319541</v>
      </c>
      <c r="Q135">
        <v>0</v>
      </c>
      <c r="R135">
        <v>0.961002026017326</v>
      </c>
      <c r="S135" t="s">
        <v>2328</v>
      </c>
      <c r="T135" t="s">
        <v>4362</v>
      </c>
      <c r="U135" t="s">
        <v>4362</v>
      </c>
      <c r="V135" t="s">
        <v>4362</v>
      </c>
      <c r="W135" t="s">
        <v>4497</v>
      </c>
      <c r="X135">
        <v>23</v>
      </c>
      <c r="Y135" t="s">
        <v>6656</v>
      </c>
      <c r="Z135" t="s">
        <v>8823</v>
      </c>
      <c r="AA135">
        <v>0.8225375350904084</v>
      </c>
      <c r="AB135">
        <f>HYPERLINK("Melting_Curves/meltCurve_P07024_ushA.pdf", "Melting_Curves/meltCurve_P07024_ushA.pdf")</f>
        <v>0</v>
      </c>
    </row>
    <row r="136" spans="1:28">
      <c r="A136" t="s">
        <v>162</v>
      </c>
      <c r="B136">
        <v>0.999739202189716</v>
      </c>
      <c r="C136">
        <v>0.999088905298547</v>
      </c>
      <c r="D136">
        <v>0.88356181537322</v>
      </c>
      <c r="E136">
        <v>0.929003681629238</v>
      </c>
      <c r="F136">
        <v>0.790630344177542</v>
      </c>
      <c r="G136">
        <v>0.218844866857883</v>
      </c>
      <c r="H136">
        <v>0.130519002128718</v>
      </c>
      <c r="I136">
        <v>0.0897082852866341</v>
      </c>
      <c r="J136">
        <v>0.0926576774040421</v>
      </c>
      <c r="K136">
        <v>0.0725484834152154</v>
      </c>
      <c r="L136">
        <v>2128.94150339077</v>
      </c>
      <c r="M136">
        <v>41.2670856225031</v>
      </c>
      <c r="N136">
        <v>51.8391939441671</v>
      </c>
      <c r="O136">
        <v>51.4686395488957</v>
      </c>
      <c r="P136">
        <v>-0.18236988576244</v>
      </c>
      <c r="Q136">
        <v>0.0901890641896111</v>
      </c>
      <c r="R136">
        <v>0.988786642735449</v>
      </c>
      <c r="S136" t="s">
        <v>2329</v>
      </c>
      <c r="T136" t="s">
        <v>4362</v>
      </c>
      <c r="U136" t="s">
        <v>4362</v>
      </c>
      <c r="V136" t="s">
        <v>4362</v>
      </c>
      <c r="W136" t="s">
        <v>4498</v>
      </c>
      <c r="X136">
        <v>12</v>
      </c>
      <c r="Y136" t="s">
        <v>6657</v>
      </c>
      <c r="Z136" t="s">
        <v>8824</v>
      </c>
      <c r="AA136">
        <v>0.5356825701478753</v>
      </c>
      <c r="AB136">
        <f>HYPERLINK("Melting_Curves/meltCurve_P07102_appA.pdf", "Melting_Curves/meltCurve_P07102_appA.pdf")</f>
        <v>0</v>
      </c>
    </row>
    <row r="137" spans="1:28">
      <c r="A137" t="s">
        <v>163</v>
      </c>
      <c r="B137">
        <v>0.999739202189716</v>
      </c>
      <c r="C137">
        <v>1.21064651365715</v>
      </c>
      <c r="D137">
        <v>0.562728503030991</v>
      </c>
      <c r="E137">
        <v>0.438276396312902</v>
      </c>
      <c r="F137">
        <v>0.243607452249567</v>
      </c>
      <c r="G137">
        <v>0.163557044348722</v>
      </c>
      <c r="H137">
        <v>0.12244270320739</v>
      </c>
      <c r="I137">
        <v>0.09132456833198881</v>
      </c>
      <c r="J137">
        <v>0.0850978614393605</v>
      </c>
      <c r="K137">
        <v>0.0537346347340522</v>
      </c>
      <c r="L137">
        <v>892.221743735005</v>
      </c>
      <c r="M137">
        <v>19.8839648402162</v>
      </c>
      <c r="N137">
        <v>45.3879134069365</v>
      </c>
      <c r="O137">
        <v>44.4249631047982</v>
      </c>
      <c r="P137">
        <v>-0.100570435469049</v>
      </c>
      <c r="Q137">
        <v>0.10124784926538</v>
      </c>
      <c r="R137">
        <v>0.923445711230976</v>
      </c>
      <c r="S137" t="s">
        <v>2330</v>
      </c>
      <c r="T137" t="s">
        <v>4362</v>
      </c>
      <c r="U137" t="s">
        <v>4362</v>
      </c>
      <c r="V137" t="s">
        <v>4362</v>
      </c>
      <c r="W137" t="s">
        <v>4499</v>
      </c>
      <c r="X137">
        <v>4</v>
      </c>
      <c r="Y137" t="s">
        <v>6658</v>
      </c>
      <c r="Z137" t="s">
        <v>8825</v>
      </c>
      <c r="AA137">
        <v>0.349036685681506</v>
      </c>
      <c r="AB137">
        <f>HYPERLINK("Melting_Curves/meltCurve_P07117_putP.pdf", "Melting_Curves/meltCurve_P07117_putP.pdf")</f>
        <v>0</v>
      </c>
    </row>
    <row r="138" spans="1:28">
      <c r="A138" t="s">
        <v>164</v>
      </c>
      <c r="B138">
        <v>0.999739202189716</v>
      </c>
      <c r="C138">
        <v>1.36606634660941</v>
      </c>
      <c r="D138">
        <v>0.96696770932259</v>
      </c>
      <c r="E138">
        <v>0.968644311903923</v>
      </c>
      <c r="F138">
        <v>0.323115970635653</v>
      </c>
      <c r="G138">
        <v>0.136606912936722</v>
      </c>
      <c r="H138">
        <v>0.0891415314143376</v>
      </c>
      <c r="I138">
        <v>0.063129248598481</v>
      </c>
      <c r="J138">
        <v>0.0545873050811625</v>
      </c>
      <c r="K138">
        <v>0.0492204085761141</v>
      </c>
      <c r="L138">
        <v>2586.39818018189</v>
      </c>
      <c r="M138">
        <v>52.4958917004567</v>
      </c>
      <c r="N138">
        <v>49.422446982637</v>
      </c>
      <c r="O138">
        <v>49.1972475751612</v>
      </c>
      <c r="P138">
        <v>-0.2466514651159</v>
      </c>
      <c r="Q138">
        <v>0.0753894671334598</v>
      </c>
      <c r="R138">
        <v>0.941060199356521</v>
      </c>
      <c r="S138" t="s">
        <v>2331</v>
      </c>
      <c r="T138" t="s">
        <v>4362</v>
      </c>
      <c r="U138" t="s">
        <v>4362</v>
      </c>
      <c r="V138" t="s">
        <v>4362</v>
      </c>
      <c r="W138" t="s">
        <v>4500</v>
      </c>
      <c r="X138">
        <v>40</v>
      </c>
      <c r="Y138" t="s">
        <v>6659</v>
      </c>
      <c r="Z138" t="s">
        <v>8826</v>
      </c>
      <c r="AA138">
        <v>0.4553333747073272</v>
      </c>
      <c r="AB138">
        <f>HYPERLINK("Melting_Curves/meltCurve_P07118_valS.pdf", "Melting_Curves/meltCurve_P07118_valS.pdf")</f>
        <v>0</v>
      </c>
    </row>
    <row r="139" spans="1:28">
      <c r="A139" t="s">
        <v>165</v>
      </c>
      <c r="B139">
        <v>0.999739202189716</v>
      </c>
      <c r="C139">
        <v>0.870273707057131</v>
      </c>
      <c r="D139">
        <v>0.829680253956646</v>
      </c>
      <c r="E139">
        <v>0.703669879162744</v>
      </c>
      <c r="F139">
        <v>0.316150369023856</v>
      </c>
      <c r="G139">
        <v>0.170602252245284</v>
      </c>
      <c r="H139">
        <v>0.138590667810454</v>
      </c>
      <c r="I139">
        <v>0.111086023550235</v>
      </c>
      <c r="J139">
        <v>0.106743273927693</v>
      </c>
      <c r="K139">
        <v>0.09567159986003571</v>
      </c>
      <c r="L139">
        <v>778.582370060514</v>
      </c>
      <c r="M139">
        <v>16.3457456678324</v>
      </c>
      <c r="N139">
        <v>48.1439437587095</v>
      </c>
      <c r="O139">
        <v>46.9363080442875</v>
      </c>
      <c r="P139">
        <v>-0.0801252464432025</v>
      </c>
      <c r="Q139">
        <v>0.07975760205576581</v>
      </c>
      <c r="R139">
        <v>0.98417305295458</v>
      </c>
      <c r="S139" t="s">
        <v>2332</v>
      </c>
      <c r="T139" t="s">
        <v>4362</v>
      </c>
      <c r="U139" t="s">
        <v>4362</v>
      </c>
      <c r="V139" t="s">
        <v>4362</v>
      </c>
      <c r="W139" t="s">
        <v>4501</v>
      </c>
      <c r="X139">
        <v>5</v>
      </c>
      <c r="Y139" t="s">
        <v>6660</v>
      </c>
      <c r="Z139" t="s">
        <v>8827</v>
      </c>
      <c r="AA139">
        <v>0.4234620334087013</v>
      </c>
      <c r="AB139">
        <f>HYPERLINK("Melting_Curves/meltCurve_P07330_cheB.pdf", "Melting_Curves/meltCurve_P07330_cheB.pdf")</f>
        <v>0</v>
      </c>
    </row>
    <row r="140" spans="1:28">
      <c r="A140" t="s">
        <v>166</v>
      </c>
      <c r="B140">
        <v>0.999739202189716</v>
      </c>
      <c r="C140">
        <v>1.00995506946706</v>
      </c>
      <c r="D140">
        <v>0.701568494143932</v>
      </c>
      <c r="E140">
        <v>0.644657478481479</v>
      </c>
      <c r="F140">
        <v>0.438454831787064</v>
      </c>
      <c r="G140">
        <v>0.307752378268646</v>
      </c>
      <c r="H140">
        <v>0.23847138224671</v>
      </c>
      <c r="I140">
        <v>0.181700907586044</v>
      </c>
      <c r="J140">
        <v>0.17279696757611</v>
      </c>
      <c r="K140">
        <v>0.132639502448198</v>
      </c>
      <c r="L140">
        <v>548.535366417555</v>
      </c>
      <c r="M140">
        <v>11.508422864184</v>
      </c>
      <c r="N140">
        <v>48.8218241264584</v>
      </c>
      <c r="O140">
        <v>46.2928114895274</v>
      </c>
      <c r="P140">
        <v>-0.0547423696985339</v>
      </c>
      <c r="Q140">
        <v>0.119441590036729</v>
      </c>
      <c r="R140">
        <v>0.978850449988689</v>
      </c>
      <c r="S140" t="s">
        <v>2333</v>
      </c>
      <c r="T140" t="s">
        <v>4362</v>
      </c>
      <c r="U140" t="s">
        <v>4362</v>
      </c>
      <c r="V140" t="s">
        <v>4362</v>
      </c>
      <c r="W140" t="s">
        <v>4502</v>
      </c>
      <c r="X140">
        <v>13</v>
      </c>
      <c r="Y140" t="s">
        <v>6661</v>
      </c>
      <c r="Z140" t="s">
        <v>8828</v>
      </c>
      <c r="AA140">
        <v>0.4622682109796432</v>
      </c>
      <c r="AB140">
        <f>HYPERLINK("Melting_Curves/meltCurve_P07363_cheA.pdf", "Melting_Curves/meltCurve_P07363_cheA.pdf")</f>
        <v>0</v>
      </c>
    </row>
    <row r="141" spans="1:28">
      <c r="A141" t="s">
        <v>167</v>
      </c>
      <c r="B141">
        <v>0.999739202189716</v>
      </c>
      <c r="C141">
        <v>1.37768373022123</v>
      </c>
      <c r="D141">
        <v>0.980219200882876</v>
      </c>
      <c r="E141">
        <v>1.11980109515876</v>
      </c>
      <c r="F141">
        <v>0.616089656818219</v>
      </c>
      <c r="G141">
        <v>0.326607963606492</v>
      </c>
      <c r="H141">
        <v>0.120775668556576</v>
      </c>
      <c r="I141">
        <v>0.08327181469745849</v>
      </c>
      <c r="J141">
        <v>0.07473243757450181</v>
      </c>
      <c r="K141">
        <v>0.0655383935001769</v>
      </c>
      <c r="L141">
        <v>1503.00791366921</v>
      </c>
      <c r="M141">
        <v>29.263722098462</v>
      </c>
      <c r="N141">
        <v>51.6656031636693</v>
      </c>
      <c r="O141">
        <v>51.1227411365473</v>
      </c>
      <c r="P141">
        <v>-0.131760308430202</v>
      </c>
      <c r="Q141">
        <v>0.0792832688204748</v>
      </c>
      <c r="R141">
        <v>0.922583201778864</v>
      </c>
      <c r="S141" t="s">
        <v>2334</v>
      </c>
      <c r="T141" t="s">
        <v>4362</v>
      </c>
      <c r="U141" t="s">
        <v>4362</v>
      </c>
      <c r="V141" t="s">
        <v>4362</v>
      </c>
      <c r="W141" t="s">
        <v>4503</v>
      </c>
      <c r="X141">
        <v>25</v>
      </c>
      <c r="Y141" t="s">
        <v>6662</v>
      </c>
      <c r="Z141" t="s">
        <v>8829</v>
      </c>
      <c r="AA141">
        <v>0.5260721543423627</v>
      </c>
      <c r="AB141">
        <f>HYPERLINK("Melting_Curves/meltCurve_P07395_pheT.pdf", "Melting_Curves/meltCurve_P07395_pheT.pdf")</f>
        <v>0</v>
      </c>
    </row>
    <row r="142" spans="1:28">
      <c r="A142" t="s">
        <v>168</v>
      </c>
      <c r="B142">
        <v>0.999739202189716</v>
      </c>
      <c r="C142">
        <v>1.15014174363557</v>
      </c>
      <c r="D142">
        <v>0.752744608715081</v>
      </c>
      <c r="E142">
        <v>0.771326682164394</v>
      </c>
      <c r="F142">
        <v>0.750183391683478</v>
      </c>
      <c r="G142">
        <v>0.589202888492569</v>
      </c>
      <c r="H142">
        <v>0.51640109244559</v>
      </c>
      <c r="I142">
        <v>0.497723862673465</v>
      </c>
      <c r="J142">
        <v>0.503263247750156</v>
      </c>
      <c r="K142">
        <v>0.379241864221411</v>
      </c>
      <c r="L142">
        <v>478.333293683705</v>
      </c>
      <c r="M142">
        <v>9.506619403457041</v>
      </c>
      <c r="N142">
        <v>59.3719458234499</v>
      </c>
      <c r="O142">
        <v>48.240328001335</v>
      </c>
      <c r="P142">
        <v>-0.030429332672838</v>
      </c>
      <c r="Q142">
        <v>0.382722512252232</v>
      </c>
      <c r="R142">
        <v>0.866566047819406</v>
      </c>
      <c r="S142" t="s">
        <v>2335</v>
      </c>
      <c r="T142" t="s">
        <v>4362</v>
      </c>
      <c r="U142" t="s">
        <v>4362</v>
      </c>
      <c r="V142" t="s">
        <v>4362</v>
      </c>
      <c r="W142" t="s">
        <v>4504</v>
      </c>
      <c r="X142">
        <v>1</v>
      </c>
      <c r="Y142" t="s">
        <v>6663</v>
      </c>
      <c r="Z142" t="s">
        <v>8830</v>
      </c>
      <c r="AA142">
        <v>0.6778982624241685</v>
      </c>
      <c r="AB142">
        <f>HYPERLINK("Melting_Curves/meltCurve_P07464_lacA.pdf", "Melting_Curves/meltCurve_P07464_lacA.pdf")</f>
        <v>0</v>
      </c>
    </row>
    <row r="143" spans="1:28">
      <c r="A143" t="s">
        <v>169</v>
      </c>
      <c r="B143">
        <v>0.999739202189716</v>
      </c>
      <c r="C143">
        <v>0.547713090687067</v>
      </c>
      <c r="D143">
        <v>0.216272226937441</v>
      </c>
      <c r="E143">
        <v>0.137225519852553</v>
      </c>
      <c r="F143">
        <v>0.0887782824183891</v>
      </c>
      <c r="G143">
        <v>0.0511084811214605</v>
      </c>
      <c r="H143">
        <v>0.0402029169559099</v>
      </c>
      <c r="I143">
        <v>0.0335664152821358</v>
      </c>
      <c r="J143">
        <v>0.0339316451552924</v>
      </c>
      <c r="K143">
        <v>0.0300159275896408</v>
      </c>
      <c r="L143">
        <v>1128.06781168754</v>
      </c>
      <c r="M143">
        <v>28.0227283620675</v>
      </c>
      <c r="N143">
        <v>40.4294916029295</v>
      </c>
      <c r="O143">
        <v>40.052135120169</v>
      </c>
      <c r="P143">
        <v>-0.164976759788251</v>
      </c>
      <c r="Q143">
        <v>0.0568206831245366</v>
      </c>
      <c r="R143">
        <v>0.984460565985638</v>
      </c>
      <c r="S143" t="s">
        <v>2336</v>
      </c>
      <c r="T143" t="s">
        <v>4362</v>
      </c>
      <c r="U143" t="s">
        <v>4362</v>
      </c>
      <c r="V143" t="s">
        <v>4362</v>
      </c>
      <c r="W143" t="s">
        <v>4505</v>
      </c>
      <c r="X143">
        <v>5</v>
      </c>
      <c r="Y143" t="s">
        <v>6664</v>
      </c>
      <c r="Z143" t="s">
        <v>8831</v>
      </c>
      <c r="AA143">
        <v>0.1674888247925844</v>
      </c>
      <c r="AB143">
        <f>HYPERLINK("Melting_Curves/meltCurve_P07604_tyrR.pdf", "Melting_Curves/meltCurve_P07604_tyrR.pdf")</f>
        <v>0</v>
      </c>
    </row>
    <row r="144" spans="1:28">
      <c r="A144" t="s">
        <v>170</v>
      </c>
      <c r="B144">
        <v>0.999739202189716</v>
      </c>
      <c r="C144">
        <v>0.989128659218648</v>
      </c>
      <c r="D144">
        <v>0.653230058360205</v>
      </c>
      <c r="E144">
        <v>0.6240071013351191</v>
      </c>
      <c r="F144">
        <v>0.55170286080301</v>
      </c>
      <c r="G144">
        <v>0.288597562541641</v>
      </c>
      <c r="H144">
        <v>0.561778463881655</v>
      </c>
      <c r="I144">
        <v>0.159605802628726</v>
      </c>
      <c r="J144">
        <v>0.138240658603094</v>
      </c>
      <c r="K144">
        <v>0.131776602419216</v>
      </c>
      <c r="L144">
        <v>361.086684087452</v>
      </c>
      <c r="M144">
        <v>7.11121068413997</v>
      </c>
      <c r="N144">
        <v>50.7771036671175</v>
      </c>
      <c r="O144">
        <v>47.2209398163707</v>
      </c>
      <c r="P144">
        <v>-0.0377144953780053</v>
      </c>
      <c r="Q144">
        <v>0</v>
      </c>
      <c r="R144">
        <v>0.872179394348063</v>
      </c>
      <c r="S144" t="s">
        <v>2337</v>
      </c>
      <c r="T144" t="s">
        <v>4362</v>
      </c>
      <c r="U144" t="s">
        <v>4362</v>
      </c>
      <c r="V144" t="s">
        <v>4362</v>
      </c>
      <c r="W144" t="s">
        <v>4506</v>
      </c>
      <c r="X144">
        <v>5</v>
      </c>
      <c r="Y144" t="s">
        <v>6665</v>
      </c>
      <c r="Z144" t="s">
        <v>8832</v>
      </c>
      <c r="AA144">
        <v>0.497435602328904</v>
      </c>
      <c r="AB144">
        <f>HYPERLINK("Melting_Curves/meltCurve_P07639_aroB.pdf", "Melting_Curves/meltCurve_P07639_aroB.pdf")</f>
        <v>0</v>
      </c>
    </row>
    <row r="145" spans="1:28">
      <c r="A145" t="s">
        <v>171</v>
      </c>
      <c r="B145">
        <v>0.999739202189716</v>
      </c>
      <c r="C145">
        <v>0.982391175089765</v>
      </c>
      <c r="D145">
        <v>0.823877222688544</v>
      </c>
      <c r="E145">
        <v>0.775609125980644</v>
      </c>
      <c r="F145">
        <v>0.281415275400759</v>
      </c>
      <c r="G145">
        <v>0.122392448089174</v>
      </c>
      <c r="H145">
        <v>0.08609671774452871</v>
      </c>
      <c r="I145">
        <v>0.0651551889034333</v>
      </c>
      <c r="J145">
        <v>0.0604697104362638</v>
      </c>
      <c r="K145">
        <v>0.0494115260343213</v>
      </c>
      <c r="L145">
        <v>1131.33663216818</v>
      </c>
      <c r="M145">
        <v>23.4692447149282</v>
      </c>
      <c r="N145">
        <v>48.4331232571057</v>
      </c>
      <c r="O145">
        <v>47.8591813259281</v>
      </c>
      <c r="P145">
        <v>-0.116184868681484</v>
      </c>
      <c r="Q145">
        <v>0.0523058276142838</v>
      </c>
      <c r="R145">
        <v>0.985976562025246</v>
      </c>
      <c r="S145" t="s">
        <v>2338</v>
      </c>
      <c r="T145" t="s">
        <v>4362</v>
      </c>
      <c r="U145" t="s">
        <v>4362</v>
      </c>
      <c r="V145" t="s">
        <v>4362</v>
      </c>
      <c r="W145" t="s">
        <v>4507</v>
      </c>
      <c r="X145">
        <v>18</v>
      </c>
      <c r="Y145" t="s">
        <v>6666</v>
      </c>
      <c r="Z145" t="s">
        <v>8833</v>
      </c>
      <c r="AA145">
        <v>0.4154407207028674</v>
      </c>
      <c r="AB145">
        <f>HYPERLINK("Melting_Curves/meltCurve_P07650_deoA.pdf", "Melting_Curves/meltCurve_P07650_deoA.pdf")</f>
        <v>0</v>
      </c>
    </row>
    <row r="146" spans="1:28">
      <c r="A146" t="s">
        <v>172</v>
      </c>
      <c r="B146">
        <v>0.999739202189716</v>
      </c>
      <c r="C146">
        <v>1.3194044020281</v>
      </c>
      <c r="D146">
        <v>1.25222573054928</v>
      </c>
      <c r="E146">
        <v>1.35052496858804</v>
      </c>
      <c r="F146">
        <v>0.9783685583987231</v>
      </c>
      <c r="G146">
        <v>0.94034423776457</v>
      </c>
      <c r="H146">
        <v>0.720201048050818</v>
      </c>
      <c r="I146">
        <v>0.287969163379661</v>
      </c>
      <c r="J146">
        <v>0.127767103537879</v>
      </c>
      <c r="K146">
        <v>0.104784088947988</v>
      </c>
      <c r="L146">
        <v>1961.29431849812</v>
      </c>
      <c r="M146">
        <v>33.3798740748457</v>
      </c>
      <c r="N146">
        <v>59.0741913757729</v>
      </c>
      <c r="O146">
        <v>58.5471166891409</v>
      </c>
      <c r="P146">
        <v>-0.130833724161421</v>
      </c>
      <c r="Q146">
        <v>0.08209313718537579</v>
      </c>
      <c r="R146">
        <v>0.860272281357241</v>
      </c>
      <c r="S146" t="s">
        <v>2339</v>
      </c>
      <c r="T146" t="s">
        <v>4362</v>
      </c>
      <c r="U146" t="s">
        <v>4362</v>
      </c>
      <c r="V146" t="s">
        <v>4362</v>
      </c>
      <c r="W146" t="s">
        <v>4508</v>
      </c>
      <c r="X146">
        <v>17</v>
      </c>
      <c r="Y146" t="s">
        <v>6667</v>
      </c>
      <c r="Z146" t="s">
        <v>8834</v>
      </c>
      <c r="AA146">
        <v>0.7519282314519181</v>
      </c>
      <c r="AB146">
        <f>HYPERLINK("Melting_Curves/meltCurve_P07762_glgB.pdf", "Melting_Curves/meltCurve_P07762_glgB.pdf")</f>
        <v>0</v>
      </c>
    </row>
    <row r="147" spans="1:28">
      <c r="A147" t="s">
        <v>173</v>
      </c>
      <c r="B147">
        <v>0.999739202189716</v>
      </c>
      <c r="C147">
        <v>1.33954668034413</v>
      </c>
      <c r="D147">
        <v>0.942741829575156</v>
      </c>
      <c r="E147">
        <v>0.857638157191997</v>
      </c>
      <c r="F147">
        <v>0.323375226280974</v>
      </c>
      <c r="G147">
        <v>0.14331964938005</v>
      </c>
      <c r="H147">
        <v>0.0989314707144833</v>
      </c>
      <c r="I147">
        <v>0.07280236859128859</v>
      </c>
      <c r="J147">
        <v>0.07036056914362419</v>
      </c>
      <c r="K147">
        <v>0.0521500738988941</v>
      </c>
      <c r="L147">
        <v>1659.18618777631</v>
      </c>
      <c r="M147">
        <v>33.9940474644019</v>
      </c>
      <c r="N147">
        <v>49.0488756032002</v>
      </c>
      <c r="O147">
        <v>48.6401619494364</v>
      </c>
      <c r="P147">
        <v>-0.161297959802517</v>
      </c>
      <c r="Q147">
        <v>0.0768351120097709</v>
      </c>
      <c r="R147">
        <v>0.944571820156916</v>
      </c>
      <c r="S147" t="s">
        <v>2340</v>
      </c>
      <c r="T147" t="s">
        <v>4362</v>
      </c>
      <c r="U147" t="s">
        <v>4362</v>
      </c>
      <c r="V147" t="s">
        <v>4362</v>
      </c>
      <c r="W147" t="s">
        <v>4509</v>
      </c>
      <c r="X147">
        <v>28</v>
      </c>
      <c r="Y147" t="s">
        <v>6668</v>
      </c>
      <c r="Z147" t="s">
        <v>8835</v>
      </c>
      <c r="AA147">
        <v>0.4445170751331082</v>
      </c>
      <c r="AB147">
        <f>HYPERLINK("Melting_Curves/meltCurve_P07813_leuS.pdf", "Melting_Curves/meltCurve_P07813_leuS.pdf")</f>
        <v>0</v>
      </c>
    </row>
    <row r="148" spans="1:28">
      <c r="A148" t="s">
        <v>174</v>
      </c>
      <c r="B148">
        <v>0.999739202189716</v>
      </c>
      <c r="C148">
        <v>1.04749575838919</v>
      </c>
      <c r="D148">
        <v>0.8737434096587759</v>
      </c>
      <c r="E148">
        <v>0.849223391109718</v>
      </c>
      <c r="F148">
        <v>1.03847021016878</v>
      </c>
      <c r="G148">
        <v>0.717958694950073</v>
      </c>
      <c r="H148">
        <v>0.865356066076895</v>
      </c>
      <c r="I148">
        <v>0.709730041187029</v>
      </c>
      <c r="J148">
        <v>0.867248228878317</v>
      </c>
      <c r="K148">
        <v>0.57208126740378</v>
      </c>
      <c r="L148">
        <v>278.044141782031</v>
      </c>
      <c r="M148">
        <v>3.42135418957211</v>
      </c>
      <c r="O148">
        <v>63.1669586460866</v>
      </c>
      <c r="P148">
        <v>-0.0138244676408177</v>
      </c>
      <c r="Q148">
        <v>0</v>
      </c>
      <c r="R148">
        <v>0.541114272075058</v>
      </c>
      <c r="S148" t="s">
        <v>2341</v>
      </c>
      <c r="T148" t="s">
        <v>4362</v>
      </c>
      <c r="U148" t="s">
        <v>4362</v>
      </c>
      <c r="V148" t="s">
        <v>4362</v>
      </c>
      <c r="W148" t="s">
        <v>4510</v>
      </c>
      <c r="X148">
        <v>1</v>
      </c>
      <c r="Y148" t="s">
        <v>6669</v>
      </c>
      <c r="Z148" t="s">
        <v>8836</v>
      </c>
      <c r="AA148">
        <v>0.8574965036767923</v>
      </c>
      <c r="AB148">
        <f>HYPERLINK("Melting_Curves/meltCurve_P07822_fhuD.pdf", "Melting_Curves/meltCurve_P07822_fhuD.pdf")</f>
        <v>0</v>
      </c>
    </row>
    <row r="149" spans="1:28">
      <c r="A149" t="s">
        <v>175</v>
      </c>
      <c r="B149">
        <v>0.999739202189716</v>
      </c>
      <c r="C149">
        <v>0.665282675979631</v>
      </c>
      <c r="D149">
        <v>0.640707269154677</v>
      </c>
      <c r="E149">
        <v>0.336411361040129</v>
      </c>
      <c r="F149">
        <v>0.164316754879333</v>
      </c>
      <c r="G149">
        <v>0.0699108709264339</v>
      </c>
      <c r="H149">
        <v>0.0529844364017049</v>
      </c>
      <c r="I149">
        <v>0.0422447856371968</v>
      </c>
      <c r="J149">
        <v>0.0385825153888248</v>
      </c>
      <c r="K149">
        <v>0.0336515767540285</v>
      </c>
      <c r="L149">
        <v>558.8893214074189</v>
      </c>
      <c r="M149">
        <v>12.7233054087356</v>
      </c>
      <c r="N149">
        <v>43.9959983087599</v>
      </c>
      <c r="O149">
        <v>42.8837349830536</v>
      </c>
      <c r="P149">
        <v>-0.0734488695500187</v>
      </c>
      <c r="Q149">
        <v>0.00995680653610403</v>
      </c>
      <c r="R149">
        <v>0.974705401824267</v>
      </c>
      <c r="S149" t="s">
        <v>2342</v>
      </c>
      <c r="T149" t="s">
        <v>4362</v>
      </c>
      <c r="U149" t="s">
        <v>4362</v>
      </c>
      <c r="V149" t="s">
        <v>4362</v>
      </c>
      <c r="W149" t="s">
        <v>4511</v>
      </c>
      <c r="X149">
        <v>7</v>
      </c>
      <c r="Y149" t="s">
        <v>6670</v>
      </c>
      <c r="Z149" t="s">
        <v>8837</v>
      </c>
      <c r="AA149">
        <v>0.2729286819680021</v>
      </c>
      <c r="AB149">
        <f>HYPERLINK("Melting_Curves/meltCurve_P07862_ddlB.pdf", "Melting_Curves/meltCurve_P07862_ddlB.pdf")</f>
        <v>0</v>
      </c>
    </row>
    <row r="150" spans="1:28">
      <c r="A150" t="s">
        <v>176</v>
      </c>
      <c r="B150">
        <v>0.999739202189716</v>
      </c>
      <c r="C150">
        <v>0.941510976891253</v>
      </c>
      <c r="D150">
        <v>0.50311665504521</v>
      </c>
      <c r="E150">
        <v>0.600647750882115</v>
      </c>
      <c r="F150">
        <v>0.410386518131265</v>
      </c>
      <c r="G150">
        <v>0.316964364546589</v>
      </c>
      <c r="H150">
        <v>0.296869243230846</v>
      </c>
      <c r="I150">
        <v>0.124760018345556</v>
      </c>
      <c r="J150">
        <v>0.0748375363488404</v>
      </c>
      <c r="K150">
        <v>0.0668442594895131</v>
      </c>
      <c r="L150">
        <v>383.28309186841</v>
      </c>
      <c r="M150">
        <v>8.0032555453298</v>
      </c>
      <c r="N150">
        <v>47.8908812503431</v>
      </c>
      <c r="O150">
        <v>45.1783341763795</v>
      </c>
      <c r="P150">
        <v>-0.044337033984001</v>
      </c>
      <c r="Q150">
        <v>0</v>
      </c>
      <c r="R150">
        <v>0.923419698874662</v>
      </c>
      <c r="S150" t="s">
        <v>2343</v>
      </c>
      <c r="T150" t="s">
        <v>4362</v>
      </c>
      <c r="U150" t="s">
        <v>4362</v>
      </c>
      <c r="V150" t="s">
        <v>4362</v>
      </c>
      <c r="W150" t="s">
        <v>4512</v>
      </c>
      <c r="X150">
        <v>5</v>
      </c>
      <c r="Y150" t="s">
        <v>6671</v>
      </c>
      <c r="Z150" t="s">
        <v>8838</v>
      </c>
      <c r="AA150">
        <v>0.4155064746031301</v>
      </c>
      <c r="AB150">
        <f>HYPERLINK("Melting_Curves/meltCurve_P07913_tdh.pdf", "Melting_Curves/meltCurve_P07913_tdh.pdf")</f>
        <v>0</v>
      </c>
    </row>
    <row r="151" spans="1:28">
      <c r="A151" t="s">
        <v>177</v>
      </c>
      <c r="B151">
        <v>0.999739202189716</v>
      </c>
      <c r="C151">
        <v>1.05152767045431</v>
      </c>
      <c r="D151">
        <v>0.812979761201485</v>
      </c>
      <c r="E151">
        <v>0.944964759641968</v>
      </c>
      <c r="F151">
        <v>0.8466463854683129</v>
      </c>
      <c r="G151">
        <v>0.6241838205121421</v>
      </c>
      <c r="H151">
        <v>0.5495199446283821</v>
      </c>
      <c r="I151">
        <v>0.429444712314389</v>
      </c>
      <c r="J151">
        <v>0.333114348393761</v>
      </c>
      <c r="K151">
        <v>0.460834599471546</v>
      </c>
      <c r="L151">
        <v>731.772904161936</v>
      </c>
      <c r="M151">
        <v>13.7415104042464</v>
      </c>
      <c r="N151">
        <v>58.3708291689656</v>
      </c>
      <c r="O151">
        <v>52.162939630537</v>
      </c>
      <c r="P151">
        <v>-0.0428051139988504</v>
      </c>
      <c r="Q151">
        <v>0.350137569015032</v>
      </c>
      <c r="R151">
        <v>0.924583565667745</v>
      </c>
      <c r="S151" t="s">
        <v>2344</v>
      </c>
      <c r="T151" t="s">
        <v>4362</v>
      </c>
      <c r="U151" t="s">
        <v>4362</v>
      </c>
      <c r="V151" t="s">
        <v>4362</v>
      </c>
      <c r="W151" t="s">
        <v>4513</v>
      </c>
      <c r="X151">
        <v>1</v>
      </c>
      <c r="Y151" t="s">
        <v>6672</v>
      </c>
      <c r="Z151" t="s">
        <v>8839</v>
      </c>
      <c r="AA151">
        <v>0.7144021603917927</v>
      </c>
      <c r="AB151">
        <f>HYPERLINK("Melting_Curves/meltCurve_P08142_ilvB.pdf", "Melting_Curves/meltCurve_P08142_ilvB.pdf")</f>
        <v>0</v>
      </c>
    </row>
    <row r="152" spans="1:28">
      <c r="A152" t="s">
        <v>178</v>
      </c>
      <c r="B152">
        <v>0.999739202189716</v>
      </c>
      <c r="C152">
        <v>0.897405722873052</v>
      </c>
      <c r="D152">
        <v>0.673557738733778</v>
      </c>
      <c r="E152">
        <v>0.483151794540477</v>
      </c>
      <c r="F152">
        <v>0.472986267474465</v>
      </c>
      <c r="G152">
        <v>0.334105947823357</v>
      </c>
      <c r="H152">
        <v>0.295839843501002</v>
      </c>
      <c r="I152">
        <v>0.250119989517849</v>
      </c>
      <c r="J152">
        <v>0.224878812743501</v>
      </c>
      <c r="K152">
        <v>0.150890281471056</v>
      </c>
      <c r="L152">
        <v>485.063923835831</v>
      </c>
      <c r="M152">
        <v>10.625621696542</v>
      </c>
      <c r="N152">
        <v>47.7177853304916</v>
      </c>
      <c r="O152">
        <v>44.1225330569042</v>
      </c>
      <c r="P152">
        <v>-0.0491180259035058</v>
      </c>
      <c r="Q152">
        <v>0.184470749590901</v>
      </c>
      <c r="R152">
        <v>0.972477149968348</v>
      </c>
      <c r="S152" t="s">
        <v>2345</v>
      </c>
      <c r="T152" t="s">
        <v>4362</v>
      </c>
      <c r="U152" t="s">
        <v>4362</v>
      </c>
      <c r="V152" t="s">
        <v>4362</v>
      </c>
      <c r="W152" t="s">
        <v>4514</v>
      </c>
      <c r="X152">
        <v>2</v>
      </c>
      <c r="Y152" t="s">
        <v>6673</v>
      </c>
      <c r="Z152" t="s">
        <v>8840</v>
      </c>
      <c r="AA152">
        <v>0.4547370944005842</v>
      </c>
      <c r="AB152">
        <f>HYPERLINK("Melting_Curves/meltCurve_P08178_purM.pdf", "Melting_Curves/meltCurve_P08178_purM.pdf")</f>
        <v>0</v>
      </c>
    </row>
    <row r="153" spans="1:28">
      <c r="A153" t="s">
        <v>179</v>
      </c>
      <c r="B153">
        <v>0.999739202189716</v>
      </c>
      <c r="C153">
        <v>0.822680922545648</v>
      </c>
      <c r="D153">
        <v>1.19769715467619</v>
      </c>
      <c r="E153">
        <v>0.777413088627058</v>
      </c>
      <c r="F153">
        <v>0.442674290693143</v>
      </c>
      <c r="G153">
        <v>0.195987762006438</v>
      </c>
      <c r="H153">
        <v>0.137488500708986</v>
      </c>
      <c r="I153">
        <v>0.105896056786838</v>
      </c>
      <c r="J153">
        <v>0.106728226077596</v>
      </c>
      <c r="K153">
        <v>0.0821738006631422</v>
      </c>
      <c r="L153">
        <v>1296.83529562873</v>
      </c>
      <c r="M153">
        <v>26.3826929321376</v>
      </c>
      <c r="N153">
        <v>49.5908237060144</v>
      </c>
      <c r="O153">
        <v>48.8749697279607</v>
      </c>
      <c r="P153">
        <v>-0.12098124418946</v>
      </c>
      <c r="Q153">
        <v>0.103519802342792</v>
      </c>
      <c r="R153">
        <v>0.949766435439133</v>
      </c>
      <c r="S153" t="s">
        <v>2346</v>
      </c>
      <c r="T153" t="s">
        <v>4362</v>
      </c>
      <c r="U153" t="s">
        <v>4362</v>
      </c>
      <c r="V153" t="s">
        <v>4362</v>
      </c>
      <c r="W153" t="s">
        <v>4515</v>
      </c>
      <c r="X153">
        <v>2</v>
      </c>
      <c r="Y153" t="s">
        <v>6674</v>
      </c>
      <c r="Z153" t="s">
        <v>8841</v>
      </c>
      <c r="AA153">
        <v>0.4737261584273539</v>
      </c>
      <c r="AB153">
        <f>HYPERLINK("Melting_Curves/meltCurve_P08179_purN.pdf", "Melting_Curves/meltCurve_P08179_purN.pdf")</f>
        <v>0</v>
      </c>
    </row>
    <row r="154" spans="1:28">
      <c r="A154" t="s">
        <v>180</v>
      </c>
      <c r="B154">
        <v>0.999739202189716</v>
      </c>
      <c r="C154">
        <v>1.17744099713671</v>
      </c>
      <c r="D154">
        <v>0.912085312598295</v>
      </c>
      <c r="E154">
        <v>0.786676777298151</v>
      </c>
      <c r="F154">
        <v>0.516006450929456</v>
      </c>
      <c r="G154">
        <v>0.41536787865228</v>
      </c>
      <c r="H154">
        <v>0.128567128410156</v>
      </c>
      <c r="I154">
        <v>0.0942265261486788</v>
      </c>
      <c r="J154">
        <v>0.413521761245319</v>
      </c>
      <c r="K154">
        <v>0.387501450619962</v>
      </c>
      <c r="L154">
        <v>1100.84234212214</v>
      </c>
      <c r="M154">
        <v>22.653897814132</v>
      </c>
      <c r="N154">
        <v>50.2836892931347</v>
      </c>
      <c r="O154">
        <v>48.2200429819778</v>
      </c>
      <c r="P154">
        <v>-0.0861561454371199</v>
      </c>
      <c r="Q154">
        <v>0.266462577842939</v>
      </c>
      <c r="R154">
        <v>0.889726365153112</v>
      </c>
      <c r="S154" t="s">
        <v>2347</v>
      </c>
      <c r="T154" t="s">
        <v>4362</v>
      </c>
      <c r="U154" t="s">
        <v>4362</v>
      </c>
      <c r="V154" t="s">
        <v>4362</v>
      </c>
      <c r="W154" t="s">
        <v>4516</v>
      </c>
      <c r="X154">
        <v>7</v>
      </c>
      <c r="Y154" t="s">
        <v>6675</v>
      </c>
      <c r="Z154" t="s">
        <v>8842</v>
      </c>
      <c r="AA154">
        <v>0.5575812516913421</v>
      </c>
      <c r="AB154">
        <f>HYPERLINK("Melting_Curves/meltCurve_P08192_folC.pdf", "Melting_Curves/meltCurve_P08192_folC.pdf")</f>
        <v>0</v>
      </c>
    </row>
    <row r="155" spans="1:28">
      <c r="A155" t="s">
        <v>181</v>
      </c>
      <c r="B155">
        <v>0.999739202189716</v>
      </c>
      <c r="C155">
        <v>0.933824471763594</v>
      </c>
      <c r="D155">
        <v>0.393970593959925</v>
      </c>
      <c r="E155">
        <v>0.206529974919405</v>
      </c>
      <c r="F155">
        <v>0.110083247110316</v>
      </c>
      <c r="G155">
        <v>0.0830518782620024</v>
      </c>
      <c r="H155">
        <v>0.06315050322432141</v>
      </c>
      <c r="I155">
        <v>0.0488349740169047</v>
      </c>
      <c r="J155">
        <v>0.0628183748921968</v>
      </c>
      <c r="K155">
        <v>0.0557502629275405</v>
      </c>
      <c r="L155">
        <v>1424.765514474</v>
      </c>
      <c r="M155">
        <v>33.642171643859</v>
      </c>
      <c r="N155">
        <v>42.5729669173696</v>
      </c>
      <c r="O155">
        <v>42.2017772644632</v>
      </c>
      <c r="P155">
        <v>-0.183235289036029</v>
      </c>
      <c r="Q155">
        <v>0.0805797329349071</v>
      </c>
      <c r="R155">
        <v>0.98976648354909</v>
      </c>
      <c r="S155" t="s">
        <v>2348</v>
      </c>
      <c r="T155" t="s">
        <v>4362</v>
      </c>
      <c r="U155" t="s">
        <v>4362</v>
      </c>
      <c r="V155" t="s">
        <v>4362</v>
      </c>
      <c r="W155" t="s">
        <v>4517</v>
      </c>
      <c r="X155">
        <v>2</v>
      </c>
      <c r="Y155" t="s">
        <v>6676</v>
      </c>
      <c r="Z155" t="s">
        <v>8843</v>
      </c>
      <c r="AA155">
        <v>0.2485958423708191</v>
      </c>
      <c r="AB155">
        <f>HYPERLINK("Melting_Curves/meltCurve_P08194_glpT.pdf", "Melting_Curves/meltCurve_P08194_glpT.pdf")</f>
        <v>0</v>
      </c>
    </row>
    <row r="156" spans="1:28">
      <c r="A156" t="s">
        <v>182</v>
      </c>
      <c r="B156">
        <v>0.999739202189716</v>
      </c>
      <c r="C156">
        <v>0.9488729421755649</v>
      </c>
      <c r="D156">
        <v>1.04831905966501</v>
      </c>
      <c r="E156">
        <v>0.784071771421892</v>
      </c>
      <c r="F156">
        <v>0.375284294271306</v>
      </c>
      <c r="G156">
        <v>0.110536741532171</v>
      </c>
      <c r="H156">
        <v>0.0679950794354006</v>
      </c>
      <c r="I156">
        <v>0.0482185614608071</v>
      </c>
      <c r="J156">
        <v>0.0447017445674519</v>
      </c>
      <c r="K156">
        <v>0.037604218678697</v>
      </c>
      <c r="L156">
        <v>1327.32617366062</v>
      </c>
      <c r="M156">
        <v>27.1206864021326</v>
      </c>
      <c r="N156">
        <v>49.1033599642365</v>
      </c>
      <c r="O156">
        <v>48.677703872836</v>
      </c>
      <c r="P156">
        <v>-0.133331339662626</v>
      </c>
      <c r="Q156">
        <v>0.0427676464794223</v>
      </c>
      <c r="R156">
        <v>0.99547100364317</v>
      </c>
      <c r="S156" t="s">
        <v>2349</v>
      </c>
      <c r="T156" t="s">
        <v>4362</v>
      </c>
      <c r="U156" t="s">
        <v>4362</v>
      </c>
      <c r="V156" t="s">
        <v>4362</v>
      </c>
      <c r="W156" t="s">
        <v>4518</v>
      </c>
      <c r="X156">
        <v>28</v>
      </c>
      <c r="Y156" t="s">
        <v>6677</v>
      </c>
      <c r="Z156" t="s">
        <v>8844</v>
      </c>
      <c r="AA156">
        <v>0.430839016990317</v>
      </c>
      <c r="AB156">
        <f>HYPERLINK("Melting_Curves/meltCurve_P08200_icd.pdf", "Melting_Curves/meltCurve_P08200_icd.pdf")</f>
        <v>0</v>
      </c>
    </row>
    <row r="157" spans="1:28">
      <c r="A157" t="s">
        <v>183</v>
      </c>
      <c r="B157">
        <v>0.999739202189716</v>
      </c>
      <c r="C157">
        <v>1.12898642279703</v>
      </c>
      <c r="D157">
        <v>0.593854939494626</v>
      </c>
      <c r="E157">
        <v>0.472842603095175</v>
      </c>
      <c r="F157">
        <v>0.298333092037022</v>
      </c>
      <c r="G157">
        <v>0.205776434642865</v>
      </c>
      <c r="H157">
        <v>0.183336409080998</v>
      </c>
      <c r="I157">
        <v>0.129492858808068</v>
      </c>
      <c r="J157">
        <v>0.10900908954498</v>
      </c>
      <c r="K157">
        <v>0.11574688334631</v>
      </c>
      <c r="L157">
        <v>798.084088935548</v>
      </c>
      <c r="M157">
        <v>17.7251863236262</v>
      </c>
      <c r="N157">
        <v>45.8645381354745</v>
      </c>
      <c r="O157">
        <v>44.4640616242614</v>
      </c>
      <c r="P157">
        <v>-0.08586372544462741</v>
      </c>
      <c r="Q157">
        <v>0.138480180014455</v>
      </c>
      <c r="R157">
        <v>0.9437825009090129</v>
      </c>
      <c r="S157" t="s">
        <v>2350</v>
      </c>
      <c r="T157" t="s">
        <v>4362</v>
      </c>
      <c r="U157" t="s">
        <v>4362</v>
      </c>
      <c r="V157" t="s">
        <v>4362</v>
      </c>
      <c r="W157" t="s">
        <v>4519</v>
      </c>
      <c r="X157">
        <v>2</v>
      </c>
      <c r="Y157" t="s">
        <v>6678</v>
      </c>
      <c r="Z157" t="s">
        <v>8845</v>
      </c>
      <c r="AA157">
        <v>0.3835196580475043</v>
      </c>
      <c r="AB157">
        <f>HYPERLINK("Melting_Curves/meltCurve_P08201_nirB.pdf", "Melting_Curves/meltCurve_P08201_nirB.pdf")</f>
        <v>0</v>
      </c>
    </row>
    <row r="158" spans="1:28">
      <c r="A158" t="s">
        <v>184</v>
      </c>
      <c r="B158">
        <v>0.999739202189716</v>
      </c>
      <c r="C158">
        <v>1.29018213615355</v>
      </c>
      <c r="D158">
        <v>1.17264388818448</v>
      </c>
      <c r="E158">
        <v>1.15052509536333</v>
      </c>
      <c r="F158">
        <v>0.588086172543711</v>
      </c>
      <c r="G158">
        <v>0.257871510112045</v>
      </c>
      <c r="H158">
        <v>0.128017738521903</v>
      </c>
      <c r="I158">
        <v>0.133185410055356</v>
      </c>
      <c r="J158">
        <v>0.120561836704563</v>
      </c>
      <c r="K158">
        <v>0.0891007332383643</v>
      </c>
      <c r="L158">
        <v>2425.26359011105</v>
      </c>
      <c r="M158">
        <v>48.0875242014809</v>
      </c>
      <c r="N158">
        <v>50.7650528798023</v>
      </c>
      <c r="O158">
        <v>50.3473723819589</v>
      </c>
      <c r="P158">
        <v>-0.206671260969615</v>
      </c>
      <c r="Q158">
        <v>0.134466202642621</v>
      </c>
      <c r="R158">
        <v>0.934427646596367</v>
      </c>
      <c r="S158" t="s">
        <v>2351</v>
      </c>
      <c r="T158" t="s">
        <v>4362</v>
      </c>
      <c r="U158" t="s">
        <v>4362</v>
      </c>
      <c r="V158" t="s">
        <v>4362</v>
      </c>
      <c r="W158" t="s">
        <v>4520</v>
      </c>
      <c r="X158">
        <v>5</v>
      </c>
      <c r="Y158" t="s">
        <v>6679</v>
      </c>
      <c r="Z158" t="s">
        <v>8846</v>
      </c>
      <c r="AA158">
        <v>0.5241449817844023</v>
      </c>
      <c r="AB158">
        <f>HYPERLINK("Melting_Curves/meltCurve_P08202_araA.pdf", "Melting_Curves/meltCurve_P08202_araA.pdf")</f>
        <v>0</v>
      </c>
    </row>
    <row r="159" spans="1:28">
      <c r="A159" t="s">
        <v>185</v>
      </c>
      <c r="B159">
        <v>0.999739202189716</v>
      </c>
      <c r="C159">
        <v>1.16597120569834</v>
      </c>
      <c r="D159">
        <v>0.9545121600861191</v>
      </c>
      <c r="E159">
        <v>1.02755813892809</v>
      </c>
      <c r="F159">
        <v>0.509386837836592</v>
      </c>
      <c r="G159">
        <v>0.541831683818469</v>
      </c>
      <c r="H159">
        <v>0.294174700714476</v>
      </c>
      <c r="I159">
        <v>0.248889756126881</v>
      </c>
      <c r="J159">
        <v>0.227733963247012</v>
      </c>
      <c r="K159">
        <v>0.226243972193097</v>
      </c>
      <c r="L159">
        <v>1029.91295194037</v>
      </c>
      <c r="M159">
        <v>20.2814796400615</v>
      </c>
      <c r="N159">
        <v>52.4057626352567</v>
      </c>
      <c r="O159">
        <v>50.2950024578058</v>
      </c>
      <c r="P159">
        <v>-0.07728652869807939</v>
      </c>
      <c r="Q159">
        <v>0.233388002344763</v>
      </c>
      <c r="R159">
        <v>0.933379511962278</v>
      </c>
      <c r="S159" t="s">
        <v>2352</v>
      </c>
      <c r="T159" t="s">
        <v>4362</v>
      </c>
      <c r="U159" t="s">
        <v>4362</v>
      </c>
      <c r="V159" t="s">
        <v>4362</v>
      </c>
      <c r="W159" t="s">
        <v>4521</v>
      </c>
      <c r="X159">
        <v>2</v>
      </c>
      <c r="Y159" t="s">
        <v>6680</v>
      </c>
      <c r="Z159" t="s">
        <v>8847</v>
      </c>
      <c r="AA159">
        <v>0.5953634823259603</v>
      </c>
      <c r="AB159">
        <f>HYPERLINK("Melting_Curves/meltCurve_P08204_araB.pdf", "Melting_Curves/meltCurve_P08204_araB.pdf")</f>
        <v>0</v>
      </c>
    </row>
    <row r="160" spans="1:28">
      <c r="A160" t="s">
        <v>186</v>
      </c>
      <c r="B160">
        <v>0.999739202189716</v>
      </c>
      <c r="C160">
        <v>0.805092016421137</v>
      </c>
      <c r="D160">
        <v>0.934715850568262</v>
      </c>
      <c r="E160">
        <v>0.75234093878007</v>
      </c>
      <c r="F160">
        <v>0.6033080493267911</v>
      </c>
      <c r="G160">
        <v>0.372388294531524</v>
      </c>
      <c r="H160">
        <v>0.236910252449852</v>
      </c>
      <c r="I160">
        <v>0.135805813084286</v>
      </c>
      <c r="J160">
        <v>0.106368687588385</v>
      </c>
      <c r="K160">
        <v>0.0816081364587313</v>
      </c>
      <c r="L160">
        <v>552.032588345602</v>
      </c>
      <c r="M160">
        <v>10.7316597451234</v>
      </c>
      <c r="N160">
        <v>51.4396281781947</v>
      </c>
      <c r="O160">
        <v>49.7500202658413</v>
      </c>
      <c r="P160">
        <v>-0.0539479231071714</v>
      </c>
      <c r="Q160">
        <v>0</v>
      </c>
      <c r="R160">
        <v>0.976353748576287</v>
      </c>
      <c r="S160" t="s">
        <v>2353</v>
      </c>
      <c r="T160" t="s">
        <v>4362</v>
      </c>
      <c r="U160" t="s">
        <v>4362</v>
      </c>
      <c r="V160" t="s">
        <v>4362</v>
      </c>
      <c r="W160" t="s">
        <v>4522</v>
      </c>
      <c r="X160">
        <v>9</v>
      </c>
      <c r="Y160" t="s">
        <v>6681</v>
      </c>
      <c r="Z160" t="s">
        <v>8848</v>
      </c>
      <c r="AA160">
        <v>0.5088072777609866</v>
      </c>
      <c r="AB160">
        <f>HYPERLINK("Melting_Curves/meltCurve_P08244_pyrF.pdf", "Melting_Curves/meltCurve_P08244_pyrF.pdf")</f>
        <v>0</v>
      </c>
    </row>
    <row r="161" spans="1:28">
      <c r="A161" t="s">
        <v>187</v>
      </c>
      <c r="B161">
        <v>0.999739202189716</v>
      </c>
      <c r="C161">
        <v>1.05495185062202</v>
      </c>
      <c r="D161">
        <v>0.935158544250377</v>
      </c>
      <c r="E161">
        <v>0.976125525590324</v>
      </c>
      <c r="F161">
        <v>0.917119913890638</v>
      </c>
      <c r="G161">
        <v>0.836338570880984</v>
      </c>
      <c r="H161">
        <v>0.737278729056191</v>
      </c>
      <c r="I161">
        <v>0.75979198903437</v>
      </c>
      <c r="J161">
        <v>0.738837903136315</v>
      </c>
      <c r="K161">
        <v>0.557221783348488</v>
      </c>
      <c r="L161">
        <v>375.193470372537</v>
      </c>
      <c r="M161">
        <v>5.16378177117232</v>
      </c>
      <c r="O161">
        <v>63.882624720215</v>
      </c>
      <c r="P161">
        <v>-0.0203189291111817</v>
      </c>
      <c r="Q161">
        <v>0</v>
      </c>
      <c r="R161">
        <v>0.90474195232458</v>
      </c>
      <c r="S161" t="s">
        <v>2354</v>
      </c>
      <c r="T161" t="s">
        <v>4362</v>
      </c>
      <c r="U161" t="s">
        <v>4362</v>
      </c>
      <c r="V161" t="s">
        <v>4362</v>
      </c>
      <c r="W161" t="s">
        <v>4523</v>
      </c>
      <c r="X161">
        <v>3</v>
      </c>
      <c r="Y161" t="s">
        <v>6682</v>
      </c>
      <c r="Z161" t="s">
        <v>8849</v>
      </c>
      <c r="AA161">
        <v>0.8547622120740664</v>
      </c>
      <c r="AB161">
        <f>HYPERLINK("Melting_Curves/meltCurve_P08245_yciH.pdf", "Melting_Curves/meltCurve_P08245_yciH.pdf")</f>
        <v>0</v>
      </c>
    </row>
    <row r="162" spans="1:28">
      <c r="A162" t="s">
        <v>188</v>
      </c>
      <c r="B162">
        <v>0.999739202189716</v>
      </c>
      <c r="C162">
        <v>0.9816471824274871</v>
      </c>
      <c r="D162">
        <v>0.942011315469613</v>
      </c>
      <c r="E162">
        <v>0.935375690981154</v>
      </c>
      <c r="F162">
        <v>0.699036785578488</v>
      </c>
      <c r="G162">
        <v>0.289243913677132</v>
      </c>
      <c r="H162">
        <v>0.135256970342496</v>
      </c>
      <c r="I162">
        <v>0.103716817637683</v>
      </c>
      <c r="J162">
        <v>0.106347494532177</v>
      </c>
      <c r="K162">
        <v>0.0858820486262506</v>
      </c>
      <c r="L162">
        <v>1410.48972895341</v>
      </c>
      <c r="M162">
        <v>27.4458469978039</v>
      </c>
      <c r="N162">
        <v>51.7687691609804</v>
      </c>
      <c r="O162">
        <v>51.1212304536688</v>
      </c>
      <c r="P162">
        <v>-0.122061718451357</v>
      </c>
      <c r="Q162">
        <v>0.0905892342163418</v>
      </c>
      <c r="R162">
        <v>0.99759107051745</v>
      </c>
      <c r="S162" t="s">
        <v>2355</v>
      </c>
      <c r="T162" t="s">
        <v>4362</v>
      </c>
      <c r="U162" t="s">
        <v>4362</v>
      </c>
      <c r="V162" t="s">
        <v>4362</v>
      </c>
      <c r="W162" t="s">
        <v>4524</v>
      </c>
      <c r="X162">
        <v>14</v>
      </c>
      <c r="Y162" t="s">
        <v>6683</v>
      </c>
      <c r="Z162" t="s">
        <v>8850</v>
      </c>
      <c r="AA162">
        <v>0.5336116302105781</v>
      </c>
      <c r="AB162">
        <f>HYPERLINK("Melting_Curves/meltCurve_P08312_pheS.pdf", "Melting_Curves/meltCurve_P08312_pheS.pdf")</f>
        <v>0</v>
      </c>
    </row>
    <row r="163" spans="1:28">
      <c r="A163" t="s">
        <v>189</v>
      </c>
      <c r="B163">
        <v>0.999739202189716</v>
      </c>
      <c r="C163">
        <v>0.9953622393995381</v>
      </c>
      <c r="D163">
        <v>1.24313985589431</v>
      </c>
      <c r="E163">
        <v>1.04079834675294</v>
      </c>
      <c r="F163">
        <v>1.1718414911873</v>
      </c>
      <c r="G163">
        <v>0.916303000842408</v>
      </c>
      <c r="H163">
        <v>0.710612094805517</v>
      </c>
      <c r="I163">
        <v>0.626394688681006</v>
      </c>
      <c r="J163">
        <v>0.506405295984479</v>
      </c>
      <c r="K163">
        <v>0.405152223100732</v>
      </c>
      <c r="L163">
        <v>1330.32361928354</v>
      </c>
      <c r="M163">
        <v>22.7568101633334</v>
      </c>
      <c r="N163">
        <v>63.3336487224669</v>
      </c>
      <c r="O163">
        <v>58.0124634916223</v>
      </c>
      <c r="P163">
        <v>-0.0575409523565302</v>
      </c>
      <c r="Q163">
        <v>0.413269730451069</v>
      </c>
      <c r="R163">
        <v>0.857908467939665</v>
      </c>
      <c r="S163" t="s">
        <v>2356</v>
      </c>
      <c r="T163" t="s">
        <v>4362</v>
      </c>
      <c r="U163" t="s">
        <v>4362</v>
      </c>
      <c r="V163" t="s">
        <v>4362</v>
      </c>
      <c r="W163" t="s">
        <v>4525</v>
      </c>
      <c r="X163">
        <v>30</v>
      </c>
      <c r="Y163" t="s">
        <v>6684</v>
      </c>
      <c r="Z163" t="s">
        <v>8851</v>
      </c>
      <c r="AA163">
        <v>0.8364525238658332</v>
      </c>
      <c r="AB163">
        <f>HYPERLINK("Melting_Curves/meltCurve_P08331_cpdB.pdf", "Melting_Curves/meltCurve_P08331_cpdB.pdf")</f>
        <v>0</v>
      </c>
    </row>
    <row r="164" spans="1:28">
      <c r="A164" t="s">
        <v>190</v>
      </c>
      <c r="B164">
        <v>0.999739202189716</v>
      </c>
      <c r="C164">
        <v>0.896405851503183</v>
      </c>
      <c r="D164">
        <v>0.945010574004451</v>
      </c>
      <c r="E164">
        <v>0.814205981701384</v>
      </c>
      <c r="F164">
        <v>0.872151837413668</v>
      </c>
      <c r="G164">
        <v>0.579287813839252</v>
      </c>
      <c r="H164">
        <v>0.617522513473848</v>
      </c>
      <c r="I164">
        <v>0.561838970514084</v>
      </c>
      <c r="J164">
        <v>0.432248175194976</v>
      </c>
      <c r="K164">
        <v>0.222696214154014</v>
      </c>
      <c r="L164">
        <v>395.991097307286</v>
      </c>
      <c r="M164">
        <v>6.59392054951914</v>
      </c>
      <c r="N164">
        <v>60.053968454678</v>
      </c>
      <c r="O164">
        <v>55.2503098484654</v>
      </c>
      <c r="P164">
        <v>-0.0299053692245985</v>
      </c>
      <c r="Q164">
        <v>0</v>
      </c>
      <c r="R164">
        <v>0.912421566452091</v>
      </c>
      <c r="S164" t="s">
        <v>2357</v>
      </c>
      <c r="T164" t="s">
        <v>4362</v>
      </c>
      <c r="U164" t="s">
        <v>4362</v>
      </c>
      <c r="V164" t="s">
        <v>4362</v>
      </c>
      <c r="W164" t="s">
        <v>4526</v>
      </c>
      <c r="X164">
        <v>2</v>
      </c>
      <c r="Y164" t="s">
        <v>6685</v>
      </c>
      <c r="Z164" t="s">
        <v>8852</v>
      </c>
      <c r="AA164">
        <v>0.7072445892318925</v>
      </c>
      <c r="AB164">
        <f>HYPERLINK("Melting_Curves/meltCurve_P08337_mutT.pdf", "Melting_Curves/meltCurve_P08337_mutT.pdf")</f>
        <v>0</v>
      </c>
    </row>
    <row r="165" spans="1:28">
      <c r="A165" t="s">
        <v>191</v>
      </c>
      <c r="B165">
        <v>0.999739202189716</v>
      </c>
      <c r="C165">
        <v>0.711432582940605</v>
      </c>
      <c r="D165">
        <v>0.869395487340007</v>
      </c>
      <c r="E165">
        <v>0.606899505766433</v>
      </c>
      <c r="F165">
        <v>0.228516433106716</v>
      </c>
      <c r="G165">
        <v>0.103149047112228</v>
      </c>
      <c r="H165">
        <v>0.0647505700256388</v>
      </c>
      <c r="I165">
        <v>0.0537939528035431</v>
      </c>
      <c r="J165">
        <v>0.034922330223507</v>
      </c>
      <c r="K165">
        <v>0.0353429037501988</v>
      </c>
      <c r="L165">
        <v>678.920655423365</v>
      </c>
      <c r="M165">
        <v>14.4346178387924</v>
      </c>
      <c r="N165">
        <v>47.0473463770445</v>
      </c>
      <c r="O165">
        <v>46.1591143417289</v>
      </c>
      <c r="P165">
        <v>-0.0780303302965346</v>
      </c>
      <c r="Q165">
        <v>0.00201361100352774</v>
      </c>
      <c r="R165">
        <v>0.951255775130902</v>
      </c>
      <c r="S165" t="s">
        <v>2358</v>
      </c>
      <c r="T165" t="s">
        <v>4362</v>
      </c>
      <c r="U165" t="s">
        <v>4362</v>
      </c>
      <c r="V165" t="s">
        <v>4362</v>
      </c>
      <c r="W165" t="s">
        <v>4527</v>
      </c>
      <c r="X165">
        <v>1</v>
      </c>
      <c r="Y165" t="s">
        <v>6686</v>
      </c>
      <c r="Z165" t="s">
        <v>8853</v>
      </c>
      <c r="AA165">
        <v>0.3598449570976291</v>
      </c>
      <c r="AB165">
        <f>HYPERLINK("Melting_Curves/meltCurve_P08368_creB.pdf", "Melting_Curves/meltCurve_P08368_creB.pdf")</f>
        <v>0</v>
      </c>
    </row>
    <row r="166" spans="1:28">
      <c r="A166" t="s">
        <v>192</v>
      </c>
      <c r="B166">
        <v>0.999739202189716</v>
      </c>
      <c r="C166">
        <v>0.9201445795865431</v>
      </c>
      <c r="D166">
        <v>0.908256482532928</v>
      </c>
      <c r="E166">
        <v>0.722668320156038</v>
      </c>
      <c r="F166">
        <v>0.513119918013518</v>
      </c>
      <c r="G166">
        <v>0.138365212640232</v>
      </c>
      <c r="H166">
        <v>0.09325812782123261</v>
      </c>
      <c r="I166">
        <v>0.0669564168716731</v>
      </c>
      <c r="J166">
        <v>0.06421020931873141</v>
      </c>
      <c r="K166">
        <v>0.0559703515734189</v>
      </c>
      <c r="L166">
        <v>854.503014400399</v>
      </c>
      <c r="M166">
        <v>17.3307289666303</v>
      </c>
      <c r="N166">
        <v>49.4760399528505</v>
      </c>
      <c r="O166">
        <v>48.6632366290103</v>
      </c>
      <c r="P166">
        <v>-0.0864594900379793</v>
      </c>
      <c r="Q166">
        <v>0.0289715594845245</v>
      </c>
      <c r="R166">
        <v>0.988810298620869</v>
      </c>
      <c r="S166" t="s">
        <v>2359</v>
      </c>
      <c r="T166" t="s">
        <v>4362</v>
      </c>
      <c r="U166" t="s">
        <v>4362</v>
      </c>
      <c r="V166" t="s">
        <v>4362</v>
      </c>
      <c r="W166" t="s">
        <v>4528</v>
      </c>
      <c r="X166">
        <v>12</v>
      </c>
      <c r="Y166" t="s">
        <v>6687</v>
      </c>
      <c r="Z166" t="s">
        <v>8854</v>
      </c>
      <c r="AA166">
        <v>0.4437033528000807</v>
      </c>
      <c r="AB166">
        <f>HYPERLINK("Melting_Curves/meltCurve_P08373_murB.pdf", "Melting_Curves/meltCurve_P08373_murB.pdf")</f>
        <v>0</v>
      </c>
    </row>
    <row r="167" spans="1:28">
      <c r="A167" t="s">
        <v>193</v>
      </c>
      <c r="B167">
        <v>0.999739202189716</v>
      </c>
      <c r="C167">
        <v>0.613950637253728</v>
      </c>
      <c r="D167">
        <v>0.49871124281627</v>
      </c>
      <c r="E167">
        <v>0.349971437091802</v>
      </c>
      <c r="F167">
        <v>0.267519704258704</v>
      </c>
      <c r="G167">
        <v>0.2034173371288</v>
      </c>
      <c r="H167">
        <v>0.177602857149196</v>
      </c>
      <c r="I167">
        <v>0.14547725884559</v>
      </c>
      <c r="J167">
        <v>0.12058320784037</v>
      </c>
      <c r="K167">
        <v>0.128291380893791</v>
      </c>
      <c r="L167">
        <v>548.994368091011</v>
      </c>
      <c r="M167">
        <v>13.0731663516176</v>
      </c>
      <c r="N167">
        <v>43.0870071297011</v>
      </c>
      <c r="O167">
        <v>41.0478270870666</v>
      </c>
      <c r="P167">
        <v>-0.0683966621173281</v>
      </c>
      <c r="Q167">
        <v>0.141126305676556</v>
      </c>
      <c r="R167">
        <v>0.959417150370278</v>
      </c>
      <c r="S167" t="s">
        <v>2360</v>
      </c>
      <c r="T167" t="s">
        <v>4362</v>
      </c>
      <c r="U167" t="s">
        <v>4362</v>
      </c>
      <c r="V167" t="s">
        <v>4362</v>
      </c>
      <c r="W167" t="s">
        <v>4529</v>
      </c>
      <c r="X167">
        <v>6</v>
      </c>
      <c r="Y167" t="s">
        <v>6688</v>
      </c>
      <c r="Z167" t="s">
        <v>8855</v>
      </c>
      <c r="AA167">
        <v>0.3170691270007329</v>
      </c>
      <c r="AB167">
        <f>HYPERLINK("Melting_Curves/meltCurve_P08390_usg.pdf", "Melting_Curves/meltCurve_P08390_usg.pdf")</f>
        <v>0</v>
      </c>
    </row>
    <row r="168" spans="1:28">
      <c r="A168" t="s">
        <v>194</v>
      </c>
      <c r="B168">
        <v>0.999739202189716</v>
      </c>
      <c r="C168">
        <v>1.42259061120239</v>
      </c>
      <c r="D168">
        <v>0.9545672301661901</v>
      </c>
      <c r="E168">
        <v>1.10777258141249</v>
      </c>
      <c r="F168">
        <v>0.786301085507897</v>
      </c>
      <c r="G168">
        <v>0.685287159624274</v>
      </c>
      <c r="H168">
        <v>0.450600442437363</v>
      </c>
      <c r="I168">
        <v>0.312647912345079</v>
      </c>
      <c r="J168">
        <v>0.245513034732616</v>
      </c>
      <c r="K168">
        <v>0.179743244117368</v>
      </c>
      <c r="L168">
        <v>945.9581581495599</v>
      </c>
      <c r="M168">
        <v>17.1395932434836</v>
      </c>
      <c r="N168">
        <v>56.4907709438288</v>
      </c>
      <c r="O168">
        <v>54.4565189855602</v>
      </c>
      <c r="P168">
        <v>-0.0658707667422828</v>
      </c>
      <c r="Q168">
        <v>0.162902418499429</v>
      </c>
      <c r="R168">
        <v>0.863876214627578</v>
      </c>
      <c r="S168" t="s">
        <v>2361</v>
      </c>
      <c r="T168" t="s">
        <v>4362</v>
      </c>
      <c r="U168" t="s">
        <v>4362</v>
      </c>
      <c r="V168" t="s">
        <v>4362</v>
      </c>
      <c r="W168" t="s">
        <v>4530</v>
      </c>
      <c r="X168">
        <v>11</v>
      </c>
      <c r="Y168" t="s">
        <v>6689</v>
      </c>
      <c r="Z168" t="s">
        <v>8856</v>
      </c>
      <c r="AA168">
        <v>0.681185398298963</v>
      </c>
      <c r="AB168">
        <f>HYPERLINK("Melting_Curves/meltCurve_P08395_sppA.pdf", "Melting_Curves/meltCurve_P08395_sppA.pdf")</f>
        <v>0</v>
      </c>
    </row>
    <row r="169" spans="1:28">
      <c r="A169" t="s">
        <v>195</v>
      </c>
      <c r="B169">
        <v>0.999739202189716</v>
      </c>
      <c r="C169">
        <v>0.85301011115161</v>
      </c>
      <c r="D169">
        <v>1.15178359698589</v>
      </c>
      <c r="E169">
        <v>0.721470254016006</v>
      </c>
      <c r="F169">
        <v>0.418842225431454</v>
      </c>
      <c r="G169">
        <v>0.08747433433440201</v>
      </c>
      <c r="H169">
        <v>0.0604197336458835</v>
      </c>
      <c r="I169">
        <v>0.0464227261110517</v>
      </c>
      <c r="J169">
        <v>0.0463745761843145</v>
      </c>
      <c r="K169">
        <v>0.0403549516243917</v>
      </c>
      <c r="L169">
        <v>1244.00830399883</v>
      </c>
      <c r="M169">
        <v>25.4058785457887</v>
      </c>
      <c r="N169">
        <v>49.1120890080745</v>
      </c>
      <c r="O169">
        <v>48.6650262804174</v>
      </c>
      <c r="P169">
        <v>-0.125746110415439</v>
      </c>
      <c r="Q169">
        <v>0.0365441890609208</v>
      </c>
      <c r="R169">
        <v>0.965950375549651</v>
      </c>
      <c r="S169" t="s">
        <v>2362</v>
      </c>
      <c r="T169" t="s">
        <v>4362</v>
      </c>
      <c r="U169" t="s">
        <v>4362</v>
      </c>
      <c r="V169" t="s">
        <v>4362</v>
      </c>
      <c r="W169" t="s">
        <v>4531</v>
      </c>
      <c r="X169">
        <v>17</v>
      </c>
      <c r="Y169" t="s">
        <v>6690</v>
      </c>
      <c r="Z169" t="s">
        <v>8857</v>
      </c>
      <c r="AA169">
        <v>0.4288790082801229</v>
      </c>
      <c r="AB169">
        <f>HYPERLINK("Melting_Curves/meltCurve_P08506_dacC.pdf", "Melting_Curves/meltCurve_P08506_dacC.pdf")</f>
        <v>0</v>
      </c>
    </row>
    <row r="170" spans="1:28">
      <c r="A170" t="s">
        <v>196</v>
      </c>
      <c r="B170">
        <v>0.999739202189716</v>
      </c>
      <c r="C170">
        <v>1.22989177930003</v>
      </c>
      <c r="D170">
        <v>0.866706738777909</v>
      </c>
      <c r="E170">
        <v>1.17274682128183</v>
      </c>
      <c r="F170">
        <v>0.911664930406706</v>
      </c>
      <c r="G170">
        <v>0.779978767334358</v>
      </c>
      <c r="H170">
        <v>0.789873253224869</v>
      </c>
      <c r="I170">
        <v>0.766942965268027</v>
      </c>
      <c r="J170">
        <v>0.821846500272559</v>
      </c>
      <c r="K170">
        <v>0.63473611404171</v>
      </c>
      <c r="L170">
        <v>5523.60974084602</v>
      </c>
      <c r="M170">
        <v>109.479043000441</v>
      </c>
      <c r="O170">
        <v>50.4367531605973</v>
      </c>
      <c r="P170">
        <v>-0.130992645549671</v>
      </c>
      <c r="Q170">
        <v>0.758607924459804</v>
      </c>
      <c r="R170">
        <v>0.614973932247674</v>
      </c>
      <c r="S170" t="s">
        <v>2363</v>
      </c>
      <c r="T170" t="s">
        <v>4362</v>
      </c>
      <c r="U170" t="s">
        <v>4362</v>
      </c>
      <c r="V170" t="s">
        <v>4362</v>
      </c>
      <c r="W170" t="s">
        <v>4532</v>
      </c>
      <c r="X170">
        <v>1</v>
      </c>
      <c r="Y170" t="s">
        <v>6691</v>
      </c>
      <c r="Z170" t="s">
        <v>8858</v>
      </c>
      <c r="AA170">
        <v>0.8669724116885326</v>
      </c>
      <c r="AB170">
        <f>HYPERLINK("Melting_Curves/meltCurve_P08550_cvpA.pdf", "Melting_Curves/meltCurve_P08550_cvpA.pdf")</f>
        <v>0</v>
      </c>
    </row>
    <row r="171" spans="1:28">
      <c r="A171" t="s">
        <v>197</v>
      </c>
      <c r="B171">
        <v>0.999739202189716</v>
      </c>
      <c r="C171">
        <v>0.980348926576017</v>
      </c>
      <c r="D171">
        <v>0.876036682063122</v>
      </c>
      <c r="E171">
        <v>0.7137869708462879</v>
      </c>
      <c r="F171">
        <v>0.435305792150455</v>
      </c>
      <c r="G171">
        <v>0.310270127974156</v>
      </c>
      <c r="H171">
        <v>0.237523524171765</v>
      </c>
      <c r="I171">
        <v>0.185219133534845</v>
      </c>
      <c r="J171">
        <v>0.151302264674902</v>
      </c>
      <c r="K171">
        <v>0.135073130366278</v>
      </c>
      <c r="L171">
        <v>715.976587813016</v>
      </c>
      <c r="M171">
        <v>14.755496178946</v>
      </c>
      <c r="N171">
        <v>49.5915744120627</v>
      </c>
      <c r="O171">
        <v>47.6576443308946</v>
      </c>
      <c r="P171">
        <v>-0.06686754469746919</v>
      </c>
      <c r="Q171">
        <v>0.13621207180011</v>
      </c>
      <c r="R171">
        <v>0.997808791188289</v>
      </c>
      <c r="S171" t="s">
        <v>2364</v>
      </c>
      <c r="T171" t="s">
        <v>4362</v>
      </c>
      <c r="U171" t="s">
        <v>4362</v>
      </c>
      <c r="V171" t="s">
        <v>4362</v>
      </c>
      <c r="W171" t="s">
        <v>4533</v>
      </c>
      <c r="X171">
        <v>12</v>
      </c>
      <c r="Y171" t="s">
        <v>6692</v>
      </c>
      <c r="Z171" t="s">
        <v>8859</v>
      </c>
      <c r="AA171">
        <v>0.4872907754684744</v>
      </c>
      <c r="AB171">
        <f>HYPERLINK("Melting_Curves/meltCurve_P08622_dnaJ.pdf", "Melting_Curves/meltCurve_P08622_dnaJ.pdf")</f>
        <v>0</v>
      </c>
    </row>
    <row r="172" spans="1:28">
      <c r="A172" t="s">
        <v>198</v>
      </c>
      <c r="B172">
        <v>0.999739202189716</v>
      </c>
      <c r="C172">
        <v>1.02426184138884</v>
      </c>
      <c r="D172">
        <v>0.869268376840017</v>
      </c>
      <c r="E172">
        <v>0.74958906443613</v>
      </c>
      <c r="F172">
        <v>0.480304987287867</v>
      </c>
      <c r="G172">
        <v>0.272439784393161</v>
      </c>
      <c r="H172">
        <v>0.233419022587553</v>
      </c>
      <c r="I172">
        <v>0.194895215733274</v>
      </c>
      <c r="J172">
        <v>0.145289958311556</v>
      </c>
      <c r="K172">
        <v>0.108002946269132</v>
      </c>
      <c r="L172">
        <v>759.458485403392</v>
      </c>
      <c r="M172">
        <v>15.4980352904416</v>
      </c>
      <c r="N172">
        <v>49.931783335727</v>
      </c>
      <c r="O172">
        <v>48.2094013845581</v>
      </c>
      <c r="P172">
        <v>-0.0703156628796843</v>
      </c>
      <c r="Q172">
        <v>0.125160148229918</v>
      </c>
      <c r="R172">
        <v>0.9935552652787299</v>
      </c>
      <c r="S172" t="s">
        <v>2365</v>
      </c>
      <c r="T172" t="s">
        <v>4362</v>
      </c>
      <c r="U172" t="s">
        <v>4362</v>
      </c>
      <c r="V172" t="s">
        <v>4362</v>
      </c>
      <c r="W172" t="s">
        <v>4534</v>
      </c>
      <c r="X172">
        <v>4</v>
      </c>
      <c r="Y172" t="s">
        <v>6693</v>
      </c>
      <c r="Z172" t="s">
        <v>8860</v>
      </c>
      <c r="AA172">
        <v>0.493067600210583</v>
      </c>
      <c r="AB172">
        <f>HYPERLINK("Melting_Curves/meltCurve_P08660_lysC.pdf", "Melting_Curves/meltCurve_P08660_lysC.pdf")</f>
        <v>0</v>
      </c>
    </row>
    <row r="173" spans="1:28">
      <c r="A173" t="s">
        <v>199</v>
      </c>
      <c r="B173">
        <v>0.999739202189716</v>
      </c>
      <c r="C173">
        <v>1.10081176216241</v>
      </c>
      <c r="D173">
        <v>1.00918115448889</v>
      </c>
      <c r="E173">
        <v>0.790380770355018</v>
      </c>
      <c r="F173">
        <v>0.466210872795013</v>
      </c>
      <c r="G173">
        <v>0.303126571295531</v>
      </c>
      <c r="H173">
        <v>0.225418951334769</v>
      </c>
      <c r="I173">
        <v>0.135335254954961</v>
      </c>
      <c r="J173">
        <v>0.0985352088556712</v>
      </c>
      <c r="K173">
        <v>0.07186370590443079</v>
      </c>
      <c r="L173">
        <v>930.500112432237</v>
      </c>
      <c r="M173">
        <v>18.7363179651993</v>
      </c>
      <c r="N173">
        <v>50.2896736365766</v>
      </c>
      <c r="O173">
        <v>49.1075557809287</v>
      </c>
      <c r="P173">
        <v>-0.0854558123121954</v>
      </c>
      <c r="Q173">
        <v>0.104125199003602</v>
      </c>
      <c r="R173">
        <v>0.985353449510816</v>
      </c>
      <c r="S173" t="s">
        <v>2366</v>
      </c>
      <c r="T173" t="s">
        <v>4362</v>
      </c>
      <c r="U173" t="s">
        <v>4362</v>
      </c>
      <c r="V173" t="s">
        <v>4362</v>
      </c>
      <c r="W173" t="s">
        <v>4535</v>
      </c>
      <c r="X173">
        <v>24</v>
      </c>
      <c r="Y173" t="s">
        <v>6694</v>
      </c>
      <c r="Z173" t="s">
        <v>8861</v>
      </c>
      <c r="AA173">
        <v>0.4955035052310183</v>
      </c>
      <c r="AB173">
        <f>HYPERLINK("Melting_Curves/meltCurve_P08839_ptsI.pdf", "Melting_Curves/meltCurve_P08839_ptsI.pdf")</f>
        <v>0</v>
      </c>
    </row>
    <row r="174" spans="1:28">
      <c r="A174" t="s">
        <v>200</v>
      </c>
      <c r="B174">
        <v>0.999739202189716</v>
      </c>
      <c r="C174">
        <v>1.36552433680879</v>
      </c>
      <c r="D174">
        <v>0.651839587973808</v>
      </c>
      <c r="E174">
        <v>0.202479816248061</v>
      </c>
      <c r="F174">
        <v>0.138951920758297</v>
      </c>
      <c r="G174">
        <v>0.0977900696975484</v>
      </c>
      <c r="H174">
        <v>0.070884070319951</v>
      </c>
      <c r="I174">
        <v>0.057843200511037</v>
      </c>
      <c r="J174">
        <v>0.0528176797290806</v>
      </c>
      <c r="K174">
        <v>0.049433258848426</v>
      </c>
      <c r="L174">
        <v>10770.1359950983</v>
      </c>
      <c r="M174">
        <v>250</v>
      </c>
      <c r="N174">
        <v>43.1172005099807</v>
      </c>
      <c r="O174">
        <v>43.0777890915274</v>
      </c>
      <c r="P174">
        <v>-1.31195391455936</v>
      </c>
      <c r="Q174">
        <v>0.0957428581301735</v>
      </c>
      <c r="R174">
        <v>0.924032506962325</v>
      </c>
      <c r="S174" t="s">
        <v>2367</v>
      </c>
      <c r="T174" t="s">
        <v>4362</v>
      </c>
      <c r="U174" t="s">
        <v>4362</v>
      </c>
      <c r="V174" t="s">
        <v>4362</v>
      </c>
      <c r="W174" t="s">
        <v>4536</v>
      </c>
      <c r="X174">
        <v>31</v>
      </c>
      <c r="Y174" t="s">
        <v>6695</v>
      </c>
      <c r="Z174" t="s">
        <v>8862</v>
      </c>
      <c r="AA174">
        <v>0.2790904024675523</v>
      </c>
      <c r="AB174">
        <f>HYPERLINK("Melting_Curves/meltCurve_P08956_hsdR.pdf", "Melting_Curves/meltCurve_P08956_hsdR.pdf")</f>
        <v>0</v>
      </c>
    </row>
    <row r="175" spans="1:28">
      <c r="A175" t="s">
        <v>201</v>
      </c>
      <c r="B175">
        <v>0.999739202189716</v>
      </c>
      <c r="C175">
        <v>1.07488031703039</v>
      </c>
      <c r="D175">
        <v>0.629092763911665</v>
      </c>
      <c r="E175">
        <v>0.291520917675317</v>
      </c>
      <c r="F175">
        <v>0.169448032343583</v>
      </c>
      <c r="G175">
        <v>0.123067689032577</v>
      </c>
      <c r="H175">
        <v>0.100215963191428</v>
      </c>
      <c r="I175">
        <v>0.0787302470452811</v>
      </c>
      <c r="J175">
        <v>0.082456078847527</v>
      </c>
      <c r="K175">
        <v>0.0817271949901327</v>
      </c>
      <c r="L175">
        <v>1202.61835236727</v>
      </c>
      <c r="M175">
        <v>27.3500557310123</v>
      </c>
      <c r="N175">
        <v>44.3402567561288</v>
      </c>
      <c r="O175">
        <v>43.7382713347264</v>
      </c>
      <c r="P175">
        <v>-0.140421118990501</v>
      </c>
      <c r="Q175">
        <v>0.101761337821485</v>
      </c>
      <c r="R175">
        <v>0.9832269794502529</v>
      </c>
      <c r="S175" t="s">
        <v>2368</v>
      </c>
      <c r="T175" t="s">
        <v>4362</v>
      </c>
      <c r="U175" t="s">
        <v>4362</v>
      </c>
      <c r="V175" t="s">
        <v>4362</v>
      </c>
      <c r="W175" t="s">
        <v>4537</v>
      </c>
      <c r="X175">
        <v>10</v>
      </c>
      <c r="Y175" t="s">
        <v>6696</v>
      </c>
      <c r="Z175" t="s">
        <v>8863</v>
      </c>
      <c r="AA175">
        <v>0.3165689677810779</v>
      </c>
      <c r="AB175">
        <f>HYPERLINK("Melting_Curves/meltCurve_P08957_hsdM.pdf", "Melting_Curves/meltCurve_P08957_hsdM.pdf")</f>
        <v>0</v>
      </c>
    </row>
    <row r="176" spans="1:28">
      <c r="A176" t="s">
        <v>202</v>
      </c>
      <c r="B176">
        <v>0.999739202189716</v>
      </c>
      <c r="C176">
        <v>0.770416250913012</v>
      </c>
      <c r="D176">
        <v>0.7937567114654061</v>
      </c>
      <c r="E176">
        <v>0.4238035144263</v>
      </c>
      <c r="F176">
        <v>0.317646114306807</v>
      </c>
      <c r="G176">
        <v>0.209727088937457</v>
      </c>
      <c r="H176">
        <v>0.160289276523395</v>
      </c>
      <c r="I176">
        <v>0.128351826808745</v>
      </c>
      <c r="J176">
        <v>0.10257943902069</v>
      </c>
      <c r="K176">
        <v>0.0967436215747406</v>
      </c>
      <c r="L176">
        <v>564.15852616966</v>
      </c>
      <c r="M176">
        <v>12.385197315776</v>
      </c>
      <c r="N176">
        <v>46.2504315129349</v>
      </c>
      <c r="O176">
        <v>44.4123786213272</v>
      </c>
      <c r="P176">
        <v>-0.0637769423681568</v>
      </c>
      <c r="Q176">
        <v>0.0853979367484826</v>
      </c>
      <c r="R176">
        <v>0.977197924535911</v>
      </c>
      <c r="S176" t="s">
        <v>2369</v>
      </c>
      <c r="T176" t="s">
        <v>4362</v>
      </c>
      <c r="U176" t="s">
        <v>4362</v>
      </c>
      <c r="V176" t="s">
        <v>4362</v>
      </c>
      <c r="W176" t="s">
        <v>4538</v>
      </c>
      <c r="X176">
        <v>15</v>
      </c>
      <c r="Y176" t="s">
        <v>6697</v>
      </c>
      <c r="Z176" t="s">
        <v>8864</v>
      </c>
      <c r="AA176">
        <v>0.3766242742482726</v>
      </c>
      <c r="AB176">
        <f>HYPERLINK("Melting_Curves/meltCurve_P08997_aceB.pdf", "Melting_Curves/meltCurve_P08997_aceB.pdf")</f>
        <v>0</v>
      </c>
    </row>
    <row r="177" spans="1:28">
      <c r="A177" t="s">
        <v>203</v>
      </c>
      <c r="B177">
        <v>0.999739202189716</v>
      </c>
      <c r="C177">
        <v>0.976412081479113</v>
      </c>
      <c r="D177">
        <v>0.968966358462362</v>
      </c>
      <c r="E177">
        <v>0.86479188902162</v>
      </c>
      <c r="F177">
        <v>0.84199840919058</v>
      </c>
      <c r="G177">
        <v>0.693432757767207</v>
      </c>
      <c r="H177">
        <v>0.5012357946109059</v>
      </c>
      <c r="I177">
        <v>0.26809324726526</v>
      </c>
      <c r="J177">
        <v>0.192476876152381</v>
      </c>
      <c r="K177">
        <v>0.165340750175972</v>
      </c>
      <c r="L177">
        <v>675.62628915218</v>
      </c>
      <c r="M177">
        <v>11.8681297168606</v>
      </c>
      <c r="N177">
        <v>56.9277810759726</v>
      </c>
      <c r="O177">
        <v>55.3836929370512</v>
      </c>
      <c r="P177">
        <v>-0.0535857907930924</v>
      </c>
      <c r="Q177">
        <v>0</v>
      </c>
      <c r="R177">
        <v>0.991028505497268</v>
      </c>
      <c r="S177" t="s">
        <v>2370</v>
      </c>
      <c r="T177" t="s">
        <v>4362</v>
      </c>
      <c r="U177" t="s">
        <v>4362</v>
      </c>
      <c r="V177" t="s">
        <v>4362</v>
      </c>
      <c r="W177" t="s">
        <v>4539</v>
      </c>
      <c r="X177">
        <v>5</v>
      </c>
      <c r="Y177" t="s">
        <v>6698</v>
      </c>
      <c r="Z177" t="s">
        <v>8865</v>
      </c>
      <c r="AA177">
        <v>0.6690514912596843</v>
      </c>
      <c r="AB177">
        <f>HYPERLINK("Melting_Curves/meltCurve_P09029_purK.pdf", "Melting_Curves/meltCurve_P09029_purK.pdf")</f>
        <v>0</v>
      </c>
    </row>
    <row r="178" spans="1:28">
      <c r="A178" t="s">
        <v>204</v>
      </c>
      <c r="B178">
        <v>0.999739202189716</v>
      </c>
      <c r="C178">
        <v>0.771520138940855</v>
      </c>
      <c r="D178">
        <v>0.321355340992583</v>
      </c>
      <c r="E178">
        <v>0.125355208235785</v>
      </c>
      <c r="F178">
        <v>0.0652808929441118</v>
      </c>
      <c r="G178">
        <v>0.044054893412925</v>
      </c>
      <c r="H178">
        <v>0.037646156137239</v>
      </c>
      <c r="I178">
        <v>0.0285906573543393</v>
      </c>
      <c r="J178">
        <v>0.0256413418711254</v>
      </c>
      <c r="K178">
        <v>0.0256177330901083</v>
      </c>
      <c r="L178">
        <v>1100.73249178384</v>
      </c>
      <c r="M178">
        <v>26.4131955362362</v>
      </c>
      <c r="N178">
        <v>41.8018816926244</v>
      </c>
      <c r="O178">
        <v>41.4369068766461</v>
      </c>
      <c r="P178">
        <v>-0.153154268297781</v>
      </c>
      <c r="Q178">
        <v>0.038939379303298</v>
      </c>
      <c r="R178">
        <v>0.997412630077369</v>
      </c>
      <c r="S178" t="s">
        <v>2371</v>
      </c>
      <c r="T178" t="s">
        <v>4362</v>
      </c>
      <c r="U178" t="s">
        <v>4362</v>
      </c>
      <c r="V178" t="s">
        <v>4362</v>
      </c>
      <c r="W178" t="s">
        <v>4540</v>
      </c>
      <c r="X178">
        <v>3</v>
      </c>
      <c r="Y178" t="s">
        <v>6699</v>
      </c>
      <c r="Z178" t="s">
        <v>8866</v>
      </c>
      <c r="AA178">
        <v>0.1963850666584306</v>
      </c>
      <c r="AB178">
        <f>HYPERLINK("Melting_Curves/meltCurve_P09030_xthA.pdf", "Melting_Curves/meltCurve_P09030_xthA.pdf")</f>
        <v>0</v>
      </c>
    </row>
    <row r="179" spans="1:28">
      <c r="A179" t="s">
        <v>205</v>
      </c>
      <c r="B179">
        <v>0.999739202189716</v>
      </c>
      <c r="C179">
        <v>0.820793480576625</v>
      </c>
      <c r="D179">
        <v>0.837316248907237</v>
      </c>
      <c r="E179">
        <v>0.397894491766543</v>
      </c>
      <c r="F179">
        <v>0.273515983474211</v>
      </c>
      <c r="G179">
        <v>0.209001869857369</v>
      </c>
      <c r="H179">
        <v>0.187771914474616</v>
      </c>
      <c r="I179">
        <v>0.171540697353031</v>
      </c>
      <c r="J179">
        <v>0.191707906181298</v>
      </c>
      <c r="K179">
        <v>0.121149259685714</v>
      </c>
      <c r="L179">
        <v>844.28970324539</v>
      </c>
      <c r="M179">
        <v>18.7724807589896</v>
      </c>
      <c r="N179">
        <v>45.9312162177726</v>
      </c>
      <c r="O179">
        <v>44.4738230954384</v>
      </c>
      <c r="P179">
        <v>-0.0884587191855105</v>
      </c>
      <c r="Q179">
        <v>0.161765989616293</v>
      </c>
      <c r="R179">
        <v>0.975032220801814</v>
      </c>
      <c r="S179" t="s">
        <v>2372</v>
      </c>
      <c r="T179" t="s">
        <v>4362</v>
      </c>
      <c r="U179" t="s">
        <v>4362</v>
      </c>
      <c r="V179" t="s">
        <v>4362</v>
      </c>
      <c r="W179" t="s">
        <v>4541</v>
      </c>
      <c r="X179">
        <v>5</v>
      </c>
      <c r="Y179" t="s">
        <v>6700</v>
      </c>
      <c r="Z179" t="s">
        <v>8867</v>
      </c>
      <c r="AA179">
        <v>0.3971804337410474</v>
      </c>
      <c r="AB179">
        <f>HYPERLINK("Melting_Curves/meltCurve_P09053_avtA.pdf", "Melting_Curves/meltCurve_P09053_avtA.pdf")</f>
        <v>0</v>
      </c>
    </row>
    <row r="180" spans="1:28">
      <c r="A180" t="s">
        <v>206</v>
      </c>
      <c r="B180">
        <v>0.999739202189716</v>
      </c>
      <c r="C180">
        <v>0.710450182715986</v>
      </c>
      <c r="D180">
        <v>0.614947461199489</v>
      </c>
      <c r="E180">
        <v>0.529237703028491</v>
      </c>
      <c r="F180">
        <v>0.350895695113954</v>
      </c>
      <c r="G180">
        <v>0.292840691617222</v>
      </c>
      <c r="H180">
        <v>0.221335658349074</v>
      </c>
      <c r="I180">
        <v>0.17073659426799</v>
      </c>
      <c r="J180">
        <v>0.153046782896516</v>
      </c>
      <c r="K180">
        <v>0.112308060050585</v>
      </c>
      <c r="L180">
        <v>390.452755593855</v>
      </c>
      <c r="M180">
        <v>8.585694137538839</v>
      </c>
      <c r="N180">
        <v>46.4106882383213</v>
      </c>
      <c r="O180">
        <v>43.211628825938</v>
      </c>
      <c r="P180">
        <v>-0.0457727708732262</v>
      </c>
      <c r="Q180">
        <v>0.07930505517896549</v>
      </c>
      <c r="R180">
        <v>0.970472289927917</v>
      </c>
      <c r="S180" t="s">
        <v>2373</v>
      </c>
      <c r="T180" t="s">
        <v>4362</v>
      </c>
      <c r="U180" t="s">
        <v>4362</v>
      </c>
      <c r="V180" t="s">
        <v>4362</v>
      </c>
      <c r="W180" t="s">
        <v>4542</v>
      </c>
      <c r="X180">
        <v>2</v>
      </c>
      <c r="Y180" t="s">
        <v>6701</v>
      </c>
      <c r="Z180" t="s">
        <v>8868</v>
      </c>
      <c r="AA180">
        <v>0.3946777195945105</v>
      </c>
      <c r="AB180">
        <f>HYPERLINK("Melting_Curves/meltCurve_P09099_xylB.pdf", "Melting_Curves/meltCurve_P09099_xylB.pdf")</f>
        <v>0</v>
      </c>
    </row>
    <row r="181" spans="1:28">
      <c r="A181" t="s">
        <v>207</v>
      </c>
      <c r="B181">
        <v>0.999739202189716</v>
      </c>
      <c r="C181">
        <v>0.5992075066852131</v>
      </c>
      <c r="D181">
        <v>0.402214934113107</v>
      </c>
      <c r="E181">
        <v>0.324459771938897</v>
      </c>
      <c r="F181">
        <v>0.225034583683383</v>
      </c>
      <c r="G181">
        <v>0.179680398441283</v>
      </c>
      <c r="H181">
        <v>0.133739238492076</v>
      </c>
      <c r="I181">
        <v>0.10201655191233</v>
      </c>
      <c r="J181">
        <v>0.0996455444574193</v>
      </c>
      <c r="K181">
        <v>0.0917800806217218</v>
      </c>
      <c r="L181">
        <v>623.628610863957</v>
      </c>
      <c r="M181">
        <v>15.0755197661943</v>
      </c>
      <c r="N181">
        <v>42.1569218138215</v>
      </c>
      <c r="O181">
        <v>40.6595699409932</v>
      </c>
      <c r="P181">
        <v>-0.08129615459701089</v>
      </c>
      <c r="Q181">
        <v>0.123044705226256</v>
      </c>
      <c r="R181">
        <v>0.955544964645718</v>
      </c>
      <c r="S181" t="s">
        <v>2374</v>
      </c>
      <c r="T181" t="s">
        <v>4362</v>
      </c>
      <c r="U181" t="s">
        <v>4362</v>
      </c>
      <c r="V181" t="s">
        <v>4362</v>
      </c>
      <c r="W181" t="s">
        <v>4543</v>
      </c>
      <c r="X181">
        <v>2</v>
      </c>
      <c r="Y181" t="s">
        <v>6702</v>
      </c>
      <c r="Z181" t="s">
        <v>8869</v>
      </c>
      <c r="AA181">
        <v>0.2775419479680081</v>
      </c>
      <c r="AB181">
        <f>HYPERLINK("Melting_Curves/meltCurve_P09126_hemD.pdf", "Melting_Curves/meltCurve_P09126_hemD.pdf")</f>
        <v>0</v>
      </c>
    </row>
    <row r="182" spans="1:28">
      <c r="A182" t="s">
        <v>208</v>
      </c>
      <c r="B182">
        <v>0.999739202189716</v>
      </c>
      <c r="C182">
        <v>0.948204474948019</v>
      </c>
      <c r="D182">
        <v>1.10678872544916</v>
      </c>
      <c r="E182">
        <v>0.986847378675117</v>
      </c>
      <c r="F182">
        <v>1.05967538074946</v>
      </c>
      <c r="G182">
        <v>0.879200419994692</v>
      </c>
      <c r="H182">
        <v>0.816662291936042</v>
      </c>
      <c r="I182">
        <v>0.741573774334441</v>
      </c>
      <c r="J182">
        <v>0.737028433829965</v>
      </c>
      <c r="K182">
        <v>0.617140649224564</v>
      </c>
      <c r="L182">
        <v>1015.58911347734</v>
      </c>
      <c r="M182">
        <v>17.5551465457071</v>
      </c>
      <c r="O182">
        <v>57.1163400091853</v>
      </c>
      <c r="P182">
        <v>-0.0285123563936321</v>
      </c>
      <c r="Q182">
        <v>0.628956045223246</v>
      </c>
      <c r="R182">
        <v>0.877263812307165</v>
      </c>
      <c r="S182" t="s">
        <v>2375</v>
      </c>
      <c r="T182" t="s">
        <v>4362</v>
      </c>
      <c r="U182" t="s">
        <v>4362</v>
      </c>
      <c r="V182" t="s">
        <v>4362</v>
      </c>
      <c r="W182" t="s">
        <v>4544</v>
      </c>
      <c r="X182">
        <v>13</v>
      </c>
      <c r="Y182" t="s">
        <v>6703</v>
      </c>
      <c r="Z182" t="s">
        <v>8870</v>
      </c>
      <c r="AA182">
        <v>0.8892885984250627</v>
      </c>
      <c r="AB182">
        <f>HYPERLINK("Melting_Curves/meltCurve_P09127_hemX.pdf", "Melting_Curves/meltCurve_P09127_hemX.pdf")</f>
        <v>0</v>
      </c>
    </row>
    <row r="183" spans="1:28">
      <c r="A183" t="s">
        <v>209</v>
      </c>
      <c r="B183">
        <v>0.999739202189716</v>
      </c>
      <c r="C183">
        <v>0.876361385866358</v>
      </c>
      <c r="D183">
        <v>0.966113375523597</v>
      </c>
      <c r="E183">
        <v>0.5465106196326061</v>
      </c>
      <c r="F183">
        <v>0.209741840382686</v>
      </c>
      <c r="G183">
        <v>0.134297778088084</v>
      </c>
      <c r="H183">
        <v>0.108798089362456</v>
      </c>
      <c r="I183">
        <v>0.0822268268948846</v>
      </c>
      <c r="J183">
        <v>0.0740620148773567</v>
      </c>
      <c r="K183">
        <v>0.0560971599250819</v>
      </c>
      <c r="L183">
        <v>1256.31942724718</v>
      </c>
      <c r="M183">
        <v>26.8755932611213</v>
      </c>
      <c r="N183">
        <v>47.0654095160503</v>
      </c>
      <c r="O183">
        <v>46.4892292798649</v>
      </c>
      <c r="P183">
        <v>-0.132470670225078</v>
      </c>
      <c r="Q183">
        <v>0.08342157668776989</v>
      </c>
      <c r="R183">
        <v>0.987988324785313</v>
      </c>
      <c r="S183" t="s">
        <v>2376</v>
      </c>
      <c r="T183" t="s">
        <v>4362</v>
      </c>
      <c r="U183" t="s">
        <v>4362</v>
      </c>
      <c r="V183" t="s">
        <v>4362</v>
      </c>
      <c r="W183" t="s">
        <v>4545</v>
      </c>
      <c r="X183">
        <v>8</v>
      </c>
      <c r="Y183" t="s">
        <v>6704</v>
      </c>
      <c r="Z183" t="s">
        <v>8871</v>
      </c>
      <c r="AA183">
        <v>0.3878047485349224</v>
      </c>
      <c r="AB183">
        <f>HYPERLINK("Melting_Curves/meltCurve_P09147_galE.pdf", "Melting_Curves/meltCurve_P09147_galE.pdf")</f>
        <v>0</v>
      </c>
    </row>
    <row r="184" spans="1:28">
      <c r="A184" t="s">
        <v>210</v>
      </c>
      <c r="B184">
        <v>0.999739202189716</v>
      </c>
      <c r="C184">
        <v>1.19263034694702</v>
      </c>
      <c r="D184">
        <v>0.82023338757665</v>
      </c>
      <c r="E184">
        <v>1.07334106089577</v>
      </c>
      <c r="F184">
        <v>0.8483180809145739</v>
      </c>
      <c r="G184">
        <v>0.818019562012482</v>
      </c>
      <c r="H184">
        <v>0.729909987789486</v>
      </c>
      <c r="I184">
        <v>0.5454824889500079</v>
      </c>
      <c r="J184">
        <v>0.258547761495379</v>
      </c>
      <c r="K184">
        <v>0.202563019465269</v>
      </c>
      <c r="L184">
        <v>837.7562654170169</v>
      </c>
      <c r="M184">
        <v>13.8049464822155</v>
      </c>
      <c r="N184">
        <v>60.6852237029342</v>
      </c>
      <c r="O184">
        <v>59.454340739489</v>
      </c>
      <c r="P184">
        <v>-0.0580566369555638</v>
      </c>
      <c r="Q184">
        <v>0</v>
      </c>
      <c r="R184">
        <v>0.898950346232082</v>
      </c>
      <c r="S184" t="s">
        <v>2377</v>
      </c>
      <c r="T184" t="s">
        <v>4362</v>
      </c>
      <c r="U184" t="s">
        <v>4362</v>
      </c>
      <c r="V184" t="s">
        <v>4362</v>
      </c>
      <c r="W184" t="s">
        <v>4546</v>
      </c>
      <c r="X184">
        <v>12</v>
      </c>
      <c r="Y184" t="s">
        <v>6705</v>
      </c>
      <c r="Z184" t="s">
        <v>8872</v>
      </c>
      <c r="AA184">
        <v>0.774367193704102</v>
      </c>
      <c r="AB184">
        <f>HYPERLINK("Melting_Curves/meltCurve_P09148_galT.pdf", "Melting_Curves/meltCurve_P09148_galT.pdf")</f>
        <v>0</v>
      </c>
    </row>
    <row r="185" spans="1:28">
      <c r="A185" t="s">
        <v>211</v>
      </c>
      <c r="B185">
        <v>0.999739202189716</v>
      </c>
      <c r="C185">
        <v>1.51617382297744</v>
      </c>
      <c r="D185">
        <v>0.904969720710075</v>
      </c>
      <c r="E185">
        <v>0.994966436533478</v>
      </c>
      <c r="F185">
        <v>0.633783939435033</v>
      </c>
      <c r="G185">
        <v>0.526474646776071</v>
      </c>
      <c r="H185">
        <v>0.408118088355011</v>
      </c>
      <c r="I185">
        <v>0.33189213981396</v>
      </c>
      <c r="J185">
        <v>0.291866511699429</v>
      </c>
      <c r="K185">
        <v>0.242737103478426</v>
      </c>
      <c r="L185">
        <v>979.675519675567</v>
      </c>
      <c r="M185">
        <v>19.068201914015</v>
      </c>
      <c r="N185">
        <v>53.7058981390098</v>
      </c>
      <c r="O185">
        <v>50.8223820382495</v>
      </c>
      <c r="P185">
        <v>-0.0674194280991238</v>
      </c>
      <c r="Q185">
        <v>0.281257614882094</v>
      </c>
      <c r="R185">
        <v>0.804957433842912</v>
      </c>
      <c r="S185" t="s">
        <v>2378</v>
      </c>
      <c r="T185" t="s">
        <v>4362</v>
      </c>
      <c r="U185" t="s">
        <v>4362</v>
      </c>
      <c r="V185" t="s">
        <v>4362</v>
      </c>
      <c r="W185" t="s">
        <v>4547</v>
      </c>
      <c r="X185">
        <v>29</v>
      </c>
      <c r="Y185" t="s">
        <v>6706</v>
      </c>
      <c r="Z185" t="s">
        <v>8873</v>
      </c>
      <c r="AA185">
        <v>0.6358301432360591</v>
      </c>
      <c r="AB185">
        <f>HYPERLINK("Melting_Curves/meltCurve_P09152_narG.pdf", "Melting_Curves/meltCurve_P09152_narG.pdf")</f>
        <v>0</v>
      </c>
    </row>
    <row r="186" spans="1:28">
      <c r="A186" t="s">
        <v>212</v>
      </c>
      <c r="B186">
        <v>0.999739202189716</v>
      </c>
      <c r="C186">
        <v>0.97176944341436</v>
      </c>
      <c r="D186">
        <v>0.736679367545252</v>
      </c>
      <c r="E186">
        <v>0.768773214598834</v>
      </c>
      <c r="F186">
        <v>0.677395724476646</v>
      </c>
      <c r="G186">
        <v>0.511085669317917</v>
      </c>
      <c r="H186">
        <v>0.358986250405334</v>
      </c>
      <c r="I186">
        <v>0.202694496281793</v>
      </c>
      <c r="J186">
        <v>0.183919027839196</v>
      </c>
      <c r="K186">
        <v>0.186577185096695</v>
      </c>
      <c r="L186">
        <v>425.67584946462</v>
      </c>
      <c r="M186">
        <v>7.99752445347289</v>
      </c>
      <c r="N186">
        <v>53.2259515960951</v>
      </c>
      <c r="O186">
        <v>50.2072819534583</v>
      </c>
      <c r="P186">
        <v>-0.0398676224708366</v>
      </c>
      <c r="Q186">
        <v>0</v>
      </c>
      <c r="R186">
        <v>0.967216732878737</v>
      </c>
      <c r="S186" t="s">
        <v>2379</v>
      </c>
      <c r="T186" t="s">
        <v>4362</v>
      </c>
      <c r="U186" t="s">
        <v>4362</v>
      </c>
      <c r="V186" t="s">
        <v>4362</v>
      </c>
      <c r="W186" t="s">
        <v>4548</v>
      </c>
      <c r="X186">
        <v>3</v>
      </c>
      <c r="Y186" t="s">
        <v>6707</v>
      </c>
      <c r="Z186" t="s">
        <v>8874</v>
      </c>
      <c r="AA186">
        <v>0.5611126862111322</v>
      </c>
      <c r="AB186">
        <f>HYPERLINK("Melting_Curves/meltCurve_P09158_speE.pdf", "Melting_Curves/meltCurve_P09158_speE.pdf")</f>
        <v>0</v>
      </c>
    </row>
    <row r="187" spans="1:28">
      <c r="A187" t="s">
        <v>213</v>
      </c>
      <c r="B187">
        <v>0.999739202189716</v>
      </c>
      <c r="C187">
        <v>1.03713648126953</v>
      </c>
      <c r="D187">
        <v>0.793872545052674</v>
      </c>
      <c r="E187">
        <v>0.877331241266407</v>
      </c>
      <c r="F187">
        <v>1.05536724726658</v>
      </c>
      <c r="G187">
        <v>0.898527690382677</v>
      </c>
      <c r="H187">
        <v>1.12275834449939</v>
      </c>
      <c r="I187">
        <v>1.03193957443765</v>
      </c>
      <c r="J187">
        <v>1.25914871182485</v>
      </c>
      <c r="K187">
        <v>0.545905058195307</v>
      </c>
      <c r="L187">
        <v>15000</v>
      </c>
      <c r="M187">
        <v>223.696318229757</v>
      </c>
      <c r="Q187">
        <v>0</v>
      </c>
      <c r="R187">
        <v>0.552290527934394</v>
      </c>
      <c r="S187" t="s">
        <v>2380</v>
      </c>
      <c r="T187" t="s">
        <v>4362</v>
      </c>
      <c r="U187" t="s">
        <v>4362</v>
      </c>
      <c r="V187" t="s">
        <v>4362</v>
      </c>
      <c r="W187" t="s">
        <v>4549</v>
      </c>
      <c r="X187">
        <v>5</v>
      </c>
      <c r="Y187" t="s">
        <v>6708</v>
      </c>
      <c r="Z187" t="s">
        <v>8875</v>
      </c>
      <c r="AA187">
        <v>0.9940240807644903</v>
      </c>
      <c r="AB187">
        <f>HYPERLINK("Melting_Curves/meltCurve_P09169_ompT.pdf", "Melting_Curves/meltCurve_P09169_ompT.pdf")</f>
        <v>0</v>
      </c>
    </row>
    <row r="188" spans="1:28">
      <c r="A188" t="s">
        <v>214</v>
      </c>
      <c r="B188">
        <v>0.999739202189716</v>
      </c>
      <c r="C188">
        <v>1.35393411580387</v>
      </c>
      <c r="D188">
        <v>0.86566916003783</v>
      </c>
      <c r="E188">
        <v>0.705869537297015</v>
      </c>
      <c r="F188">
        <v>0.345761312465058</v>
      </c>
      <c r="G188">
        <v>0.200631488551839</v>
      </c>
      <c r="H188">
        <v>0.103530030202354</v>
      </c>
      <c r="I188">
        <v>0.0760065740114426</v>
      </c>
      <c r="J188">
        <v>0.06353274808470789</v>
      </c>
      <c r="K188">
        <v>0.0581964231343481</v>
      </c>
      <c r="L188">
        <v>1035.12798572812</v>
      </c>
      <c r="M188">
        <v>21.4288380451331</v>
      </c>
      <c r="N188">
        <v>48.6452054316874</v>
      </c>
      <c r="O188">
        <v>47.890618198944</v>
      </c>
      <c r="P188">
        <v>-0.104090117804084</v>
      </c>
      <c r="Q188">
        <v>0.0695128864481019</v>
      </c>
      <c r="R188">
        <v>0.929696493967556</v>
      </c>
      <c r="S188" t="s">
        <v>2381</v>
      </c>
      <c r="T188" t="s">
        <v>4362</v>
      </c>
      <c r="U188" t="s">
        <v>4362</v>
      </c>
      <c r="V188" t="s">
        <v>4362</v>
      </c>
      <c r="W188" t="s">
        <v>4550</v>
      </c>
      <c r="X188">
        <v>11</v>
      </c>
      <c r="Y188" t="s">
        <v>6709</v>
      </c>
      <c r="Z188" t="s">
        <v>8876</v>
      </c>
      <c r="AA188">
        <v>0.4309043961404006</v>
      </c>
      <c r="AB188">
        <f>HYPERLINK("Melting_Curves/meltCurve_P09323_nagE.pdf", "Melting_Curves/meltCurve_P09323_nagE.pdf")</f>
        <v>0</v>
      </c>
    </row>
    <row r="189" spans="1:28">
      <c r="A189" t="s">
        <v>215</v>
      </c>
      <c r="B189">
        <v>0.999739202189716</v>
      </c>
      <c r="C189">
        <v>1.00474099878985</v>
      </c>
      <c r="D189">
        <v>0.928292206028858</v>
      </c>
      <c r="E189">
        <v>1.02569297516471</v>
      </c>
      <c r="F189">
        <v>1.00620386410028</v>
      </c>
      <c r="G189">
        <v>0.82549839110734</v>
      </c>
      <c r="H189">
        <v>0.602249171915953</v>
      </c>
      <c r="I189">
        <v>0.556549685216514</v>
      </c>
      <c r="J189">
        <v>0.389708308720352</v>
      </c>
      <c r="K189">
        <v>0.433947997865389</v>
      </c>
      <c r="L189">
        <v>1331.70984476797</v>
      </c>
      <c r="M189">
        <v>23.7898461648004</v>
      </c>
      <c r="N189">
        <v>60.5161576326116</v>
      </c>
      <c r="O189">
        <v>55.5870395896038</v>
      </c>
      <c r="P189">
        <v>-0.0624835398779768</v>
      </c>
      <c r="Q189">
        <v>0.416016706612842</v>
      </c>
      <c r="R189">
        <v>0.972748349707798</v>
      </c>
      <c r="S189" t="s">
        <v>2382</v>
      </c>
      <c r="T189" t="s">
        <v>4362</v>
      </c>
      <c r="U189" t="s">
        <v>4362</v>
      </c>
      <c r="V189" t="s">
        <v>4362</v>
      </c>
      <c r="W189" t="s">
        <v>4551</v>
      </c>
      <c r="X189">
        <v>12</v>
      </c>
      <c r="Y189" t="s">
        <v>6710</v>
      </c>
      <c r="Z189" t="s">
        <v>8877</v>
      </c>
      <c r="AA189">
        <v>0.7904906143917912</v>
      </c>
      <c r="AB189">
        <f>HYPERLINK("Melting_Curves/meltCurve_P09372_grpE.pdf", "Melting_Curves/meltCurve_P09372_grpE.pdf")</f>
        <v>0</v>
      </c>
    </row>
    <row r="190" spans="1:28">
      <c r="A190" t="s">
        <v>216</v>
      </c>
      <c r="B190">
        <v>0.999739202189716</v>
      </c>
      <c r="C190">
        <v>1.32548757088781</v>
      </c>
      <c r="D190">
        <v>1.07717309777255</v>
      </c>
      <c r="E190">
        <v>1.2978044612529</v>
      </c>
      <c r="F190">
        <v>0.737260270233709</v>
      </c>
      <c r="G190">
        <v>0.340693988508773</v>
      </c>
      <c r="H190">
        <v>0.124447816128102</v>
      </c>
      <c r="I190">
        <v>0.0791076548508062</v>
      </c>
      <c r="J190">
        <v>0.07185054581178239</v>
      </c>
      <c r="K190">
        <v>0.0617544030072825</v>
      </c>
      <c r="L190">
        <v>1787.77957877627</v>
      </c>
      <c r="M190">
        <v>34.3007838394708</v>
      </c>
      <c r="N190">
        <v>52.3719421655335</v>
      </c>
      <c r="O190">
        <v>51.9444531930295</v>
      </c>
      <c r="P190">
        <v>-0.15255900774715</v>
      </c>
      <c r="Q190">
        <v>0.0758735826450237</v>
      </c>
      <c r="R190">
        <v>0.91538599025555</v>
      </c>
      <c r="S190" t="s">
        <v>2383</v>
      </c>
      <c r="T190" t="s">
        <v>4362</v>
      </c>
      <c r="U190" t="s">
        <v>4362</v>
      </c>
      <c r="V190" t="s">
        <v>4362</v>
      </c>
      <c r="W190" t="s">
        <v>4552</v>
      </c>
      <c r="X190">
        <v>37</v>
      </c>
      <c r="Y190" t="s">
        <v>6711</v>
      </c>
      <c r="Z190" t="s">
        <v>8878</v>
      </c>
      <c r="AA190">
        <v>0.5461560842436648</v>
      </c>
      <c r="AB190">
        <f>HYPERLINK("Melting_Curves/meltCurve_P09373_pflB.pdf", "Melting_Curves/meltCurve_P09373_pflB.pdf")</f>
        <v>0</v>
      </c>
    </row>
    <row r="191" spans="1:28">
      <c r="A191" t="s">
        <v>217</v>
      </c>
      <c r="B191">
        <v>0.999739202189716</v>
      </c>
      <c r="C191">
        <v>0.959981653854219</v>
      </c>
      <c r="D191">
        <v>0.596375703729129</v>
      </c>
      <c r="E191">
        <v>0.734260014764361</v>
      </c>
      <c r="F191">
        <v>0.63652892409396</v>
      </c>
      <c r="G191">
        <v>0.422829851948945</v>
      </c>
      <c r="H191">
        <v>0.413230515496393</v>
      </c>
      <c r="I191">
        <v>0.361389765187799</v>
      </c>
      <c r="J191">
        <v>0.3391353114437</v>
      </c>
      <c r="K191">
        <v>0.239294669206184</v>
      </c>
      <c r="L191">
        <v>341.196883836425</v>
      </c>
      <c r="M191">
        <v>6.8116829257833</v>
      </c>
      <c r="N191">
        <v>52.8903610726411</v>
      </c>
      <c r="O191">
        <v>46.3048689795043</v>
      </c>
      <c r="P191">
        <v>-0.0312725616158337</v>
      </c>
      <c r="Q191">
        <v>0.151392290652968</v>
      </c>
      <c r="R191">
        <v>0.897802492362122</v>
      </c>
      <c r="S191" t="s">
        <v>2384</v>
      </c>
      <c r="T191" t="s">
        <v>4362</v>
      </c>
      <c r="U191" t="s">
        <v>4362</v>
      </c>
      <c r="V191" t="s">
        <v>4362</v>
      </c>
      <c r="W191" t="s">
        <v>4553</v>
      </c>
      <c r="X191">
        <v>1</v>
      </c>
      <c r="Y191" t="s">
        <v>6712</v>
      </c>
      <c r="Z191" t="s">
        <v>8879</v>
      </c>
      <c r="AA191">
        <v>0.5592947193666404</v>
      </c>
      <c r="AB191">
        <f>HYPERLINK("Melting_Curves/meltCurve_P09391_glpG.pdf", "Melting_Curves/meltCurve_P09391_glpG.pdf")</f>
        <v>0</v>
      </c>
    </row>
    <row r="192" spans="1:28">
      <c r="A192" t="s">
        <v>218</v>
      </c>
      <c r="B192">
        <v>0.999739202189716</v>
      </c>
      <c r="C192">
        <v>0.9703311946472229</v>
      </c>
      <c r="D192">
        <v>1.08849532519434</v>
      </c>
      <c r="E192">
        <v>0.969017161935818</v>
      </c>
      <c r="F192">
        <v>1.06742524391548</v>
      </c>
      <c r="G192">
        <v>0.954835810321261</v>
      </c>
      <c r="H192">
        <v>0.871350057642634</v>
      </c>
      <c r="I192">
        <v>0.814038727042747</v>
      </c>
      <c r="J192">
        <v>0.771218231574323</v>
      </c>
      <c r="K192">
        <v>0.638585797135158</v>
      </c>
      <c r="L192">
        <v>812.658632187844</v>
      </c>
      <c r="M192">
        <v>12.4983845966235</v>
      </c>
      <c r="O192">
        <v>63.4238629156434</v>
      </c>
      <c r="P192">
        <v>-0.0287127209250408</v>
      </c>
      <c r="Q192">
        <v>0.417301723963897</v>
      </c>
      <c r="R192">
        <v>0.89154135304142</v>
      </c>
      <c r="S192" t="s">
        <v>2385</v>
      </c>
      <c r="T192" t="s">
        <v>4362</v>
      </c>
      <c r="U192" t="s">
        <v>4362</v>
      </c>
      <c r="V192" t="s">
        <v>4362</v>
      </c>
      <c r="W192" t="s">
        <v>4554</v>
      </c>
      <c r="X192">
        <v>10</v>
      </c>
      <c r="Y192" t="s">
        <v>6713</v>
      </c>
      <c r="Z192" t="s">
        <v>8880</v>
      </c>
      <c r="AA192">
        <v>0.919608436261208</v>
      </c>
      <c r="AB192">
        <f>HYPERLINK("Melting_Curves/meltCurve_P09394_glpQ.pdf", "Melting_Curves/meltCurve_P09394_glpQ.pdf")</f>
        <v>0</v>
      </c>
    </row>
    <row r="193" spans="1:28">
      <c r="A193" t="s">
        <v>219</v>
      </c>
      <c r="B193">
        <v>0.999739202189716</v>
      </c>
      <c r="C193">
        <v>0.944165188210863</v>
      </c>
      <c r="D193">
        <v>0.798489652203332</v>
      </c>
      <c r="E193">
        <v>0.788029541149495</v>
      </c>
      <c r="F193">
        <v>0.318653627167</v>
      </c>
      <c r="G193">
        <v>0.126840126635948</v>
      </c>
      <c r="H193">
        <v>0.0851981920123169</v>
      </c>
      <c r="I193">
        <v>0.0586488814687495</v>
      </c>
      <c r="J193">
        <v>0.0511122822705721</v>
      </c>
      <c r="K193">
        <v>0.0431091162801583</v>
      </c>
      <c r="L193">
        <v>951.039785494181</v>
      </c>
      <c r="M193">
        <v>19.638675755209</v>
      </c>
      <c r="N193">
        <v>48.602593816629</v>
      </c>
      <c r="O193">
        <v>47.933138963839</v>
      </c>
      <c r="P193">
        <v>-0.0989208252295498</v>
      </c>
      <c r="Q193">
        <v>0.034268927317323</v>
      </c>
      <c r="R193">
        <v>0.980809327270089</v>
      </c>
      <c r="S193" t="s">
        <v>2386</v>
      </c>
      <c r="T193" t="s">
        <v>4362</v>
      </c>
      <c r="U193" t="s">
        <v>4362</v>
      </c>
      <c r="V193" t="s">
        <v>4362</v>
      </c>
      <c r="W193" t="s">
        <v>4555</v>
      </c>
      <c r="X193">
        <v>10</v>
      </c>
      <c r="Y193" t="s">
        <v>6714</v>
      </c>
      <c r="Z193" t="s">
        <v>8881</v>
      </c>
      <c r="AA193">
        <v>0.4152559149527484</v>
      </c>
      <c r="AB193">
        <f>HYPERLINK("Melting_Curves/meltCurve_P09424_mtlD.pdf", "Melting_Curves/meltCurve_P09424_mtlD.pdf")</f>
        <v>0</v>
      </c>
    </row>
    <row r="194" spans="1:28">
      <c r="A194" t="s">
        <v>220</v>
      </c>
      <c r="B194">
        <v>0.999739202189716</v>
      </c>
      <c r="C194">
        <v>0.822209258098893</v>
      </c>
      <c r="D194">
        <v>0.432739433044951</v>
      </c>
      <c r="E194">
        <v>0.353294214723009</v>
      </c>
      <c r="F194">
        <v>0.26919498586806</v>
      </c>
      <c r="G194">
        <v>0.204507368455973</v>
      </c>
      <c r="H194">
        <v>0.166773259410257</v>
      </c>
      <c r="I194">
        <v>0.124447316011554</v>
      </c>
      <c r="J194">
        <v>0.10055854058189</v>
      </c>
      <c r="K194">
        <v>0.0917670019965348</v>
      </c>
      <c r="L194">
        <v>694.3836695321399</v>
      </c>
      <c r="M194">
        <v>16.3126871639925</v>
      </c>
      <c r="N194">
        <v>43.4293959084455</v>
      </c>
      <c r="O194">
        <v>41.942803262386</v>
      </c>
      <c r="P194">
        <v>-0.08378713365586229</v>
      </c>
      <c r="Q194">
        <v>0.138336199938016</v>
      </c>
      <c r="R194">
        <v>0.967682339476168</v>
      </c>
      <c r="S194" t="s">
        <v>2387</v>
      </c>
      <c r="T194" t="s">
        <v>4362</v>
      </c>
      <c r="U194" t="s">
        <v>4362</v>
      </c>
      <c r="V194" t="s">
        <v>4362</v>
      </c>
      <c r="W194" t="s">
        <v>4556</v>
      </c>
      <c r="X194">
        <v>25</v>
      </c>
      <c r="Y194" t="s">
        <v>6715</v>
      </c>
      <c r="Z194" t="s">
        <v>8882</v>
      </c>
      <c r="AA194">
        <v>0.317859404194779</v>
      </c>
      <c r="AB194">
        <f>HYPERLINK("Melting_Curves/meltCurve_P09546_putA.pdf", "Melting_Curves/meltCurve_P09546_putA.pdf")</f>
        <v>0</v>
      </c>
    </row>
    <row r="195" spans="1:28">
      <c r="A195" t="s">
        <v>221</v>
      </c>
      <c r="B195">
        <v>0.999739202189716</v>
      </c>
      <c r="C195">
        <v>1.02965275540609</v>
      </c>
      <c r="D195">
        <v>0.902847294100859</v>
      </c>
      <c r="E195">
        <v>0.89248413716632</v>
      </c>
      <c r="F195">
        <v>0.7926760099149019</v>
      </c>
      <c r="G195">
        <v>0.5444872472308619</v>
      </c>
      <c r="H195">
        <v>0.338473235468151</v>
      </c>
      <c r="I195">
        <v>0.23723586137137</v>
      </c>
      <c r="J195">
        <v>0.199472026685099</v>
      </c>
      <c r="K195">
        <v>0.17157055571909</v>
      </c>
      <c r="L195">
        <v>790.896619696928</v>
      </c>
      <c r="M195">
        <v>14.7828601501249</v>
      </c>
      <c r="N195">
        <v>54.5315830617763</v>
      </c>
      <c r="O195">
        <v>52.5504970278118</v>
      </c>
      <c r="P195">
        <v>-0.0617619139283493</v>
      </c>
      <c r="Q195">
        <v>0.121882289340333</v>
      </c>
      <c r="R195">
        <v>0.992083047709382</v>
      </c>
      <c r="S195" t="s">
        <v>2388</v>
      </c>
      <c r="T195" t="s">
        <v>4362</v>
      </c>
      <c r="U195" t="s">
        <v>4362</v>
      </c>
      <c r="V195" t="s">
        <v>4362</v>
      </c>
      <c r="W195" t="s">
        <v>4557</v>
      </c>
      <c r="X195">
        <v>5</v>
      </c>
      <c r="Y195" t="s">
        <v>6716</v>
      </c>
      <c r="Z195" t="s">
        <v>8883</v>
      </c>
      <c r="AA195">
        <v>0.6200479140251292</v>
      </c>
      <c r="AB195">
        <f>HYPERLINK("Melting_Curves/meltCurve_P09549_dedD.pdf", "Melting_Curves/meltCurve_P09549_dedD.pdf")</f>
        <v>0</v>
      </c>
    </row>
    <row r="196" spans="1:28">
      <c r="A196" t="s">
        <v>222</v>
      </c>
      <c r="B196">
        <v>0.999739202189716</v>
      </c>
      <c r="C196">
        <v>0.99602364917055</v>
      </c>
      <c r="D196">
        <v>0.900881685857408</v>
      </c>
      <c r="E196">
        <v>1.10695891983743</v>
      </c>
      <c r="F196">
        <v>0.957959892979131</v>
      </c>
      <c r="G196">
        <v>0.8527598752907321</v>
      </c>
      <c r="H196">
        <v>0.826776757526769</v>
      </c>
      <c r="I196">
        <v>0.733511286968385</v>
      </c>
      <c r="J196">
        <v>0.688383214694735</v>
      </c>
      <c r="K196">
        <v>0.705668809493194</v>
      </c>
      <c r="L196">
        <v>1061.63485581657</v>
      </c>
      <c r="M196">
        <v>19.1334486651642</v>
      </c>
      <c r="O196">
        <v>54.8903664290971</v>
      </c>
      <c r="P196">
        <v>-0.0273632144204927</v>
      </c>
      <c r="Q196">
        <v>0.686011935703728</v>
      </c>
      <c r="R196">
        <v>0.855891972332144</v>
      </c>
      <c r="S196" t="s">
        <v>2389</v>
      </c>
      <c r="T196" t="s">
        <v>4362</v>
      </c>
      <c r="U196" t="s">
        <v>4362</v>
      </c>
      <c r="V196" t="s">
        <v>4362</v>
      </c>
      <c r="W196" t="s">
        <v>4558</v>
      </c>
      <c r="X196">
        <v>18</v>
      </c>
      <c r="Y196" t="s">
        <v>6717</v>
      </c>
      <c r="Z196" t="s">
        <v>8884</v>
      </c>
      <c r="AA196">
        <v>0.8830434392825489</v>
      </c>
      <c r="AB196">
        <f>HYPERLINK("Melting_Curves/meltCurve_P09551_argT.pdf", "Melting_Curves/meltCurve_P09551_argT.pdf")</f>
        <v>0</v>
      </c>
    </row>
    <row r="197" spans="1:28">
      <c r="A197" t="s">
        <v>223</v>
      </c>
      <c r="B197">
        <v>0.999739202189716</v>
      </c>
      <c r="C197">
        <v>1.49291214084946</v>
      </c>
      <c r="D197">
        <v>0.842175974993031</v>
      </c>
      <c r="E197">
        <v>0.917452369152704</v>
      </c>
      <c r="F197">
        <v>0.5701517349067</v>
      </c>
      <c r="G197">
        <v>0.529490473826518</v>
      </c>
      <c r="H197">
        <v>0.2623776599292</v>
      </c>
      <c r="I197">
        <v>0.128433414958134</v>
      </c>
      <c r="J197">
        <v>0.124141830742562</v>
      </c>
      <c r="K197">
        <v>0.109611406940669</v>
      </c>
      <c r="L197">
        <v>780.706051750231</v>
      </c>
      <c r="M197">
        <v>14.9178104957874</v>
      </c>
      <c r="N197">
        <v>52.8341277508555</v>
      </c>
      <c r="O197">
        <v>51.4204075711387</v>
      </c>
      <c r="P197">
        <v>-0.06775824894790911</v>
      </c>
      <c r="Q197">
        <v>0.06586908543781569</v>
      </c>
      <c r="R197">
        <v>0.849496851612905</v>
      </c>
      <c r="S197" t="s">
        <v>2390</v>
      </c>
      <c r="T197" t="s">
        <v>4362</v>
      </c>
      <c r="U197" t="s">
        <v>4362</v>
      </c>
      <c r="V197" t="s">
        <v>4362</v>
      </c>
      <c r="W197" t="s">
        <v>4559</v>
      </c>
      <c r="X197">
        <v>16</v>
      </c>
      <c r="Y197" t="s">
        <v>6718</v>
      </c>
      <c r="Z197" t="s">
        <v>8885</v>
      </c>
      <c r="AA197">
        <v>0.5609409902741688</v>
      </c>
      <c r="AB197">
        <f>HYPERLINK("Melting_Curves/meltCurve_P09831_gltB.pdf", "Melting_Curves/meltCurve_P09831_gltB.pdf")</f>
        <v>0</v>
      </c>
    </row>
    <row r="198" spans="1:28">
      <c r="A198" t="s">
        <v>224</v>
      </c>
      <c r="B198">
        <v>0.999739202189716</v>
      </c>
      <c r="C198">
        <v>1.01382065300782</v>
      </c>
      <c r="D198">
        <v>0.57999370782534</v>
      </c>
      <c r="E198">
        <v>0.5381916601790701</v>
      </c>
      <c r="F198">
        <v>0.345803568465818</v>
      </c>
      <c r="G198">
        <v>0.209065520692212</v>
      </c>
      <c r="H198">
        <v>0.116649121071204</v>
      </c>
      <c r="I198">
        <v>0.0792858194929973</v>
      </c>
      <c r="J198">
        <v>0.0842563766872686</v>
      </c>
      <c r="K198">
        <v>0.07375742916413131</v>
      </c>
      <c r="L198">
        <v>566.727628660089</v>
      </c>
      <c r="M198">
        <v>12.2506222386717</v>
      </c>
      <c r="N198">
        <v>46.6729780122303</v>
      </c>
      <c r="O198">
        <v>45.0802730639742</v>
      </c>
      <c r="P198">
        <v>-0.06447163660901389</v>
      </c>
      <c r="Q198">
        <v>0.0512315044399148</v>
      </c>
      <c r="R198">
        <v>0.963044360381098</v>
      </c>
      <c r="S198" t="s">
        <v>2391</v>
      </c>
      <c r="T198" t="s">
        <v>4362</v>
      </c>
      <c r="U198" t="s">
        <v>4362</v>
      </c>
      <c r="V198" t="s">
        <v>4362</v>
      </c>
      <c r="W198" t="s">
        <v>4560</v>
      </c>
      <c r="X198">
        <v>7</v>
      </c>
      <c r="Y198" t="s">
        <v>6719</v>
      </c>
      <c r="Z198" t="s">
        <v>8886</v>
      </c>
      <c r="AA198">
        <v>0.3753233934738166</v>
      </c>
      <c r="AB198">
        <f>HYPERLINK("Melting_Curves/meltCurve_P09832_gltD.pdf", "Melting_Curves/meltCurve_P09832_gltD.pdf")</f>
        <v>0</v>
      </c>
    </row>
    <row r="199" spans="1:28">
      <c r="A199" t="s">
        <v>225</v>
      </c>
      <c r="B199">
        <v>0.999739202189716</v>
      </c>
      <c r="C199">
        <v>1.11720402254766</v>
      </c>
      <c r="D199">
        <v>1.20006396649358</v>
      </c>
      <c r="E199">
        <v>1.08902998293845</v>
      </c>
      <c r="F199">
        <v>0.700833737926838</v>
      </c>
      <c r="G199">
        <v>0.599757251879107</v>
      </c>
      <c r="H199">
        <v>0.366580113841711</v>
      </c>
      <c r="I199">
        <v>0.335741069237743</v>
      </c>
      <c r="J199">
        <v>0.275022720719623</v>
      </c>
      <c r="K199">
        <v>0.183116845263378</v>
      </c>
      <c r="L199">
        <v>1061.44073350041</v>
      </c>
      <c r="M199">
        <v>20.0174816532395</v>
      </c>
      <c r="N199">
        <v>54.7588807257472</v>
      </c>
      <c r="O199">
        <v>52.5049997225801</v>
      </c>
      <c r="P199">
        <v>-0.07294906103399169</v>
      </c>
      <c r="Q199">
        <v>0.234655760492188</v>
      </c>
      <c r="R199">
        <v>0.929965824329812</v>
      </c>
      <c r="S199" t="s">
        <v>2392</v>
      </c>
      <c r="T199" t="s">
        <v>4362</v>
      </c>
      <c r="U199" t="s">
        <v>4362</v>
      </c>
      <c r="V199" t="s">
        <v>4362</v>
      </c>
      <c r="W199" t="s">
        <v>4561</v>
      </c>
      <c r="X199">
        <v>3</v>
      </c>
      <c r="Y199" t="s">
        <v>6720</v>
      </c>
      <c r="Z199" t="s">
        <v>8887</v>
      </c>
      <c r="AA199">
        <v>0.6531153008578209</v>
      </c>
      <c r="AB199">
        <f>HYPERLINK("Melting_Curves/meltCurve_P09833_modC.pdf", "Melting_Curves/meltCurve_P09833_modC.pdf")</f>
        <v>0</v>
      </c>
    </row>
    <row r="200" spans="1:28">
      <c r="A200" t="s">
        <v>226</v>
      </c>
      <c r="B200">
        <v>0.999739202189716</v>
      </c>
      <c r="C200">
        <v>0.941698964722132</v>
      </c>
      <c r="D200">
        <v>0.597372267379449</v>
      </c>
      <c r="E200">
        <v>0.474940228029023</v>
      </c>
      <c r="F200">
        <v>0.303006804748271</v>
      </c>
      <c r="G200">
        <v>0.204904049527752</v>
      </c>
      <c r="H200">
        <v>0.135941694216055</v>
      </c>
      <c r="I200">
        <v>0.08121363691990061</v>
      </c>
      <c r="J200">
        <v>0.0762890952801796</v>
      </c>
      <c r="K200">
        <v>0.06332088936875351</v>
      </c>
      <c r="L200">
        <v>571.063631657216</v>
      </c>
      <c r="M200">
        <v>12.54575499117</v>
      </c>
      <c r="N200">
        <v>45.9897538437326</v>
      </c>
      <c r="O200">
        <v>44.4084104068632</v>
      </c>
      <c r="P200">
        <v>-0.0663803233456354</v>
      </c>
      <c r="Q200">
        <v>0.060320643742425</v>
      </c>
      <c r="R200">
        <v>0.9822524827903421</v>
      </c>
      <c r="S200" t="s">
        <v>2393</v>
      </c>
      <c r="T200" t="s">
        <v>4362</v>
      </c>
      <c r="U200" t="s">
        <v>4362</v>
      </c>
      <c r="V200" t="s">
        <v>4362</v>
      </c>
      <c r="W200" t="s">
        <v>4562</v>
      </c>
      <c r="X200">
        <v>15</v>
      </c>
      <c r="Y200" t="s">
        <v>6721</v>
      </c>
      <c r="Z200" t="s">
        <v>8888</v>
      </c>
      <c r="AA200">
        <v>0.357846781754757</v>
      </c>
      <c r="AB200">
        <f>HYPERLINK("Melting_Curves/meltCurve_P0A698_uvrA.pdf", "Melting_Curves/meltCurve_P0A698_uvrA.pdf")</f>
        <v>0</v>
      </c>
    </row>
    <row r="201" spans="1:28">
      <c r="A201" t="s">
        <v>227</v>
      </c>
      <c r="B201">
        <v>0.999739202189716</v>
      </c>
      <c r="C201">
        <v>0.937007975574692</v>
      </c>
      <c r="D201">
        <v>1.08973855250493</v>
      </c>
      <c r="E201">
        <v>0.824880445162255</v>
      </c>
      <c r="F201">
        <v>0.604896577348539</v>
      </c>
      <c r="G201">
        <v>0.333070828721022</v>
      </c>
      <c r="H201">
        <v>0.157491160751156</v>
      </c>
      <c r="I201">
        <v>0.0794142945987978</v>
      </c>
      <c r="J201">
        <v>0.0500094468279159</v>
      </c>
      <c r="K201">
        <v>0.0350897128045731</v>
      </c>
      <c r="L201">
        <v>913.067470343952</v>
      </c>
      <c r="M201">
        <v>17.7865296710099</v>
      </c>
      <c r="N201">
        <v>51.4799268589076</v>
      </c>
      <c r="O201">
        <v>50.6990604543635</v>
      </c>
      <c r="P201">
        <v>-0.0855657890756959</v>
      </c>
      <c r="Q201">
        <v>0.0244570689356152</v>
      </c>
      <c r="R201">
        <v>0.9883440742409479</v>
      </c>
      <c r="S201" t="s">
        <v>2394</v>
      </c>
      <c r="T201" t="s">
        <v>4362</v>
      </c>
      <c r="U201" t="s">
        <v>4362</v>
      </c>
      <c r="V201" t="s">
        <v>4362</v>
      </c>
      <c r="W201" t="s">
        <v>4563</v>
      </c>
      <c r="X201">
        <v>8</v>
      </c>
      <c r="Y201" t="s">
        <v>6722</v>
      </c>
      <c r="Z201" t="s">
        <v>8889</v>
      </c>
      <c r="AA201">
        <v>0.505888679314721</v>
      </c>
      <c r="AB201">
        <f>HYPERLINK("Melting_Curves/meltCurve_P0A6A3_ackA.pdf", "Melting_Curves/meltCurve_P0A6A3_ackA.pdf")</f>
        <v>0</v>
      </c>
    </row>
    <row r="202" spans="1:28">
      <c r="A202" t="s">
        <v>228</v>
      </c>
      <c r="B202">
        <v>0.999739202189716</v>
      </c>
      <c r="C202">
        <v>0.924536538126894</v>
      </c>
      <c r="D202">
        <v>0.489129243963682</v>
      </c>
      <c r="E202">
        <v>0.360704864740713</v>
      </c>
      <c r="F202">
        <v>0.325242498848253</v>
      </c>
      <c r="G202">
        <v>0.214833343952338</v>
      </c>
      <c r="H202">
        <v>0.168706592790104</v>
      </c>
      <c r="I202">
        <v>0.102624102764004</v>
      </c>
      <c r="J202">
        <v>0.238090774850625</v>
      </c>
      <c r="K202">
        <v>0.256724156320421</v>
      </c>
      <c r="L202">
        <v>1047.21758013668</v>
      </c>
      <c r="M202">
        <v>24.6419825711249</v>
      </c>
      <c r="N202">
        <v>43.5101979163647</v>
      </c>
      <c r="O202">
        <v>42.2204005097384</v>
      </c>
      <c r="P202">
        <v>-0.1140664610131</v>
      </c>
      <c r="Q202">
        <v>0.218267211772859</v>
      </c>
      <c r="R202">
        <v>0.957084356955793</v>
      </c>
      <c r="S202" t="s">
        <v>2395</v>
      </c>
      <c r="T202" t="s">
        <v>4362</v>
      </c>
      <c r="U202" t="s">
        <v>4362</v>
      </c>
      <c r="V202" t="s">
        <v>4362</v>
      </c>
      <c r="W202" t="s">
        <v>4564</v>
      </c>
      <c r="X202">
        <v>1</v>
      </c>
      <c r="Y202" t="s">
        <v>6723</v>
      </c>
      <c r="Z202" t="s">
        <v>8890</v>
      </c>
      <c r="AA202">
        <v>0.3684512481378732</v>
      </c>
      <c r="AB202">
        <f>HYPERLINK("Melting_Curves/meltCurve_P0A6A6_leuC.pdf", "Melting_Curves/meltCurve_P0A6A6_leuC.pdf")</f>
        <v>0</v>
      </c>
    </row>
    <row r="203" spans="1:28">
      <c r="A203" t="s">
        <v>229</v>
      </c>
      <c r="B203">
        <v>0.999739202189716</v>
      </c>
      <c r="C203">
        <v>1.10901121361287</v>
      </c>
      <c r="D203">
        <v>0.736187948059966</v>
      </c>
      <c r="E203">
        <v>0.964544915161232</v>
      </c>
      <c r="F203">
        <v>0.844607172848207</v>
      </c>
      <c r="G203">
        <v>0.673555070795228</v>
      </c>
      <c r="H203">
        <v>0.577986534930745</v>
      </c>
      <c r="I203">
        <v>0.572808380931735</v>
      </c>
      <c r="J203">
        <v>0.398312059111477</v>
      </c>
      <c r="K203">
        <v>0.503765741036475</v>
      </c>
      <c r="L203">
        <v>518.0208295361321</v>
      </c>
      <c r="M203">
        <v>9.52707890149301</v>
      </c>
      <c r="N203">
        <v>62.7465572437987</v>
      </c>
      <c r="O203">
        <v>52.1396376762294</v>
      </c>
      <c r="P203">
        <v>-0.0292632823399292</v>
      </c>
      <c r="Q203">
        <v>0.359768229079706</v>
      </c>
      <c r="R203">
        <v>0.831811748528676</v>
      </c>
      <c r="S203" t="s">
        <v>2396</v>
      </c>
      <c r="T203" t="s">
        <v>4362</v>
      </c>
      <c r="U203" t="s">
        <v>4362</v>
      </c>
      <c r="V203" t="s">
        <v>4362</v>
      </c>
      <c r="W203" t="s">
        <v>4565</v>
      </c>
      <c r="X203">
        <v>3</v>
      </c>
      <c r="Y203" t="s">
        <v>6724</v>
      </c>
      <c r="Z203" t="s">
        <v>8891</v>
      </c>
      <c r="AA203">
        <v>0.740177387284271</v>
      </c>
      <c r="AB203">
        <f>HYPERLINK("Melting_Curves/meltCurve_P0A6A8_acpP.pdf", "Melting_Curves/meltCurve_P0A6A8_acpP.pdf")</f>
        <v>0</v>
      </c>
    </row>
    <row r="204" spans="1:28">
      <c r="A204" t="s">
        <v>230</v>
      </c>
      <c r="B204">
        <v>0.999739202189716</v>
      </c>
      <c r="C204">
        <v>1.02404911994351</v>
      </c>
      <c r="D204">
        <v>0.793152093085052</v>
      </c>
      <c r="E204">
        <v>0.550779241188488</v>
      </c>
      <c r="F204">
        <v>0.275463044869433</v>
      </c>
      <c r="G204">
        <v>0.180623363092021</v>
      </c>
      <c r="H204">
        <v>0.174995232795225</v>
      </c>
      <c r="I204">
        <v>0.110754383205177</v>
      </c>
      <c r="J204">
        <v>0.140994042791783</v>
      </c>
      <c r="K204">
        <v>0.0875971682898468</v>
      </c>
      <c r="L204">
        <v>864.47387096434</v>
      </c>
      <c r="M204">
        <v>18.6572430156141</v>
      </c>
      <c r="N204">
        <v>47.0076319692792</v>
      </c>
      <c r="O204">
        <v>45.8120305957316</v>
      </c>
      <c r="P204">
        <v>-0.0898825583509512</v>
      </c>
      <c r="Q204">
        <v>0.117227310355486</v>
      </c>
      <c r="R204">
        <v>0.992901739169239</v>
      </c>
      <c r="S204" t="s">
        <v>2397</v>
      </c>
      <c r="T204" t="s">
        <v>4362</v>
      </c>
      <c r="U204" t="s">
        <v>4362</v>
      </c>
      <c r="V204" t="s">
        <v>4362</v>
      </c>
      <c r="W204" t="s">
        <v>4566</v>
      </c>
      <c r="X204">
        <v>7</v>
      </c>
      <c r="Y204" t="s">
        <v>6725</v>
      </c>
      <c r="Z204" t="s">
        <v>8892</v>
      </c>
      <c r="AA204">
        <v>0.4051573051900679</v>
      </c>
      <c r="AB204">
        <f>HYPERLINK("Melting_Curves/meltCurve_P0A6B4_alr.pdf", "Melting_Curves/meltCurve_P0A6B4_alr.pdf")</f>
        <v>0</v>
      </c>
    </row>
    <row r="205" spans="1:28">
      <c r="A205" t="s">
        <v>231</v>
      </c>
      <c r="B205">
        <v>0.999739202189716</v>
      </c>
      <c r="C205">
        <v>0.9158061303314901</v>
      </c>
      <c r="D205">
        <v>0.828592984253714</v>
      </c>
      <c r="E205">
        <v>0.569468955131033</v>
      </c>
      <c r="F205">
        <v>0.333471653333559</v>
      </c>
      <c r="G205">
        <v>0.159801464179265</v>
      </c>
      <c r="H205">
        <v>0.117443854335255</v>
      </c>
      <c r="I205">
        <v>0.088724715015911</v>
      </c>
      <c r="J205">
        <v>0.08738423311735891</v>
      </c>
      <c r="K205">
        <v>0.07161701061925189</v>
      </c>
      <c r="L205">
        <v>721.080846452551</v>
      </c>
      <c r="M205">
        <v>15.3162623889885</v>
      </c>
      <c r="N205">
        <v>47.4841562192345</v>
      </c>
      <c r="O205">
        <v>46.2987583450877</v>
      </c>
      <c r="P205">
        <v>-0.0776498040064716</v>
      </c>
      <c r="Q205">
        <v>0.061192669349231</v>
      </c>
      <c r="R205">
        <v>0.9986341761388789</v>
      </c>
      <c r="S205" t="s">
        <v>2398</v>
      </c>
      <c r="T205" t="s">
        <v>4362</v>
      </c>
      <c r="U205" t="s">
        <v>4362</v>
      </c>
      <c r="V205" t="s">
        <v>4362</v>
      </c>
      <c r="W205" t="s">
        <v>4567</v>
      </c>
      <c r="X205">
        <v>14</v>
      </c>
      <c r="Y205" t="s">
        <v>6726</v>
      </c>
      <c r="Z205" t="s">
        <v>8893</v>
      </c>
      <c r="AA205">
        <v>0.3969375136557543</v>
      </c>
      <c r="AB205">
        <f>HYPERLINK("Melting_Curves/meltCurve_P0A6B7_iscS.pdf", "Melting_Curves/meltCurve_P0A6B7_iscS.pdf")</f>
        <v>0</v>
      </c>
    </row>
    <row r="206" spans="1:28">
      <c r="A206" t="s">
        <v>232</v>
      </c>
      <c r="B206">
        <v>0.999739202189716</v>
      </c>
      <c r="C206">
        <v>0.925749582059974</v>
      </c>
      <c r="D206">
        <v>0.976297781576329</v>
      </c>
      <c r="E206">
        <v>0.928778610745522</v>
      </c>
      <c r="F206">
        <v>0.972122343561468</v>
      </c>
      <c r="G206">
        <v>0.83977925170899</v>
      </c>
      <c r="H206">
        <v>0.7508767479110811</v>
      </c>
      <c r="I206">
        <v>0.597269077179026</v>
      </c>
      <c r="J206">
        <v>0.574260870730288</v>
      </c>
      <c r="K206">
        <v>0.342804756932488</v>
      </c>
      <c r="L206">
        <v>605.190450917084</v>
      </c>
      <c r="M206">
        <v>9.445934389119991</v>
      </c>
      <c r="N206">
        <v>64.0688802781242</v>
      </c>
      <c r="O206">
        <v>61.3943504440297</v>
      </c>
      <c r="P206">
        <v>-0.038487436599348</v>
      </c>
      <c r="Q206">
        <v>0</v>
      </c>
      <c r="R206">
        <v>0.958337825083432</v>
      </c>
      <c r="S206" t="s">
        <v>2399</v>
      </c>
      <c r="T206" t="s">
        <v>4362</v>
      </c>
      <c r="U206" t="s">
        <v>4362</v>
      </c>
      <c r="V206" t="s">
        <v>4362</v>
      </c>
      <c r="W206" t="s">
        <v>4568</v>
      </c>
      <c r="X206">
        <v>5</v>
      </c>
      <c r="Y206" t="s">
        <v>6727</v>
      </c>
      <c r="Z206" t="s">
        <v>8894</v>
      </c>
      <c r="AA206">
        <v>0.8191167598333736</v>
      </c>
      <c r="AB206">
        <f>HYPERLINK("Melting_Curves/meltCurve_P0A6C1_nfo.pdf", "Melting_Curves/meltCurve_P0A6C1_nfo.pdf")</f>
        <v>0</v>
      </c>
    </row>
    <row r="207" spans="1:28">
      <c r="A207" t="s">
        <v>233</v>
      </c>
      <c r="B207">
        <v>0.999739202189716</v>
      </c>
      <c r="C207">
        <v>1.26435643072015</v>
      </c>
      <c r="D207">
        <v>0.418107645991256</v>
      </c>
      <c r="E207">
        <v>0.861992005419848</v>
      </c>
      <c r="F207">
        <v>0.625904757246291</v>
      </c>
      <c r="G207">
        <v>0.39029658707206</v>
      </c>
      <c r="H207">
        <v>0.372328281614287</v>
      </c>
      <c r="I207">
        <v>0.240153443131056</v>
      </c>
      <c r="J207">
        <v>0.19735635595411</v>
      </c>
      <c r="K207">
        <v>0.196880400161365</v>
      </c>
      <c r="L207">
        <v>435.932027719575</v>
      </c>
      <c r="M207">
        <v>8.502341029661791</v>
      </c>
      <c r="N207">
        <v>52.1973555919449</v>
      </c>
      <c r="O207">
        <v>48.6716359627886</v>
      </c>
      <c r="P207">
        <v>-0.0406532194209127</v>
      </c>
      <c r="Q207">
        <v>0.0699599932572018</v>
      </c>
      <c r="R207">
        <v>0.733697257813109</v>
      </c>
      <c r="S207" t="s">
        <v>2400</v>
      </c>
      <c r="T207" t="s">
        <v>4362</v>
      </c>
      <c r="U207" t="s">
        <v>4362</v>
      </c>
      <c r="V207" t="s">
        <v>4362</v>
      </c>
      <c r="W207" t="s">
        <v>4569</v>
      </c>
      <c r="X207">
        <v>1</v>
      </c>
      <c r="Y207" t="s">
        <v>6728</v>
      </c>
      <c r="Z207" t="s">
        <v>8895</v>
      </c>
      <c r="AA207">
        <v>0.5424664438345146</v>
      </c>
      <c r="AB207">
        <f>HYPERLINK("Melting_Curves/meltCurve_P0A6C8_argB.pdf", "Melting_Curves/meltCurve_P0A6C8_argB.pdf")</f>
        <v>0</v>
      </c>
    </row>
    <row r="208" spans="1:28">
      <c r="A208" t="s">
        <v>234</v>
      </c>
      <c r="B208">
        <v>0.999739202189716</v>
      </c>
      <c r="C208">
        <v>1.02111196258614</v>
      </c>
      <c r="D208">
        <v>1.10723476363968</v>
      </c>
      <c r="E208">
        <v>1.08567222582565</v>
      </c>
      <c r="F208">
        <v>0.727678666378203</v>
      </c>
      <c r="G208">
        <v>0.397574526667497</v>
      </c>
      <c r="H208">
        <v>0.191160206593184</v>
      </c>
      <c r="I208">
        <v>0.0962462583250325</v>
      </c>
      <c r="J208">
        <v>0.06564341651161421</v>
      </c>
      <c r="K208">
        <v>0.0583394663310589</v>
      </c>
      <c r="L208">
        <v>1346.44940200777</v>
      </c>
      <c r="M208">
        <v>25.6672870894387</v>
      </c>
      <c r="N208">
        <v>52.7645450466379</v>
      </c>
      <c r="O208">
        <v>52.1424849435024</v>
      </c>
      <c r="P208">
        <v>-0.114535267803457</v>
      </c>
      <c r="Q208">
        <v>0.06930855164217049</v>
      </c>
      <c r="R208">
        <v>0.983470427516328</v>
      </c>
      <c r="S208" t="s">
        <v>2401</v>
      </c>
      <c r="T208" t="s">
        <v>4362</v>
      </c>
      <c r="U208" t="s">
        <v>4362</v>
      </c>
      <c r="V208" t="s">
        <v>4362</v>
      </c>
      <c r="W208" t="s">
        <v>4570</v>
      </c>
      <c r="X208">
        <v>3</v>
      </c>
      <c r="Y208" t="s">
        <v>6729</v>
      </c>
      <c r="Z208" t="s">
        <v>8896</v>
      </c>
      <c r="AA208">
        <v>0.5567237409143578</v>
      </c>
      <c r="AB208">
        <f>HYPERLINK("Melting_Curves/meltCurve_P0A6D0_argR.pdf", "Melting_Curves/meltCurve_P0A6D0_argR.pdf")</f>
        <v>0</v>
      </c>
    </row>
    <row r="209" spans="1:28">
      <c r="A209" t="s">
        <v>235</v>
      </c>
      <c r="B209">
        <v>0.999739202189716</v>
      </c>
      <c r="C209">
        <v>0.9808252696668039</v>
      </c>
      <c r="D209">
        <v>0.998139758222529</v>
      </c>
      <c r="E209">
        <v>0.878875525506339</v>
      </c>
      <c r="F209">
        <v>0.861064407169827</v>
      </c>
      <c r="G209">
        <v>0.635373354396906</v>
      </c>
      <c r="H209">
        <v>0.199944854135742</v>
      </c>
      <c r="I209">
        <v>0.129531555531105</v>
      </c>
      <c r="J209">
        <v>0.112981777109401</v>
      </c>
      <c r="K209">
        <v>0.112865296165192</v>
      </c>
      <c r="L209">
        <v>1419.61059154871</v>
      </c>
      <c r="M209">
        <v>26.2196988980965</v>
      </c>
      <c r="N209">
        <v>54.5425630649047</v>
      </c>
      <c r="O209">
        <v>53.8308976134459</v>
      </c>
      <c r="P209">
        <v>-0.111127568291596</v>
      </c>
      <c r="Q209">
        <v>0.08739910549879661</v>
      </c>
      <c r="R209">
        <v>0.986476729510441</v>
      </c>
      <c r="S209" t="s">
        <v>2402</v>
      </c>
      <c r="T209" t="s">
        <v>4362</v>
      </c>
      <c r="U209" t="s">
        <v>4362</v>
      </c>
      <c r="V209" t="s">
        <v>4362</v>
      </c>
      <c r="W209" t="s">
        <v>4571</v>
      </c>
      <c r="X209">
        <v>6</v>
      </c>
      <c r="Y209" t="s">
        <v>6730</v>
      </c>
      <c r="Z209" t="s">
        <v>8897</v>
      </c>
      <c r="AA209">
        <v>0.6162392197333958</v>
      </c>
      <c r="AB209">
        <f>HYPERLINK("Melting_Curves/meltCurve_P0A6D3_aroA.pdf", "Melting_Curves/meltCurve_P0A6D3_aroA.pdf")</f>
        <v>0</v>
      </c>
    </row>
    <row r="210" spans="1:28">
      <c r="A210" t="s">
        <v>236</v>
      </c>
      <c r="B210">
        <v>0.999739202189716</v>
      </c>
      <c r="C210">
        <v>0.7659303674410179</v>
      </c>
      <c r="D210">
        <v>1.28308292658976</v>
      </c>
      <c r="E210">
        <v>0.80663681005629</v>
      </c>
      <c r="F210">
        <v>0.846851632975327</v>
      </c>
      <c r="G210">
        <v>0.515757514754821</v>
      </c>
      <c r="H210">
        <v>0.472333512672908</v>
      </c>
      <c r="I210">
        <v>0.41080296073648</v>
      </c>
      <c r="J210">
        <v>0.473746895933125</v>
      </c>
      <c r="K210">
        <v>0.389316878678386</v>
      </c>
      <c r="L210">
        <v>1213.62182362615</v>
      </c>
      <c r="M210">
        <v>23.677317469449</v>
      </c>
      <c r="N210">
        <v>55.4389856348594</v>
      </c>
      <c r="O210">
        <v>50.8953066831747</v>
      </c>
      <c r="P210">
        <v>-0.0678992778216151</v>
      </c>
      <c r="Q210">
        <v>0.416201346628565</v>
      </c>
      <c r="R210">
        <v>0.784143634978403</v>
      </c>
      <c r="S210" t="s">
        <v>2403</v>
      </c>
      <c r="T210" t="s">
        <v>4362</v>
      </c>
      <c r="U210" t="s">
        <v>4362</v>
      </c>
      <c r="V210" t="s">
        <v>4362</v>
      </c>
      <c r="W210" t="s">
        <v>4572</v>
      </c>
      <c r="X210">
        <v>5</v>
      </c>
      <c r="Y210" t="s">
        <v>6731</v>
      </c>
      <c r="Z210" t="s">
        <v>8898</v>
      </c>
      <c r="AA210">
        <v>0.69933294312429</v>
      </c>
      <c r="AB210">
        <f>HYPERLINK("Melting_Curves/meltCurve_P0A6D7_aroK.pdf", "Melting_Curves/meltCurve_P0A6D7_aroK.pdf")</f>
        <v>0</v>
      </c>
    </row>
    <row r="211" spans="1:28">
      <c r="A211" t="s">
        <v>237</v>
      </c>
      <c r="B211">
        <v>0.999739202189716</v>
      </c>
      <c r="C211">
        <v>1.11161202102638</v>
      </c>
      <c r="D211">
        <v>0.765311897348801</v>
      </c>
      <c r="E211">
        <v>0.74445059689092</v>
      </c>
      <c r="F211">
        <v>0.545804151419725</v>
      </c>
      <c r="G211">
        <v>0.23501013856219</v>
      </c>
      <c r="H211">
        <v>0.13464823681757</v>
      </c>
      <c r="I211">
        <v>0.0799931006554299</v>
      </c>
      <c r="J211">
        <v>0.0654682522133043</v>
      </c>
      <c r="K211">
        <v>0.0531870469756442</v>
      </c>
      <c r="L211">
        <v>684.756048871242</v>
      </c>
      <c r="M211">
        <v>13.7157943048195</v>
      </c>
      <c r="N211">
        <v>49.9930027487758</v>
      </c>
      <c r="O211">
        <v>48.8992519999413</v>
      </c>
      <c r="P211">
        <v>-0.06948133465611089</v>
      </c>
      <c r="Q211">
        <v>0.00928865406384926</v>
      </c>
      <c r="R211">
        <v>0.970179888652327</v>
      </c>
      <c r="S211" t="s">
        <v>2404</v>
      </c>
      <c r="T211" t="s">
        <v>4362</v>
      </c>
      <c r="U211" t="s">
        <v>4362</v>
      </c>
      <c r="V211" t="s">
        <v>4362</v>
      </c>
      <c r="W211" t="s">
        <v>4573</v>
      </c>
      <c r="X211">
        <v>3</v>
      </c>
      <c r="Y211" t="s">
        <v>6732</v>
      </c>
      <c r="Z211" t="s">
        <v>8899</v>
      </c>
      <c r="AA211">
        <v>0.4596427066343231</v>
      </c>
      <c r="AB211">
        <f>HYPERLINK("Melting_Curves/meltCurve_P0A6E1_aroL.pdf", "Melting_Curves/meltCurve_P0A6E1_aroL.pdf")</f>
        <v>0</v>
      </c>
    </row>
    <row r="212" spans="1:28">
      <c r="A212" t="s">
        <v>238</v>
      </c>
      <c r="B212">
        <v>0.999739202189716</v>
      </c>
      <c r="C212">
        <v>0.582594610318604</v>
      </c>
      <c r="D212">
        <v>0.313703106002914</v>
      </c>
      <c r="E212">
        <v>0.219927702941719</v>
      </c>
      <c r="F212">
        <v>0.157490282414155</v>
      </c>
      <c r="G212">
        <v>0.112864296911471</v>
      </c>
      <c r="H212">
        <v>0.0911663257992277</v>
      </c>
      <c r="I212">
        <v>0.0659768769216008</v>
      </c>
      <c r="J212">
        <v>0.0606542137009091</v>
      </c>
      <c r="K212">
        <v>0.0592328728778466</v>
      </c>
      <c r="L212">
        <v>864.7512696792151</v>
      </c>
      <c r="M212">
        <v>21.2538414384259</v>
      </c>
      <c r="N212">
        <v>41.0962572802723</v>
      </c>
      <c r="O212">
        <v>40.3317726146579</v>
      </c>
      <c r="P212">
        <v>-0.119176343707544</v>
      </c>
      <c r="Q212">
        <v>0.0954162173848692</v>
      </c>
      <c r="R212">
        <v>0.972230663527311</v>
      </c>
      <c r="S212" t="s">
        <v>2405</v>
      </c>
      <c r="T212" t="s">
        <v>4362</v>
      </c>
      <c r="U212" t="s">
        <v>4362</v>
      </c>
      <c r="V212" t="s">
        <v>4362</v>
      </c>
      <c r="W212" t="s">
        <v>4574</v>
      </c>
      <c r="X212">
        <v>10</v>
      </c>
      <c r="Y212" t="s">
        <v>6733</v>
      </c>
      <c r="Z212" t="s">
        <v>8900</v>
      </c>
      <c r="AA212">
        <v>0.2207675893490127</v>
      </c>
      <c r="AB212">
        <f>HYPERLINK("Melting_Curves/meltCurve_P0A6E4_argG.pdf", "Melting_Curves/meltCurve_P0A6E4_argG.pdf")</f>
        <v>0</v>
      </c>
    </row>
    <row r="213" spans="1:28">
      <c r="A213" t="s">
        <v>239</v>
      </c>
      <c r="B213">
        <v>0.999739202189716</v>
      </c>
      <c r="C213">
        <v>1.02217928175716</v>
      </c>
      <c r="D213">
        <v>0.918501191046162</v>
      </c>
      <c r="E213">
        <v>1.01081154503376</v>
      </c>
      <c r="F213">
        <v>0.656995727837235</v>
      </c>
      <c r="G213">
        <v>0.444163846349565</v>
      </c>
      <c r="H213">
        <v>0.222335750264816</v>
      </c>
      <c r="I213">
        <v>0.153703469006686</v>
      </c>
      <c r="J213">
        <v>0.122441089124497</v>
      </c>
      <c r="K213">
        <v>0.112775667577512</v>
      </c>
      <c r="L213">
        <v>1045.52572337709</v>
      </c>
      <c r="M213">
        <v>20.0757211738495</v>
      </c>
      <c r="N213">
        <v>52.7049809975761</v>
      </c>
      <c r="O213">
        <v>51.5706324014863</v>
      </c>
      <c r="P213">
        <v>-0.08700293291823311</v>
      </c>
      <c r="Q213">
        <v>0.106054066357651</v>
      </c>
      <c r="R213">
        <v>0.988002609148762</v>
      </c>
      <c r="S213" t="s">
        <v>2406</v>
      </c>
      <c r="T213" t="s">
        <v>4362</v>
      </c>
      <c r="U213" t="s">
        <v>4362</v>
      </c>
      <c r="V213" t="s">
        <v>4362</v>
      </c>
      <c r="W213" t="s">
        <v>4575</v>
      </c>
      <c r="X213">
        <v>6</v>
      </c>
      <c r="Y213" t="s">
        <v>6734</v>
      </c>
      <c r="Z213" t="s">
        <v>8901</v>
      </c>
      <c r="AA213">
        <v>0.5668438944926666</v>
      </c>
      <c r="AB213">
        <f>HYPERLINK("Melting_Curves/meltCurve_P0A6E9_bioD2.pdf", "Melting_Curves/meltCurve_P0A6E9_bioD2.pdf")</f>
        <v>0</v>
      </c>
    </row>
    <row r="214" spans="1:28">
      <c r="A214" t="s">
        <v>240</v>
      </c>
      <c r="B214">
        <v>0.999739202189716</v>
      </c>
      <c r="C214">
        <v>0.8381075717872269</v>
      </c>
      <c r="D214">
        <v>0.5305236778803309</v>
      </c>
      <c r="E214">
        <v>0.363720369911295</v>
      </c>
      <c r="F214">
        <v>0.307752885544228</v>
      </c>
      <c r="G214">
        <v>0.254843912086576</v>
      </c>
      <c r="H214">
        <v>0.169590512746713</v>
      </c>
      <c r="I214">
        <v>0.0911946899641545</v>
      </c>
      <c r="J214">
        <v>0.07533777361230989</v>
      </c>
      <c r="K214">
        <v>0.0572739086933088</v>
      </c>
      <c r="L214">
        <v>533.5830618656109</v>
      </c>
      <c r="M214">
        <v>12.1074687932644</v>
      </c>
      <c r="N214">
        <v>44.7734052078762</v>
      </c>
      <c r="O214">
        <v>42.9200144808581</v>
      </c>
      <c r="P214">
        <v>-0.0644350563531811</v>
      </c>
      <c r="Q214">
        <v>0.0865444206395081</v>
      </c>
      <c r="R214">
        <v>0.969779931072153</v>
      </c>
      <c r="S214" t="s">
        <v>2407</v>
      </c>
      <c r="T214" t="s">
        <v>4362</v>
      </c>
      <c r="U214" t="s">
        <v>4362</v>
      </c>
      <c r="V214" t="s">
        <v>4362</v>
      </c>
      <c r="W214" t="s">
        <v>4576</v>
      </c>
      <c r="X214">
        <v>4</v>
      </c>
      <c r="Y214" t="s">
        <v>6735</v>
      </c>
      <c r="Z214" t="s">
        <v>8902</v>
      </c>
      <c r="AA214">
        <v>0.336391615156941</v>
      </c>
      <c r="AB214">
        <f>HYPERLINK("Melting_Curves/meltCurve_P0A6F1_carA.pdf", "Melting_Curves/meltCurve_P0A6F1_carA.pdf")</f>
        <v>0</v>
      </c>
    </row>
    <row r="215" spans="1:28">
      <c r="A215" t="s">
        <v>241</v>
      </c>
      <c r="B215">
        <v>0.999739202189716</v>
      </c>
      <c r="C215">
        <v>0.8251371749955489</v>
      </c>
      <c r="D215">
        <v>0.385882287275933</v>
      </c>
      <c r="E215">
        <v>0.298662737651681</v>
      </c>
      <c r="F215">
        <v>0.225136302181035</v>
      </c>
      <c r="G215">
        <v>0.142890328401454</v>
      </c>
      <c r="H215">
        <v>0.117833834168234</v>
      </c>
      <c r="I215">
        <v>0.0980451147626181</v>
      </c>
      <c r="J215">
        <v>0.09871985256293089</v>
      </c>
      <c r="K215">
        <v>0.09149059481291601</v>
      </c>
      <c r="L215">
        <v>898.427460939074</v>
      </c>
      <c r="M215">
        <v>21.3675377857404</v>
      </c>
      <c r="N215">
        <v>42.6322309204578</v>
      </c>
      <c r="O215">
        <v>41.6832994201057</v>
      </c>
      <c r="P215">
        <v>-0.111852356478475</v>
      </c>
      <c r="Q215">
        <v>0.12722594738662</v>
      </c>
      <c r="R215">
        <v>0.975774938160488</v>
      </c>
      <c r="S215" t="s">
        <v>2408</v>
      </c>
      <c r="T215" t="s">
        <v>4362</v>
      </c>
      <c r="U215" t="s">
        <v>4362</v>
      </c>
      <c r="V215" t="s">
        <v>4362</v>
      </c>
      <c r="W215" t="s">
        <v>4577</v>
      </c>
      <c r="X215">
        <v>12</v>
      </c>
      <c r="Y215" t="s">
        <v>6736</v>
      </c>
      <c r="Z215" t="s">
        <v>8903</v>
      </c>
      <c r="AA215">
        <v>0.2852455913178037</v>
      </c>
      <c r="AB215">
        <f>HYPERLINK("Melting_Curves/meltCurve_P0A6F3_glpK.pdf", "Melting_Curves/meltCurve_P0A6F3_glpK.pdf")</f>
        <v>0</v>
      </c>
    </row>
    <row r="216" spans="1:28">
      <c r="A216" t="s">
        <v>242</v>
      </c>
      <c r="B216">
        <v>0.999739202189716</v>
      </c>
      <c r="C216">
        <v>2.35787335869894</v>
      </c>
      <c r="D216">
        <v>2.29095749966437</v>
      </c>
      <c r="E216">
        <v>2.66856586889029</v>
      </c>
      <c r="F216">
        <v>1.34713772673315</v>
      </c>
      <c r="G216">
        <v>1.66224118547844</v>
      </c>
      <c r="H216">
        <v>0.966001195126645</v>
      </c>
      <c r="I216">
        <v>0.986038724269202</v>
      </c>
      <c r="J216">
        <v>0.7915399676893971</v>
      </c>
      <c r="K216">
        <v>1.2430355470175</v>
      </c>
      <c r="L216">
        <v>9476.405732267291</v>
      </c>
      <c r="M216">
        <v>250</v>
      </c>
      <c r="O216">
        <v>37.9031972263388</v>
      </c>
      <c r="P216">
        <v>0.824468707869987</v>
      </c>
      <c r="Q216">
        <v>1.5</v>
      </c>
      <c r="R216">
        <v>0.0581570302093509</v>
      </c>
      <c r="S216" t="s">
        <v>2409</v>
      </c>
      <c r="T216" t="s">
        <v>4362</v>
      </c>
      <c r="U216" t="s">
        <v>4362</v>
      </c>
      <c r="V216" t="s">
        <v>4362</v>
      </c>
      <c r="W216" t="s">
        <v>4578</v>
      </c>
      <c r="X216">
        <v>32</v>
      </c>
      <c r="Y216" t="s">
        <v>6737</v>
      </c>
      <c r="Z216" t="s">
        <v>8904</v>
      </c>
      <c r="AA216">
        <v>1.484867771117914</v>
      </c>
      <c r="AB216">
        <f>HYPERLINK("Melting_Curves/meltCurve_P0A6F5_groL.pdf", "Melting_Curves/meltCurve_P0A6F5_groL.pdf")</f>
        <v>0</v>
      </c>
    </row>
    <row r="217" spans="1:28">
      <c r="A217" t="s">
        <v>243</v>
      </c>
      <c r="B217">
        <v>0.999739202189716</v>
      </c>
      <c r="C217">
        <v>1.16434900898484</v>
      </c>
      <c r="D217">
        <v>0.906714854158465</v>
      </c>
      <c r="E217">
        <v>1.10106185151425</v>
      </c>
      <c r="F217">
        <v>0.988872047510967</v>
      </c>
      <c r="G217">
        <v>0.750098086460491</v>
      </c>
      <c r="H217">
        <v>0.762911326752768</v>
      </c>
      <c r="I217">
        <v>0.668435650985747</v>
      </c>
      <c r="J217">
        <v>0.653063484099657</v>
      </c>
      <c r="K217">
        <v>0.67455265398675</v>
      </c>
      <c r="L217">
        <v>3069.59001868059</v>
      </c>
      <c r="M217">
        <v>58.338467812003</v>
      </c>
      <c r="O217">
        <v>52.5551920585134</v>
      </c>
      <c r="P217">
        <v>-0.0865874989663573</v>
      </c>
      <c r="Q217">
        <v>0.68798491255086</v>
      </c>
      <c r="R217">
        <v>0.83615714403565</v>
      </c>
      <c r="S217" t="s">
        <v>2410</v>
      </c>
      <c r="T217" t="s">
        <v>4362</v>
      </c>
      <c r="U217" t="s">
        <v>4362</v>
      </c>
      <c r="V217" t="s">
        <v>4362</v>
      </c>
      <c r="W217" t="s">
        <v>4579</v>
      </c>
      <c r="X217">
        <v>5</v>
      </c>
      <c r="Y217" t="s">
        <v>6738</v>
      </c>
      <c r="Z217" t="s">
        <v>8905</v>
      </c>
      <c r="AA217">
        <v>0.850939750423473</v>
      </c>
      <c r="AB217">
        <f>HYPERLINK("Melting_Curves/meltCurve_P0A6F9_groS.pdf", "Melting_Curves/meltCurve_P0A6F9_groS.pdf")</f>
        <v>0</v>
      </c>
    </row>
    <row r="218" spans="1:28">
      <c r="A218" t="s">
        <v>244</v>
      </c>
      <c r="B218">
        <v>0.999739202189716</v>
      </c>
      <c r="C218">
        <v>0.939379838820306</v>
      </c>
      <c r="D218">
        <v>1.0781300792685</v>
      </c>
      <c r="E218">
        <v>1.03555923613735</v>
      </c>
      <c r="F218">
        <v>1.03741379817991</v>
      </c>
      <c r="G218">
        <v>0.945447542758442</v>
      </c>
      <c r="H218">
        <v>0.935604069524166</v>
      </c>
      <c r="I218">
        <v>0.8707406035433169</v>
      </c>
      <c r="J218">
        <v>0.838707514977976</v>
      </c>
      <c r="K218">
        <v>0.6781622845184671</v>
      </c>
      <c r="L218">
        <v>833.605050505157</v>
      </c>
      <c r="M218">
        <v>11.6158103390654</v>
      </c>
      <c r="Q218">
        <v>0</v>
      </c>
      <c r="R218">
        <v>0.867597234986189</v>
      </c>
      <c r="S218" t="s">
        <v>2411</v>
      </c>
      <c r="T218" t="s">
        <v>4362</v>
      </c>
      <c r="U218" t="s">
        <v>4362</v>
      </c>
      <c r="V218" t="s">
        <v>4362</v>
      </c>
      <c r="W218" t="s">
        <v>4580</v>
      </c>
      <c r="X218">
        <v>4</v>
      </c>
      <c r="Y218" t="s">
        <v>6739</v>
      </c>
      <c r="Z218" t="s">
        <v>8906</v>
      </c>
      <c r="AA218">
        <v>0.944082287658238</v>
      </c>
      <c r="AB218">
        <f>HYPERLINK("Melting_Curves/meltCurve_P0A6G3_pncC.pdf", "Melting_Curves/meltCurve_P0A6G3_pncC.pdf")</f>
        <v>0</v>
      </c>
    </row>
    <row r="219" spans="1:28">
      <c r="A219" t="s">
        <v>245</v>
      </c>
      <c r="B219">
        <v>0.999739202189716</v>
      </c>
      <c r="C219">
        <v>0.9592700063181619</v>
      </c>
      <c r="D219">
        <v>0.762687953704711</v>
      </c>
      <c r="E219">
        <v>0.9779153415774851</v>
      </c>
      <c r="F219">
        <v>0.817222173117833</v>
      </c>
      <c r="G219">
        <v>0.337098441338131</v>
      </c>
      <c r="H219">
        <v>0.115885328387777</v>
      </c>
      <c r="I219">
        <v>0.0853665896583556</v>
      </c>
      <c r="J219">
        <v>0.08727692010126969</v>
      </c>
      <c r="K219">
        <v>0.06492164144670511</v>
      </c>
      <c r="L219">
        <v>1715.60612520927</v>
      </c>
      <c r="M219">
        <v>32.8043148122491</v>
      </c>
      <c r="N219">
        <v>52.553277420392</v>
      </c>
      <c r="O219">
        <v>52.1049826293691</v>
      </c>
      <c r="P219">
        <v>-0.145811609341716</v>
      </c>
      <c r="Q219">
        <v>0.0736002601026404</v>
      </c>
      <c r="R219">
        <v>0.962870840864293</v>
      </c>
      <c r="S219" t="s">
        <v>2412</v>
      </c>
      <c r="T219" t="s">
        <v>4362</v>
      </c>
      <c r="U219" t="s">
        <v>4362</v>
      </c>
      <c r="V219" t="s">
        <v>4362</v>
      </c>
      <c r="W219" t="s">
        <v>4581</v>
      </c>
      <c r="X219">
        <v>4</v>
      </c>
      <c r="Y219" t="s">
        <v>6740</v>
      </c>
      <c r="Z219" t="s">
        <v>8907</v>
      </c>
      <c r="AA219">
        <v>0.550944858095655</v>
      </c>
      <c r="AB219">
        <f>HYPERLINK("Melting_Curves/meltCurve_P0A6G7_clpP.pdf", "Melting_Curves/meltCurve_P0A6G7_clpP.pdf")</f>
        <v>0</v>
      </c>
    </row>
    <row r="220" spans="1:28">
      <c r="A220" t="s">
        <v>246</v>
      </c>
      <c r="B220">
        <v>0.999739202189716</v>
      </c>
      <c r="C220">
        <v>0.8519145345145041</v>
      </c>
      <c r="D220">
        <v>0.809626837068932</v>
      </c>
      <c r="E220">
        <v>0.694622234956194</v>
      </c>
      <c r="F220">
        <v>0.599001986404108</v>
      </c>
      <c r="G220">
        <v>0.480032152079695</v>
      </c>
      <c r="H220">
        <v>0.464977367330583</v>
      </c>
      <c r="I220">
        <v>0.408907466753088</v>
      </c>
      <c r="J220">
        <v>0.394899445406816</v>
      </c>
      <c r="K220">
        <v>0.337353902068351</v>
      </c>
      <c r="L220">
        <v>399.787215561876</v>
      </c>
      <c r="M220">
        <v>8.325570249824009</v>
      </c>
      <c r="N220">
        <v>54.0248542400089</v>
      </c>
      <c r="O220">
        <v>45.4882376651697</v>
      </c>
      <c r="P220">
        <v>-0.0319768474751658</v>
      </c>
      <c r="Q220">
        <v>0.301835236451814</v>
      </c>
      <c r="R220">
        <v>0.985749605041411</v>
      </c>
      <c r="S220" t="s">
        <v>2413</v>
      </c>
      <c r="T220" t="s">
        <v>4362</v>
      </c>
      <c r="U220" t="s">
        <v>4362</v>
      </c>
      <c r="V220" t="s">
        <v>4362</v>
      </c>
      <c r="W220" t="s">
        <v>4582</v>
      </c>
      <c r="X220">
        <v>14</v>
      </c>
      <c r="Y220" t="s">
        <v>6741</v>
      </c>
      <c r="Z220" t="s">
        <v>8908</v>
      </c>
      <c r="AA220">
        <v>0.5929551738777938</v>
      </c>
      <c r="AB220">
        <f>HYPERLINK("Melting_Curves/meltCurve_P0A6H1_clpX.pdf", "Melting_Curves/meltCurve_P0A6H1_clpX.pdf")</f>
        <v>0</v>
      </c>
    </row>
    <row r="221" spans="1:28">
      <c r="A221" t="s">
        <v>247</v>
      </c>
      <c r="B221">
        <v>0.999739202189716</v>
      </c>
      <c r="C221">
        <v>1.0155789054954</v>
      </c>
      <c r="D221">
        <v>0.7837837661016041</v>
      </c>
      <c r="E221">
        <v>0.36630658914842</v>
      </c>
      <c r="F221">
        <v>0.183365467071264</v>
      </c>
      <c r="G221">
        <v>0.100556700862516</v>
      </c>
      <c r="H221">
        <v>0.08889632790987791</v>
      </c>
      <c r="I221">
        <v>0.0756385453224472</v>
      </c>
      <c r="J221">
        <v>0.075627621494934</v>
      </c>
      <c r="K221">
        <v>0.0630631224241131</v>
      </c>
      <c r="L221">
        <v>1103.20289822558</v>
      </c>
      <c r="M221">
        <v>24.4127410703768</v>
      </c>
      <c r="N221">
        <v>45.5125802165606</v>
      </c>
      <c r="O221">
        <v>44.8896908507432</v>
      </c>
      <c r="P221">
        <v>-0.125149142454675</v>
      </c>
      <c r="Q221">
        <v>0.0795260095590619</v>
      </c>
      <c r="R221">
        <v>0.9972040667043111</v>
      </c>
      <c r="S221" t="s">
        <v>2414</v>
      </c>
      <c r="T221" t="s">
        <v>4362</v>
      </c>
      <c r="U221" t="s">
        <v>4362</v>
      </c>
      <c r="V221" t="s">
        <v>4362</v>
      </c>
      <c r="W221" t="s">
        <v>4583</v>
      </c>
      <c r="X221">
        <v>15</v>
      </c>
      <c r="Y221" t="s">
        <v>6742</v>
      </c>
      <c r="Z221" t="s">
        <v>8909</v>
      </c>
      <c r="AA221">
        <v>0.3387554804531412</v>
      </c>
      <c r="AB221">
        <f>HYPERLINK("Melting_Curves/meltCurve_P0A6H5_hslU.pdf", "Melting_Curves/meltCurve_P0A6H5_hslU.pdf")</f>
        <v>0</v>
      </c>
    </row>
    <row r="222" spans="1:28">
      <c r="A222" t="s">
        <v>248</v>
      </c>
      <c r="B222">
        <v>0.999739202189716</v>
      </c>
      <c r="C222">
        <v>0.876907821967341</v>
      </c>
      <c r="D222">
        <v>0.494381822202055</v>
      </c>
      <c r="E222">
        <v>0.364878336913708</v>
      </c>
      <c r="F222">
        <v>0.274779198754582</v>
      </c>
      <c r="G222">
        <v>0.202071233824276</v>
      </c>
      <c r="H222">
        <v>0.147801750604804</v>
      </c>
      <c r="I222">
        <v>0.151070110375236</v>
      </c>
      <c r="J222">
        <v>0.133121239794044</v>
      </c>
      <c r="K222">
        <v>0.132214529727034</v>
      </c>
      <c r="L222">
        <v>750.2465984308579</v>
      </c>
      <c r="M222">
        <v>17.4480328158434</v>
      </c>
      <c r="N222">
        <v>43.9309757212739</v>
      </c>
      <c r="O222">
        <v>42.4460210191161</v>
      </c>
      <c r="P222">
        <v>-0.0868733564256924</v>
      </c>
      <c r="Q222">
        <v>0.154696084328604</v>
      </c>
      <c r="R222">
        <v>0.980244615160328</v>
      </c>
      <c r="S222" t="s">
        <v>2415</v>
      </c>
      <c r="T222" t="s">
        <v>4362</v>
      </c>
      <c r="U222" t="s">
        <v>4362</v>
      </c>
      <c r="V222" t="s">
        <v>4362</v>
      </c>
      <c r="W222" t="s">
        <v>4584</v>
      </c>
      <c r="X222">
        <v>2</v>
      </c>
      <c r="Y222" t="s">
        <v>6743</v>
      </c>
      <c r="Z222" t="s">
        <v>8910</v>
      </c>
      <c r="AA222">
        <v>0.3397746138428663</v>
      </c>
      <c r="AB222">
        <f>HYPERLINK("Melting_Curves/meltCurve_P0A6H8_clsA.pdf", "Melting_Curves/meltCurve_P0A6H8_clsA.pdf")</f>
        <v>0</v>
      </c>
    </row>
    <row r="223" spans="1:28">
      <c r="A223" t="s">
        <v>249</v>
      </c>
      <c r="B223">
        <v>0.999739202189716</v>
      </c>
      <c r="C223">
        <v>0.800203161052866</v>
      </c>
      <c r="D223">
        <v>0.933237010748228</v>
      </c>
      <c r="E223">
        <v>0.6635275197800961</v>
      </c>
      <c r="F223">
        <v>0.30932620963469</v>
      </c>
      <c r="G223">
        <v>0.12777295854939</v>
      </c>
      <c r="H223">
        <v>0.0774560905312329</v>
      </c>
      <c r="I223">
        <v>0.0563579697183153</v>
      </c>
      <c r="J223">
        <v>0.0494798305505095</v>
      </c>
      <c r="K223">
        <v>0.0418841274678326</v>
      </c>
      <c r="L223">
        <v>895.593816042196</v>
      </c>
      <c r="M223">
        <v>18.6895123368372</v>
      </c>
      <c r="N223">
        <v>48.0997048845405</v>
      </c>
      <c r="O223">
        <v>47.3810885784984</v>
      </c>
      <c r="P223">
        <v>-0.0952840970551643</v>
      </c>
      <c r="Q223">
        <v>0.0337956341735673</v>
      </c>
      <c r="R223">
        <v>0.976288008975574</v>
      </c>
      <c r="S223" t="s">
        <v>2416</v>
      </c>
      <c r="T223" t="s">
        <v>4362</v>
      </c>
      <c r="U223" t="s">
        <v>4362</v>
      </c>
      <c r="V223" t="s">
        <v>4362</v>
      </c>
      <c r="W223" t="s">
        <v>4585</v>
      </c>
      <c r="X223">
        <v>8</v>
      </c>
      <c r="Y223" t="s">
        <v>6744</v>
      </c>
      <c r="Z223" t="s">
        <v>8911</v>
      </c>
      <c r="AA223">
        <v>0.3998941062630867</v>
      </c>
      <c r="AB223">
        <f>HYPERLINK("Melting_Curves/meltCurve_P0A6I0_cmk.pdf", "Melting_Curves/meltCurve_P0A6I0_cmk.pdf")</f>
        <v>0</v>
      </c>
    </row>
    <row r="224" spans="1:28">
      <c r="A224" t="s">
        <v>250</v>
      </c>
      <c r="B224">
        <v>0.999739202189716</v>
      </c>
      <c r="C224">
        <v>0.783172918254869</v>
      </c>
      <c r="D224">
        <v>0.68343601791838</v>
      </c>
      <c r="E224">
        <v>0.463350860346299</v>
      </c>
      <c r="F224">
        <v>0.336300012121674</v>
      </c>
      <c r="G224">
        <v>0.266646254110269</v>
      </c>
      <c r="H224">
        <v>0.21113554186857</v>
      </c>
      <c r="I224">
        <v>0.187360549116624</v>
      </c>
      <c r="J224">
        <v>0.150173788268339</v>
      </c>
      <c r="K224">
        <v>0.131282835906924</v>
      </c>
      <c r="L224">
        <v>507.851303162288</v>
      </c>
      <c r="M224">
        <v>11.3113554063222</v>
      </c>
      <c r="N224">
        <v>46.1551527116433</v>
      </c>
      <c r="O224">
        <v>43.5628563433647</v>
      </c>
      <c r="P224">
        <v>-0.0563220193904441</v>
      </c>
      <c r="Q224">
        <v>0.132622105199966</v>
      </c>
      <c r="R224">
        <v>0.989275111171288</v>
      </c>
      <c r="S224" t="s">
        <v>2417</v>
      </c>
      <c r="T224" t="s">
        <v>4362</v>
      </c>
      <c r="U224" t="s">
        <v>4362</v>
      </c>
      <c r="V224" t="s">
        <v>4362</v>
      </c>
      <c r="W224" t="s">
        <v>4586</v>
      </c>
      <c r="X224">
        <v>4</v>
      </c>
      <c r="Y224" t="s">
        <v>6745</v>
      </c>
      <c r="Z224" t="s">
        <v>8912</v>
      </c>
      <c r="AA224">
        <v>0.396199099854304</v>
      </c>
      <c r="AB224">
        <f>HYPERLINK("Melting_Curves/meltCurve_P0A6I3_coaA.pdf", "Melting_Curves/meltCurve_P0A6I3_coaA.pdf")</f>
        <v>0</v>
      </c>
    </row>
    <row r="225" spans="1:28">
      <c r="A225" t="s">
        <v>251</v>
      </c>
      <c r="B225">
        <v>0.999739202189716</v>
      </c>
      <c r="C225">
        <v>0.9677533900977831</v>
      </c>
      <c r="D225">
        <v>1.10856500760967</v>
      </c>
      <c r="E225">
        <v>1.00951834582718</v>
      </c>
      <c r="F225">
        <v>1.1221870887258</v>
      </c>
      <c r="G225">
        <v>0.99023898812943</v>
      </c>
      <c r="H225">
        <v>0.851383389883258</v>
      </c>
      <c r="I225">
        <v>0.855026983629093</v>
      </c>
      <c r="J225">
        <v>0.919382069015381</v>
      </c>
      <c r="K225">
        <v>0.651010856169609</v>
      </c>
      <c r="L225">
        <v>853.556995238374</v>
      </c>
      <c r="M225">
        <v>11.8882892608134</v>
      </c>
      <c r="Q225">
        <v>0</v>
      </c>
      <c r="R225">
        <v>0.6732039569282831</v>
      </c>
      <c r="S225" t="s">
        <v>2418</v>
      </c>
      <c r="T225" t="s">
        <v>4362</v>
      </c>
      <c r="U225" t="s">
        <v>4362</v>
      </c>
      <c r="V225" t="s">
        <v>4362</v>
      </c>
      <c r="W225" t="s">
        <v>4587</v>
      </c>
      <c r="X225">
        <v>5</v>
      </c>
      <c r="Y225" t="s">
        <v>6746</v>
      </c>
      <c r="Z225" t="s">
        <v>8913</v>
      </c>
      <c r="AA225">
        <v>0.9463540596635972</v>
      </c>
      <c r="AB225">
        <f>HYPERLINK("Melting_Curves/meltCurve_P0A6I6_coaD.pdf", "Melting_Curves/meltCurve_P0A6I6_coaD.pdf")</f>
        <v>0</v>
      </c>
    </row>
    <row r="226" spans="1:28">
      <c r="A226" t="s">
        <v>252</v>
      </c>
      <c r="B226">
        <v>0.999739202189716</v>
      </c>
      <c r="C226">
        <v>0.8389994775705369</v>
      </c>
      <c r="D226">
        <v>0.733639806304238</v>
      </c>
      <c r="E226">
        <v>0.508671284939032</v>
      </c>
      <c r="F226">
        <v>0.353729183943945</v>
      </c>
      <c r="G226">
        <v>0.252784868313902</v>
      </c>
      <c r="H226">
        <v>0.207087479353319</v>
      </c>
      <c r="I226">
        <v>0.150492571061125</v>
      </c>
      <c r="J226">
        <v>0.140909159761338</v>
      </c>
      <c r="K226">
        <v>0.118514639945283</v>
      </c>
      <c r="L226">
        <v>532.529834616685</v>
      </c>
      <c r="M226">
        <v>11.5812169508389</v>
      </c>
      <c r="N226">
        <v>46.9672676562109</v>
      </c>
      <c r="O226">
        <v>44.675355332447</v>
      </c>
      <c r="P226">
        <v>-0.0578357822479696</v>
      </c>
      <c r="Q226">
        <v>0.107824443387972</v>
      </c>
      <c r="R226">
        <v>0.995474227585026</v>
      </c>
      <c r="S226" t="s">
        <v>2419</v>
      </c>
      <c r="T226" t="s">
        <v>4362</v>
      </c>
      <c r="U226" t="s">
        <v>4362</v>
      </c>
      <c r="V226" t="s">
        <v>4362</v>
      </c>
      <c r="W226" t="s">
        <v>4588</v>
      </c>
      <c r="X226">
        <v>1</v>
      </c>
      <c r="Y226" t="s">
        <v>6747</v>
      </c>
      <c r="Z226" t="s">
        <v>8914</v>
      </c>
      <c r="AA226">
        <v>0.4076551211520064</v>
      </c>
      <c r="AB226">
        <f>HYPERLINK("Melting_Curves/meltCurve_P0A6I9_coaE.pdf", "Melting_Curves/meltCurve_P0A6I9_coaE.pdf")</f>
        <v>0</v>
      </c>
    </row>
    <row r="227" spans="1:28">
      <c r="A227" t="s">
        <v>253</v>
      </c>
      <c r="B227">
        <v>0.999739202189716</v>
      </c>
      <c r="C227">
        <v>0.835355073777684</v>
      </c>
      <c r="D227">
        <v>0.855925130174418</v>
      </c>
      <c r="E227">
        <v>0.637704944843079</v>
      </c>
      <c r="F227">
        <v>0.516994039343971</v>
      </c>
      <c r="G227">
        <v>0.415785729995352</v>
      </c>
      <c r="H227">
        <v>0.377392113868756</v>
      </c>
      <c r="I227">
        <v>0.265081847876512</v>
      </c>
      <c r="J227">
        <v>0.234233438755707</v>
      </c>
      <c r="K227">
        <v>0.185203737089886</v>
      </c>
      <c r="L227">
        <v>401.937479032532</v>
      </c>
      <c r="M227">
        <v>8.094006423299451</v>
      </c>
      <c r="N227">
        <v>51.1901007345746</v>
      </c>
      <c r="O227">
        <v>46.9030459998588</v>
      </c>
      <c r="P227">
        <v>-0.0385448429624358</v>
      </c>
      <c r="Q227">
        <v>0.107529559005811</v>
      </c>
      <c r="R227">
        <v>0.98295963798402</v>
      </c>
      <c r="S227" t="s">
        <v>2420</v>
      </c>
      <c r="T227" t="s">
        <v>4362</v>
      </c>
      <c r="U227" t="s">
        <v>4362</v>
      </c>
      <c r="V227" t="s">
        <v>4362</v>
      </c>
      <c r="W227" t="s">
        <v>4589</v>
      </c>
      <c r="X227">
        <v>3</v>
      </c>
      <c r="Y227" t="s">
        <v>6748</v>
      </c>
      <c r="Z227" t="s">
        <v>8915</v>
      </c>
      <c r="AA227">
        <v>0.5218784143045292</v>
      </c>
      <c r="AB227">
        <f>HYPERLINK("Melting_Curves/meltCurve_P0A6J3_cysZ.pdf", "Melting_Curves/meltCurve_P0A6J3_cysZ.pdf")</f>
        <v>0</v>
      </c>
    </row>
    <row r="228" spans="1:28">
      <c r="A228" t="s">
        <v>254</v>
      </c>
      <c r="B228">
        <v>0.999739202189716</v>
      </c>
      <c r="C228">
        <v>0.887786059246647</v>
      </c>
      <c r="D228">
        <v>0.60593995576881</v>
      </c>
      <c r="E228">
        <v>0.41265896117716</v>
      </c>
      <c r="F228">
        <v>0.293597785711574</v>
      </c>
      <c r="G228">
        <v>0.217857465851708</v>
      </c>
      <c r="H228">
        <v>0.14041866015097</v>
      </c>
      <c r="I228">
        <v>0.110542901002379</v>
      </c>
      <c r="J228">
        <v>0.0841511690224737</v>
      </c>
      <c r="K228">
        <v>0.07121641012664159</v>
      </c>
      <c r="L228">
        <v>585.946216446325</v>
      </c>
      <c r="M228">
        <v>13.0879831224543</v>
      </c>
      <c r="N228">
        <v>45.4208108226573</v>
      </c>
      <c r="O228">
        <v>43.7632832892251</v>
      </c>
      <c r="P228">
        <v>-0.0683832279168362</v>
      </c>
      <c r="Q228">
        <v>0.08552440193509341</v>
      </c>
      <c r="R228">
        <v>0.988625451454203</v>
      </c>
      <c r="S228" t="s">
        <v>2421</v>
      </c>
      <c r="T228" t="s">
        <v>4362</v>
      </c>
      <c r="U228" t="s">
        <v>4362</v>
      </c>
      <c r="V228" t="s">
        <v>4362</v>
      </c>
      <c r="W228" t="s">
        <v>4590</v>
      </c>
      <c r="X228">
        <v>12</v>
      </c>
      <c r="Y228" t="s">
        <v>6749</v>
      </c>
      <c r="Z228" t="s">
        <v>8916</v>
      </c>
      <c r="AA228">
        <v>0.3510360424505808</v>
      </c>
      <c r="AB228">
        <f>HYPERLINK("Melting_Curves/meltCurve_P0A6J5_dadA.pdf", "Melting_Curves/meltCurve_P0A6J5_dadA.pdf")</f>
        <v>0</v>
      </c>
    </row>
    <row r="229" spans="1:28">
      <c r="A229" t="s">
        <v>255</v>
      </c>
      <c r="B229">
        <v>0.999739202189716</v>
      </c>
      <c r="C229">
        <v>0.953693880346421</v>
      </c>
      <c r="D229">
        <v>0.913840811804139</v>
      </c>
      <c r="E229">
        <v>0.674118646812283</v>
      </c>
      <c r="F229">
        <v>0.312904233688884</v>
      </c>
      <c r="G229">
        <v>0.124939258828009</v>
      </c>
      <c r="H229">
        <v>0.0880071036786685</v>
      </c>
      <c r="I229">
        <v>0.0607140659209336</v>
      </c>
      <c r="J229">
        <v>0.0522456622973304</v>
      </c>
      <c r="K229">
        <v>0.0444258611266305</v>
      </c>
      <c r="L229">
        <v>996.490764874007</v>
      </c>
      <c r="M229">
        <v>20.7768125725349</v>
      </c>
      <c r="N229">
        <v>48.1868499169463</v>
      </c>
      <c r="O229">
        <v>47.5239930523209</v>
      </c>
      <c r="P229">
        <v>-0.104243070130449</v>
      </c>
      <c r="Q229">
        <v>0.0462620445248436</v>
      </c>
      <c r="R229">
        <v>0.999020189453859</v>
      </c>
      <c r="S229" t="s">
        <v>2422</v>
      </c>
      <c r="T229" t="s">
        <v>4362</v>
      </c>
      <c r="U229" t="s">
        <v>4362</v>
      </c>
      <c r="V229" t="s">
        <v>4362</v>
      </c>
      <c r="W229" t="s">
        <v>4591</v>
      </c>
      <c r="X229">
        <v>11</v>
      </c>
      <c r="Y229" t="s">
        <v>6750</v>
      </c>
      <c r="Z229" t="s">
        <v>8917</v>
      </c>
      <c r="AA229">
        <v>0.4063999072959986</v>
      </c>
      <c r="AB229">
        <f>HYPERLINK("Melting_Curves/meltCurve_P0A6J8_ddlA.pdf", "Melting_Curves/meltCurve_P0A6J8_ddlA.pdf")</f>
        <v>0</v>
      </c>
    </row>
    <row r="230" spans="1:28">
      <c r="A230" t="s">
        <v>256</v>
      </c>
      <c r="B230">
        <v>0.999739202189716</v>
      </c>
      <c r="C230">
        <v>0.766036754223709</v>
      </c>
      <c r="D230">
        <v>1.61773233075134</v>
      </c>
      <c r="E230">
        <v>1.00584965529519</v>
      </c>
      <c r="F230">
        <v>0.895008428923123</v>
      </c>
      <c r="G230">
        <v>0.355669099909031</v>
      </c>
      <c r="H230">
        <v>0.221719280057226</v>
      </c>
      <c r="I230">
        <v>0.123375084285782</v>
      </c>
      <c r="J230">
        <v>0.112067661332484</v>
      </c>
      <c r="K230">
        <v>0.0866774570903637</v>
      </c>
      <c r="L230">
        <v>2089.52155750413</v>
      </c>
      <c r="M230">
        <v>39.7561611534674</v>
      </c>
      <c r="N230">
        <v>52.9381131286558</v>
      </c>
      <c r="O230">
        <v>52.425981278619</v>
      </c>
      <c r="P230">
        <v>-0.166065550043593</v>
      </c>
      <c r="Q230">
        <v>0.12404715803486</v>
      </c>
      <c r="R230">
        <v>0.815515245240948</v>
      </c>
      <c r="S230" t="s">
        <v>2423</v>
      </c>
      <c r="T230" t="s">
        <v>4362</v>
      </c>
      <c r="U230" t="s">
        <v>4362</v>
      </c>
      <c r="V230" t="s">
        <v>4362</v>
      </c>
      <c r="W230" t="s">
        <v>4592</v>
      </c>
      <c r="X230">
        <v>4</v>
      </c>
      <c r="Y230" t="s">
        <v>6751</v>
      </c>
      <c r="Z230" t="s">
        <v>8918</v>
      </c>
      <c r="AA230">
        <v>0.5815389744325771</v>
      </c>
      <c r="AB230">
        <f>HYPERLINK("Melting_Curves/meltCurve_P0A6K1_dapF.pdf", "Melting_Curves/meltCurve_P0A6K1_dapF.pdf")</f>
        <v>0</v>
      </c>
    </row>
    <row r="231" spans="1:28">
      <c r="A231" t="s">
        <v>257</v>
      </c>
      <c r="B231">
        <v>0.999739202189716</v>
      </c>
      <c r="C231">
        <v>0.8466524935394441</v>
      </c>
      <c r="D231">
        <v>0.938324351542956</v>
      </c>
      <c r="E231">
        <v>0.877280399585632</v>
      </c>
      <c r="F231">
        <v>0.701722849077246</v>
      </c>
      <c r="G231">
        <v>0.536543606700202</v>
      </c>
      <c r="H231">
        <v>0.512031746530599</v>
      </c>
      <c r="I231">
        <v>0.475391663133933</v>
      </c>
      <c r="J231">
        <v>0.433499191153119</v>
      </c>
      <c r="K231">
        <v>0.362285693100517</v>
      </c>
      <c r="L231">
        <v>489.615399411624</v>
      </c>
      <c r="M231">
        <v>9.49575119795357</v>
      </c>
      <c r="N231">
        <v>57.7710447681225</v>
      </c>
      <c r="O231">
        <v>49.4301106454476</v>
      </c>
      <c r="P231">
        <v>-0.0326857761177126</v>
      </c>
      <c r="Q231">
        <v>0.319820084673848</v>
      </c>
      <c r="R231">
        <v>0.953685209839181</v>
      </c>
      <c r="S231" t="s">
        <v>2424</v>
      </c>
      <c r="T231" t="s">
        <v>4362</v>
      </c>
      <c r="U231" t="s">
        <v>4362</v>
      </c>
      <c r="V231" t="s">
        <v>4362</v>
      </c>
      <c r="W231" t="s">
        <v>4593</v>
      </c>
      <c r="X231">
        <v>3</v>
      </c>
      <c r="Y231" t="s">
        <v>6752</v>
      </c>
      <c r="Z231" t="s">
        <v>8919</v>
      </c>
      <c r="AA231">
        <v>0.6698490955238762</v>
      </c>
      <c r="AB231">
        <f>HYPERLINK("Melting_Curves/meltCurve_P0A6K3_def.pdf", "Melting_Curves/meltCurve_P0A6K3_def.pdf")</f>
        <v>0</v>
      </c>
    </row>
    <row r="232" spans="1:28">
      <c r="A232" t="s">
        <v>258</v>
      </c>
      <c r="B232">
        <v>0.999739202189716</v>
      </c>
      <c r="C232">
        <v>0.956563907819268</v>
      </c>
      <c r="D232">
        <v>1.1416866254399</v>
      </c>
      <c r="E232">
        <v>1.00360222718499</v>
      </c>
      <c r="F232">
        <v>0.933573175129581</v>
      </c>
      <c r="G232">
        <v>0.483223436493046</v>
      </c>
      <c r="H232">
        <v>0.312054880603615</v>
      </c>
      <c r="I232">
        <v>0.182925021127754</v>
      </c>
      <c r="J232">
        <v>0.09793877119243311</v>
      </c>
      <c r="K232">
        <v>0.0665220107995101</v>
      </c>
      <c r="L232">
        <v>1370.85398197923</v>
      </c>
      <c r="M232">
        <v>25.4817732510253</v>
      </c>
      <c r="N232">
        <v>54.2854852637431</v>
      </c>
      <c r="O232">
        <v>53.4693882926536</v>
      </c>
      <c r="P232">
        <v>-0.106946314287269</v>
      </c>
      <c r="Q232">
        <v>0.102372876001454</v>
      </c>
      <c r="R232">
        <v>0.977209030203167</v>
      </c>
      <c r="S232" t="s">
        <v>2425</v>
      </c>
      <c r="T232" t="s">
        <v>4362</v>
      </c>
      <c r="U232" t="s">
        <v>4362</v>
      </c>
      <c r="V232" t="s">
        <v>4362</v>
      </c>
      <c r="W232" t="s">
        <v>4594</v>
      </c>
      <c r="X232">
        <v>12</v>
      </c>
      <c r="Y232" t="s">
        <v>6753</v>
      </c>
      <c r="Z232" t="s">
        <v>8920</v>
      </c>
      <c r="AA232">
        <v>0.6125869128149914</v>
      </c>
      <c r="AB232">
        <f>HYPERLINK("Melting_Curves/meltCurve_P0A6K6_deoB.pdf", "Melting_Curves/meltCurve_P0A6K6_deoB.pdf")</f>
        <v>0</v>
      </c>
    </row>
    <row r="233" spans="1:28">
      <c r="A233" t="s">
        <v>259</v>
      </c>
      <c r="B233">
        <v>0.999739202189716</v>
      </c>
      <c r="C233">
        <v>1.18224386867789</v>
      </c>
      <c r="D233">
        <v>0.923812535424268</v>
      </c>
      <c r="E233">
        <v>1.07135242717129</v>
      </c>
      <c r="F233">
        <v>0.851828316714008</v>
      </c>
      <c r="G233">
        <v>0.687726887453095</v>
      </c>
      <c r="H233">
        <v>0.419050060385029</v>
      </c>
      <c r="I233">
        <v>0.178611847406656</v>
      </c>
      <c r="J233">
        <v>0.132299674354441</v>
      </c>
      <c r="K233">
        <v>0.107745406144031</v>
      </c>
      <c r="L233">
        <v>1080.92505513183</v>
      </c>
      <c r="M233">
        <v>19.4196619378549</v>
      </c>
      <c r="N233">
        <v>56.0496813598608</v>
      </c>
      <c r="O233">
        <v>55.0812342050549</v>
      </c>
      <c r="P233">
        <v>-0.0825966826823008</v>
      </c>
      <c r="Q233">
        <v>0.06293734992068151</v>
      </c>
      <c r="R233">
        <v>0.9668823062606831</v>
      </c>
      <c r="S233" t="s">
        <v>2426</v>
      </c>
      <c r="T233" t="s">
        <v>4362</v>
      </c>
      <c r="U233" t="s">
        <v>4362</v>
      </c>
      <c r="V233" t="s">
        <v>4362</v>
      </c>
      <c r="W233" t="s">
        <v>4595</v>
      </c>
      <c r="X233">
        <v>19</v>
      </c>
      <c r="Y233" t="s">
        <v>6754</v>
      </c>
      <c r="Z233" t="s">
        <v>8921</v>
      </c>
      <c r="AA233">
        <v>0.6561027578935515</v>
      </c>
      <c r="AB233">
        <f>HYPERLINK("Melting_Curves/meltCurve_P0A6L0_deoC.pdf", "Melting_Curves/meltCurve_P0A6L0_deoC.pdf")</f>
        <v>0</v>
      </c>
    </row>
    <row r="234" spans="1:28">
      <c r="A234" t="s">
        <v>260</v>
      </c>
      <c r="B234">
        <v>0.999739202189716</v>
      </c>
      <c r="C234">
        <v>0.9031975782853791</v>
      </c>
      <c r="D234">
        <v>1.36112010197307</v>
      </c>
      <c r="E234">
        <v>0.907964595946507</v>
      </c>
      <c r="F234">
        <v>1.01982171803865</v>
      </c>
      <c r="G234">
        <v>0.922890842888449</v>
      </c>
      <c r="H234">
        <v>0.586846485211287</v>
      </c>
      <c r="I234">
        <v>0.427496540766624</v>
      </c>
      <c r="J234">
        <v>0.200893964554197</v>
      </c>
      <c r="K234">
        <v>0.120120479990154</v>
      </c>
      <c r="L234">
        <v>1189.32052850869</v>
      </c>
      <c r="M234">
        <v>20.1653841392045</v>
      </c>
      <c r="N234">
        <v>59.3056254291843</v>
      </c>
      <c r="O234">
        <v>58.4075087874677</v>
      </c>
      <c r="P234">
        <v>-0.0817706329957282</v>
      </c>
      <c r="Q234">
        <v>0.0526600531751161</v>
      </c>
      <c r="R234">
        <v>0.887383799197354</v>
      </c>
      <c r="S234" t="s">
        <v>2427</v>
      </c>
      <c r="T234" t="s">
        <v>4362</v>
      </c>
      <c r="U234" t="s">
        <v>4362</v>
      </c>
      <c r="V234" t="s">
        <v>4362</v>
      </c>
      <c r="W234" t="s">
        <v>4596</v>
      </c>
      <c r="X234">
        <v>12</v>
      </c>
      <c r="Y234" t="s">
        <v>6755</v>
      </c>
      <c r="Z234" t="s">
        <v>8922</v>
      </c>
      <c r="AA234">
        <v>0.7506671763888179</v>
      </c>
      <c r="AB234">
        <f>HYPERLINK("Melting_Curves/meltCurve_P0A6L2_dapA.pdf", "Melting_Curves/meltCurve_P0A6L2_dapA.pdf")</f>
        <v>0</v>
      </c>
    </row>
    <row r="235" spans="1:28">
      <c r="A235" t="s">
        <v>261</v>
      </c>
      <c r="B235">
        <v>0.999739202189716</v>
      </c>
      <c r="C235">
        <v>0.686006466706466</v>
      </c>
      <c r="D235">
        <v>0.734847543801136</v>
      </c>
      <c r="E235">
        <v>0.51892916006934</v>
      </c>
      <c r="F235">
        <v>0.402679298339913</v>
      </c>
      <c r="G235">
        <v>0.194649411703017</v>
      </c>
      <c r="H235">
        <v>0.12551638550481</v>
      </c>
      <c r="I235">
        <v>0.0995526658832321</v>
      </c>
      <c r="J235">
        <v>0.09264518626694759</v>
      </c>
      <c r="K235">
        <v>0.07753663294890931</v>
      </c>
      <c r="L235">
        <v>419.508847054355</v>
      </c>
      <c r="M235">
        <v>8.969973314745729</v>
      </c>
      <c r="N235">
        <v>46.7681118888953</v>
      </c>
      <c r="O235">
        <v>44.6190539276464</v>
      </c>
      <c r="P235">
        <v>-0.0502956120626488</v>
      </c>
      <c r="Q235">
        <v>0</v>
      </c>
      <c r="R235">
        <v>0.964297690479915</v>
      </c>
      <c r="S235" t="s">
        <v>2428</v>
      </c>
      <c r="T235" t="s">
        <v>4362</v>
      </c>
      <c r="U235" t="s">
        <v>4362</v>
      </c>
      <c r="V235" t="s">
        <v>4362</v>
      </c>
      <c r="W235" t="s">
        <v>4597</v>
      </c>
      <c r="X235">
        <v>4</v>
      </c>
      <c r="Y235" t="s">
        <v>6756</v>
      </c>
      <c r="Z235" t="s">
        <v>8923</v>
      </c>
      <c r="AA235">
        <v>0.3764755313119071</v>
      </c>
      <c r="AB235">
        <f>HYPERLINK("Melting_Curves/meltCurve_P0A6L4_nanA.pdf", "Melting_Curves/meltCurve_P0A6L4_nanA.pdf")</f>
        <v>0</v>
      </c>
    </row>
    <row r="236" spans="1:28">
      <c r="A236" t="s">
        <v>262</v>
      </c>
      <c r="B236">
        <v>0.999739202189716</v>
      </c>
      <c r="C236">
        <v>1.00989198706201</v>
      </c>
      <c r="D236">
        <v>0.970883582117897</v>
      </c>
      <c r="E236">
        <v>0.922369223022747</v>
      </c>
      <c r="F236">
        <v>0.724207817901813</v>
      </c>
      <c r="G236">
        <v>0.193960800764832</v>
      </c>
      <c r="H236">
        <v>0.149217342126604</v>
      </c>
      <c r="I236">
        <v>0.114747305779253</v>
      </c>
      <c r="J236">
        <v>0.113062094987313</v>
      </c>
      <c r="K236">
        <v>0.098912358140857</v>
      </c>
      <c r="L236">
        <v>2097.93326174323</v>
      </c>
      <c r="M236">
        <v>41.0594828605023</v>
      </c>
      <c r="N236">
        <v>51.414873381974</v>
      </c>
      <c r="O236">
        <v>50.9742223053985</v>
      </c>
      <c r="P236">
        <v>-0.178674638381324</v>
      </c>
      <c r="Q236">
        <v>0.112722997229998</v>
      </c>
      <c r="R236">
        <v>0.996272865644694</v>
      </c>
      <c r="S236" t="s">
        <v>2429</v>
      </c>
      <c r="T236" t="s">
        <v>4362</v>
      </c>
      <c r="U236" t="s">
        <v>4362</v>
      </c>
      <c r="V236" t="s">
        <v>4362</v>
      </c>
      <c r="W236" t="s">
        <v>4598</v>
      </c>
      <c r="X236">
        <v>7</v>
      </c>
      <c r="Y236" t="s">
        <v>6757</v>
      </c>
      <c r="Z236" t="s">
        <v>8924</v>
      </c>
      <c r="AA236">
        <v>0.5325642035641713</v>
      </c>
      <c r="AB236">
        <f>HYPERLINK("Melting_Curves/meltCurve_P0A6L7_uxaB.pdf", "Melting_Curves/meltCurve_P0A6L7_uxaB.pdf")</f>
        <v>0</v>
      </c>
    </row>
    <row r="237" spans="1:28">
      <c r="A237" t="s">
        <v>263</v>
      </c>
      <c r="B237">
        <v>0.999739202189716</v>
      </c>
      <c r="C237">
        <v>1.01547162422739</v>
      </c>
      <c r="D237">
        <v>0.9691845157728149</v>
      </c>
      <c r="E237">
        <v>1.17820900710778</v>
      </c>
      <c r="F237">
        <v>0.983576495513516</v>
      </c>
      <c r="G237">
        <v>0.890918893902258</v>
      </c>
      <c r="H237">
        <v>0.745224639413434</v>
      </c>
      <c r="I237">
        <v>0.535330543007552</v>
      </c>
      <c r="J237">
        <v>0.347284804752414</v>
      </c>
      <c r="K237">
        <v>0.391826576268798</v>
      </c>
      <c r="L237">
        <v>1351.45417990345</v>
      </c>
      <c r="M237">
        <v>23.0995185102827</v>
      </c>
      <c r="N237">
        <v>61.266624524987</v>
      </c>
      <c r="O237">
        <v>58.0725490545958</v>
      </c>
      <c r="P237">
        <v>-0.06728009423448809</v>
      </c>
      <c r="Q237">
        <v>0.323439648920272</v>
      </c>
      <c r="R237">
        <v>0.947130077550514</v>
      </c>
      <c r="S237" t="s">
        <v>2430</v>
      </c>
      <c r="T237" t="s">
        <v>4362</v>
      </c>
      <c r="U237" t="s">
        <v>4362</v>
      </c>
      <c r="V237" t="s">
        <v>4362</v>
      </c>
      <c r="W237" t="s">
        <v>4599</v>
      </c>
      <c r="X237">
        <v>1</v>
      </c>
      <c r="Y237" t="s">
        <v>6758</v>
      </c>
      <c r="Z237" t="s">
        <v>8925</v>
      </c>
      <c r="AA237">
        <v>0.8124278311318602</v>
      </c>
      <c r="AB237">
        <f>HYPERLINK("Melting_Curves/meltCurve_P0A6L9_hscB.pdf", "Melting_Curves/meltCurve_P0A6L9_hscB.pdf")</f>
        <v>0</v>
      </c>
    </row>
    <row r="238" spans="1:28">
      <c r="A238" t="s">
        <v>264</v>
      </c>
      <c r="B238">
        <v>0.999739202189716</v>
      </c>
      <c r="C238">
        <v>0.692766304402313</v>
      </c>
      <c r="D238">
        <v>0.812808959293609</v>
      </c>
      <c r="E238">
        <v>0.518988173531971</v>
      </c>
      <c r="F238">
        <v>0.361660482080498</v>
      </c>
      <c r="G238">
        <v>0.253198690772835</v>
      </c>
      <c r="H238">
        <v>0.196030072465907</v>
      </c>
      <c r="I238">
        <v>0.114852857643724</v>
      </c>
      <c r="J238">
        <v>0.112596208500484</v>
      </c>
      <c r="K238">
        <v>0.099067431415955</v>
      </c>
      <c r="L238">
        <v>433.970858334409</v>
      </c>
      <c r="M238">
        <v>9.24660415012508</v>
      </c>
      <c r="N238">
        <v>47.2725399495361</v>
      </c>
      <c r="O238">
        <v>44.8944655757573</v>
      </c>
      <c r="P238">
        <v>-0.0498691128002205</v>
      </c>
      <c r="Q238">
        <v>0.0321287723979399</v>
      </c>
      <c r="R238">
        <v>0.958372607022222</v>
      </c>
      <c r="S238" t="s">
        <v>2431</v>
      </c>
      <c r="T238" t="s">
        <v>4362</v>
      </c>
      <c r="U238" t="s">
        <v>4362</v>
      </c>
      <c r="V238" t="s">
        <v>4362</v>
      </c>
      <c r="W238" t="s">
        <v>4600</v>
      </c>
      <c r="X238">
        <v>1</v>
      </c>
      <c r="Y238" t="s">
        <v>6759</v>
      </c>
      <c r="Z238" t="s">
        <v>8926</v>
      </c>
      <c r="AA238">
        <v>0.3992817696064317</v>
      </c>
      <c r="AB238">
        <f>HYPERLINK("Melting_Curves/meltCurve_P0A6M2_dsbB.pdf", "Melting_Curves/meltCurve_P0A6M2_dsbB.pdf")</f>
        <v>0</v>
      </c>
    </row>
    <row r="239" spans="1:28">
      <c r="A239" t="s">
        <v>265</v>
      </c>
      <c r="B239">
        <v>0.999739202189716</v>
      </c>
      <c r="C239">
        <v>0.730566224053956</v>
      </c>
      <c r="D239">
        <v>1.06629331801137</v>
      </c>
      <c r="E239">
        <v>0.7626338889593079</v>
      </c>
      <c r="F239">
        <v>0.584524227018413</v>
      </c>
      <c r="G239">
        <v>0.205149537172234</v>
      </c>
      <c r="H239">
        <v>0.133268039347582</v>
      </c>
      <c r="I239">
        <v>0.100175437153239</v>
      </c>
      <c r="J239">
        <v>0.0879721021085219</v>
      </c>
      <c r="K239">
        <v>0.09290481131859681</v>
      </c>
      <c r="L239">
        <v>988.832564750496</v>
      </c>
      <c r="M239">
        <v>19.7626587397845</v>
      </c>
      <c r="N239">
        <v>50.4262364737156</v>
      </c>
      <c r="O239">
        <v>49.5315360620182</v>
      </c>
      <c r="P239">
        <v>-0.0926680131363002</v>
      </c>
      <c r="Q239">
        <v>0.071009127696501</v>
      </c>
      <c r="R239">
        <v>0.935768734253971</v>
      </c>
      <c r="S239" t="s">
        <v>2432</v>
      </c>
      <c r="T239" t="s">
        <v>4362</v>
      </c>
      <c r="U239" t="s">
        <v>4362</v>
      </c>
      <c r="V239" t="s">
        <v>4362</v>
      </c>
      <c r="W239" t="s">
        <v>4601</v>
      </c>
      <c r="X239">
        <v>3</v>
      </c>
      <c r="Y239" t="s">
        <v>6760</v>
      </c>
      <c r="Z239" t="s">
        <v>8927</v>
      </c>
      <c r="AA239">
        <v>0.487157833305999</v>
      </c>
      <c r="AB239">
        <f>HYPERLINK("Melting_Curves/meltCurve_P0A6M4_dtd.pdf", "Melting_Curves/meltCurve_P0A6M4_dtd.pdf")</f>
        <v>0</v>
      </c>
    </row>
    <row r="240" spans="1:28">
      <c r="A240" t="s">
        <v>266</v>
      </c>
      <c r="B240">
        <v>0.999739202189716</v>
      </c>
      <c r="C240">
        <v>1.21293538939189</v>
      </c>
      <c r="D240">
        <v>1.05246448097023</v>
      </c>
      <c r="E240">
        <v>1.28054410860552</v>
      </c>
      <c r="F240">
        <v>0.935834987759367</v>
      </c>
      <c r="G240">
        <v>0.793549829537288</v>
      </c>
      <c r="H240">
        <v>0.6047291949668619</v>
      </c>
      <c r="I240">
        <v>0.209043206938781</v>
      </c>
      <c r="J240">
        <v>0.07953916199587829</v>
      </c>
      <c r="K240">
        <v>0.0570149177737554</v>
      </c>
      <c r="L240">
        <v>1332.23109138884</v>
      </c>
      <c r="M240">
        <v>23.0072344497726</v>
      </c>
      <c r="N240">
        <v>57.9048674550551</v>
      </c>
      <c r="O240">
        <v>57.4727409414376</v>
      </c>
      <c r="P240">
        <v>-0.10008076962687</v>
      </c>
      <c r="Q240">
        <v>0</v>
      </c>
      <c r="R240">
        <v>0.9281824887526809</v>
      </c>
      <c r="S240" t="s">
        <v>2433</v>
      </c>
      <c r="T240" t="s">
        <v>4362</v>
      </c>
      <c r="U240" t="s">
        <v>4362</v>
      </c>
      <c r="V240" t="s">
        <v>4362</v>
      </c>
      <c r="W240" t="s">
        <v>4602</v>
      </c>
      <c r="X240">
        <v>26</v>
      </c>
      <c r="Y240" t="s">
        <v>6761</v>
      </c>
      <c r="Z240" t="s">
        <v>8928</v>
      </c>
      <c r="AA240">
        <v>0.7037342071525694</v>
      </c>
      <c r="AB240">
        <f>HYPERLINK("Melting_Curves/meltCurve_P0A6M8_fusA.pdf", "Melting_Curves/meltCurve_P0A6M8_fusA.pdf")</f>
        <v>0</v>
      </c>
    </row>
    <row r="241" spans="1:28">
      <c r="A241" t="s">
        <v>267</v>
      </c>
      <c r="B241">
        <v>0.999739202189716</v>
      </c>
      <c r="C241">
        <v>0.905625313890551</v>
      </c>
      <c r="D241">
        <v>0.9562208373584969</v>
      </c>
      <c r="E241">
        <v>0.937394628130214</v>
      </c>
      <c r="F241">
        <v>0.855588944705112</v>
      </c>
      <c r="G241">
        <v>0.68728638984704</v>
      </c>
      <c r="H241">
        <v>0.605941310232202</v>
      </c>
      <c r="I241">
        <v>0.502739090855667</v>
      </c>
      <c r="J241">
        <v>0.436722162229239</v>
      </c>
      <c r="K241">
        <v>0.349569574137594</v>
      </c>
      <c r="L241">
        <v>473.000324128141</v>
      </c>
      <c r="M241">
        <v>8.00011649359571</v>
      </c>
      <c r="N241">
        <v>61.0076395463967</v>
      </c>
      <c r="O241">
        <v>55.7729738517654</v>
      </c>
      <c r="P241">
        <v>-0.0319723624121989</v>
      </c>
      <c r="Q241">
        <v>0.109423344281074</v>
      </c>
      <c r="R241">
        <v>0.9821654367367439</v>
      </c>
      <c r="S241" t="s">
        <v>2434</v>
      </c>
      <c r="T241" t="s">
        <v>4362</v>
      </c>
      <c r="U241" t="s">
        <v>4362</v>
      </c>
      <c r="V241" t="s">
        <v>4362</v>
      </c>
      <c r="W241" t="s">
        <v>4603</v>
      </c>
      <c r="X241">
        <v>6</v>
      </c>
      <c r="Y241" t="s">
        <v>6762</v>
      </c>
      <c r="Z241" t="s">
        <v>8929</v>
      </c>
      <c r="AA241">
        <v>0.7367111656562805</v>
      </c>
      <c r="AB241">
        <f>HYPERLINK("Melting_Curves/meltCurve_P0A6N4_efp.pdf", "Melting_Curves/meltCurve_P0A6N4_efp.pdf")</f>
        <v>0</v>
      </c>
    </row>
    <row r="242" spans="1:28">
      <c r="A242" t="s">
        <v>268</v>
      </c>
      <c r="B242">
        <v>0.999739202189716</v>
      </c>
      <c r="C242">
        <v>0.8371946251233779</v>
      </c>
      <c r="D242">
        <v>1.12273521306118</v>
      </c>
      <c r="E242">
        <v>0.890299915936806</v>
      </c>
      <c r="F242">
        <v>0.812439974227007</v>
      </c>
      <c r="G242">
        <v>0.333739366428771</v>
      </c>
      <c r="H242">
        <v>0.0987691491066664</v>
      </c>
      <c r="I242">
        <v>0.06876250679219049</v>
      </c>
      <c r="J242">
        <v>0.101952975873609</v>
      </c>
      <c r="K242">
        <v>0.0957396065083503</v>
      </c>
      <c r="L242">
        <v>1689.47090159673</v>
      </c>
      <c r="M242">
        <v>32.3793692360577</v>
      </c>
      <c r="N242">
        <v>52.4529854537665</v>
      </c>
      <c r="O242">
        <v>51.9795839015944</v>
      </c>
      <c r="P242">
        <v>-0.143550867186082</v>
      </c>
      <c r="Q242">
        <v>0.0782183486397505</v>
      </c>
      <c r="R242">
        <v>0.969150391194525</v>
      </c>
      <c r="S242" t="s">
        <v>2435</v>
      </c>
      <c r="T242" t="s">
        <v>4362</v>
      </c>
      <c r="U242" t="s">
        <v>4362</v>
      </c>
      <c r="V242" t="s">
        <v>4362</v>
      </c>
      <c r="W242" t="s">
        <v>4604</v>
      </c>
      <c r="X242">
        <v>7</v>
      </c>
      <c r="Y242" t="s">
        <v>6763</v>
      </c>
      <c r="Z242" t="s">
        <v>8930</v>
      </c>
      <c r="AA242">
        <v>0.5495898296118159</v>
      </c>
      <c r="AB242">
        <f>HYPERLINK("Melting_Curves/meltCurve_P0A6N8_yeiP.pdf", "Melting_Curves/meltCurve_P0A6N8_yeiP.pdf")</f>
        <v>0</v>
      </c>
    </row>
    <row r="243" spans="1:28">
      <c r="A243" t="s">
        <v>269</v>
      </c>
      <c r="B243">
        <v>0.999739202189716</v>
      </c>
      <c r="C243">
        <v>0.80281733242813</v>
      </c>
      <c r="D243">
        <v>1.18695701809172</v>
      </c>
      <c r="E243">
        <v>0.878191301265277</v>
      </c>
      <c r="F243">
        <v>1.08118738169311</v>
      </c>
      <c r="G243">
        <v>0.934511709935903</v>
      </c>
      <c r="H243">
        <v>0.897006005807151</v>
      </c>
      <c r="I243">
        <v>0.860483132999489</v>
      </c>
      <c r="J243">
        <v>0.788238309675548</v>
      </c>
      <c r="K243">
        <v>0.579157522577739</v>
      </c>
      <c r="L243">
        <v>903.434209614801</v>
      </c>
      <c r="M243">
        <v>13.0429295213004</v>
      </c>
      <c r="Q243">
        <v>0</v>
      </c>
      <c r="R243">
        <v>0.594619068715476</v>
      </c>
      <c r="S243" t="s">
        <v>2436</v>
      </c>
      <c r="T243" t="s">
        <v>4362</v>
      </c>
      <c r="U243" t="s">
        <v>4362</v>
      </c>
      <c r="V243" t="s">
        <v>4362</v>
      </c>
      <c r="W243" t="s">
        <v>4605</v>
      </c>
      <c r="X243">
        <v>20</v>
      </c>
      <c r="Y243" t="s">
        <v>6764</v>
      </c>
      <c r="Z243" t="s">
        <v>8931</v>
      </c>
      <c r="AA243">
        <v>0.9289980336169336</v>
      </c>
      <c r="AB243">
        <f>HYPERLINK("Melting_Curves/meltCurve_P0A6P1_tsf.pdf", "Melting_Curves/meltCurve_P0A6P1_tsf.pdf")</f>
        <v>0</v>
      </c>
    </row>
    <row r="244" spans="1:28">
      <c r="A244" t="s">
        <v>270</v>
      </c>
      <c r="B244">
        <v>0.999739202189716</v>
      </c>
      <c r="C244">
        <v>0.664935866549362</v>
      </c>
      <c r="D244">
        <v>0.221915523238963</v>
      </c>
      <c r="E244">
        <v>0.151698035312619</v>
      </c>
      <c r="F244">
        <v>0.117032284625972</v>
      </c>
      <c r="G244">
        <v>0.0806661896382565</v>
      </c>
      <c r="H244">
        <v>0.0702819949965694</v>
      </c>
      <c r="I244">
        <v>0.0582947370028505</v>
      </c>
      <c r="J244">
        <v>0.0594879995801909</v>
      </c>
      <c r="K244">
        <v>0.0599662664429779</v>
      </c>
      <c r="L244">
        <v>1268.568633066</v>
      </c>
      <c r="M244">
        <v>31.1915839213463</v>
      </c>
      <c r="N244">
        <v>40.90425786194</v>
      </c>
      <c r="O244">
        <v>40.5041545865176</v>
      </c>
      <c r="P244">
        <v>-0.176789960547227</v>
      </c>
      <c r="Q244">
        <v>0.08171551417711551</v>
      </c>
      <c r="R244">
        <v>0.992266173370338</v>
      </c>
      <c r="S244" t="s">
        <v>2437</v>
      </c>
      <c r="T244" t="s">
        <v>4362</v>
      </c>
      <c r="U244" t="s">
        <v>4362</v>
      </c>
      <c r="V244" t="s">
        <v>4362</v>
      </c>
      <c r="W244" t="s">
        <v>4606</v>
      </c>
      <c r="X244">
        <v>14</v>
      </c>
      <c r="Y244" t="s">
        <v>6765</v>
      </c>
      <c r="Z244" t="s">
        <v>8932</v>
      </c>
      <c r="AA244">
        <v>0.1997144164856918</v>
      </c>
      <c r="AB244">
        <f>HYPERLINK("Melting_Curves/meltCurve_P0A6P5_der.pdf", "Melting_Curves/meltCurve_P0A6P5_der.pdf")</f>
        <v>0</v>
      </c>
    </row>
    <row r="245" spans="1:28">
      <c r="A245" t="s">
        <v>271</v>
      </c>
      <c r="B245">
        <v>0.999739202189716</v>
      </c>
      <c r="C245">
        <v>0.822954921231467</v>
      </c>
      <c r="D245">
        <v>0.626990967112219</v>
      </c>
      <c r="E245">
        <v>0.347355739173398</v>
      </c>
      <c r="F245">
        <v>0.207068478168009</v>
      </c>
      <c r="G245">
        <v>0.133871535473714</v>
      </c>
      <c r="H245">
        <v>0.09942177172141441</v>
      </c>
      <c r="I245">
        <v>0.0615498321978228</v>
      </c>
      <c r="J245">
        <v>0.0549319089344938</v>
      </c>
      <c r="K245">
        <v>0.0442238279401228</v>
      </c>
      <c r="L245">
        <v>647.386574136483</v>
      </c>
      <c r="M245">
        <v>14.6246917184082</v>
      </c>
      <c r="N245">
        <v>44.6044747376867</v>
      </c>
      <c r="O245">
        <v>43.4637397009722</v>
      </c>
      <c r="P245">
        <v>-0.0797196794099989</v>
      </c>
      <c r="Q245">
        <v>0.0524169723728065</v>
      </c>
      <c r="R245">
        <v>0.996446672385113</v>
      </c>
      <c r="S245" t="s">
        <v>2438</v>
      </c>
      <c r="T245" t="s">
        <v>4362</v>
      </c>
      <c r="U245" t="s">
        <v>4362</v>
      </c>
      <c r="V245" t="s">
        <v>4362</v>
      </c>
      <c r="W245" t="s">
        <v>4607</v>
      </c>
      <c r="X245">
        <v>8</v>
      </c>
      <c r="Y245" t="s">
        <v>6766</v>
      </c>
      <c r="Z245" t="s">
        <v>8933</v>
      </c>
      <c r="AA245">
        <v>0.3064102427200189</v>
      </c>
      <c r="AB245">
        <f>HYPERLINK("Melting_Curves/meltCurve_P0A6P7_engB.pdf", "Melting_Curves/meltCurve_P0A6P7_engB.pdf")</f>
        <v>0</v>
      </c>
    </row>
    <row r="246" spans="1:28">
      <c r="A246" t="s">
        <v>272</v>
      </c>
      <c r="B246">
        <v>0.999739202189716</v>
      </c>
      <c r="C246">
        <v>0.971829401484128</v>
      </c>
      <c r="D246">
        <v>1.0363764130077</v>
      </c>
      <c r="E246">
        <v>1.0407321965143</v>
      </c>
      <c r="F246">
        <v>1.08155625343572</v>
      </c>
      <c r="G246">
        <v>0.892349325686228</v>
      </c>
      <c r="H246">
        <v>0.930695761226458</v>
      </c>
      <c r="I246">
        <v>0.769767578644862</v>
      </c>
      <c r="J246">
        <v>0.754212285934473</v>
      </c>
      <c r="K246">
        <v>0.635812464405882</v>
      </c>
      <c r="L246">
        <v>968.066646007715</v>
      </c>
      <c r="M246">
        <v>15.5734448177948</v>
      </c>
      <c r="O246">
        <v>61.1634815760321</v>
      </c>
      <c r="P246">
        <v>-0.0293440220473506</v>
      </c>
      <c r="Q246">
        <v>0.539054840913889</v>
      </c>
      <c r="R246">
        <v>0.8906792417341</v>
      </c>
      <c r="S246" t="s">
        <v>2439</v>
      </c>
      <c r="T246" t="s">
        <v>4362</v>
      </c>
      <c r="U246" t="s">
        <v>4362</v>
      </c>
      <c r="V246" t="s">
        <v>4362</v>
      </c>
      <c r="W246" t="s">
        <v>4608</v>
      </c>
      <c r="X246">
        <v>19</v>
      </c>
      <c r="Y246" t="s">
        <v>6767</v>
      </c>
      <c r="Z246" t="s">
        <v>8934</v>
      </c>
      <c r="AA246">
        <v>0.9155271054363759</v>
      </c>
      <c r="AB246">
        <f>HYPERLINK("Melting_Curves/meltCurve_P0A6P9_eno.pdf", "Melting_Curves/meltCurve_P0A6P9_eno.pdf")</f>
        <v>0</v>
      </c>
    </row>
    <row r="247" spans="1:28">
      <c r="A247" t="s">
        <v>273</v>
      </c>
      <c r="B247">
        <v>0.999739202189716</v>
      </c>
      <c r="C247">
        <v>0.905054620963662</v>
      </c>
      <c r="D247">
        <v>1.02530475347964</v>
      </c>
      <c r="E247">
        <v>1.05227125780526</v>
      </c>
      <c r="F247">
        <v>1.10261545724812</v>
      </c>
      <c r="G247">
        <v>0.9572760708460329</v>
      </c>
      <c r="H247">
        <v>0.988685597394759</v>
      </c>
      <c r="I247">
        <v>0.823239405907722</v>
      </c>
      <c r="J247">
        <v>0.554743760457865</v>
      </c>
      <c r="K247">
        <v>0.2548877219565</v>
      </c>
      <c r="L247">
        <v>1819.46005139356</v>
      </c>
      <c r="M247">
        <v>28.2018670323225</v>
      </c>
      <c r="N247">
        <v>64.51558836108021</v>
      </c>
      <c r="O247">
        <v>64.1938177968712</v>
      </c>
      <c r="P247">
        <v>-0.109831847912646</v>
      </c>
      <c r="Q247">
        <v>0</v>
      </c>
      <c r="R247">
        <v>0.9602170779744</v>
      </c>
      <c r="S247" t="s">
        <v>2440</v>
      </c>
      <c r="T247" t="s">
        <v>4362</v>
      </c>
      <c r="U247" t="s">
        <v>4362</v>
      </c>
      <c r="V247" t="s">
        <v>4362</v>
      </c>
      <c r="W247" t="s">
        <v>4609</v>
      </c>
      <c r="X247">
        <v>11</v>
      </c>
      <c r="Y247" t="s">
        <v>6768</v>
      </c>
      <c r="Z247" t="s">
        <v>8935</v>
      </c>
      <c r="AA247">
        <v>0.8992410667382685</v>
      </c>
      <c r="AB247">
        <f>HYPERLINK("Melting_Curves/meltCurve_P0A6Q3_fabA.pdf", "Melting_Curves/meltCurve_P0A6Q3_fabA.pdf")</f>
        <v>0</v>
      </c>
    </row>
    <row r="248" spans="1:28">
      <c r="A248" t="s">
        <v>274</v>
      </c>
      <c r="B248">
        <v>0.999739202189716</v>
      </c>
      <c r="C248">
        <v>0.8782914038334469</v>
      </c>
      <c r="D248">
        <v>1.52331425545282</v>
      </c>
      <c r="E248">
        <v>0.981361994963836</v>
      </c>
      <c r="F248">
        <v>1.09584406778903</v>
      </c>
      <c r="G248">
        <v>1.06395218582418</v>
      </c>
      <c r="H248">
        <v>1.09912408332837</v>
      </c>
      <c r="I248">
        <v>0.840332770658558</v>
      </c>
      <c r="J248">
        <v>0.829772521854046</v>
      </c>
      <c r="K248">
        <v>0.502724316304371</v>
      </c>
      <c r="L248">
        <v>1812.98088924829</v>
      </c>
      <c r="M248">
        <v>26.9956376739142</v>
      </c>
      <c r="O248">
        <v>66.7930133517829</v>
      </c>
      <c r="P248">
        <v>-0.10104314767616</v>
      </c>
      <c r="Q248">
        <v>0</v>
      </c>
      <c r="R248">
        <v>0.465427966430173</v>
      </c>
      <c r="S248" t="s">
        <v>2441</v>
      </c>
      <c r="T248" t="s">
        <v>4362</v>
      </c>
      <c r="U248" t="s">
        <v>4362</v>
      </c>
      <c r="V248" t="s">
        <v>4362</v>
      </c>
      <c r="W248" t="s">
        <v>4610</v>
      </c>
      <c r="X248">
        <v>7</v>
      </c>
      <c r="Y248" t="s">
        <v>6769</v>
      </c>
      <c r="Z248" t="s">
        <v>8936</v>
      </c>
      <c r="AA248">
        <v>0.9496352593137353</v>
      </c>
      <c r="AB248">
        <f>HYPERLINK("Melting_Curves/meltCurve_P0A6Q6_fabZ.pdf", "Melting_Curves/meltCurve_P0A6Q6_fabZ.pdf")</f>
        <v>0</v>
      </c>
    </row>
    <row r="249" spans="1:28">
      <c r="A249" t="s">
        <v>275</v>
      </c>
      <c r="B249">
        <v>0.999739202189716</v>
      </c>
      <c r="C249">
        <v>1.05506828301908</v>
      </c>
      <c r="D249">
        <v>0.6553253260101209</v>
      </c>
      <c r="E249">
        <v>0.769011766362606</v>
      </c>
      <c r="F249">
        <v>0.313643302462257</v>
      </c>
      <c r="G249">
        <v>0.154264585930152</v>
      </c>
      <c r="H249">
        <v>0.109693526480607</v>
      </c>
      <c r="I249">
        <v>0.07131658400052129</v>
      </c>
      <c r="J249">
        <v>0.0692990366849192</v>
      </c>
      <c r="K249">
        <v>0.0556093329272634</v>
      </c>
      <c r="L249">
        <v>707.879612818478</v>
      </c>
      <c r="M249">
        <v>14.7588539469567</v>
      </c>
      <c r="N249">
        <v>48.1655948106777</v>
      </c>
      <c r="O249">
        <v>47.1083202329617</v>
      </c>
      <c r="P249">
        <v>-0.07597538012997269</v>
      </c>
      <c r="Q249">
        <v>0.0300907361946567</v>
      </c>
      <c r="R249">
        <v>0.948674646122704</v>
      </c>
      <c r="S249" t="s">
        <v>2442</v>
      </c>
      <c r="T249" t="s">
        <v>4362</v>
      </c>
      <c r="U249" t="s">
        <v>4362</v>
      </c>
      <c r="V249" t="s">
        <v>4362</v>
      </c>
      <c r="W249" t="s">
        <v>4611</v>
      </c>
      <c r="X249">
        <v>12</v>
      </c>
      <c r="Y249" t="s">
        <v>6770</v>
      </c>
      <c r="Z249" t="s">
        <v>8937</v>
      </c>
      <c r="AA249">
        <v>0.4064988775105985</v>
      </c>
      <c r="AB249">
        <f>HYPERLINK("Melting_Curves/meltCurve_P0A6R0_fabH.pdf", "Melting_Curves/meltCurve_P0A6R0_fabH.pdf")</f>
        <v>0</v>
      </c>
    </row>
    <row r="250" spans="1:28">
      <c r="A250" t="s">
        <v>276</v>
      </c>
      <c r="B250">
        <v>0.999739202189716</v>
      </c>
      <c r="C250">
        <v>0.795985896932254</v>
      </c>
      <c r="D250">
        <v>0.9878935729977359</v>
      </c>
      <c r="E250">
        <v>0.94123404859858</v>
      </c>
      <c r="F250">
        <v>0.878513768163227</v>
      </c>
      <c r="G250">
        <v>0.690285801048042</v>
      </c>
      <c r="H250">
        <v>0.512304017974281</v>
      </c>
      <c r="I250">
        <v>0.393178603091766</v>
      </c>
      <c r="J250">
        <v>0.329351953185357</v>
      </c>
      <c r="K250">
        <v>0.27230342482237</v>
      </c>
      <c r="L250">
        <v>732.011574087554</v>
      </c>
      <c r="M250">
        <v>13.1124144846018</v>
      </c>
      <c r="N250">
        <v>58.0010252212209</v>
      </c>
      <c r="O250">
        <v>54.5752901762747</v>
      </c>
      <c r="P250">
        <v>-0.0484079009856968</v>
      </c>
      <c r="Q250">
        <v>0.194221943173634</v>
      </c>
      <c r="R250">
        <v>0.942781969147661</v>
      </c>
      <c r="S250" t="s">
        <v>2443</v>
      </c>
      <c r="T250" t="s">
        <v>4362</v>
      </c>
      <c r="U250" t="s">
        <v>4362</v>
      </c>
      <c r="V250" t="s">
        <v>4362</v>
      </c>
      <c r="W250" t="s">
        <v>4612</v>
      </c>
      <c r="X250">
        <v>7</v>
      </c>
      <c r="Y250" t="s">
        <v>6771</v>
      </c>
      <c r="Z250" t="s">
        <v>8938</v>
      </c>
      <c r="AA250">
        <v>0.7091281820648011</v>
      </c>
      <c r="AB250">
        <f>HYPERLINK("Melting_Curves/meltCurve_P0A6S0_flgH.pdf", "Melting_Curves/meltCurve_P0A6S0_flgH.pdf")</f>
        <v>0</v>
      </c>
    </row>
    <row r="251" spans="1:28">
      <c r="A251" t="s">
        <v>277</v>
      </c>
      <c r="B251">
        <v>0.999739202189716</v>
      </c>
      <c r="C251">
        <v>0.992334932995687</v>
      </c>
      <c r="D251">
        <v>0.7196575878546509</v>
      </c>
      <c r="E251">
        <v>0.796278022188192</v>
      </c>
      <c r="F251">
        <v>0.379774371265053</v>
      </c>
      <c r="G251">
        <v>0.139977419059619</v>
      </c>
      <c r="H251">
        <v>0.0947669315951624</v>
      </c>
      <c r="I251">
        <v>0.06882413212077</v>
      </c>
      <c r="J251">
        <v>0.0676203791679157</v>
      </c>
      <c r="K251">
        <v>0.0642402654117771</v>
      </c>
      <c r="L251">
        <v>770.710813948133</v>
      </c>
      <c r="M251">
        <v>15.8689876273192</v>
      </c>
      <c r="N251">
        <v>48.7498017083102</v>
      </c>
      <c r="O251">
        <v>47.8154832646244</v>
      </c>
      <c r="P251">
        <v>-0.080581240125499</v>
      </c>
      <c r="Q251">
        <v>0.0288683978338544</v>
      </c>
      <c r="R251">
        <v>0.965712514579964</v>
      </c>
      <c r="S251" t="s">
        <v>2444</v>
      </c>
      <c r="T251" t="s">
        <v>4362</v>
      </c>
      <c r="U251" t="s">
        <v>4362</v>
      </c>
      <c r="V251" t="s">
        <v>4362</v>
      </c>
      <c r="W251" t="s">
        <v>4613</v>
      </c>
      <c r="X251">
        <v>6</v>
      </c>
      <c r="Y251" t="s">
        <v>6772</v>
      </c>
      <c r="Z251" t="s">
        <v>8939</v>
      </c>
      <c r="AA251">
        <v>0.4225529000745359</v>
      </c>
      <c r="AB251">
        <f>HYPERLINK("Melting_Curves/meltCurve_P0A6S7_gpsA.pdf", "Melting_Curves/meltCurve_P0A6S7_gpsA.pdf")</f>
        <v>0</v>
      </c>
    </row>
    <row r="252" spans="1:28">
      <c r="A252" t="s">
        <v>278</v>
      </c>
      <c r="B252">
        <v>0.999739202189716</v>
      </c>
      <c r="C252">
        <v>1.13430068672079</v>
      </c>
      <c r="D252">
        <v>1.12364712941997</v>
      </c>
      <c r="E252">
        <v>0.987425019508418</v>
      </c>
      <c r="F252">
        <v>0.964699557307563</v>
      </c>
      <c r="G252">
        <v>0.914256733708514</v>
      </c>
      <c r="H252">
        <v>0.496907844574802</v>
      </c>
      <c r="I252">
        <v>0.177567573210655</v>
      </c>
      <c r="J252">
        <v>0.0907524938467336</v>
      </c>
      <c r="K252">
        <v>0.0343605109093727</v>
      </c>
      <c r="L252">
        <v>1825.18143903211</v>
      </c>
      <c r="M252">
        <v>31.8479505621484</v>
      </c>
      <c r="N252">
        <v>57.4775597040404</v>
      </c>
      <c r="O252">
        <v>57.0846989869309</v>
      </c>
      <c r="P252">
        <v>-0.133266934930646</v>
      </c>
      <c r="Q252">
        <v>0.0445271221869188</v>
      </c>
      <c r="R252">
        <v>0.980144698820594</v>
      </c>
      <c r="S252" t="s">
        <v>2445</v>
      </c>
      <c r="T252" t="s">
        <v>4362</v>
      </c>
      <c r="U252" t="s">
        <v>4362</v>
      </c>
      <c r="V252" t="s">
        <v>4362</v>
      </c>
      <c r="W252" t="s">
        <v>4614</v>
      </c>
      <c r="X252">
        <v>16</v>
      </c>
      <c r="Y252" t="s">
        <v>6773</v>
      </c>
      <c r="Z252" t="s">
        <v>8940</v>
      </c>
      <c r="AA252">
        <v>0.6965179362421882</v>
      </c>
      <c r="AB252">
        <f>HYPERLINK("Melting_Curves/meltCurve_P0A6T1_pgi.pdf", "Melting_Curves/meltCurve_P0A6T1_pgi.pdf")</f>
        <v>0</v>
      </c>
    </row>
    <row r="253" spans="1:28">
      <c r="A253" t="s">
        <v>279</v>
      </c>
      <c r="B253">
        <v>0.999739202189716</v>
      </c>
      <c r="C253">
        <v>0.972179368416161</v>
      </c>
      <c r="D253">
        <v>0.909493910172115</v>
      </c>
      <c r="E253">
        <v>0.8686719840202159</v>
      </c>
      <c r="F253">
        <v>0.55243624164614</v>
      </c>
      <c r="G253">
        <v>0.312726458523145</v>
      </c>
      <c r="H253">
        <v>0.190070314785586</v>
      </c>
      <c r="I253">
        <v>0.124792778469009</v>
      </c>
      <c r="J253">
        <v>0.120003070642562</v>
      </c>
      <c r="K253">
        <v>0.10027336970578</v>
      </c>
      <c r="L253">
        <v>911.376629948151</v>
      </c>
      <c r="M253">
        <v>18.0724922254229</v>
      </c>
      <c r="N253">
        <v>51.0128020269557</v>
      </c>
      <c r="O253">
        <v>49.8236430818987</v>
      </c>
      <c r="P253">
        <v>-0.0822137485208687</v>
      </c>
      <c r="Q253">
        <v>0.09343082269483211</v>
      </c>
      <c r="R253">
        <v>0.996480989099238</v>
      </c>
      <c r="S253" t="s">
        <v>2446</v>
      </c>
      <c r="T253" t="s">
        <v>4362</v>
      </c>
      <c r="U253" t="s">
        <v>4362</v>
      </c>
      <c r="V253" t="s">
        <v>4362</v>
      </c>
      <c r="W253" t="s">
        <v>4615</v>
      </c>
      <c r="X253">
        <v>8</v>
      </c>
      <c r="Y253" t="s">
        <v>6774</v>
      </c>
      <c r="Z253" t="s">
        <v>8941</v>
      </c>
      <c r="AA253">
        <v>0.5133485390408381</v>
      </c>
      <c r="AB253">
        <f>HYPERLINK("Melting_Curves/meltCurve_P0A6T3_galK.pdf", "Melting_Curves/meltCurve_P0A6T3_galK.pdf")</f>
        <v>0</v>
      </c>
    </row>
    <row r="254" spans="1:28">
      <c r="A254" t="s">
        <v>280</v>
      </c>
      <c r="B254">
        <v>0.999739202189716</v>
      </c>
      <c r="C254">
        <v>0.956206643579847</v>
      </c>
      <c r="D254">
        <v>1.13128734534733</v>
      </c>
      <c r="E254">
        <v>1.06100816335212</v>
      </c>
      <c r="F254">
        <v>0.847829807320724</v>
      </c>
      <c r="G254">
        <v>0.943059605686516</v>
      </c>
      <c r="H254">
        <v>0.614686552749102</v>
      </c>
      <c r="I254">
        <v>0.601089113479894</v>
      </c>
      <c r="J254">
        <v>0.559006907808219</v>
      </c>
      <c r="K254">
        <v>0.468633859382829</v>
      </c>
      <c r="L254">
        <v>1212.33066147299</v>
      </c>
      <c r="M254">
        <v>21.6128329863066</v>
      </c>
      <c r="O254">
        <v>55.6194985581728</v>
      </c>
      <c r="P254">
        <v>-0.0494108157003236</v>
      </c>
      <c r="Q254">
        <v>0.491387527916366</v>
      </c>
      <c r="R254">
        <v>0.893884814032715</v>
      </c>
      <c r="S254" t="s">
        <v>2447</v>
      </c>
      <c r="T254" t="s">
        <v>4362</v>
      </c>
      <c r="U254" t="s">
        <v>4362</v>
      </c>
      <c r="V254" t="s">
        <v>4362</v>
      </c>
      <c r="W254" t="s">
        <v>4616</v>
      </c>
      <c r="X254">
        <v>9</v>
      </c>
      <c r="Y254" t="s">
        <v>6775</v>
      </c>
      <c r="Z254" t="s">
        <v>8942</v>
      </c>
      <c r="AA254">
        <v>0.8199153171144181</v>
      </c>
      <c r="AB254">
        <f>HYPERLINK("Melting_Curves/meltCurve_P0A6T5_folE.pdf", "Melting_Curves/meltCurve_P0A6T5_folE.pdf")</f>
        <v>0</v>
      </c>
    </row>
    <row r="255" spans="1:28">
      <c r="A255" t="s">
        <v>281</v>
      </c>
      <c r="B255">
        <v>0.999739202189716</v>
      </c>
      <c r="C255">
        <v>1.15964619468212</v>
      </c>
      <c r="D255">
        <v>0.852427472584241</v>
      </c>
      <c r="E255">
        <v>1.12007933387955</v>
      </c>
      <c r="F255">
        <v>0.777065133075851</v>
      </c>
      <c r="G255">
        <v>0.660553818933861</v>
      </c>
      <c r="H255">
        <v>0.571171647053937</v>
      </c>
      <c r="I255">
        <v>0.536693811391773</v>
      </c>
      <c r="J255">
        <v>0.417058554115237</v>
      </c>
      <c r="K255">
        <v>0.535644871397305</v>
      </c>
      <c r="L255">
        <v>1292.27412348644</v>
      </c>
      <c r="M255">
        <v>24.9774610138067</v>
      </c>
      <c r="O255">
        <v>51.4093930615497</v>
      </c>
      <c r="P255">
        <v>-0.0605739253573809</v>
      </c>
      <c r="Q255">
        <v>0.501306128327207</v>
      </c>
      <c r="R255">
        <v>0.864380403508011</v>
      </c>
      <c r="S255" t="s">
        <v>2448</v>
      </c>
      <c r="T255" t="s">
        <v>4362</v>
      </c>
      <c r="U255" t="s">
        <v>4362</v>
      </c>
      <c r="V255" t="s">
        <v>4362</v>
      </c>
      <c r="W255" t="s">
        <v>4617</v>
      </c>
      <c r="X255">
        <v>2</v>
      </c>
      <c r="Y255" t="s">
        <v>6776</v>
      </c>
      <c r="Z255" t="s">
        <v>8943</v>
      </c>
      <c r="AA255">
        <v>0.7507142289338795</v>
      </c>
      <c r="AB255">
        <f>HYPERLINK("Melting_Curves/meltCurve_P0A6T9_gcvH.pdf", "Melting_Curves/meltCurve_P0A6T9_gcvH.pdf")</f>
        <v>0</v>
      </c>
    </row>
    <row r="256" spans="1:28">
      <c r="A256" t="s">
        <v>282</v>
      </c>
      <c r="B256">
        <v>0.999739202189716</v>
      </c>
      <c r="C256">
        <v>0.977886354350512</v>
      </c>
      <c r="D256">
        <v>0.5928544876138671</v>
      </c>
      <c r="E256">
        <v>0.41861984081096</v>
      </c>
      <c r="F256">
        <v>0.224871306567758</v>
      </c>
      <c r="G256">
        <v>0.153089403187655</v>
      </c>
      <c r="H256">
        <v>0.138360915055997</v>
      </c>
      <c r="I256">
        <v>0.09296735589549771</v>
      </c>
      <c r="J256">
        <v>0.0823193836142589</v>
      </c>
      <c r="K256">
        <v>0.0686702521110677</v>
      </c>
      <c r="L256">
        <v>743.958607332749</v>
      </c>
      <c r="M256">
        <v>16.6919197920371</v>
      </c>
      <c r="N256">
        <v>45.1170218593552</v>
      </c>
      <c r="O256">
        <v>43.9450416031233</v>
      </c>
      <c r="P256">
        <v>-0.08626557630323479</v>
      </c>
      <c r="Q256">
        <v>0.09161065079046569</v>
      </c>
      <c r="R256">
        <v>0.983567066204701</v>
      </c>
      <c r="S256" t="s">
        <v>2449</v>
      </c>
      <c r="T256" t="s">
        <v>4362</v>
      </c>
      <c r="U256" t="s">
        <v>4362</v>
      </c>
      <c r="V256" t="s">
        <v>4362</v>
      </c>
      <c r="W256" t="s">
        <v>4618</v>
      </c>
      <c r="X256">
        <v>5</v>
      </c>
      <c r="Y256" t="s">
        <v>6777</v>
      </c>
      <c r="Z256" t="s">
        <v>8944</v>
      </c>
      <c r="AA256">
        <v>0.3384504548298868</v>
      </c>
      <c r="AB256">
        <f>HYPERLINK("Melting_Curves/meltCurve_P0A6U3_mnmG.pdf", "Melting_Curves/meltCurve_P0A6U3_mnmG.pdf")</f>
        <v>0</v>
      </c>
    </row>
    <row r="257" spans="1:28">
      <c r="A257" t="s">
        <v>283</v>
      </c>
      <c r="B257">
        <v>0.999739202189716</v>
      </c>
      <c r="C257">
        <v>1.64399081957604</v>
      </c>
      <c r="D257">
        <v>0.511019112769252</v>
      </c>
      <c r="E257">
        <v>1.09836976932162</v>
      </c>
      <c r="F257">
        <v>0.746075710484329</v>
      </c>
      <c r="G257">
        <v>0.313344998030427</v>
      </c>
      <c r="H257">
        <v>0.227355137731466</v>
      </c>
      <c r="I257">
        <v>0.209077410994406</v>
      </c>
      <c r="J257">
        <v>0.192111850561466</v>
      </c>
      <c r="K257">
        <v>0.245553606221846</v>
      </c>
      <c r="L257">
        <v>2256.10402613817</v>
      </c>
      <c r="M257">
        <v>44.1362063066194</v>
      </c>
      <c r="N257">
        <v>51.7960887885948</v>
      </c>
      <c r="O257">
        <v>51.012249659053</v>
      </c>
      <c r="P257">
        <v>-0.168778442374085</v>
      </c>
      <c r="Q257">
        <v>0.219710373159432</v>
      </c>
      <c r="R257">
        <v>0.695155430116323</v>
      </c>
      <c r="S257" t="s">
        <v>2450</v>
      </c>
      <c r="T257" t="s">
        <v>4362</v>
      </c>
      <c r="U257" t="s">
        <v>4362</v>
      </c>
      <c r="V257" t="s">
        <v>4362</v>
      </c>
      <c r="W257" t="s">
        <v>4619</v>
      </c>
      <c r="X257">
        <v>3</v>
      </c>
      <c r="Y257" t="s">
        <v>6778</v>
      </c>
      <c r="Z257" t="s">
        <v>8945</v>
      </c>
      <c r="AA257">
        <v>0.5891448529003719</v>
      </c>
      <c r="AB257">
        <f>HYPERLINK("Melting_Curves/meltCurve_P0A6U5_rsmG.pdf", "Melting_Curves/meltCurve_P0A6U5_rsmG.pdf")</f>
        <v>0</v>
      </c>
    </row>
    <row r="258" spans="1:28">
      <c r="A258" t="s">
        <v>284</v>
      </c>
      <c r="B258">
        <v>0.999739202189716</v>
      </c>
      <c r="C258">
        <v>0.904770305631053</v>
      </c>
      <c r="D258">
        <v>0.437406443595912</v>
      </c>
      <c r="E258">
        <v>0.40154359404814</v>
      </c>
      <c r="F258">
        <v>0.285619004548038</v>
      </c>
      <c r="G258">
        <v>0.238344251033232</v>
      </c>
      <c r="H258">
        <v>0.175703819453973</v>
      </c>
      <c r="I258">
        <v>0.171164232893942</v>
      </c>
      <c r="J258">
        <v>0.152307227819106</v>
      </c>
      <c r="K258">
        <v>0.132088067589845</v>
      </c>
      <c r="L258">
        <v>812.189395471835</v>
      </c>
      <c r="M258">
        <v>19.051383434964</v>
      </c>
      <c r="N258">
        <v>43.684279703321</v>
      </c>
      <c r="O258">
        <v>42.17014646267</v>
      </c>
      <c r="P258">
        <v>-0.0921563359351933</v>
      </c>
      <c r="Q258">
        <v>0.184081818223084</v>
      </c>
      <c r="R258">
        <v>0.956358411853845</v>
      </c>
      <c r="S258" t="s">
        <v>2451</v>
      </c>
      <c r="T258" t="s">
        <v>4362</v>
      </c>
      <c r="U258" t="s">
        <v>4362</v>
      </c>
      <c r="V258" t="s">
        <v>4362</v>
      </c>
      <c r="W258" t="s">
        <v>4620</v>
      </c>
      <c r="X258">
        <v>4</v>
      </c>
      <c r="Y258" t="s">
        <v>6779</v>
      </c>
      <c r="Z258" t="s">
        <v>8946</v>
      </c>
      <c r="AA258">
        <v>0.3502701596069313</v>
      </c>
      <c r="AB258">
        <f>HYPERLINK("Melting_Curves/meltCurve_P0A6U8_glgA.pdf", "Melting_Curves/meltCurve_P0A6U8_glgA.pdf")</f>
        <v>0</v>
      </c>
    </row>
    <row r="259" spans="1:28">
      <c r="A259" t="s">
        <v>285</v>
      </c>
      <c r="B259">
        <v>0.999739202189716</v>
      </c>
      <c r="C259">
        <v>1.22682982719305</v>
      </c>
      <c r="D259">
        <v>1.05865381720907</v>
      </c>
      <c r="E259">
        <v>1.05272322962405</v>
      </c>
      <c r="F259">
        <v>0.9227872087483729</v>
      </c>
      <c r="G259">
        <v>0.917717511327002</v>
      </c>
      <c r="H259">
        <v>0.64798408249379</v>
      </c>
      <c r="I259">
        <v>0.55473151553276</v>
      </c>
      <c r="J259">
        <v>0.5842947622731181</v>
      </c>
      <c r="K259">
        <v>0.403014460742526</v>
      </c>
      <c r="L259">
        <v>1258.02288497161</v>
      </c>
      <c r="M259">
        <v>22.2034315963997</v>
      </c>
      <c r="N259">
        <v>63.7682652723047</v>
      </c>
      <c r="O259">
        <v>56.2053526470079</v>
      </c>
      <c r="P259">
        <v>-0.0535356669363812</v>
      </c>
      <c r="Q259">
        <v>0.457934974017537</v>
      </c>
      <c r="R259">
        <v>0.882071964963645</v>
      </c>
      <c r="S259" t="s">
        <v>2452</v>
      </c>
      <c r="T259" t="s">
        <v>4362</v>
      </c>
      <c r="U259" t="s">
        <v>4362</v>
      </c>
      <c r="V259" t="s">
        <v>4362</v>
      </c>
      <c r="W259" t="s">
        <v>4621</v>
      </c>
      <c r="X259">
        <v>10</v>
      </c>
      <c r="Y259" t="s">
        <v>6780</v>
      </c>
      <c r="Z259" t="s">
        <v>8947</v>
      </c>
      <c r="AA259">
        <v>0.817857725065668</v>
      </c>
      <c r="AB259">
        <f>HYPERLINK("Melting_Curves/meltCurve_P0A6V1_glgC.pdf", "Melting_Curves/meltCurve_P0A6V1_glgC.pdf")</f>
        <v>0</v>
      </c>
    </row>
    <row r="260" spans="1:28">
      <c r="A260" t="s">
        <v>286</v>
      </c>
      <c r="B260">
        <v>0.999739202189716</v>
      </c>
      <c r="C260">
        <v>1.01957094052053</v>
      </c>
      <c r="D260">
        <v>0.54698083618481</v>
      </c>
      <c r="E260">
        <v>1.00570642914929</v>
      </c>
      <c r="F260">
        <v>0.738878411212112</v>
      </c>
      <c r="G260">
        <v>0.635250208410047</v>
      </c>
      <c r="H260">
        <v>0.716079746379529</v>
      </c>
      <c r="I260">
        <v>0.548412174442225</v>
      </c>
      <c r="J260">
        <v>0.484248714969843</v>
      </c>
      <c r="K260">
        <v>0.468519047224973</v>
      </c>
      <c r="L260">
        <v>242.136972102976</v>
      </c>
      <c r="M260">
        <v>3.71751578961323</v>
      </c>
      <c r="N260">
        <v>65.1340964834579</v>
      </c>
      <c r="O260">
        <v>52.1860517224632</v>
      </c>
      <c r="P260">
        <v>-0.0180976677116291</v>
      </c>
      <c r="Q260">
        <v>0</v>
      </c>
      <c r="R260">
        <v>0.611716311389961</v>
      </c>
      <c r="S260" t="s">
        <v>2453</v>
      </c>
      <c r="T260" t="s">
        <v>4362</v>
      </c>
      <c r="U260" t="s">
        <v>4362</v>
      </c>
      <c r="V260" t="s">
        <v>4362</v>
      </c>
      <c r="W260" t="s">
        <v>4622</v>
      </c>
      <c r="X260">
        <v>2</v>
      </c>
      <c r="Y260" t="s">
        <v>6781</v>
      </c>
      <c r="Z260" t="s">
        <v>8948</v>
      </c>
      <c r="AA260">
        <v>0.7165757817055187</v>
      </c>
      <c r="AB260">
        <f>HYPERLINK("Melting_Curves/meltCurve_P0A6V5_glpE.pdf", "Melting_Curves/meltCurve_P0A6V5_glpE.pdf")</f>
        <v>0</v>
      </c>
    </row>
    <row r="261" spans="1:28">
      <c r="A261" t="s">
        <v>287</v>
      </c>
      <c r="B261">
        <v>0.999739202189716</v>
      </c>
      <c r="C261">
        <v>0.876148790753041</v>
      </c>
      <c r="D261">
        <v>0.602102091748538</v>
      </c>
      <c r="E261">
        <v>0.299057787931684</v>
      </c>
      <c r="F261">
        <v>0.172677990382938</v>
      </c>
      <c r="G261">
        <v>0.0875863617956755</v>
      </c>
      <c r="H261">
        <v>0.07096435157061801</v>
      </c>
      <c r="I261">
        <v>0.0526238606000633</v>
      </c>
      <c r="J261">
        <v>0.046911508463407</v>
      </c>
      <c r="K261">
        <v>0.0431799128322825</v>
      </c>
      <c r="L261">
        <v>781.058422940422</v>
      </c>
      <c r="M261">
        <v>17.7713277979913</v>
      </c>
      <c r="N261">
        <v>44.2199152351571</v>
      </c>
      <c r="O261">
        <v>43.4053017763844</v>
      </c>
      <c r="P261">
        <v>-0.097109746366019</v>
      </c>
      <c r="Q261">
        <v>0.0513125002098782</v>
      </c>
      <c r="R261">
        <v>0.998009553077837</v>
      </c>
      <c r="S261" t="s">
        <v>2454</v>
      </c>
      <c r="T261" t="s">
        <v>4362</v>
      </c>
      <c r="U261" t="s">
        <v>4362</v>
      </c>
      <c r="V261" t="s">
        <v>4362</v>
      </c>
      <c r="W261" t="s">
        <v>4623</v>
      </c>
      <c r="X261">
        <v>10</v>
      </c>
      <c r="Y261" t="s">
        <v>6782</v>
      </c>
      <c r="Z261" t="s">
        <v>8949</v>
      </c>
      <c r="AA261">
        <v>0.2875681985568937</v>
      </c>
      <c r="AB261">
        <f>HYPERLINK("Melting_Curves/meltCurve_P0A6V8_glk.pdf", "Melting_Curves/meltCurve_P0A6V8_glk.pdf")</f>
        <v>0</v>
      </c>
    </row>
    <row r="262" spans="1:28">
      <c r="A262" t="s">
        <v>288</v>
      </c>
      <c r="B262">
        <v>0.999739202189716</v>
      </c>
      <c r="C262">
        <v>1.22332322164271</v>
      </c>
      <c r="D262">
        <v>0.401571297928952</v>
      </c>
      <c r="E262">
        <v>0.475324934018944</v>
      </c>
      <c r="F262">
        <v>0.290068456013975</v>
      </c>
      <c r="G262">
        <v>0.201978574415504</v>
      </c>
      <c r="H262">
        <v>0.171069988427634</v>
      </c>
      <c r="I262">
        <v>0.217805960794463</v>
      </c>
      <c r="J262">
        <v>0.149011251157879</v>
      </c>
      <c r="K262">
        <v>0.137273680174521</v>
      </c>
      <c r="L262">
        <v>10695.0988862816</v>
      </c>
      <c r="M262">
        <v>250</v>
      </c>
      <c r="N262">
        <v>42.8890851047236</v>
      </c>
      <c r="O262">
        <v>42.7776378832007</v>
      </c>
      <c r="P262">
        <v>-1.1182128862258</v>
      </c>
      <c r="Q262">
        <v>0.234647545673077</v>
      </c>
      <c r="R262">
        <v>0.898024656130689</v>
      </c>
      <c r="S262" t="s">
        <v>2455</v>
      </c>
      <c r="T262" t="s">
        <v>4362</v>
      </c>
      <c r="U262" t="s">
        <v>4362</v>
      </c>
      <c r="V262" t="s">
        <v>4362</v>
      </c>
      <c r="W262" t="s">
        <v>4624</v>
      </c>
      <c r="X262">
        <v>2</v>
      </c>
      <c r="Y262" t="s">
        <v>6783</v>
      </c>
      <c r="Z262" t="s">
        <v>8950</v>
      </c>
      <c r="AA262">
        <v>0.3821730047632711</v>
      </c>
      <c r="AB262">
        <f>HYPERLINK("Melting_Curves/meltCurve_P0A6W3_mraY.pdf", "Melting_Curves/meltCurve_P0A6W3_mraY.pdf")</f>
        <v>0</v>
      </c>
    </row>
    <row r="263" spans="1:28">
      <c r="A263" t="s">
        <v>289</v>
      </c>
      <c r="B263">
        <v>0.999739202189716</v>
      </c>
      <c r="C263">
        <v>1.11040430753651</v>
      </c>
      <c r="D263">
        <v>1.07098215954016</v>
      </c>
      <c r="E263">
        <v>1.12993273160579</v>
      </c>
      <c r="F263">
        <v>0.876183436496646</v>
      </c>
      <c r="G263">
        <v>0.74368596909397</v>
      </c>
      <c r="H263">
        <v>0.64584744099651</v>
      </c>
      <c r="I263">
        <v>0.592259695720906</v>
      </c>
      <c r="J263">
        <v>0.494150083105471</v>
      </c>
      <c r="K263">
        <v>0.587415627761933</v>
      </c>
      <c r="L263">
        <v>1334.54944934254</v>
      </c>
      <c r="M263">
        <v>25.0766804442431</v>
      </c>
      <c r="O263">
        <v>52.8837591601497</v>
      </c>
      <c r="P263">
        <v>-0.0526988301078941</v>
      </c>
      <c r="Q263">
        <v>0.555463365089029</v>
      </c>
      <c r="R263">
        <v>0.912409506708548</v>
      </c>
      <c r="S263" t="s">
        <v>2456</v>
      </c>
      <c r="T263" t="s">
        <v>4362</v>
      </c>
      <c r="U263" t="s">
        <v>4362</v>
      </c>
      <c r="V263" t="s">
        <v>4362</v>
      </c>
      <c r="W263" t="s">
        <v>4625</v>
      </c>
      <c r="X263">
        <v>7</v>
      </c>
      <c r="Y263" t="s">
        <v>6784</v>
      </c>
      <c r="Z263" t="s">
        <v>8951</v>
      </c>
      <c r="AA263">
        <v>0.7996921954575392</v>
      </c>
      <c r="AB263">
        <f>HYPERLINK("Melting_Curves/meltCurve_P0A6W5_greA.pdf", "Melting_Curves/meltCurve_P0A6W5_greA.pdf")</f>
        <v>0</v>
      </c>
    </row>
    <row r="264" spans="1:28">
      <c r="A264" t="s">
        <v>290</v>
      </c>
      <c r="B264">
        <v>0.999739202189716</v>
      </c>
      <c r="C264">
        <v>1.06544394567668</v>
      </c>
      <c r="D264">
        <v>1.08426429869818</v>
      </c>
      <c r="E264">
        <v>0.898415333971369</v>
      </c>
      <c r="F264">
        <v>0.352339444761046</v>
      </c>
      <c r="G264">
        <v>0.101115448427749</v>
      </c>
      <c r="H264">
        <v>0.0691760115288297</v>
      </c>
      <c r="I264">
        <v>0.0449774632001289</v>
      </c>
      <c r="J264">
        <v>0.0508236278936187</v>
      </c>
      <c r="K264">
        <v>0.0424091724259889</v>
      </c>
      <c r="L264">
        <v>1893.43437029151</v>
      </c>
      <c r="M264">
        <v>38.4785153528469</v>
      </c>
      <c r="N264">
        <v>49.352690530101</v>
      </c>
      <c r="O264">
        <v>49.0752279624206</v>
      </c>
      <c r="P264">
        <v>-0.185533550173671</v>
      </c>
      <c r="Q264">
        <v>0.0534895248529016</v>
      </c>
      <c r="R264">
        <v>0.993852041156038</v>
      </c>
      <c r="S264" t="s">
        <v>2457</v>
      </c>
      <c r="T264" t="s">
        <v>4362</v>
      </c>
      <c r="U264" t="s">
        <v>4362</v>
      </c>
      <c r="V264" t="s">
        <v>4362</v>
      </c>
      <c r="W264" t="s">
        <v>4626</v>
      </c>
      <c r="X264">
        <v>13</v>
      </c>
      <c r="Y264" t="s">
        <v>6785</v>
      </c>
      <c r="Z264" t="s">
        <v>8952</v>
      </c>
      <c r="AA264">
        <v>0.442122423414549</v>
      </c>
      <c r="AB264">
        <f>HYPERLINK("Melting_Curves/meltCurve_P0A6W9_gshA.pdf", "Melting_Curves/meltCurve_P0A6W9_gshA.pdf")</f>
        <v>0</v>
      </c>
    </row>
    <row r="265" spans="1:28">
      <c r="A265" t="s">
        <v>291</v>
      </c>
      <c r="B265">
        <v>0.999739202189716</v>
      </c>
      <c r="C265">
        <v>1.51612344446011</v>
      </c>
      <c r="D265">
        <v>2.11250936431806</v>
      </c>
      <c r="E265">
        <v>1.93937433646476</v>
      </c>
      <c r="F265">
        <v>1.69543470408282</v>
      </c>
      <c r="G265">
        <v>1.74854841457493</v>
      </c>
      <c r="H265">
        <v>1.62478143497356</v>
      </c>
      <c r="I265">
        <v>1.10959647691379</v>
      </c>
      <c r="J265">
        <v>1.03496013614506</v>
      </c>
      <c r="K265">
        <v>0.533466787371628</v>
      </c>
      <c r="L265">
        <v>15000</v>
      </c>
      <c r="M265">
        <v>223.746509693476</v>
      </c>
      <c r="Q265">
        <v>0</v>
      </c>
      <c r="R265">
        <v>-0.750571711469799</v>
      </c>
      <c r="S265" t="s">
        <v>2458</v>
      </c>
      <c r="T265" t="s">
        <v>4362</v>
      </c>
      <c r="U265" t="s">
        <v>4362</v>
      </c>
      <c r="V265" t="s">
        <v>4362</v>
      </c>
      <c r="W265" t="s">
        <v>4627</v>
      </c>
      <c r="X265">
        <v>4</v>
      </c>
      <c r="Y265" t="s">
        <v>6786</v>
      </c>
      <c r="Z265" t="s">
        <v>8953</v>
      </c>
      <c r="AA265">
        <v>0.9937963354908862</v>
      </c>
      <c r="AB265">
        <f>HYPERLINK("Melting_Curves/meltCurve_P0A6X3_hfq.pdf", "Melting_Curves/meltCurve_P0A6X3_hfq.pdf")</f>
        <v>0</v>
      </c>
    </row>
    <row r="266" spans="1:28">
      <c r="A266" t="s">
        <v>292</v>
      </c>
      <c r="B266">
        <v>0.999739202189716</v>
      </c>
      <c r="C266">
        <v>1.17390853778549</v>
      </c>
      <c r="D266">
        <v>0.764429220695381</v>
      </c>
      <c r="E266">
        <v>0.982012048724589</v>
      </c>
      <c r="F266">
        <v>0.821193007839191</v>
      </c>
      <c r="G266">
        <v>0.687144455175337</v>
      </c>
      <c r="H266">
        <v>0.517485640881771</v>
      </c>
      <c r="I266">
        <v>0.637475687118086</v>
      </c>
      <c r="J266">
        <v>0.521809005261176</v>
      </c>
      <c r="K266">
        <v>0.656705726780952</v>
      </c>
      <c r="L266">
        <v>1234.54421496183</v>
      </c>
      <c r="M266">
        <v>24.323117041681</v>
      </c>
      <c r="O266">
        <v>50.4166596675763</v>
      </c>
      <c r="P266">
        <v>-0.0505937429589525</v>
      </c>
      <c r="Q266">
        <v>0.580525991022582</v>
      </c>
      <c r="R266">
        <v>0.755567965841305</v>
      </c>
      <c r="S266" t="s">
        <v>2459</v>
      </c>
      <c r="T266" t="s">
        <v>4362</v>
      </c>
      <c r="U266" t="s">
        <v>4362</v>
      </c>
      <c r="V266" t="s">
        <v>4362</v>
      </c>
      <c r="W266" t="s">
        <v>4628</v>
      </c>
      <c r="X266">
        <v>4</v>
      </c>
      <c r="Y266" t="s">
        <v>6787</v>
      </c>
      <c r="Z266" t="s">
        <v>8954</v>
      </c>
      <c r="AA266">
        <v>0.7767567994189369</v>
      </c>
      <c r="AB266">
        <f>HYPERLINK("Melting_Curves/meltCurve_P0A6X7_ihfA.pdf", "Melting_Curves/meltCurve_P0A6X7_ihfA.pdf")</f>
        <v>0</v>
      </c>
    </row>
    <row r="267" spans="1:28">
      <c r="A267" t="s">
        <v>293</v>
      </c>
      <c r="B267">
        <v>0.999739202189716</v>
      </c>
      <c r="C267">
        <v>1.43663431595182</v>
      </c>
      <c r="D267">
        <v>0.923810235081432</v>
      </c>
      <c r="E267">
        <v>0.938364459639267</v>
      </c>
      <c r="F267">
        <v>0.429815427503286</v>
      </c>
      <c r="G267">
        <v>0.211663784734466</v>
      </c>
      <c r="H267">
        <v>0.13711767105805</v>
      </c>
      <c r="I267">
        <v>0.0988369080432676</v>
      </c>
      <c r="J267">
        <v>0.0944551748795474</v>
      </c>
      <c r="K267">
        <v>0.0985626920878694</v>
      </c>
      <c r="L267">
        <v>1712.21549988076</v>
      </c>
      <c r="M267">
        <v>34.588021989869</v>
      </c>
      <c r="N267">
        <v>49.8725246733168</v>
      </c>
      <c r="O267">
        <v>49.3385334275955</v>
      </c>
      <c r="P267">
        <v>-0.155455051381297</v>
      </c>
      <c r="Q267">
        <v>0.112999749770183</v>
      </c>
      <c r="R267">
        <v>0.908479092808771</v>
      </c>
      <c r="S267" t="s">
        <v>2460</v>
      </c>
      <c r="T267" t="s">
        <v>4362</v>
      </c>
      <c r="U267" t="s">
        <v>4362</v>
      </c>
      <c r="V267" t="s">
        <v>4362</v>
      </c>
      <c r="W267" t="s">
        <v>4629</v>
      </c>
      <c r="X267">
        <v>4</v>
      </c>
      <c r="Y267" t="s">
        <v>6788</v>
      </c>
      <c r="Z267" t="s">
        <v>8955</v>
      </c>
      <c r="AA267">
        <v>0.4867386939600586</v>
      </c>
      <c r="AB267">
        <f>HYPERLINK("Melting_Curves/meltCurve_P0A6Y1_ihfB.pdf", "Melting_Curves/meltCurve_P0A6Y1_ihfB.pdf")</f>
        <v>0</v>
      </c>
    </row>
    <row r="268" spans="1:28">
      <c r="A268" t="s">
        <v>294</v>
      </c>
      <c r="B268">
        <v>0.999739202189716</v>
      </c>
      <c r="C268">
        <v>1.06019877117943</v>
      </c>
      <c r="D268">
        <v>0.890225187584491</v>
      </c>
      <c r="E268">
        <v>0.951797668780873</v>
      </c>
      <c r="F268">
        <v>1.0331943239615</v>
      </c>
      <c r="G268">
        <v>0.888115224093618</v>
      </c>
      <c r="H268">
        <v>0.829438375828728</v>
      </c>
      <c r="I268">
        <v>0.623525749406302</v>
      </c>
      <c r="J268">
        <v>0.6369088500083681</v>
      </c>
      <c r="K268">
        <v>0.451841936703781</v>
      </c>
      <c r="L268">
        <v>740.594564256829</v>
      </c>
      <c r="M268">
        <v>11.7560468359202</v>
      </c>
      <c r="N268">
        <v>66.2320947342959</v>
      </c>
      <c r="O268">
        <v>61.2569488166598</v>
      </c>
      <c r="P268">
        <v>-0.0375081224958164</v>
      </c>
      <c r="Q268">
        <v>0.218433339825562</v>
      </c>
      <c r="R268">
        <v>0.916281591637213</v>
      </c>
      <c r="S268" t="s">
        <v>2461</v>
      </c>
      <c r="T268" t="s">
        <v>4362</v>
      </c>
      <c r="U268" t="s">
        <v>4362</v>
      </c>
      <c r="V268" t="s">
        <v>4362</v>
      </c>
      <c r="W268" t="s">
        <v>4630</v>
      </c>
      <c r="X268">
        <v>4</v>
      </c>
      <c r="Y268" t="s">
        <v>6789</v>
      </c>
      <c r="Z268" t="s">
        <v>8956</v>
      </c>
      <c r="AA268">
        <v>0.8573949597423767</v>
      </c>
      <c r="AB268">
        <f>HYPERLINK("Melting_Curves/meltCurve_P0A6Y5_hslO.pdf", "Melting_Curves/meltCurve_P0A6Y5_hslO.pdf")</f>
        <v>0</v>
      </c>
    </row>
    <row r="269" spans="1:28">
      <c r="A269" t="s">
        <v>295</v>
      </c>
      <c r="B269">
        <v>0.999739202189716</v>
      </c>
      <c r="C269">
        <v>1.08422026141005</v>
      </c>
      <c r="D269">
        <v>0.916625808370287</v>
      </c>
      <c r="E269">
        <v>1.04556649985941</v>
      </c>
      <c r="F269">
        <v>0.997059909397636</v>
      </c>
      <c r="G269">
        <v>0.778990926219337</v>
      </c>
      <c r="H269">
        <v>0.963566953295133</v>
      </c>
      <c r="I269">
        <v>0.722297351594019</v>
      </c>
      <c r="J269">
        <v>0.7994473110110411</v>
      </c>
      <c r="K269">
        <v>0.623036606535492</v>
      </c>
      <c r="L269">
        <v>482.811767483146</v>
      </c>
      <c r="M269">
        <v>6.56370741899631</v>
      </c>
      <c r="Q269">
        <v>0</v>
      </c>
      <c r="R269">
        <v>0.713556290728964</v>
      </c>
      <c r="S269" t="s">
        <v>2462</v>
      </c>
      <c r="T269" t="s">
        <v>4362</v>
      </c>
      <c r="U269" t="s">
        <v>4362</v>
      </c>
      <c r="V269" t="s">
        <v>4362</v>
      </c>
      <c r="W269" t="s">
        <v>4631</v>
      </c>
      <c r="X269">
        <v>32</v>
      </c>
      <c r="Y269" t="s">
        <v>6790</v>
      </c>
      <c r="Z269" t="s">
        <v>8957</v>
      </c>
      <c r="AA269">
        <v>0.8978900732078674</v>
      </c>
      <c r="AB269">
        <f>HYPERLINK("Melting_Curves/meltCurve_P0A6Y8_dnaK.pdf", "Melting_Curves/meltCurve_P0A6Y8_dnaK.pdf")</f>
        <v>0</v>
      </c>
    </row>
    <row r="270" spans="1:28">
      <c r="A270" t="s">
        <v>296</v>
      </c>
      <c r="B270">
        <v>0.999739202189716</v>
      </c>
      <c r="C270">
        <v>1.05085587123246</v>
      </c>
      <c r="D270">
        <v>0.962892518770568</v>
      </c>
      <c r="E270">
        <v>0.781628073082998</v>
      </c>
      <c r="F270">
        <v>0.513378855121681</v>
      </c>
      <c r="G270">
        <v>0.306356088567477</v>
      </c>
      <c r="H270">
        <v>0.214857119968406</v>
      </c>
      <c r="I270">
        <v>0.148669179691994</v>
      </c>
      <c r="J270">
        <v>0.122710760798438</v>
      </c>
      <c r="K270">
        <v>0.0975275140987981</v>
      </c>
      <c r="L270">
        <v>856.7265388113771</v>
      </c>
      <c r="M270">
        <v>17.1973446246847</v>
      </c>
      <c r="N270">
        <v>50.5262872815874</v>
      </c>
      <c r="O270">
        <v>49.1583979189804</v>
      </c>
      <c r="P270">
        <v>-0.0780885167003993</v>
      </c>
      <c r="Q270">
        <v>0.1071924697866</v>
      </c>
      <c r="R270">
        <v>0.995992673653656</v>
      </c>
      <c r="S270" t="s">
        <v>2463</v>
      </c>
      <c r="T270" t="s">
        <v>4362</v>
      </c>
      <c r="U270" t="s">
        <v>4362</v>
      </c>
      <c r="V270" t="s">
        <v>4362</v>
      </c>
      <c r="W270" t="s">
        <v>4632</v>
      </c>
      <c r="X270">
        <v>17</v>
      </c>
      <c r="Y270" t="s">
        <v>6791</v>
      </c>
      <c r="Z270" t="s">
        <v>8958</v>
      </c>
      <c r="AA270">
        <v>0.5038338758055312</v>
      </c>
      <c r="AB270">
        <f>HYPERLINK("Melting_Curves/meltCurve_P0A6Z1_hscA.pdf", "Melting_Curves/meltCurve_P0A6Z1_hscA.pdf")</f>
        <v>0</v>
      </c>
    </row>
    <row r="271" spans="1:28">
      <c r="A271" t="s">
        <v>297</v>
      </c>
      <c r="B271">
        <v>0.999739202189716</v>
      </c>
      <c r="C271">
        <v>1.22451246600546</v>
      </c>
      <c r="D271">
        <v>1.22053483117171</v>
      </c>
      <c r="E271">
        <v>1.24503961709274</v>
      </c>
      <c r="F271">
        <v>1.19284315336374</v>
      </c>
      <c r="G271">
        <v>1.1330798891263</v>
      </c>
      <c r="H271">
        <v>0.824797278816307</v>
      </c>
      <c r="I271">
        <v>0.123404208042069</v>
      </c>
      <c r="J271">
        <v>0.0960354898357885</v>
      </c>
      <c r="K271">
        <v>0.0786606602457499</v>
      </c>
      <c r="L271">
        <v>4697.66787875523</v>
      </c>
      <c r="M271">
        <v>80.3930839208011</v>
      </c>
      <c r="N271">
        <v>58.5765741446472</v>
      </c>
      <c r="O271">
        <v>58.3976054179707</v>
      </c>
      <c r="P271">
        <v>-0.313529205960427</v>
      </c>
      <c r="Q271">
        <v>0.08900859815221671</v>
      </c>
      <c r="R271">
        <v>0.90808981494279</v>
      </c>
      <c r="S271" t="s">
        <v>2464</v>
      </c>
      <c r="T271" t="s">
        <v>4362</v>
      </c>
      <c r="U271" t="s">
        <v>4362</v>
      </c>
      <c r="V271" t="s">
        <v>4362</v>
      </c>
      <c r="W271" t="s">
        <v>4633</v>
      </c>
      <c r="X271">
        <v>25</v>
      </c>
      <c r="Y271" t="s">
        <v>6792</v>
      </c>
      <c r="Z271" t="s">
        <v>8959</v>
      </c>
      <c r="AA271">
        <v>0.7407775769013355</v>
      </c>
      <c r="AB271">
        <f>HYPERLINK("Melting_Curves/meltCurve_P0A6Z3_htpG.pdf", "Melting_Curves/meltCurve_P0A6Z3_htpG.pdf")</f>
        <v>0</v>
      </c>
    </row>
    <row r="272" spans="1:28">
      <c r="A272" t="s">
        <v>298</v>
      </c>
      <c r="B272">
        <v>0.999739202189716</v>
      </c>
      <c r="C272">
        <v>0.909781931196277</v>
      </c>
      <c r="D272">
        <v>0.991265592537949</v>
      </c>
      <c r="E272">
        <v>0.847941276303846</v>
      </c>
      <c r="F272">
        <v>0.675997100549466</v>
      </c>
      <c r="G272">
        <v>0.614614016597421</v>
      </c>
      <c r="H272">
        <v>0.546457141192433</v>
      </c>
      <c r="I272">
        <v>0.510723934264144</v>
      </c>
      <c r="J272">
        <v>0.410404235980052</v>
      </c>
      <c r="K272">
        <v>0.476064428667599</v>
      </c>
      <c r="L272">
        <v>626.903989292947</v>
      </c>
      <c r="M272">
        <v>12.5054622430723</v>
      </c>
      <c r="N272">
        <v>59.6107156170106</v>
      </c>
      <c r="O272">
        <v>48.9003051308121</v>
      </c>
      <c r="P272">
        <v>-0.0363490273995571</v>
      </c>
      <c r="Q272">
        <v>0.431572079367874</v>
      </c>
      <c r="R272">
        <v>0.968809749738774</v>
      </c>
      <c r="S272" t="s">
        <v>2465</v>
      </c>
      <c r="T272" t="s">
        <v>4362</v>
      </c>
      <c r="U272" t="s">
        <v>4362</v>
      </c>
      <c r="V272" t="s">
        <v>4362</v>
      </c>
      <c r="W272" t="s">
        <v>4634</v>
      </c>
      <c r="X272">
        <v>1</v>
      </c>
      <c r="Y272" t="s">
        <v>6793</v>
      </c>
      <c r="Z272" t="s">
        <v>8960</v>
      </c>
      <c r="AA272">
        <v>0.6953909211455653</v>
      </c>
      <c r="AB272">
        <f>HYPERLINK("Melting_Curves/meltCurve_P0A6Z6_nikR.pdf", "Melting_Curves/meltCurve_P0A6Z6_nikR.pdf")</f>
        <v>0</v>
      </c>
    </row>
    <row r="273" spans="1:28">
      <c r="A273" t="s">
        <v>299</v>
      </c>
      <c r="B273">
        <v>0.999739202189716</v>
      </c>
      <c r="C273">
        <v>1.12424985243857</v>
      </c>
      <c r="D273">
        <v>0.901407536489893</v>
      </c>
      <c r="E273">
        <v>0.520695041400735</v>
      </c>
      <c r="F273">
        <v>0.403969121271701</v>
      </c>
      <c r="G273">
        <v>0.318516235273995</v>
      </c>
      <c r="H273">
        <v>0.291075617508648</v>
      </c>
      <c r="I273">
        <v>0.286630356576459</v>
      </c>
      <c r="J273">
        <v>0.25851301423382</v>
      </c>
      <c r="K273">
        <v>0.237908467710107</v>
      </c>
      <c r="L273">
        <v>1294.57314413122</v>
      </c>
      <c r="M273">
        <v>28.2984218977915</v>
      </c>
      <c r="N273">
        <v>47.1497555130226</v>
      </c>
      <c r="O273">
        <v>45.5205808149586</v>
      </c>
      <c r="P273">
        <v>-0.111195798666732</v>
      </c>
      <c r="Q273">
        <v>0.284532023379623</v>
      </c>
      <c r="R273">
        <v>0.974167519098326</v>
      </c>
      <c r="S273" t="s">
        <v>2466</v>
      </c>
      <c r="T273" t="s">
        <v>4362</v>
      </c>
      <c r="U273" t="s">
        <v>4362</v>
      </c>
      <c r="V273" t="s">
        <v>4362</v>
      </c>
      <c r="W273" t="s">
        <v>4635</v>
      </c>
      <c r="X273">
        <v>43</v>
      </c>
      <c r="Y273" t="s">
        <v>6794</v>
      </c>
      <c r="Z273" t="s">
        <v>8961</v>
      </c>
      <c r="AA273">
        <v>0.4977237410205604</v>
      </c>
      <c r="AB273">
        <f>HYPERLINK("Melting_Curves/meltCurve_P0A705_infB.pdf", "Melting_Curves/meltCurve_P0A705_infB.pdf")</f>
        <v>0</v>
      </c>
    </row>
    <row r="274" spans="1:28">
      <c r="A274" t="s">
        <v>300</v>
      </c>
      <c r="B274">
        <v>0.999739202189716</v>
      </c>
      <c r="C274">
        <v>1.00246416024502</v>
      </c>
      <c r="D274">
        <v>1.21074166525753</v>
      </c>
      <c r="E274">
        <v>1.05749328231919</v>
      </c>
      <c r="F274">
        <v>0.897744038823899</v>
      </c>
      <c r="G274">
        <v>0.5692384554391</v>
      </c>
      <c r="H274">
        <v>0.3590575467257</v>
      </c>
      <c r="I274">
        <v>0.202669585926894</v>
      </c>
      <c r="J274">
        <v>0.17030336461217</v>
      </c>
      <c r="K274">
        <v>0.151386722387322</v>
      </c>
      <c r="L274">
        <v>1343.77809793649</v>
      </c>
      <c r="M274">
        <v>24.8625262665274</v>
      </c>
      <c r="N274">
        <v>54.887502901391</v>
      </c>
      <c r="O274">
        <v>53.7023136152956</v>
      </c>
      <c r="P274">
        <v>-0.097443585226287</v>
      </c>
      <c r="Q274">
        <v>0.158110646880164</v>
      </c>
      <c r="R274">
        <v>0.965666984734749</v>
      </c>
      <c r="S274" t="s">
        <v>2467</v>
      </c>
      <c r="T274" t="s">
        <v>4362</v>
      </c>
      <c r="U274" t="s">
        <v>4362</v>
      </c>
      <c r="V274" t="s">
        <v>4362</v>
      </c>
      <c r="W274" t="s">
        <v>4636</v>
      </c>
      <c r="X274">
        <v>7</v>
      </c>
      <c r="Y274" t="s">
        <v>6795</v>
      </c>
      <c r="Z274" t="s">
        <v>8962</v>
      </c>
      <c r="AA274">
        <v>0.6439463818149115</v>
      </c>
      <c r="AB274">
        <f>HYPERLINK("Melting_Curves/meltCurve_P0A707_infC.pdf", "Melting_Curves/meltCurve_P0A707_infC.pdf")</f>
        <v>0</v>
      </c>
    </row>
    <row r="275" spans="1:28">
      <c r="A275" t="s">
        <v>301</v>
      </c>
      <c r="B275">
        <v>0.999739202189716</v>
      </c>
      <c r="C275">
        <v>0.870634542318089</v>
      </c>
      <c r="D275">
        <v>1.13520863895145</v>
      </c>
      <c r="E275">
        <v>0.785109999415885</v>
      </c>
      <c r="F275">
        <v>0.262652463897216</v>
      </c>
      <c r="G275">
        <v>0.08160443525380411</v>
      </c>
      <c r="H275">
        <v>0.06270943200954029</v>
      </c>
      <c r="I275">
        <v>0.0552914171442788</v>
      </c>
      <c r="J275">
        <v>0.0522288310091277</v>
      </c>
      <c r="K275">
        <v>0.0428005487707352</v>
      </c>
      <c r="L275">
        <v>1735.42646774691</v>
      </c>
      <c r="M275">
        <v>35.893216665467</v>
      </c>
      <c r="N275">
        <v>48.5049005180533</v>
      </c>
      <c r="O275">
        <v>48.2003616303868</v>
      </c>
      <c r="P275">
        <v>-0.176068344168494</v>
      </c>
      <c r="Q275">
        <v>0.054246843384157</v>
      </c>
      <c r="R275">
        <v>0.979253167433439</v>
      </c>
      <c r="S275" t="s">
        <v>2468</v>
      </c>
      <c r="T275" t="s">
        <v>4362</v>
      </c>
      <c r="U275" t="s">
        <v>4362</v>
      </c>
      <c r="V275" t="s">
        <v>4362</v>
      </c>
      <c r="W275" t="s">
        <v>4637</v>
      </c>
      <c r="X275">
        <v>14</v>
      </c>
      <c r="Y275" t="s">
        <v>6796</v>
      </c>
      <c r="Z275" t="s">
        <v>8963</v>
      </c>
      <c r="AA275">
        <v>0.4159789317318667</v>
      </c>
      <c r="AB275">
        <f>HYPERLINK("Melting_Curves/meltCurve_P0A715_kdsA.pdf", "Melting_Curves/meltCurve_P0A715_kdsA.pdf")</f>
        <v>0</v>
      </c>
    </row>
    <row r="276" spans="1:28">
      <c r="A276" t="s">
        <v>302</v>
      </c>
      <c r="B276">
        <v>0.999739202189716</v>
      </c>
      <c r="C276">
        <v>1.3773418665486</v>
      </c>
      <c r="D276">
        <v>1.20433122812421</v>
      </c>
      <c r="E276">
        <v>1.21010937648001</v>
      </c>
      <c r="F276">
        <v>0.488202911604377</v>
      </c>
      <c r="G276">
        <v>0.286501339988921</v>
      </c>
      <c r="H276">
        <v>0.180763446697713</v>
      </c>
      <c r="I276">
        <v>0.125138949701687</v>
      </c>
      <c r="J276">
        <v>0.123286630750524</v>
      </c>
      <c r="K276">
        <v>0.116095861326496</v>
      </c>
      <c r="L276">
        <v>7916.53978303764</v>
      </c>
      <c r="M276">
        <v>158.163759258741</v>
      </c>
      <c r="N276">
        <v>50.1811498694463</v>
      </c>
      <c r="O276">
        <v>50.0448036349773</v>
      </c>
      <c r="P276">
        <v>-0.658673843634908</v>
      </c>
      <c r="Q276">
        <v>0.166352569485802</v>
      </c>
      <c r="R276">
        <v>0.899338981025505</v>
      </c>
      <c r="S276" t="s">
        <v>2469</v>
      </c>
      <c r="T276" t="s">
        <v>4362</v>
      </c>
      <c r="U276" t="s">
        <v>4362</v>
      </c>
      <c r="V276" t="s">
        <v>4362</v>
      </c>
      <c r="W276" t="s">
        <v>4638</v>
      </c>
      <c r="X276">
        <v>5</v>
      </c>
      <c r="Y276" t="s">
        <v>6797</v>
      </c>
      <c r="Z276" t="s">
        <v>8964</v>
      </c>
      <c r="AA276">
        <v>0.5292501629501066</v>
      </c>
      <c r="AB276">
        <f>HYPERLINK("Melting_Curves/meltCurve_P0A717_prs.pdf", "Melting_Curves/meltCurve_P0A717_prs.pdf")</f>
        <v>0</v>
      </c>
    </row>
    <row r="277" spans="1:28">
      <c r="A277" t="s">
        <v>303</v>
      </c>
      <c r="B277">
        <v>0.999739202189716</v>
      </c>
      <c r="C277">
        <v>0.804228335994586</v>
      </c>
      <c r="D277">
        <v>1.01326593075206</v>
      </c>
      <c r="E277">
        <v>0.897126500246552</v>
      </c>
      <c r="F277">
        <v>0.741851460856189</v>
      </c>
      <c r="G277">
        <v>0.303953320565166</v>
      </c>
      <c r="H277">
        <v>0.0836681544412792</v>
      </c>
      <c r="I277">
        <v>0.0488721854035308</v>
      </c>
      <c r="J277">
        <v>0.0458643314028652</v>
      </c>
      <c r="K277">
        <v>0.0384064265220849</v>
      </c>
      <c r="L277">
        <v>1357.34794795085</v>
      </c>
      <c r="M277">
        <v>26.1391309550725</v>
      </c>
      <c r="N277">
        <v>52.0469575676288</v>
      </c>
      <c r="O277">
        <v>51.6267621483317</v>
      </c>
      <c r="P277">
        <v>-0.12290296954829</v>
      </c>
      <c r="Q277">
        <v>0.0290405903045502</v>
      </c>
      <c r="R277">
        <v>0.974213235393281</v>
      </c>
      <c r="S277" t="s">
        <v>2470</v>
      </c>
      <c r="T277" t="s">
        <v>4362</v>
      </c>
      <c r="U277" t="s">
        <v>4362</v>
      </c>
      <c r="V277" t="s">
        <v>4362</v>
      </c>
      <c r="W277" t="s">
        <v>4639</v>
      </c>
      <c r="X277">
        <v>6</v>
      </c>
      <c r="Y277" t="s">
        <v>6798</v>
      </c>
      <c r="Z277" t="s">
        <v>8965</v>
      </c>
      <c r="AA277">
        <v>0.5201153154769459</v>
      </c>
      <c r="AB277">
        <f>HYPERLINK("Melting_Curves/meltCurve_P0A720_tmk.pdf", "Melting_Curves/meltCurve_P0A720_tmk.pdf")</f>
        <v>0</v>
      </c>
    </row>
    <row r="278" spans="1:28">
      <c r="A278" t="s">
        <v>304</v>
      </c>
      <c r="B278">
        <v>0.999739202189716</v>
      </c>
      <c r="C278">
        <v>0.9025815577131781</v>
      </c>
      <c r="D278">
        <v>0.953273526798638</v>
      </c>
      <c r="E278">
        <v>0.907868265316346</v>
      </c>
      <c r="F278">
        <v>0.784000011125061</v>
      </c>
      <c r="G278">
        <v>0.65558895517552</v>
      </c>
      <c r="H278">
        <v>0.462160883905837</v>
      </c>
      <c r="I278">
        <v>0.178991379968659</v>
      </c>
      <c r="J278">
        <v>0.07232084907723819</v>
      </c>
      <c r="K278">
        <v>0.0605890905303018</v>
      </c>
      <c r="L278">
        <v>815.493562841166</v>
      </c>
      <c r="M278">
        <v>14.6434425818742</v>
      </c>
      <c r="N278">
        <v>55.6900172598977</v>
      </c>
      <c r="O278">
        <v>54.6823351954598</v>
      </c>
      <c r="P278">
        <v>-0.06695518213804121</v>
      </c>
      <c r="Q278">
        <v>0</v>
      </c>
      <c r="R278">
        <v>0.980812689178888</v>
      </c>
      <c r="S278" t="s">
        <v>2471</v>
      </c>
      <c r="T278" t="s">
        <v>4362</v>
      </c>
      <c r="U278" t="s">
        <v>4362</v>
      </c>
      <c r="V278" t="s">
        <v>4362</v>
      </c>
      <c r="W278" t="s">
        <v>4640</v>
      </c>
      <c r="X278">
        <v>6</v>
      </c>
      <c r="Y278" t="s">
        <v>6799</v>
      </c>
      <c r="Z278" t="s">
        <v>8966</v>
      </c>
      <c r="AA278">
        <v>0.6353541333302748</v>
      </c>
      <c r="AB278">
        <f>HYPERLINK("Melting_Curves/meltCurve_P0A722_lpxA.pdf", "Melting_Curves/meltCurve_P0A722_lpxA.pdf")</f>
        <v>0</v>
      </c>
    </row>
    <row r="279" spans="1:28">
      <c r="A279" t="s">
        <v>305</v>
      </c>
      <c r="B279">
        <v>0.999739202189716</v>
      </c>
      <c r="C279">
        <v>0.872731311303916</v>
      </c>
      <c r="D279">
        <v>0.511737170414291</v>
      </c>
      <c r="E279">
        <v>0.457540662594203</v>
      </c>
      <c r="F279">
        <v>0.428841221559703</v>
      </c>
      <c r="G279">
        <v>0.280740410256553</v>
      </c>
      <c r="H279">
        <v>0.291917790447309</v>
      </c>
      <c r="I279">
        <v>0.23300424924669</v>
      </c>
      <c r="J279">
        <v>0.350822907188702</v>
      </c>
      <c r="K279">
        <v>0.215646242514303</v>
      </c>
      <c r="L279">
        <v>750.023128007414</v>
      </c>
      <c r="M279">
        <v>17.6587539625455</v>
      </c>
      <c r="N279">
        <v>44.6314005260385</v>
      </c>
      <c r="O279">
        <v>41.939709099187</v>
      </c>
      <c r="P279">
        <v>-0.0750426323783954</v>
      </c>
      <c r="Q279">
        <v>0.287130059808887</v>
      </c>
      <c r="R279">
        <v>0.941675333291323</v>
      </c>
      <c r="S279" t="s">
        <v>2472</v>
      </c>
      <c r="T279" t="s">
        <v>4362</v>
      </c>
      <c r="U279" t="s">
        <v>4362</v>
      </c>
      <c r="V279" t="s">
        <v>4362</v>
      </c>
      <c r="W279" t="s">
        <v>4641</v>
      </c>
      <c r="X279">
        <v>3</v>
      </c>
      <c r="Y279" t="s">
        <v>6800</v>
      </c>
      <c r="Z279" t="s">
        <v>8967</v>
      </c>
      <c r="AA279">
        <v>0.4308871831713301</v>
      </c>
      <c r="AB279">
        <f>HYPERLINK("Melting_Curves/meltCurve_P0A725_lpxC.pdf", "Melting_Curves/meltCurve_P0A725_lpxC.pdf")</f>
        <v>0</v>
      </c>
    </row>
    <row r="280" spans="1:28">
      <c r="A280" t="s">
        <v>306</v>
      </c>
      <c r="B280">
        <v>0.999739202189716</v>
      </c>
      <c r="C280">
        <v>0.864608543867967</v>
      </c>
      <c r="D280">
        <v>0.697161726723416</v>
      </c>
      <c r="E280">
        <v>0.43188822153406</v>
      </c>
      <c r="F280">
        <v>0.285222623902336</v>
      </c>
      <c r="G280">
        <v>0.191674702519127</v>
      </c>
      <c r="H280">
        <v>0.149991340737257</v>
      </c>
      <c r="I280">
        <v>0.131952438511847</v>
      </c>
      <c r="J280">
        <v>0.112230019955535</v>
      </c>
      <c r="K280">
        <v>0.128887888432645</v>
      </c>
      <c r="L280">
        <v>656.540507016742</v>
      </c>
      <c r="M280">
        <v>14.6222075082884</v>
      </c>
      <c r="N280">
        <v>45.7193037270551</v>
      </c>
      <c r="O280">
        <v>44.0855326591748</v>
      </c>
      <c r="P280">
        <v>-0.0733729236324881</v>
      </c>
      <c r="Q280">
        <v>0.115230242307393</v>
      </c>
      <c r="R280">
        <v>0.997899563999235</v>
      </c>
      <c r="S280" t="s">
        <v>2473</v>
      </c>
      <c r="T280" t="s">
        <v>4362</v>
      </c>
      <c r="U280" t="s">
        <v>4362</v>
      </c>
      <c r="V280" t="s">
        <v>4362</v>
      </c>
      <c r="W280" t="s">
        <v>4642</v>
      </c>
      <c r="X280">
        <v>3</v>
      </c>
      <c r="Y280" t="s">
        <v>6801</v>
      </c>
      <c r="Z280" t="s">
        <v>8968</v>
      </c>
      <c r="AA280">
        <v>0.3704510059274331</v>
      </c>
      <c r="AB280">
        <f>HYPERLINK("Melting_Curves/meltCurve_P0A729_yceF.pdf", "Melting_Curves/meltCurve_P0A729_yceF.pdf")</f>
        <v>0</v>
      </c>
    </row>
    <row r="281" spans="1:28">
      <c r="A281" t="s">
        <v>307</v>
      </c>
      <c r="B281">
        <v>0.999739202189716</v>
      </c>
      <c r="C281">
        <v>0.968780363003522</v>
      </c>
      <c r="D281">
        <v>0.775447592172263</v>
      </c>
      <c r="E281">
        <v>0.734140373555636</v>
      </c>
      <c r="F281">
        <v>0.915948179488557</v>
      </c>
      <c r="G281">
        <v>0.668449402016686</v>
      </c>
      <c r="H281">
        <v>0.599170011166726</v>
      </c>
      <c r="I281">
        <v>0.568877305193399</v>
      </c>
      <c r="J281">
        <v>0.627913869013126</v>
      </c>
      <c r="K281">
        <v>0.461174440717392</v>
      </c>
      <c r="L281">
        <v>245.998702794565</v>
      </c>
      <c r="M281">
        <v>3.92159414747583</v>
      </c>
      <c r="O281">
        <v>51.1713319993686</v>
      </c>
      <c r="P281">
        <v>-0.0170041322242199</v>
      </c>
      <c r="Q281">
        <v>0.124468971431062</v>
      </c>
      <c r="R281">
        <v>0.798784038244766</v>
      </c>
      <c r="S281" t="s">
        <v>2474</v>
      </c>
      <c r="T281" t="s">
        <v>4362</v>
      </c>
      <c r="U281" t="s">
        <v>4362</v>
      </c>
      <c r="V281" t="s">
        <v>4362</v>
      </c>
      <c r="W281" t="s">
        <v>4643</v>
      </c>
      <c r="X281">
        <v>1</v>
      </c>
      <c r="Y281" t="s">
        <v>6802</v>
      </c>
      <c r="Z281" t="s">
        <v>8969</v>
      </c>
      <c r="AA281">
        <v>0.7303425909223534</v>
      </c>
      <c r="AB281">
        <f>HYPERLINK("Melting_Curves/meltCurve_P0A731_mgsA.pdf", "Melting_Curves/meltCurve_P0A731_mgsA.pdf")</f>
        <v>0</v>
      </c>
    </row>
    <row r="282" spans="1:28">
      <c r="A282" t="s">
        <v>308</v>
      </c>
      <c r="B282">
        <v>0.999739202189716</v>
      </c>
      <c r="C282">
        <v>1.0957744852075</v>
      </c>
      <c r="D282">
        <v>0.946291250008564</v>
      </c>
      <c r="E282">
        <v>1.01448651662643</v>
      </c>
      <c r="F282">
        <v>0.888429098805906</v>
      </c>
      <c r="G282">
        <v>0.736531733992378</v>
      </c>
      <c r="H282">
        <v>0.684401407504388</v>
      </c>
      <c r="I282">
        <v>0.58969323909266</v>
      </c>
      <c r="J282">
        <v>0.495432752035939</v>
      </c>
      <c r="K282">
        <v>0.447775845243989</v>
      </c>
      <c r="L282">
        <v>684.836246670206</v>
      </c>
      <c r="M282">
        <v>12.0853082511385</v>
      </c>
      <c r="N282">
        <v>64.1323166394757</v>
      </c>
      <c r="O282">
        <v>55.1822178639146</v>
      </c>
      <c r="P282">
        <v>-0.0340888442112314</v>
      </c>
      <c r="Q282">
        <v>0.377539444052004</v>
      </c>
      <c r="R282">
        <v>0.961313013245876</v>
      </c>
      <c r="S282" t="s">
        <v>2475</v>
      </c>
      <c r="T282" t="s">
        <v>4362</v>
      </c>
      <c r="U282" t="s">
        <v>4362</v>
      </c>
      <c r="V282" t="s">
        <v>4362</v>
      </c>
      <c r="W282" t="s">
        <v>4644</v>
      </c>
      <c r="X282">
        <v>4</v>
      </c>
      <c r="Y282" t="s">
        <v>6803</v>
      </c>
      <c r="Z282" t="s">
        <v>8970</v>
      </c>
      <c r="AA282">
        <v>0.7897050903384034</v>
      </c>
      <c r="AB282">
        <f>HYPERLINK("Melting_Curves/meltCurve_P0A734_minE.pdf", "Melting_Curves/meltCurve_P0A734_minE.pdf")</f>
        <v>0</v>
      </c>
    </row>
    <row r="283" spans="1:28">
      <c r="A283" t="s">
        <v>309</v>
      </c>
      <c r="B283">
        <v>0.999739202189716</v>
      </c>
      <c r="C283">
        <v>0.932505588649848</v>
      </c>
      <c r="D283">
        <v>1.02229611821107</v>
      </c>
      <c r="E283">
        <v>0.936354190986193</v>
      </c>
      <c r="F283">
        <v>0.870857906512541</v>
      </c>
      <c r="G283">
        <v>0.763137154034597</v>
      </c>
      <c r="H283">
        <v>0.610727877247584</v>
      </c>
      <c r="I283">
        <v>0.581034874525497</v>
      </c>
      <c r="J283">
        <v>0.580456262075519</v>
      </c>
      <c r="K283">
        <v>0.498873972870672</v>
      </c>
      <c r="L283">
        <v>783.283605047058</v>
      </c>
      <c r="M283">
        <v>14.5799877577695</v>
      </c>
      <c r="O283">
        <v>52.7429019720904</v>
      </c>
      <c r="P283">
        <v>-0.0345690456338538</v>
      </c>
      <c r="Q283">
        <v>0.499844312775731</v>
      </c>
      <c r="R283">
        <v>0.974415387799022</v>
      </c>
      <c r="S283" t="s">
        <v>2476</v>
      </c>
      <c r="T283" t="s">
        <v>4362</v>
      </c>
      <c r="U283" t="s">
        <v>4362</v>
      </c>
      <c r="V283" t="s">
        <v>4362</v>
      </c>
      <c r="W283" t="s">
        <v>4645</v>
      </c>
      <c r="X283">
        <v>7</v>
      </c>
      <c r="Y283" t="s">
        <v>6804</v>
      </c>
      <c r="Z283" t="s">
        <v>8971</v>
      </c>
      <c r="AA283">
        <v>0.7871840143080655</v>
      </c>
      <c r="AB283">
        <f>HYPERLINK("Melting_Curves/meltCurve_P0A738_moaC.pdf", "Melting_Curves/meltCurve_P0A738_moaC.pdf")</f>
        <v>0</v>
      </c>
    </row>
    <row r="284" spans="1:28">
      <c r="A284" t="s">
        <v>310</v>
      </c>
      <c r="B284">
        <v>0.999739202189716</v>
      </c>
      <c r="C284">
        <v>0.989235252439412</v>
      </c>
      <c r="D284">
        <v>1.08119077915704</v>
      </c>
      <c r="E284">
        <v>1.13077443096032</v>
      </c>
      <c r="F284">
        <v>1.00301843387927</v>
      </c>
      <c r="G284">
        <v>0.909591130852307</v>
      </c>
      <c r="H284">
        <v>0.772038613239334</v>
      </c>
      <c r="I284">
        <v>0.711338609272621</v>
      </c>
      <c r="J284">
        <v>0.6330395593208989</v>
      </c>
      <c r="K284">
        <v>0.694118271302759</v>
      </c>
      <c r="L284">
        <v>1691.59041552282</v>
      </c>
      <c r="M284">
        <v>30.2959912310266</v>
      </c>
      <c r="O284">
        <v>55.5938628192561</v>
      </c>
      <c r="P284">
        <v>-0.0451620635758821</v>
      </c>
      <c r="Q284">
        <v>0.668508175773356</v>
      </c>
      <c r="R284">
        <v>0.903421081502789</v>
      </c>
      <c r="S284" t="s">
        <v>2477</v>
      </c>
      <c r="T284" t="s">
        <v>4362</v>
      </c>
      <c r="U284" t="s">
        <v>4362</v>
      </c>
      <c r="V284" t="s">
        <v>4362</v>
      </c>
      <c r="W284" t="s">
        <v>4646</v>
      </c>
      <c r="X284">
        <v>5</v>
      </c>
      <c r="Y284" t="s">
        <v>6805</v>
      </c>
      <c r="Z284" t="s">
        <v>8972</v>
      </c>
      <c r="AA284">
        <v>0.8786760639417091</v>
      </c>
      <c r="AB284">
        <f>HYPERLINK("Melting_Curves/meltCurve_P0A742_mscL.pdf", "Melting_Curves/meltCurve_P0A742_mscL.pdf")</f>
        <v>0</v>
      </c>
    </row>
    <row r="285" spans="1:28">
      <c r="A285" t="s">
        <v>311</v>
      </c>
      <c r="B285">
        <v>0.999739202189716</v>
      </c>
      <c r="C285">
        <v>0.949324392854997</v>
      </c>
      <c r="D285">
        <v>0.576476246148348</v>
      </c>
      <c r="E285">
        <v>0.833019841957194</v>
      </c>
      <c r="F285">
        <v>0.705828035143509</v>
      </c>
      <c r="G285">
        <v>0.5209950033773461</v>
      </c>
      <c r="H285">
        <v>0.460559355826088</v>
      </c>
      <c r="I285">
        <v>0.361755045702946</v>
      </c>
      <c r="J285">
        <v>0.255415635200808</v>
      </c>
      <c r="K285">
        <v>0.204381822336159</v>
      </c>
      <c r="L285">
        <v>327.299991770291</v>
      </c>
      <c r="M285">
        <v>5.98479411483448</v>
      </c>
      <c r="N285">
        <v>54.6885967148425</v>
      </c>
      <c r="O285">
        <v>49.5193613217683</v>
      </c>
      <c r="P285">
        <v>-0.0303131555320586</v>
      </c>
      <c r="Q285">
        <v>0</v>
      </c>
      <c r="R285">
        <v>0.869946803177612</v>
      </c>
      <c r="S285" t="s">
        <v>2478</v>
      </c>
      <c r="T285" t="s">
        <v>4362</v>
      </c>
      <c r="U285" t="s">
        <v>4362</v>
      </c>
      <c r="V285" t="s">
        <v>4362</v>
      </c>
      <c r="W285" t="s">
        <v>4647</v>
      </c>
      <c r="X285">
        <v>3</v>
      </c>
      <c r="Y285" t="s">
        <v>6806</v>
      </c>
      <c r="Z285" t="s">
        <v>8973</v>
      </c>
      <c r="AA285">
        <v>0.5885667388642619</v>
      </c>
      <c r="AB285">
        <f>HYPERLINK("Melting_Curves/meltCurve_P0A744_msrA.pdf", "Melting_Curves/meltCurve_P0A744_msrA.pdf")</f>
        <v>0</v>
      </c>
    </row>
    <row r="286" spans="1:28">
      <c r="A286" t="s">
        <v>312</v>
      </c>
      <c r="B286">
        <v>0.999739202189716</v>
      </c>
      <c r="C286">
        <v>1.12407746810021</v>
      </c>
      <c r="D286">
        <v>0.87216133742331</v>
      </c>
      <c r="E286">
        <v>1.04296832537163</v>
      </c>
      <c r="F286">
        <v>0.940661077958058</v>
      </c>
      <c r="G286">
        <v>0.737820921377069</v>
      </c>
      <c r="H286">
        <v>0.710170573703806</v>
      </c>
      <c r="I286">
        <v>0.742186958406339</v>
      </c>
      <c r="J286">
        <v>0.679734631608702</v>
      </c>
      <c r="K286">
        <v>0.924723604207086</v>
      </c>
      <c r="L286">
        <v>12606.1876990638</v>
      </c>
      <c r="M286">
        <v>250</v>
      </c>
      <c r="O286">
        <v>50.4215242501495</v>
      </c>
      <c r="P286">
        <v>-0.298821626136496</v>
      </c>
      <c r="Q286">
        <v>0.758927331834083</v>
      </c>
      <c r="R286">
        <v>0.671269638926327</v>
      </c>
      <c r="S286" t="s">
        <v>2479</v>
      </c>
      <c r="T286" t="s">
        <v>4362</v>
      </c>
      <c r="U286" t="s">
        <v>4362</v>
      </c>
      <c r="V286" t="s">
        <v>4362</v>
      </c>
      <c r="W286" t="s">
        <v>4648</v>
      </c>
      <c r="X286">
        <v>6</v>
      </c>
      <c r="Y286" t="s">
        <v>6807</v>
      </c>
      <c r="Z286" t="s">
        <v>8974</v>
      </c>
      <c r="AA286">
        <v>0.8668266819400288</v>
      </c>
      <c r="AB286">
        <f>HYPERLINK("Melting_Curves/meltCurve_P0A746_msrB.pdf", "Melting_Curves/meltCurve_P0A746_msrB.pdf")</f>
        <v>0</v>
      </c>
    </row>
    <row r="287" spans="1:28">
      <c r="A287" t="s">
        <v>313</v>
      </c>
      <c r="B287">
        <v>0.999739202189716</v>
      </c>
      <c r="C287">
        <v>0.939195511639091</v>
      </c>
      <c r="D287">
        <v>0.829525844141269</v>
      </c>
      <c r="E287">
        <v>0.524925691784864</v>
      </c>
      <c r="F287">
        <v>0.217201850608155</v>
      </c>
      <c r="G287">
        <v>0.134311708202745</v>
      </c>
      <c r="H287">
        <v>0.105242498786314</v>
      </c>
      <c r="I287">
        <v>0.09003217482181609</v>
      </c>
      <c r="J287">
        <v>0.07977362167702839</v>
      </c>
      <c r="K287">
        <v>0.07279865992095259</v>
      </c>
      <c r="L287">
        <v>911.886003116212</v>
      </c>
      <c r="M287">
        <v>19.6997595728133</v>
      </c>
      <c r="N287">
        <v>46.6813937252146</v>
      </c>
      <c r="O287">
        <v>45.8201435129023</v>
      </c>
      <c r="P287">
        <v>-0.0992899297673296</v>
      </c>
      <c r="Q287">
        <v>0.076269021897477</v>
      </c>
      <c r="R287">
        <v>0.998853401092343</v>
      </c>
      <c r="S287" t="s">
        <v>2480</v>
      </c>
      <c r="T287" t="s">
        <v>4362</v>
      </c>
      <c r="U287" t="s">
        <v>4362</v>
      </c>
      <c r="V287" t="s">
        <v>4362</v>
      </c>
      <c r="W287" t="s">
        <v>4649</v>
      </c>
      <c r="X287">
        <v>12</v>
      </c>
      <c r="Y287" t="s">
        <v>6808</v>
      </c>
      <c r="Z287" t="s">
        <v>8975</v>
      </c>
      <c r="AA287">
        <v>0.3747406605055345</v>
      </c>
      <c r="AB287">
        <f>HYPERLINK("Melting_Curves/meltCurve_P0A749_murA.pdf", "Melting_Curves/meltCurve_P0A749_murA.pdf")</f>
        <v>0</v>
      </c>
    </row>
    <row r="288" spans="1:28">
      <c r="A288" t="s">
        <v>314</v>
      </c>
      <c r="B288">
        <v>0.999739202189716</v>
      </c>
      <c r="C288">
        <v>0.795602439036365</v>
      </c>
      <c r="D288">
        <v>0.995412195631284</v>
      </c>
      <c r="E288">
        <v>1.01171507626516</v>
      </c>
      <c r="F288">
        <v>1.03396004879281</v>
      </c>
      <c r="G288">
        <v>0.624733057034399</v>
      </c>
      <c r="H288">
        <v>0.217014219488867</v>
      </c>
      <c r="I288">
        <v>0.116134049000982</v>
      </c>
      <c r="J288">
        <v>0.0805155350157524</v>
      </c>
      <c r="K288">
        <v>0.0647159415092831</v>
      </c>
      <c r="L288">
        <v>2117.7447288545</v>
      </c>
      <c r="M288">
        <v>38.9070524555341</v>
      </c>
      <c r="N288">
        <v>54.6973058184939</v>
      </c>
      <c r="O288">
        <v>54.2876762623249</v>
      </c>
      <c r="P288">
        <v>-0.163704798682335</v>
      </c>
      <c r="Q288">
        <v>0.08632177248298881</v>
      </c>
      <c r="R288">
        <v>0.970743592620384</v>
      </c>
      <c r="S288" t="s">
        <v>2481</v>
      </c>
      <c r="T288" t="s">
        <v>4362</v>
      </c>
      <c r="U288" t="s">
        <v>4362</v>
      </c>
      <c r="V288" t="s">
        <v>4362</v>
      </c>
      <c r="W288" t="s">
        <v>4650</v>
      </c>
      <c r="X288">
        <v>1</v>
      </c>
      <c r="Y288" t="s">
        <v>6809</v>
      </c>
      <c r="Z288" t="s">
        <v>8976</v>
      </c>
      <c r="AA288">
        <v>0.6207850062672082</v>
      </c>
      <c r="AB288">
        <f>HYPERLINK("Melting_Curves/meltCurve_P0A752_nadD.pdf", "Melting_Curves/meltCurve_P0A752_nadD.pdf")</f>
        <v>0</v>
      </c>
    </row>
    <row r="289" spans="1:28">
      <c r="A289" t="s">
        <v>315</v>
      </c>
      <c r="B289">
        <v>0.999739202189716</v>
      </c>
      <c r="C289">
        <v>0.93078655167492</v>
      </c>
      <c r="D289">
        <v>0.61652613285043</v>
      </c>
      <c r="E289">
        <v>0.514279816118731</v>
      </c>
      <c r="F289">
        <v>0.365893708117557</v>
      </c>
      <c r="G289">
        <v>0.291111790781004</v>
      </c>
      <c r="H289">
        <v>0.224395642799835</v>
      </c>
      <c r="I289">
        <v>0.219348787659085</v>
      </c>
      <c r="J289">
        <v>0.183318850752712</v>
      </c>
      <c r="K289">
        <v>0.180062400686593</v>
      </c>
      <c r="L289">
        <v>593.100212981597</v>
      </c>
      <c r="M289">
        <v>13.2261837429773</v>
      </c>
      <c r="N289">
        <v>46.4849263560098</v>
      </c>
      <c r="O289">
        <v>43.8549426935817</v>
      </c>
      <c r="P289">
        <v>-0.0613364034444735</v>
      </c>
      <c r="Q289">
        <v>0.18662548979177</v>
      </c>
      <c r="R289">
        <v>0.980928671870155</v>
      </c>
      <c r="S289" t="s">
        <v>2482</v>
      </c>
      <c r="T289" t="s">
        <v>4362</v>
      </c>
      <c r="U289" t="s">
        <v>4362</v>
      </c>
      <c r="V289" t="s">
        <v>4362</v>
      </c>
      <c r="W289" t="s">
        <v>4651</v>
      </c>
      <c r="X289">
        <v>1</v>
      </c>
      <c r="Y289" t="s">
        <v>6810</v>
      </c>
      <c r="Z289" t="s">
        <v>8977</v>
      </c>
      <c r="AA289">
        <v>0.4241682530733632</v>
      </c>
      <c r="AB289">
        <f>HYPERLINK("Melting_Curves/meltCurve_P0A754_kefF.pdf", "Melting_Curves/meltCurve_P0A754_kefF.pdf")</f>
        <v>0</v>
      </c>
    </row>
    <row r="290" spans="1:28">
      <c r="A290" t="s">
        <v>316</v>
      </c>
      <c r="B290">
        <v>0.999739202189716</v>
      </c>
      <c r="C290">
        <v>1.07752047406122</v>
      </c>
      <c r="D290">
        <v>1.0122251268813</v>
      </c>
      <c r="E290">
        <v>0.978621199136857</v>
      </c>
      <c r="F290">
        <v>0.782401537346291</v>
      </c>
      <c r="G290">
        <v>0.7873008925623169</v>
      </c>
      <c r="H290">
        <v>0.458681655833007</v>
      </c>
      <c r="I290">
        <v>0.147490303919042</v>
      </c>
      <c r="J290">
        <v>0.08536218505488639</v>
      </c>
      <c r="K290">
        <v>0.0629185718853334</v>
      </c>
      <c r="L290">
        <v>1056.36011358406</v>
      </c>
      <c r="M290">
        <v>18.6827800026413</v>
      </c>
      <c r="N290">
        <v>56.5419126002634</v>
      </c>
      <c r="O290">
        <v>55.906056142876</v>
      </c>
      <c r="P290">
        <v>-0.08354896945566501</v>
      </c>
      <c r="Q290">
        <v>0</v>
      </c>
      <c r="R290">
        <v>0.979032154654338</v>
      </c>
      <c r="S290" t="s">
        <v>2483</v>
      </c>
      <c r="T290" t="s">
        <v>4362</v>
      </c>
      <c r="U290" t="s">
        <v>4362</v>
      </c>
      <c r="V290" t="s">
        <v>4362</v>
      </c>
      <c r="W290" t="s">
        <v>4652</v>
      </c>
      <c r="X290">
        <v>10</v>
      </c>
      <c r="Y290" t="s">
        <v>6811</v>
      </c>
      <c r="Z290" t="s">
        <v>8978</v>
      </c>
      <c r="AA290">
        <v>0.6612588676136134</v>
      </c>
      <c r="AB290">
        <f>HYPERLINK("Melting_Curves/meltCurve_P0A759_nagB.pdf", "Melting_Curves/meltCurve_P0A759_nagB.pdf")</f>
        <v>0</v>
      </c>
    </row>
    <row r="291" spans="1:28">
      <c r="A291" t="s">
        <v>317</v>
      </c>
      <c r="B291">
        <v>0.999739202189716</v>
      </c>
      <c r="C291">
        <v>0.897132910631405</v>
      </c>
      <c r="D291">
        <v>0.969795997259154</v>
      </c>
      <c r="E291">
        <v>0.929839723588619</v>
      </c>
      <c r="F291">
        <v>0.472024150125645</v>
      </c>
      <c r="G291">
        <v>0.180488860171376</v>
      </c>
      <c r="H291">
        <v>0.115334704575704</v>
      </c>
      <c r="I291">
        <v>0.09072067671179609</v>
      </c>
      <c r="J291">
        <v>0.0951527603080857</v>
      </c>
      <c r="K291">
        <v>0.08912075952448111</v>
      </c>
      <c r="L291">
        <v>1651.67820350098</v>
      </c>
      <c r="M291">
        <v>33.198730324469</v>
      </c>
      <c r="N291">
        <v>50.0753333188423</v>
      </c>
      <c r="O291">
        <v>49.5717507107439</v>
      </c>
      <c r="P291">
        <v>-0.151242481074726</v>
      </c>
      <c r="Q291">
        <v>0.09667328530200101</v>
      </c>
      <c r="R291">
        <v>0.992343265789454</v>
      </c>
      <c r="S291" t="s">
        <v>2484</v>
      </c>
      <c r="T291" t="s">
        <v>4362</v>
      </c>
      <c r="U291" t="s">
        <v>4362</v>
      </c>
      <c r="V291" t="s">
        <v>4362</v>
      </c>
      <c r="W291" t="s">
        <v>4653</v>
      </c>
      <c r="X291">
        <v>5</v>
      </c>
      <c r="Y291" t="s">
        <v>6812</v>
      </c>
      <c r="Z291" t="s">
        <v>8979</v>
      </c>
      <c r="AA291">
        <v>0.4851368896548616</v>
      </c>
      <c r="AB291">
        <f>HYPERLINK("Melting_Curves/meltCurve_P0A761_nanE.pdf", "Melting_Curves/meltCurve_P0A761_nanE.pdf")</f>
        <v>0</v>
      </c>
    </row>
    <row r="292" spans="1:28">
      <c r="A292" t="s">
        <v>318</v>
      </c>
      <c r="B292">
        <v>0.999739202189716</v>
      </c>
      <c r="C292">
        <v>0.971188256476445</v>
      </c>
      <c r="D292">
        <v>0.618649105800644</v>
      </c>
      <c r="E292">
        <v>0.555530605198974</v>
      </c>
      <c r="F292">
        <v>0.274602671953083</v>
      </c>
      <c r="G292">
        <v>0.13140529078288</v>
      </c>
      <c r="H292">
        <v>0.103188628161395</v>
      </c>
      <c r="I292">
        <v>0.0713773014314055</v>
      </c>
      <c r="J292">
        <v>0.0569708632384359</v>
      </c>
      <c r="K292">
        <v>0.0457894982567865</v>
      </c>
      <c r="L292">
        <v>614.716307240594</v>
      </c>
      <c r="M292">
        <v>13.3179186191402</v>
      </c>
      <c r="N292">
        <v>46.3824624325649</v>
      </c>
      <c r="O292">
        <v>45.1536521148931</v>
      </c>
      <c r="P292">
        <v>-0.0714378455539889</v>
      </c>
      <c r="Q292">
        <v>0.0313318207395391</v>
      </c>
      <c r="R292">
        <v>0.979252726810879</v>
      </c>
      <c r="S292" t="s">
        <v>2485</v>
      </c>
      <c r="T292" t="s">
        <v>4362</v>
      </c>
      <c r="U292" t="s">
        <v>4362</v>
      </c>
      <c r="V292" t="s">
        <v>4362</v>
      </c>
      <c r="W292" t="s">
        <v>4654</v>
      </c>
      <c r="X292">
        <v>4</v>
      </c>
      <c r="Y292" t="s">
        <v>6813</v>
      </c>
      <c r="Z292" t="s">
        <v>8980</v>
      </c>
      <c r="AA292">
        <v>0.3546730322411341</v>
      </c>
      <c r="AB292">
        <f>HYPERLINK("Melting_Curves/meltCurve_P0A763_ndk.pdf", "Melting_Curves/meltCurve_P0A763_ndk.pdf")</f>
        <v>0</v>
      </c>
    </row>
    <row r="293" spans="1:28">
      <c r="A293" t="s">
        <v>319</v>
      </c>
      <c r="B293">
        <v>0.999739202189716</v>
      </c>
      <c r="C293">
        <v>0.953760289983156</v>
      </c>
      <c r="D293">
        <v>0.799075538134269</v>
      </c>
      <c r="E293">
        <v>0.899392809505575</v>
      </c>
      <c r="F293">
        <v>0.800978057162174</v>
      </c>
      <c r="G293">
        <v>0.507376460447035</v>
      </c>
      <c r="H293">
        <v>0.344536958201705</v>
      </c>
      <c r="I293">
        <v>0.254590263007174</v>
      </c>
      <c r="J293">
        <v>0.201878653436046</v>
      </c>
      <c r="K293">
        <v>0.161180000265485</v>
      </c>
      <c r="L293">
        <v>598.4497788710451</v>
      </c>
      <c r="M293">
        <v>11.0597603820918</v>
      </c>
      <c r="N293">
        <v>54.6042311680578</v>
      </c>
      <c r="O293">
        <v>52.431813096118</v>
      </c>
      <c r="P293">
        <v>-0.0502416636482069</v>
      </c>
      <c r="Q293">
        <v>0.0475772359667174</v>
      </c>
      <c r="R293">
        <v>0.966108199059314</v>
      </c>
      <c r="S293" t="s">
        <v>2486</v>
      </c>
      <c r="T293" t="s">
        <v>4362</v>
      </c>
      <c r="U293" t="s">
        <v>4362</v>
      </c>
      <c r="V293" t="s">
        <v>4362</v>
      </c>
      <c r="W293" t="s">
        <v>4655</v>
      </c>
      <c r="X293">
        <v>6</v>
      </c>
      <c r="Y293" t="s">
        <v>6814</v>
      </c>
      <c r="Z293" t="s">
        <v>8981</v>
      </c>
      <c r="AA293">
        <v>0.6074901676843026</v>
      </c>
      <c r="AB293">
        <f>HYPERLINK("Melting_Curves/meltCurve_P0A780_nusB.pdf", "Melting_Curves/meltCurve_P0A780_nusB.pdf")</f>
        <v>0</v>
      </c>
    </row>
    <row r="294" spans="1:28">
      <c r="A294" t="s">
        <v>320</v>
      </c>
      <c r="B294">
        <v>0.999739202189716</v>
      </c>
      <c r="C294">
        <v>0.855971244228216</v>
      </c>
      <c r="D294">
        <v>1.04978001721198</v>
      </c>
      <c r="E294">
        <v>0.970943530887423</v>
      </c>
      <c r="F294">
        <v>0.810802417981048</v>
      </c>
      <c r="G294">
        <v>0.490919437412928</v>
      </c>
      <c r="H294">
        <v>0.346239035540344</v>
      </c>
      <c r="I294">
        <v>0.234453198101483</v>
      </c>
      <c r="J294">
        <v>0.250279394531554</v>
      </c>
      <c r="K294">
        <v>0.1862326036852</v>
      </c>
      <c r="L294">
        <v>1198.83711529679</v>
      </c>
      <c r="M294">
        <v>22.7665187143628</v>
      </c>
      <c r="N294">
        <v>53.9595284281651</v>
      </c>
      <c r="O294">
        <v>52.2566896524615</v>
      </c>
      <c r="P294">
        <v>-0.0859058193787617</v>
      </c>
      <c r="Q294">
        <v>0.211286534766615</v>
      </c>
      <c r="R294">
        <v>0.975835655991098</v>
      </c>
      <c r="S294" t="s">
        <v>2487</v>
      </c>
      <c r="T294" t="s">
        <v>4362</v>
      </c>
      <c r="U294" t="s">
        <v>4362</v>
      </c>
      <c r="V294" t="s">
        <v>4362</v>
      </c>
      <c r="W294" t="s">
        <v>4656</v>
      </c>
      <c r="X294">
        <v>8</v>
      </c>
      <c r="Y294" t="s">
        <v>6815</v>
      </c>
      <c r="Z294" t="s">
        <v>8982</v>
      </c>
      <c r="AA294">
        <v>0.6311264849827913</v>
      </c>
      <c r="AB294">
        <f>HYPERLINK("Melting_Curves/meltCurve_P0A784_orn.pdf", "Melting_Curves/meltCurve_P0A784_orn.pdf")</f>
        <v>0</v>
      </c>
    </row>
    <row r="295" spans="1:28">
      <c r="A295" t="s">
        <v>321</v>
      </c>
      <c r="B295">
        <v>0.999739202189716</v>
      </c>
      <c r="C295">
        <v>0.854915043919285</v>
      </c>
      <c r="D295">
        <v>0.563258022155823</v>
      </c>
      <c r="E295">
        <v>0.518740715189747</v>
      </c>
      <c r="F295">
        <v>0.500813553580542</v>
      </c>
      <c r="G295">
        <v>0.414083120377771</v>
      </c>
      <c r="H295">
        <v>0.325249895115665</v>
      </c>
      <c r="I295">
        <v>0.300328680794814</v>
      </c>
      <c r="J295">
        <v>0.28915004125744</v>
      </c>
      <c r="K295">
        <v>0.218879784747443</v>
      </c>
      <c r="L295">
        <v>443.490897745745</v>
      </c>
      <c r="M295">
        <v>10.0026063225772</v>
      </c>
      <c r="N295">
        <v>47.7243826163004</v>
      </c>
      <c r="O295">
        <v>42.6746640542357</v>
      </c>
      <c r="P295">
        <v>-0.0437270382113211</v>
      </c>
      <c r="Q295">
        <v>0.254141842154159</v>
      </c>
      <c r="R295">
        <v>0.938520720551596</v>
      </c>
      <c r="S295" t="s">
        <v>2488</v>
      </c>
      <c r="T295" t="s">
        <v>4362</v>
      </c>
      <c r="U295" t="s">
        <v>4362</v>
      </c>
      <c r="V295" t="s">
        <v>4362</v>
      </c>
      <c r="W295" t="s">
        <v>4657</v>
      </c>
      <c r="X295">
        <v>2</v>
      </c>
      <c r="Y295" t="s">
        <v>6816</v>
      </c>
      <c r="Z295" t="s">
        <v>8983</v>
      </c>
      <c r="AA295">
        <v>0.4753465241408966</v>
      </c>
      <c r="AB295">
        <f>HYPERLINK("Melting_Curves/meltCurve_P0A786_pyrB.pdf", "Melting_Curves/meltCurve_P0A786_pyrB.pdf")</f>
        <v>0</v>
      </c>
    </row>
    <row r="296" spans="1:28">
      <c r="A296" t="s">
        <v>322</v>
      </c>
      <c r="B296">
        <v>0.999739202189716</v>
      </c>
      <c r="C296">
        <v>1.40583734092056</v>
      </c>
      <c r="D296">
        <v>0.681532045532752</v>
      </c>
      <c r="E296">
        <v>0.838974654540114</v>
      </c>
      <c r="F296">
        <v>0.935757755820589</v>
      </c>
      <c r="G296">
        <v>0.6978707365382421</v>
      </c>
      <c r="H296">
        <v>0.6684631122735381</v>
      </c>
      <c r="I296">
        <v>0.550516149383581</v>
      </c>
      <c r="J296">
        <v>0.557222627112504</v>
      </c>
      <c r="K296">
        <v>0.489325093898954</v>
      </c>
      <c r="L296">
        <v>496.379562643264</v>
      </c>
      <c r="M296">
        <v>8.966376166953861</v>
      </c>
      <c r="N296">
        <v>66.952910948884</v>
      </c>
      <c r="O296">
        <v>52.8143351170278</v>
      </c>
      <c r="P296">
        <v>-0.0257332922105349</v>
      </c>
      <c r="Q296">
        <v>0.394142624671553</v>
      </c>
      <c r="R296">
        <v>0.597074786309323</v>
      </c>
      <c r="S296" t="s">
        <v>2489</v>
      </c>
      <c r="T296" t="s">
        <v>4362</v>
      </c>
      <c r="U296" t="s">
        <v>4362</v>
      </c>
      <c r="V296" t="s">
        <v>4362</v>
      </c>
      <c r="W296" t="s">
        <v>4658</v>
      </c>
      <c r="X296">
        <v>2</v>
      </c>
      <c r="Y296" t="s">
        <v>6817</v>
      </c>
      <c r="Z296" t="s">
        <v>8984</v>
      </c>
      <c r="AA296">
        <v>0.7694190401829766</v>
      </c>
      <c r="AB296">
        <f>HYPERLINK("Melting_Curves/meltCurve_P0A790_panD.pdf", "Melting_Curves/meltCurve_P0A790_panD.pdf")</f>
        <v>0</v>
      </c>
    </row>
    <row r="297" spans="1:28">
      <c r="A297" t="s">
        <v>323</v>
      </c>
      <c r="B297">
        <v>0.999739202189716</v>
      </c>
      <c r="C297">
        <v>0.93816206499333</v>
      </c>
      <c r="D297">
        <v>0.910204259589504</v>
      </c>
      <c r="E297">
        <v>0.85927191907194</v>
      </c>
      <c r="F297">
        <v>0.387830614010052</v>
      </c>
      <c r="G297">
        <v>0.26076348017541</v>
      </c>
      <c r="H297">
        <v>0.188554612798137</v>
      </c>
      <c r="I297">
        <v>0.159552294392711</v>
      </c>
      <c r="J297">
        <v>0.134556539801197</v>
      </c>
      <c r="K297">
        <v>0.0968777044402645</v>
      </c>
      <c r="L297">
        <v>1242.70784735614</v>
      </c>
      <c r="M297">
        <v>25.4120702612167</v>
      </c>
      <c r="N297">
        <v>49.5522431138345</v>
      </c>
      <c r="O297">
        <v>48.602468227224</v>
      </c>
      <c r="P297">
        <v>-0.112188849858311</v>
      </c>
      <c r="Q297">
        <v>0.141733155744838</v>
      </c>
      <c r="R297">
        <v>0.987009250985171</v>
      </c>
      <c r="S297" t="s">
        <v>2490</v>
      </c>
      <c r="T297" t="s">
        <v>4362</v>
      </c>
      <c r="U297" t="s">
        <v>4362</v>
      </c>
      <c r="V297" t="s">
        <v>4362</v>
      </c>
      <c r="W297" t="s">
        <v>4659</v>
      </c>
      <c r="X297">
        <v>8</v>
      </c>
      <c r="Y297" t="s">
        <v>6818</v>
      </c>
      <c r="Z297" t="s">
        <v>8985</v>
      </c>
      <c r="AA297">
        <v>0.4894182652753292</v>
      </c>
      <c r="AB297">
        <f>HYPERLINK("Melting_Curves/meltCurve_P0A794_pdxJ.pdf", "Melting_Curves/meltCurve_P0A794_pdxJ.pdf")</f>
        <v>0</v>
      </c>
    </row>
    <row r="298" spans="1:28">
      <c r="A298" t="s">
        <v>324</v>
      </c>
      <c r="B298">
        <v>0.999739202189716</v>
      </c>
      <c r="C298">
        <v>0.848481857543567</v>
      </c>
      <c r="D298">
        <v>0.982508742117215</v>
      </c>
      <c r="E298">
        <v>0.804717192810906</v>
      </c>
      <c r="F298">
        <v>0.679942119281712</v>
      </c>
      <c r="G298">
        <v>0.430901381012555</v>
      </c>
      <c r="H298">
        <v>0.202947581558015</v>
      </c>
      <c r="I298">
        <v>0.122462229371596</v>
      </c>
      <c r="J298">
        <v>0.0906614828895126</v>
      </c>
      <c r="K298">
        <v>0.0783813583694023</v>
      </c>
      <c r="L298">
        <v>692.4729296014129</v>
      </c>
      <c r="M298">
        <v>13.216105566463</v>
      </c>
      <c r="N298">
        <v>52.4213033180736</v>
      </c>
      <c r="O298">
        <v>51.2400976137394</v>
      </c>
      <c r="P298">
        <v>-0.06428801272591329</v>
      </c>
      <c r="Q298">
        <v>0.0031622396319357</v>
      </c>
      <c r="R298">
        <v>0.980969216099761</v>
      </c>
      <c r="S298" t="s">
        <v>2491</v>
      </c>
      <c r="T298" t="s">
        <v>4362</v>
      </c>
      <c r="U298" t="s">
        <v>4362</v>
      </c>
      <c r="V298" t="s">
        <v>4362</v>
      </c>
      <c r="W298" t="s">
        <v>4660</v>
      </c>
      <c r="X298">
        <v>12</v>
      </c>
      <c r="Y298" t="s">
        <v>6819</v>
      </c>
      <c r="Z298" t="s">
        <v>8986</v>
      </c>
      <c r="AA298">
        <v>0.5357852052018994</v>
      </c>
      <c r="AB298">
        <f>HYPERLINK("Melting_Curves/meltCurve_P0A796_pfkA.pdf", "Melting_Curves/meltCurve_P0A796_pfkA.pdf")</f>
        <v>0</v>
      </c>
    </row>
    <row r="299" spans="1:28">
      <c r="A299" t="s">
        <v>325</v>
      </c>
      <c r="B299">
        <v>0.999739202189716</v>
      </c>
      <c r="C299">
        <v>0.8810364912363809</v>
      </c>
      <c r="D299">
        <v>1.0093024560154</v>
      </c>
      <c r="E299">
        <v>0.831514632071531</v>
      </c>
      <c r="F299">
        <v>0.827722418181257</v>
      </c>
      <c r="G299">
        <v>0.622170590552542</v>
      </c>
      <c r="H299">
        <v>0.279631113360402</v>
      </c>
      <c r="I299">
        <v>0.081445977522315</v>
      </c>
      <c r="J299">
        <v>0.0582252261551905</v>
      </c>
      <c r="K299">
        <v>0.0478913781028271</v>
      </c>
      <c r="L299">
        <v>981.093137898505</v>
      </c>
      <c r="M299">
        <v>17.9712006444893</v>
      </c>
      <c r="N299">
        <v>54.5925223517614</v>
      </c>
      <c r="O299">
        <v>53.9300107067452</v>
      </c>
      <c r="P299">
        <v>-0.0833121156421585</v>
      </c>
      <c r="Q299">
        <v>0</v>
      </c>
      <c r="R299">
        <v>0.9756577260178551</v>
      </c>
      <c r="S299" t="s">
        <v>2492</v>
      </c>
      <c r="T299" t="s">
        <v>4362</v>
      </c>
      <c r="U299" t="s">
        <v>4362</v>
      </c>
      <c r="V299" t="s">
        <v>4362</v>
      </c>
      <c r="W299" t="s">
        <v>4661</v>
      </c>
      <c r="X299">
        <v>21</v>
      </c>
      <c r="Y299" t="s">
        <v>6820</v>
      </c>
      <c r="Z299" t="s">
        <v>8987</v>
      </c>
      <c r="AA299">
        <v>0.5995166408928636</v>
      </c>
      <c r="AB299">
        <f>HYPERLINK("Melting_Curves/meltCurve_P0A799_pgk.pdf", "Melting_Curves/meltCurve_P0A799_pgk.pdf")</f>
        <v>0</v>
      </c>
    </row>
    <row r="300" spans="1:28">
      <c r="A300" t="s">
        <v>326</v>
      </c>
      <c r="B300">
        <v>0.999739202189716</v>
      </c>
      <c r="C300">
        <v>0.78497686319843</v>
      </c>
      <c r="D300">
        <v>0.595590546010674</v>
      </c>
      <c r="E300">
        <v>0.442764928017935</v>
      </c>
      <c r="F300">
        <v>0.226990027025993</v>
      </c>
      <c r="G300">
        <v>0.118019548282889</v>
      </c>
      <c r="H300">
        <v>0.0876010569802893</v>
      </c>
      <c r="I300">
        <v>0.067602676470898</v>
      </c>
      <c r="J300">
        <v>0.0619571564232872</v>
      </c>
      <c r="K300">
        <v>0.0493973169937091</v>
      </c>
      <c r="L300">
        <v>548.134023920475</v>
      </c>
      <c r="M300">
        <v>12.269437697401</v>
      </c>
      <c r="N300">
        <v>44.9135815750897</v>
      </c>
      <c r="O300">
        <v>43.5377129998075</v>
      </c>
      <c r="P300">
        <v>-0.0682431745633148</v>
      </c>
      <c r="Q300">
        <v>0.0315791954322363</v>
      </c>
      <c r="R300">
        <v>0.990700590375603</v>
      </c>
      <c r="S300" t="s">
        <v>2493</v>
      </c>
      <c r="T300" t="s">
        <v>4362</v>
      </c>
      <c r="U300" t="s">
        <v>4362</v>
      </c>
      <c r="V300" t="s">
        <v>4362</v>
      </c>
      <c r="W300" t="s">
        <v>4662</v>
      </c>
      <c r="X300">
        <v>6</v>
      </c>
      <c r="Y300" t="s">
        <v>6821</v>
      </c>
      <c r="Z300" t="s">
        <v>8988</v>
      </c>
      <c r="AA300">
        <v>0.3137748765904529</v>
      </c>
      <c r="AB300">
        <f>HYPERLINK("Melting_Curves/meltCurve_P0A7A2_gpmB.pdf", "Melting_Curves/meltCurve_P0A7A2_gpmB.pdf")</f>
        <v>0</v>
      </c>
    </row>
    <row r="301" spans="1:28">
      <c r="A301" t="s">
        <v>327</v>
      </c>
      <c r="B301">
        <v>0.999739202189716</v>
      </c>
      <c r="C301">
        <v>0.6417564876355401</v>
      </c>
      <c r="D301">
        <v>0.299342930041593</v>
      </c>
      <c r="E301">
        <v>0.307924549231217</v>
      </c>
      <c r="F301">
        <v>0.22027156417437</v>
      </c>
      <c r="G301">
        <v>0.137892529526853</v>
      </c>
      <c r="H301">
        <v>0.107864807969404</v>
      </c>
      <c r="I301">
        <v>0.108937098931543</v>
      </c>
      <c r="J301">
        <v>0.09019685568925689</v>
      </c>
      <c r="K301">
        <v>0.0850912055758455</v>
      </c>
      <c r="L301">
        <v>885.855890280737</v>
      </c>
      <c r="M301">
        <v>21.7169089286806</v>
      </c>
      <c r="N301">
        <v>41.3832015643162</v>
      </c>
      <c r="O301">
        <v>40.4499042245951</v>
      </c>
      <c r="P301">
        <v>-0.116298706941151</v>
      </c>
      <c r="Q301">
        <v>0.133548428044058</v>
      </c>
      <c r="R301">
        <v>0.955775735694476</v>
      </c>
      <c r="S301" t="s">
        <v>2494</v>
      </c>
      <c r="T301" t="s">
        <v>4362</v>
      </c>
      <c r="U301" t="s">
        <v>4362</v>
      </c>
      <c r="V301" t="s">
        <v>4362</v>
      </c>
      <c r="W301" t="s">
        <v>4663</v>
      </c>
      <c r="X301">
        <v>3</v>
      </c>
      <c r="Y301" t="s">
        <v>6822</v>
      </c>
      <c r="Z301" t="s">
        <v>8989</v>
      </c>
      <c r="AA301">
        <v>0.2557121437598594</v>
      </c>
      <c r="AB301">
        <f>HYPERLINK("Melting_Curves/meltCurve_P0A7A5_pcm.pdf", "Melting_Curves/meltCurve_P0A7A5_pcm.pdf")</f>
        <v>0</v>
      </c>
    </row>
    <row r="302" spans="1:28">
      <c r="A302" t="s">
        <v>328</v>
      </c>
      <c r="B302">
        <v>0.999739202189716</v>
      </c>
      <c r="C302">
        <v>0.776774161170022</v>
      </c>
      <c r="D302">
        <v>0.329779146120605</v>
      </c>
      <c r="E302">
        <v>0.297650364881567</v>
      </c>
      <c r="F302">
        <v>0.161565508771976</v>
      </c>
      <c r="G302">
        <v>0.114638315546708</v>
      </c>
      <c r="H302">
        <v>0.078251976002395</v>
      </c>
      <c r="I302">
        <v>0.0619672209635737</v>
      </c>
      <c r="J302">
        <v>0.0607290794766807</v>
      </c>
      <c r="K302">
        <v>0.0495508460331547</v>
      </c>
      <c r="L302">
        <v>846.261520637842</v>
      </c>
      <c r="M302">
        <v>20.2335790568545</v>
      </c>
      <c r="N302">
        <v>42.2283511283177</v>
      </c>
      <c r="O302">
        <v>41.4224986442627</v>
      </c>
      <c r="P302">
        <v>-0.111381179186293</v>
      </c>
      <c r="Q302">
        <v>0.08794328311449</v>
      </c>
      <c r="R302">
        <v>0.9701871443178171</v>
      </c>
      <c r="S302" t="s">
        <v>2495</v>
      </c>
      <c r="T302" t="s">
        <v>4362</v>
      </c>
      <c r="U302" t="s">
        <v>4362</v>
      </c>
      <c r="V302" t="s">
        <v>4362</v>
      </c>
      <c r="W302" t="s">
        <v>4664</v>
      </c>
      <c r="X302">
        <v>8</v>
      </c>
      <c r="Y302" t="s">
        <v>6823</v>
      </c>
      <c r="Z302" t="s">
        <v>8990</v>
      </c>
      <c r="AA302">
        <v>0.2482441233617883</v>
      </c>
      <c r="AB302">
        <f>HYPERLINK("Melting_Curves/meltCurve_P0A7A7_plsB.pdf", "Melting_Curves/meltCurve_P0A7A7_plsB.pdf")</f>
        <v>0</v>
      </c>
    </row>
    <row r="303" spans="1:28">
      <c r="A303" t="s">
        <v>329</v>
      </c>
      <c r="B303">
        <v>0.999739202189716</v>
      </c>
      <c r="C303">
        <v>0.994904625518848</v>
      </c>
      <c r="D303">
        <v>1.12460493734969</v>
      </c>
      <c r="E303">
        <v>1.10162146940348</v>
      </c>
      <c r="F303">
        <v>0.947067233018147</v>
      </c>
      <c r="G303">
        <v>0.821828310375783</v>
      </c>
      <c r="H303">
        <v>0.611359404895084</v>
      </c>
      <c r="I303">
        <v>0.559340064043448</v>
      </c>
      <c r="J303">
        <v>0.47944311509005</v>
      </c>
      <c r="K303">
        <v>0.5606867364916031</v>
      </c>
      <c r="L303">
        <v>1669.10683120052</v>
      </c>
      <c r="M303">
        <v>30.5446831623528</v>
      </c>
      <c r="O303">
        <v>54.412139871055</v>
      </c>
      <c r="P303">
        <v>-0.0667866051500261</v>
      </c>
      <c r="Q303">
        <v>0.5241096596231229</v>
      </c>
      <c r="R303">
        <v>0.943337908660605</v>
      </c>
      <c r="S303" t="s">
        <v>2496</v>
      </c>
      <c r="T303" t="s">
        <v>4362</v>
      </c>
      <c r="U303" t="s">
        <v>4362</v>
      </c>
      <c r="V303" t="s">
        <v>4362</v>
      </c>
      <c r="W303" t="s">
        <v>4665</v>
      </c>
      <c r="X303">
        <v>4</v>
      </c>
      <c r="Y303" t="s">
        <v>6824</v>
      </c>
      <c r="Z303" t="s">
        <v>8991</v>
      </c>
      <c r="AA303">
        <v>0.8069457261290508</v>
      </c>
      <c r="AB303">
        <f>HYPERLINK("Melting_Curves/meltCurve_P0A7A9_ppa.pdf", "Melting_Curves/meltCurve_P0A7A9_ppa.pdf")</f>
        <v>0</v>
      </c>
    </row>
    <row r="304" spans="1:28">
      <c r="A304" t="s">
        <v>330</v>
      </c>
      <c r="B304">
        <v>0.999739202189716</v>
      </c>
      <c r="C304">
        <v>1.3288357351325</v>
      </c>
      <c r="D304">
        <v>0.725161374736588</v>
      </c>
      <c r="E304">
        <v>0.530300693460216</v>
      </c>
      <c r="F304">
        <v>0.336932735967699</v>
      </c>
      <c r="G304">
        <v>0.22115165537411</v>
      </c>
      <c r="H304">
        <v>0.176373685397182</v>
      </c>
      <c r="I304">
        <v>0.123080671080225</v>
      </c>
      <c r="J304">
        <v>0.117120408151638</v>
      </c>
      <c r="K304">
        <v>0.0852851093195649</v>
      </c>
      <c r="L304">
        <v>909.269547275514</v>
      </c>
      <c r="M304">
        <v>19.580286392362</v>
      </c>
      <c r="N304">
        <v>47.1613865842156</v>
      </c>
      <c r="O304">
        <v>45.961756410165</v>
      </c>
      <c r="P304">
        <v>-0.0926917317070327</v>
      </c>
      <c r="Q304">
        <v>0.129711379798685</v>
      </c>
      <c r="R304">
        <v>0.906415319246377</v>
      </c>
      <c r="S304" t="s">
        <v>2497</v>
      </c>
      <c r="T304" t="s">
        <v>4362</v>
      </c>
      <c r="U304" t="s">
        <v>4362</v>
      </c>
      <c r="V304" t="s">
        <v>4362</v>
      </c>
      <c r="W304" t="s">
        <v>4666</v>
      </c>
      <c r="X304">
        <v>5</v>
      </c>
      <c r="Y304" t="s">
        <v>6825</v>
      </c>
      <c r="Z304" t="s">
        <v>8992</v>
      </c>
      <c r="AA304">
        <v>0.4153748035932844</v>
      </c>
      <c r="AB304">
        <f>HYPERLINK("Melting_Curves/meltCurve_P0A7B1_ppk.pdf", "Melting_Curves/meltCurve_P0A7B1_ppk.pdf")</f>
        <v>0</v>
      </c>
    </row>
    <row r="305" spans="1:28">
      <c r="A305" t="s">
        <v>331</v>
      </c>
      <c r="B305">
        <v>0.999739202189716</v>
      </c>
      <c r="C305">
        <v>1.01166221631532</v>
      </c>
      <c r="D305">
        <v>0.997818409020196</v>
      </c>
      <c r="E305">
        <v>0.815364657546144</v>
      </c>
      <c r="F305">
        <v>0.546968496892776</v>
      </c>
      <c r="G305">
        <v>0.302950776965879</v>
      </c>
      <c r="H305">
        <v>0.151516981795931</v>
      </c>
      <c r="I305">
        <v>0.105042506448276</v>
      </c>
      <c r="J305">
        <v>0.0661889904851853</v>
      </c>
      <c r="K305">
        <v>0.0497602447158076</v>
      </c>
      <c r="L305">
        <v>894.334946148732</v>
      </c>
      <c r="M305">
        <v>17.6834881022995</v>
      </c>
      <c r="N305">
        <v>50.8661754718096</v>
      </c>
      <c r="O305">
        <v>49.9410948647182</v>
      </c>
      <c r="P305">
        <v>-0.0842594013587102</v>
      </c>
      <c r="Q305">
        <v>0.0482001157128247</v>
      </c>
      <c r="R305">
        <v>0.998420724109622</v>
      </c>
      <c r="S305" t="s">
        <v>2498</v>
      </c>
      <c r="T305" t="s">
        <v>4362</v>
      </c>
      <c r="U305" t="s">
        <v>4362</v>
      </c>
      <c r="V305" t="s">
        <v>4362</v>
      </c>
      <c r="W305" t="s">
        <v>4667</v>
      </c>
      <c r="X305">
        <v>3</v>
      </c>
      <c r="Y305" t="s">
        <v>6826</v>
      </c>
      <c r="Z305" t="s">
        <v>8993</v>
      </c>
      <c r="AA305">
        <v>0.4941748888702299</v>
      </c>
      <c r="AB305">
        <f>HYPERLINK("Melting_Curves/meltCurve_P0A7B3_nadK.pdf", "Melting_Curves/meltCurve_P0A7B3_nadK.pdf")</f>
        <v>0</v>
      </c>
    </row>
    <row r="306" spans="1:28">
      <c r="A306" t="s">
        <v>332</v>
      </c>
      <c r="B306">
        <v>0.999739202189716</v>
      </c>
      <c r="C306">
        <v>0.676675368047248</v>
      </c>
      <c r="D306">
        <v>0.500566228892955</v>
      </c>
      <c r="E306">
        <v>0.411997180059904</v>
      </c>
      <c r="F306">
        <v>0.342718993837747</v>
      </c>
      <c r="G306">
        <v>0.233384465106354</v>
      </c>
      <c r="H306">
        <v>0.18029586452957</v>
      </c>
      <c r="I306">
        <v>0.157560342898814</v>
      </c>
      <c r="J306">
        <v>0.146883157184653</v>
      </c>
      <c r="K306">
        <v>0.144033900067807</v>
      </c>
      <c r="L306">
        <v>488.489376707069</v>
      </c>
      <c r="M306">
        <v>11.4150182841424</v>
      </c>
      <c r="N306">
        <v>44.1125586177918</v>
      </c>
      <c r="O306">
        <v>41.543396626328</v>
      </c>
      <c r="P306">
        <v>-0.0587786780070142</v>
      </c>
      <c r="Q306">
        <v>0.14458258908</v>
      </c>
      <c r="R306">
        <v>0.960133108173962</v>
      </c>
      <c r="S306" t="s">
        <v>2499</v>
      </c>
      <c r="T306" t="s">
        <v>4362</v>
      </c>
      <c r="U306" t="s">
        <v>4362</v>
      </c>
      <c r="V306" t="s">
        <v>4362</v>
      </c>
      <c r="W306" t="s">
        <v>4668</v>
      </c>
      <c r="X306">
        <v>7</v>
      </c>
      <c r="Y306" t="s">
        <v>6827</v>
      </c>
      <c r="Z306" t="s">
        <v>8994</v>
      </c>
      <c r="AA306">
        <v>0.3495114608362473</v>
      </c>
      <c r="AB306">
        <f>HYPERLINK("Melting_Curves/meltCurve_P0A7B5_proB.pdf", "Melting_Curves/meltCurve_P0A7B5_proB.pdf")</f>
        <v>0</v>
      </c>
    </row>
    <row r="307" spans="1:28">
      <c r="A307" t="s">
        <v>333</v>
      </c>
      <c r="B307">
        <v>0.999739202189716</v>
      </c>
      <c r="C307">
        <v>1.12382368067822</v>
      </c>
      <c r="D307">
        <v>0.636180189795872</v>
      </c>
      <c r="E307">
        <v>0.818951393514336</v>
      </c>
      <c r="F307">
        <v>0.436423990038201</v>
      </c>
      <c r="G307">
        <v>0.51344391345211</v>
      </c>
      <c r="H307">
        <v>0.255769048734339</v>
      </c>
      <c r="I307">
        <v>0.252169743076196</v>
      </c>
      <c r="J307">
        <v>0.223947686521869</v>
      </c>
      <c r="K307">
        <v>0.274567678515305</v>
      </c>
      <c r="L307">
        <v>558.046354254578</v>
      </c>
      <c r="M307">
        <v>11.4841689124454</v>
      </c>
      <c r="N307">
        <v>50.8679502156037</v>
      </c>
      <c r="O307">
        <v>47.1893054633112</v>
      </c>
      <c r="P307">
        <v>-0.0486346596510917</v>
      </c>
      <c r="Q307">
        <v>0.200854677837303</v>
      </c>
      <c r="R307">
        <v>0.8732407250712499</v>
      </c>
      <c r="S307" t="s">
        <v>2500</v>
      </c>
      <c r="T307" t="s">
        <v>4362</v>
      </c>
      <c r="U307" t="s">
        <v>4362</v>
      </c>
      <c r="V307" t="s">
        <v>4362</v>
      </c>
      <c r="W307" t="s">
        <v>4669</v>
      </c>
      <c r="X307">
        <v>5</v>
      </c>
      <c r="Y307" t="s">
        <v>6828</v>
      </c>
      <c r="Z307" t="s">
        <v>8995</v>
      </c>
      <c r="AA307">
        <v>0.5354312016880812</v>
      </c>
      <c r="AB307">
        <f>HYPERLINK("Melting_Curves/meltCurve_P0A7B8_hslV.pdf", "Melting_Curves/meltCurve_P0A7B8_hslV.pdf")</f>
        <v>0</v>
      </c>
    </row>
    <row r="308" spans="1:28">
      <c r="A308" t="s">
        <v>334</v>
      </c>
      <c r="B308">
        <v>0.999739202189716</v>
      </c>
      <c r="C308">
        <v>1.06941070477181</v>
      </c>
      <c r="D308">
        <v>0.8041529163418411</v>
      </c>
      <c r="E308">
        <v>0.784988252558502</v>
      </c>
      <c r="F308">
        <v>0.54580864256844</v>
      </c>
      <c r="G308">
        <v>0.326739847337843</v>
      </c>
      <c r="H308">
        <v>0.260316074194305</v>
      </c>
      <c r="I308">
        <v>0.203462350416979</v>
      </c>
      <c r="J308">
        <v>0.219179401903704</v>
      </c>
      <c r="K308">
        <v>0.191569618221201</v>
      </c>
      <c r="L308">
        <v>722.342856257325</v>
      </c>
      <c r="M308">
        <v>14.6756052206089</v>
      </c>
      <c r="N308">
        <v>50.6700116435632</v>
      </c>
      <c r="O308">
        <v>48.3338309301003</v>
      </c>
      <c r="P308">
        <v>-0.0629035806992166</v>
      </c>
      <c r="Q308">
        <v>0.171404136240501</v>
      </c>
      <c r="R308">
        <v>0.977888084762629</v>
      </c>
      <c r="S308" t="s">
        <v>2501</v>
      </c>
      <c r="T308" t="s">
        <v>4362</v>
      </c>
      <c r="U308" t="s">
        <v>4362</v>
      </c>
      <c r="V308" t="s">
        <v>4362</v>
      </c>
      <c r="W308" t="s">
        <v>4670</v>
      </c>
      <c r="X308">
        <v>6</v>
      </c>
      <c r="Y308" t="s">
        <v>6829</v>
      </c>
      <c r="Z308" t="s">
        <v>8996</v>
      </c>
      <c r="AA308">
        <v>0.5272626082026757</v>
      </c>
      <c r="AB308">
        <f>HYPERLINK("Melting_Curves/meltCurve_P0A7C2_lexA.pdf", "Melting_Curves/meltCurve_P0A7C2_lexA.pdf")</f>
        <v>0</v>
      </c>
    </row>
    <row r="309" spans="1:28">
      <c r="A309" t="s">
        <v>335</v>
      </c>
      <c r="B309">
        <v>0.999739202189716</v>
      </c>
      <c r="C309">
        <v>0.938839913019874</v>
      </c>
      <c r="D309">
        <v>1.06009510789493</v>
      </c>
      <c r="E309">
        <v>0.982490286605026</v>
      </c>
      <c r="F309">
        <v>1.01375513378633</v>
      </c>
      <c r="G309">
        <v>0.645757532205221</v>
      </c>
      <c r="H309">
        <v>0.425980572694301</v>
      </c>
      <c r="I309">
        <v>0.179768079060005</v>
      </c>
      <c r="J309">
        <v>0.139955627005909</v>
      </c>
      <c r="K309">
        <v>0.10351364219495</v>
      </c>
      <c r="L309">
        <v>1298.99596937187</v>
      </c>
      <c r="M309">
        <v>23.3956885783413</v>
      </c>
      <c r="N309">
        <v>56.032307987118</v>
      </c>
      <c r="O309">
        <v>55.1220002684919</v>
      </c>
      <c r="P309">
        <v>-0.0959447701932447</v>
      </c>
      <c r="Q309">
        <v>0.0958034666334544</v>
      </c>
      <c r="R309">
        <v>0.985641545584762</v>
      </c>
      <c r="S309" t="s">
        <v>2502</v>
      </c>
      <c r="T309" t="s">
        <v>4362</v>
      </c>
      <c r="U309" t="s">
        <v>4362</v>
      </c>
      <c r="V309" t="s">
        <v>4362</v>
      </c>
      <c r="W309" t="s">
        <v>4671</v>
      </c>
      <c r="X309">
        <v>5</v>
      </c>
      <c r="Y309" t="s">
        <v>6830</v>
      </c>
      <c r="Z309" t="s">
        <v>8997</v>
      </c>
      <c r="AA309">
        <v>0.6623002717098736</v>
      </c>
      <c r="AB309">
        <f>HYPERLINK("Melting_Curves/meltCurve_P0A7C6_pepE.pdf", "Melting_Curves/meltCurve_P0A7C6_pepE.pdf")</f>
        <v>0</v>
      </c>
    </row>
    <row r="310" spans="1:28">
      <c r="A310" t="s">
        <v>336</v>
      </c>
      <c r="B310">
        <v>0.999739202189716</v>
      </c>
      <c r="C310">
        <v>0.877344695150989</v>
      </c>
      <c r="D310">
        <v>0.835555882090939</v>
      </c>
      <c r="E310">
        <v>0.925851304353145</v>
      </c>
      <c r="F310">
        <v>0.541547883609554</v>
      </c>
      <c r="G310">
        <v>0.146262208154638</v>
      </c>
      <c r="H310">
        <v>0.101315132247761</v>
      </c>
      <c r="I310">
        <v>0.0751655937494777</v>
      </c>
      <c r="J310">
        <v>0.0642924089892182</v>
      </c>
      <c r="K310">
        <v>0.050670289976842</v>
      </c>
      <c r="L310">
        <v>1507.67474464262</v>
      </c>
      <c r="M310">
        <v>30.0306307395698</v>
      </c>
      <c r="N310">
        <v>50.4240030987293</v>
      </c>
      <c r="O310">
        <v>49.9835204506398</v>
      </c>
      <c r="P310">
        <v>-0.141002889828372</v>
      </c>
      <c r="Q310">
        <v>0.0612551347763117</v>
      </c>
      <c r="R310">
        <v>0.972884171004373</v>
      </c>
      <c r="S310" t="s">
        <v>2503</v>
      </c>
      <c r="T310" t="s">
        <v>4362</v>
      </c>
      <c r="U310" t="s">
        <v>4362</v>
      </c>
      <c r="V310" t="s">
        <v>4362</v>
      </c>
      <c r="W310" t="s">
        <v>4672</v>
      </c>
      <c r="X310">
        <v>8</v>
      </c>
      <c r="Y310" t="s">
        <v>6831</v>
      </c>
      <c r="Z310" t="s">
        <v>8998</v>
      </c>
      <c r="AA310">
        <v>0.4802129446583268</v>
      </c>
      <c r="AB310">
        <f>HYPERLINK("Melting_Curves/meltCurve_P0A7D1_pth.pdf", "Melting_Curves/meltCurve_P0A7D1_pth.pdf")</f>
        <v>0</v>
      </c>
    </row>
    <row r="311" spans="1:28">
      <c r="A311" t="s">
        <v>337</v>
      </c>
      <c r="B311">
        <v>0.999739202189716</v>
      </c>
      <c r="C311">
        <v>0.883230251428946</v>
      </c>
      <c r="D311">
        <v>0.711545524077962</v>
      </c>
      <c r="E311">
        <v>0.351665198102504</v>
      </c>
      <c r="F311">
        <v>0.123412437449637</v>
      </c>
      <c r="G311">
        <v>0.0391453384593356</v>
      </c>
      <c r="H311">
        <v>0.0315488788179349</v>
      </c>
      <c r="I311">
        <v>0.0207940003244881</v>
      </c>
      <c r="J311">
        <v>0.0204061214656964</v>
      </c>
      <c r="K311">
        <v>0.0156699528425901</v>
      </c>
      <c r="L311">
        <v>836.385719682959</v>
      </c>
      <c r="M311">
        <v>18.6153758220643</v>
      </c>
      <c r="N311">
        <v>44.979101817253</v>
      </c>
      <c r="O311">
        <v>44.4209717772642</v>
      </c>
      <c r="P311">
        <v>-0.103714366878307</v>
      </c>
      <c r="Q311">
        <v>0.010088452375104</v>
      </c>
      <c r="R311">
        <v>0.998729394593962</v>
      </c>
      <c r="S311" t="s">
        <v>2504</v>
      </c>
      <c r="T311" t="s">
        <v>4362</v>
      </c>
      <c r="U311" t="s">
        <v>4362</v>
      </c>
      <c r="V311" t="s">
        <v>4362</v>
      </c>
      <c r="W311" t="s">
        <v>4673</v>
      </c>
      <c r="X311">
        <v>11</v>
      </c>
      <c r="Y311" t="s">
        <v>6832</v>
      </c>
      <c r="Z311" t="s">
        <v>8999</v>
      </c>
      <c r="AA311">
        <v>0.2868909193750832</v>
      </c>
      <c r="AB311">
        <f>HYPERLINK("Melting_Curves/meltCurve_P0A7D4_purA.pdf", "Melting_Curves/meltCurve_P0A7D4_purA.pdf")</f>
        <v>0</v>
      </c>
    </row>
    <row r="312" spans="1:28">
      <c r="A312" t="s">
        <v>338</v>
      </c>
      <c r="B312">
        <v>0.999739202189716</v>
      </c>
      <c r="C312">
        <v>0.740637317138914</v>
      </c>
      <c r="D312">
        <v>0.618339915849286</v>
      </c>
      <c r="E312">
        <v>0.411053451070255</v>
      </c>
      <c r="F312">
        <v>0.286960321508117</v>
      </c>
      <c r="G312">
        <v>0.186320814923048</v>
      </c>
      <c r="H312">
        <v>0.142939063842215</v>
      </c>
      <c r="I312">
        <v>0.110388896025903</v>
      </c>
      <c r="J312">
        <v>0.0915720698322055</v>
      </c>
      <c r="K312">
        <v>0.074568090613459</v>
      </c>
      <c r="L312">
        <v>501.37529372043</v>
      </c>
      <c r="M312">
        <v>11.2835230998937</v>
      </c>
      <c r="N312">
        <v>45.0176086473383</v>
      </c>
      <c r="O312">
        <v>43.1072333714641</v>
      </c>
      <c r="P312">
        <v>-0.0610067801571351</v>
      </c>
      <c r="Q312">
        <v>0.06801121134072211</v>
      </c>
      <c r="R312">
        <v>0.987515052143779</v>
      </c>
      <c r="S312" t="s">
        <v>2505</v>
      </c>
      <c r="T312" t="s">
        <v>4362</v>
      </c>
      <c r="U312" t="s">
        <v>4362</v>
      </c>
      <c r="V312" t="s">
        <v>4362</v>
      </c>
      <c r="W312" t="s">
        <v>4674</v>
      </c>
      <c r="X312">
        <v>5</v>
      </c>
      <c r="Y312" t="s">
        <v>6833</v>
      </c>
      <c r="Z312" t="s">
        <v>9000</v>
      </c>
      <c r="AA312">
        <v>0.3381360754615672</v>
      </c>
      <c r="AB312">
        <f>HYPERLINK("Melting_Curves/meltCurve_P0A7D7_purC.pdf", "Melting_Curves/meltCurve_P0A7D7_purC.pdf")</f>
        <v>0</v>
      </c>
    </row>
    <row r="313" spans="1:28">
      <c r="A313" t="s">
        <v>339</v>
      </c>
      <c r="B313">
        <v>0.999739202189716</v>
      </c>
      <c r="C313">
        <v>0.910748081528019</v>
      </c>
      <c r="D313">
        <v>0.896154847668826</v>
      </c>
      <c r="E313">
        <v>0.771836638236298</v>
      </c>
      <c r="F313">
        <v>0.5798965547711989</v>
      </c>
      <c r="G313">
        <v>0.34572979990371</v>
      </c>
      <c r="H313">
        <v>0.154791799057235</v>
      </c>
      <c r="I313">
        <v>0.0961963882670397</v>
      </c>
      <c r="J313">
        <v>0.08611752108794039</v>
      </c>
      <c r="K313">
        <v>0.07067833910798579</v>
      </c>
      <c r="L313">
        <v>649.4447067285899</v>
      </c>
      <c r="M313">
        <v>12.7446983163709</v>
      </c>
      <c r="N313">
        <v>50.990896096884</v>
      </c>
      <c r="O313">
        <v>49.7522963771812</v>
      </c>
      <c r="P313">
        <v>-0.0637909582349009</v>
      </c>
      <c r="Q313">
        <v>0.00409046718377489</v>
      </c>
      <c r="R313">
        <v>0.994142708402753</v>
      </c>
      <c r="S313" t="s">
        <v>2506</v>
      </c>
      <c r="T313" t="s">
        <v>4362</v>
      </c>
      <c r="U313" t="s">
        <v>4362</v>
      </c>
      <c r="V313" t="s">
        <v>4362</v>
      </c>
      <c r="W313" t="s">
        <v>4675</v>
      </c>
      <c r="X313">
        <v>11</v>
      </c>
      <c r="Y313" t="s">
        <v>6834</v>
      </c>
      <c r="Z313" t="s">
        <v>9001</v>
      </c>
      <c r="AA313">
        <v>0.4918848306129398</v>
      </c>
      <c r="AB313">
        <f>HYPERLINK("Melting_Curves/meltCurve_P0A7E1_pyrD.pdf", "Melting_Curves/meltCurve_P0A7E1_pyrD.pdf")</f>
        <v>0</v>
      </c>
    </row>
    <row r="314" spans="1:28">
      <c r="A314" t="s">
        <v>340</v>
      </c>
      <c r="B314">
        <v>0.999739202189716</v>
      </c>
      <c r="C314">
        <v>0.670144164478904</v>
      </c>
      <c r="D314">
        <v>0.951735874567486</v>
      </c>
      <c r="E314">
        <v>0.556312163024833</v>
      </c>
      <c r="F314">
        <v>0.5839221837016429</v>
      </c>
      <c r="G314">
        <v>0.470611531113801</v>
      </c>
      <c r="H314">
        <v>0.471324964858025</v>
      </c>
      <c r="I314">
        <v>0.441913701114461</v>
      </c>
      <c r="J314">
        <v>0.499349688796578</v>
      </c>
      <c r="K314">
        <v>0.323793577299557</v>
      </c>
      <c r="L314">
        <v>386.715231316533</v>
      </c>
      <c r="M314">
        <v>8.484059985011051</v>
      </c>
      <c r="N314">
        <v>53.8530113723316</v>
      </c>
      <c r="O314">
        <v>43.2604882523835</v>
      </c>
      <c r="P314">
        <v>-0.0312029049305442</v>
      </c>
      <c r="Q314">
        <v>0.364158620335964</v>
      </c>
      <c r="R314">
        <v>0.769195487651773</v>
      </c>
      <c r="S314" t="s">
        <v>2507</v>
      </c>
      <c r="T314" t="s">
        <v>4362</v>
      </c>
      <c r="U314" t="s">
        <v>4362</v>
      </c>
      <c r="V314" t="s">
        <v>4362</v>
      </c>
      <c r="W314" t="s">
        <v>4676</v>
      </c>
      <c r="X314">
        <v>1</v>
      </c>
      <c r="Y314" t="s">
        <v>6835</v>
      </c>
      <c r="Z314" t="s">
        <v>9002</v>
      </c>
      <c r="AA314">
        <v>0.584459665663722</v>
      </c>
      <c r="AB314">
        <f>HYPERLINK("Melting_Curves/meltCurve_P0A7E3_pyrE.pdf", "Melting_Curves/meltCurve_P0A7E3_pyrE.pdf")</f>
        <v>0</v>
      </c>
    </row>
    <row r="315" spans="1:28">
      <c r="A315" t="s">
        <v>341</v>
      </c>
      <c r="B315">
        <v>0.999739202189716</v>
      </c>
      <c r="C315">
        <v>1.03584723452717</v>
      </c>
      <c r="D315">
        <v>1.02529834907456</v>
      </c>
      <c r="E315">
        <v>0.585722357996139</v>
      </c>
      <c r="F315">
        <v>0.345254874307323</v>
      </c>
      <c r="G315">
        <v>0.199721762272826</v>
      </c>
      <c r="H315">
        <v>0.122366618386084</v>
      </c>
      <c r="I315">
        <v>0.090525812331301</v>
      </c>
      <c r="J315">
        <v>0.0767561858190504</v>
      </c>
      <c r="K315">
        <v>0.06362681534525309</v>
      </c>
      <c r="L315">
        <v>1046.98570558622</v>
      </c>
      <c r="M315">
        <v>21.9629399681627</v>
      </c>
      <c r="N315">
        <v>48.1065159863797</v>
      </c>
      <c r="O315">
        <v>47.2806245575161</v>
      </c>
      <c r="P315">
        <v>-0.105653625151281</v>
      </c>
      <c r="Q315">
        <v>0.0902386351028123</v>
      </c>
      <c r="R315">
        <v>0.986434987996483</v>
      </c>
      <c r="S315" t="s">
        <v>2508</v>
      </c>
      <c r="T315" t="s">
        <v>4362</v>
      </c>
      <c r="U315" t="s">
        <v>4362</v>
      </c>
      <c r="V315" t="s">
        <v>4362</v>
      </c>
      <c r="W315" t="s">
        <v>4677</v>
      </c>
      <c r="X315">
        <v>21</v>
      </c>
      <c r="Y315" t="s">
        <v>6836</v>
      </c>
      <c r="Z315" t="s">
        <v>9003</v>
      </c>
      <c r="AA315">
        <v>0.4237887861539706</v>
      </c>
      <c r="AB315">
        <f>HYPERLINK("Melting_Curves/meltCurve_P0A7E5_pyrG.pdf", "Melting_Curves/meltCurve_P0A7E5_pyrG.pdf")</f>
        <v>0</v>
      </c>
    </row>
    <row r="316" spans="1:28">
      <c r="A316" t="s">
        <v>342</v>
      </c>
      <c r="B316">
        <v>0.999739202189716</v>
      </c>
      <c r="C316">
        <v>0.658063006127239</v>
      </c>
      <c r="D316">
        <v>0.5435618919776</v>
      </c>
      <c r="E316">
        <v>0.464673833604581</v>
      </c>
      <c r="F316">
        <v>0.398335592414212</v>
      </c>
      <c r="G316">
        <v>0.310055786053264</v>
      </c>
      <c r="H316">
        <v>0.26032570769902</v>
      </c>
      <c r="I316">
        <v>0.207128451401561</v>
      </c>
      <c r="J316">
        <v>0.177566787578969</v>
      </c>
      <c r="K316">
        <v>0.18516925861793</v>
      </c>
      <c r="L316">
        <v>413.890039189375</v>
      </c>
      <c r="M316">
        <v>9.564766852726359</v>
      </c>
      <c r="N316">
        <v>45.2790512999369</v>
      </c>
      <c r="O316">
        <v>41.5075828979988</v>
      </c>
      <c r="P316">
        <v>-0.0476839152875322</v>
      </c>
      <c r="Q316">
        <v>0.172753456905108</v>
      </c>
      <c r="R316">
        <v>0.9434705879023501</v>
      </c>
      <c r="S316" t="s">
        <v>2509</v>
      </c>
      <c r="T316" t="s">
        <v>4362</v>
      </c>
      <c r="U316" t="s">
        <v>4362</v>
      </c>
      <c r="V316" t="s">
        <v>4362</v>
      </c>
      <c r="W316" t="s">
        <v>4678</v>
      </c>
      <c r="X316">
        <v>2</v>
      </c>
      <c r="Y316" t="s">
        <v>6837</v>
      </c>
      <c r="Z316" t="s">
        <v>9004</v>
      </c>
      <c r="AA316">
        <v>0.3960074331482103</v>
      </c>
      <c r="AB316">
        <f>HYPERLINK("Melting_Curves/meltCurve_P0A7E9_pyrH.pdf", "Melting_Curves/meltCurve_P0A7E9_pyrH.pdf")</f>
        <v>0</v>
      </c>
    </row>
    <row r="317" spans="1:28">
      <c r="A317" t="s">
        <v>343</v>
      </c>
      <c r="B317">
        <v>0.999739202189716</v>
      </c>
      <c r="C317">
        <v>0.881571315825877</v>
      </c>
      <c r="D317">
        <v>0.950025110093444</v>
      </c>
      <c r="E317">
        <v>0.787566541005336</v>
      </c>
      <c r="F317">
        <v>0.956735577136868</v>
      </c>
      <c r="G317">
        <v>0.704126793842919</v>
      </c>
      <c r="H317">
        <v>0.760706425455047</v>
      </c>
      <c r="I317">
        <v>0.668647631968839</v>
      </c>
      <c r="J317">
        <v>0.757293170838961</v>
      </c>
      <c r="K317">
        <v>0.454981058962849</v>
      </c>
      <c r="L317">
        <v>260.318418234627</v>
      </c>
      <c r="M317">
        <v>3.55785634078214</v>
      </c>
      <c r="O317">
        <v>57.7108599800907</v>
      </c>
      <c r="P317">
        <v>-0.0156987709301096</v>
      </c>
      <c r="Q317">
        <v>0</v>
      </c>
      <c r="R317">
        <v>0.704699788413844</v>
      </c>
      <c r="S317" t="s">
        <v>2510</v>
      </c>
      <c r="T317" t="s">
        <v>4362</v>
      </c>
      <c r="U317" t="s">
        <v>4362</v>
      </c>
      <c r="V317" t="s">
        <v>4362</v>
      </c>
      <c r="W317" t="s">
        <v>4679</v>
      </c>
      <c r="X317">
        <v>3</v>
      </c>
      <c r="Y317" t="s">
        <v>6838</v>
      </c>
      <c r="Z317" t="s">
        <v>9005</v>
      </c>
      <c r="AA317">
        <v>0.7981472407976624</v>
      </c>
      <c r="AB317">
        <f>HYPERLINK("Melting_Curves/meltCurve_P0A7F3_pyrI.pdf", "Melting_Curves/meltCurve_P0A7F3_pyrI.pdf")</f>
        <v>0</v>
      </c>
    </row>
    <row r="318" spans="1:28">
      <c r="A318" t="s">
        <v>344</v>
      </c>
      <c r="B318">
        <v>0.999739202189716</v>
      </c>
      <c r="C318">
        <v>0.656085264174421</v>
      </c>
      <c r="D318">
        <v>0.9961812243831339</v>
      </c>
      <c r="E318">
        <v>0.778153995161492</v>
      </c>
      <c r="F318">
        <v>0.754719374092327</v>
      </c>
      <c r="G318">
        <v>0.677677657909677</v>
      </c>
      <c r="H318">
        <v>0.535153738204366</v>
      </c>
      <c r="I318">
        <v>0.488842365135717</v>
      </c>
      <c r="J318">
        <v>0.451737135188322</v>
      </c>
      <c r="K318">
        <v>0.433995824505537</v>
      </c>
      <c r="L318">
        <v>248.821001441522</v>
      </c>
      <c r="M318">
        <v>4.03457634884283</v>
      </c>
      <c r="N318">
        <v>61.6721513538409</v>
      </c>
      <c r="O318">
        <v>50.7678299759634</v>
      </c>
      <c r="P318">
        <v>-0.0201161980462021</v>
      </c>
      <c r="Q318">
        <v>0</v>
      </c>
      <c r="R318">
        <v>0.76927531822802</v>
      </c>
      <c r="S318" t="s">
        <v>2511</v>
      </c>
      <c r="T318" t="s">
        <v>4362</v>
      </c>
      <c r="U318" t="s">
        <v>4362</v>
      </c>
      <c r="V318" t="s">
        <v>4362</v>
      </c>
      <c r="W318" t="s">
        <v>4680</v>
      </c>
      <c r="X318">
        <v>3</v>
      </c>
      <c r="Y318" t="s">
        <v>6839</v>
      </c>
      <c r="Z318" t="s">
        <v>9006</v>
      </c>
      <c r="AA318">
        <v>0.6805196534093648</v>
      </c>
      <c r="AB318">
        <f>HYPERLINK("Melting_Curves/meltCurve_P0A7F6_speD.pdf", "Melting_Curves/meltCurve_P0A7F6_speD.pdf")</f>
        <v>0</v>
      </c>
    </row>
    <row r="319" spans="1:28">
      <c r="A319" t="s">
        <v>345</v>
      </c>
      <c r="B319">
        <v>0.999739202189716</v>
      </c>
      <c r="C319">
        <v>0.942453198399741</v>
      </c>
      <c r="D319">
        <v>0.787530945928657</v>
      </c>
      <c r="E319">
        <v>0.519622892177674</v>
      </c>
      <c r="F319">
        <v>0.180495067777306</v>
      </c>
      <c r="G319">
        <v>0.0939346020706413</v>
      </c>
      <c r="H319">
        <v>0.072660638806651</v>
      </c>
      <c r="I319">
        <v>0.0739371956056623</v>
      </c>
      <c r="J319">
        <v>0.0658136712084252</v>
      </c>
      <c r="K319">
        <v>0.06788302675857009</v>
      </c>
      <c r="L319">
        <v>898.157449036207</v>
      </c>
      <c r="M319">
        <v>19.4835373924168</v>
      </c>
      <c r="N319">
        <v>46.3755580168713</v>
      </c>
      <c r="O319">
        <v>45.6208907907406</v>
      </c>
      <c r="P319">
        <v>-0.100901993057628</v>
      </c>
      <c r="Q319">
        <v>0.0549821644236451</v>
      </c>
      <c r="R319">
        <v>0.9968636036981851</v>
      </c>
      <c r="S319" t="s">
        <v>2512</v>
      </c>
      <c r="T319" t="s">
        <v>4362</v>
      </c>
      <c r="U319" t="s">
        <v>4362</v>
      </c>
      <c r="V319" t="s">
        <v>4362</v>
      </c>
      <c r="W319" t="s">
        <v>4681</v>
      </c>
      <c r="X319">
        <v>2</v>
      </c>
      <c r="Y319" t="s">
        <v>6840</v>
      </c>
      <c r="Z319" t="s">
        <v>9007</v>
      </c>
      <c r="AA319">
        <v>0.3546066748549833</v>
      </c>
      <c r="AB319">
        <f>HYPERLINK("Melting_Curves/meltCurve_P0A7F9_queA.pdf", "Melting_Curves/meltCurve_P0A7F9_queA.pdf")</f>
        <v>0</v>
      </c>
    </row>
    <row r="320" spans="1:28">
      <c r="A320" t="s">
        <v>346</v>
      </c>
      <c r="B320">
        <v>0.999739202189716</v>
      </c>
      <c r="C320">
        <v>0.882375552360017</v>
      </c>
      <c r="D320">
        <v>1.31805688479725</v>
      </c>
      <c r="E320">
        <v>0.944336257940202</v>
      </c>
      <c r="F320">
        <v>1.13213430856341</v>
      </c>
      <c r="G320">
        <v>0.916666382592494</v>
      </c>
      <c r="H320">
        <v>0.628315041313683</v>
      </c>
      <c r="I320">
        <v>0.519199861831354</v>
      </c>
      <c r="J320">
        <v>0.346152263826329</v>
      </c>
      <c r="K320">
        <v>0.228643116144282</v>
      </c>
      <c r="L320">
        <v>1232.16155200601</v>
      </c>
      <c r="M320">
        <v>20.9367624773164</v>
      </c>
      <c r="N320">
        <v>60.3769480097452</v>
      </c>
      <c r="O320">
        <v>58.322578032733</v>
      </c>
      <c r="P320">
        <v>-0.0713148359593829</v>
      </c>
      <c r="Q320">
        <v>0.205387746624063</v>
      </c>
      <c r="R320">
        <v>0.86148759892685</v>
      </c>
      <c r="S320" t="s">
        <v>2513</v>
      </c>
      <c r="T320" t="s">
        <v>4362</v>
      </c>
      <c r="U320" t="s">
        <v>4362</v>
      </c>
      <c r="V320" t="s">
        <v>4362</v>
      </c>
      <c r="W320" t="s">
        <v>4682</v>
      </c>
      <c r="X320">
        <v>7</v>
      </c>
      <c r="Y320" t="s">
        <v>6841</v>
      </c>
      <c r="Z320" t="s">
        <v>9008</v>
      </c>
      <c r="AA320">
        <v>0.7880086929377079</v>
      </c>
      <c r="AB320">
        <f>HYPERLINK("Melting_Curves/meltCurve_P0A7G2_rbfA.pdf", "Melting_Curves/meltCurve_P0A7G2_rbfA.pdf")</f>
        <v>0</v>
      </c>
    </row>
    <row r="321" spans="1:28">
      <c r="A321" t="s">
        <v>347</v>
      </c>
      <c r="B321">
        <v>0.999739202189716</v>
      </c>
      <c r="C321">
        <v>0.920468298300722</v>
      </c>
      <c r="D321">
        <v>0.597646908697496</v>
      </c>
      <c r="E321">
        <v>0.41383531928235</v>
      </c>
      <c r="F321">
        <v>0.271870035015569</v>
      </c>
      <c r="G321">
        <v>0.1743375070165</v>
      </c>
      <c r="H321">
        <v>0.1737146788231</v>
      </c>
      <c r="I321">
        <v>0.127033270866156</v>
      </c>
      <c r="J321">
        <v>0.119942036744453</v>
      </c>
      <c r="K321">
        <v>0.104899537806023</v>
      </c>
      <c r="L321">
        <v>695.963071606968</v>
      </c>
      <c r="M321">
        <v>15.7200607644939</v>
      </c>
      <c r="N321">
        <v>45.0944033279763</v>
      </c>
      <c r="O321">
        <v>43.5744156142009</v>
      </c>
      <c r="P321">
        <v>-0.0789606570613275</v>
      </c>
      <c r="Q321">
        <v>0.124589563836631</v>
      </c>
      <c r="R321">
        <v>0.989344618417171</v>
      </c>
      <c r="S321" t="s">
        <v>2514</v>
      </c>
      <c r="T321" t="s">
        <v>4362</v>
      </c>
      <c r="U321" t="s">
        <v>4362</v>
      </c>
      <c r="V321" t="s">
        <v>4362</v>
      </c>
      <c r="W321" t="s">
        <v>4683</v>
      </c>
      <c r="X321">
        <v>8</v>
      </c>
      <c r="Y321" t="s">
        <v>6842</v>
      </c>
      <c r="Z321" t="s">
        <v>9009</v>
      </c>
      <c r="AA321">
        <v>0.3562671171773538</v>
      </c>
      <c r="AB321">
        <f>HYPERLINK("Melting_Curves/meltCurve_P0A7G6_recA.pdf", "Melting_Curves/meltCurve_P0A7G6_recA.pdf")</f>
        <v>0</v>
      </c>
    </row>
    <row r="322" spans="1:28">
      <c r="A322" t="s">
        <v>348</v>
      </c>
      <c r="B322">
        <v>0.999739202189716</v>
      </c>
      <c r="C322">
        <v>0.898152286314248</v>
      </c>
      <c r="D322">
        <v>0.761673784028807</v>
      </c>
      <c r="E322">
        <v>0.8891309015022451</v>
      </c>
      <c r="F322">
        <v>0.752226115434865</v>
      </c>
      <c r="G322">
        <v>0.50186689435402</v>
      </c>
      <c r="H322">
        <v>0.29710073648634</v>
      </c>
      <c r="I322">
        <v>0.201631061331618</v>
      </c>
      <c r="J322">
        <v>0.220915018783925</v>
      </c>
      <c r="K322">
        <v>0.186442082598566</v>
      </c>
      <c r="L322">
        <v>519.028934297247</v>
      </c>
      <c r="M322">
        <v>9.68974004516835</v>
      </c>
      <c r="N322">
        <v>53.8794826401534</v>
      </c>
      <c r="O322">
        <v>51.4326373839546</v>
      </c>
      <c r="P322">
        <v>-0.0458284623376918</v>
      </c>
      <c r="Q322">
        <v>0.0275130786782379</v>
      </c>
      <c r="R322">
        <v>0.94588139630326</v>
      </c>
      <c r="S322" t="s">
        <v>2515</v>
      </c>
      <c r="T322" t="s">
        <v>4362</v>
      </c>
      <c r="U322" t="s">
        <v>4362</v>
      </c>
      <c r="V322" t="s">
        <v>4362</v>
      </c>
      <c r="W322" t="s">
        <v>4684</v>
      </c>
      <c r="X322">
        <v>5</v>
      </c>
      <c r="Y322" t="s">
        <v>6843</v>
      </c>
      <c r="Z322" t="s">
        <v>9010</v>
      </c>
      <c r="AA322">
        <v>0.5835854683025694</v>
      </c>
      <c r="AB322">
        <f>HYPERLINK("Melting_Curves/meltCurve_P0A7H6_recR.pdf", "Melting_Curves/meltCurve_P0A7H6_recR.pdf")</f>
        <v>0</v>
      </c>
    </row>
    <row r="323" spans="1:28">
      <c r="A323" t="s">
        <v>349</v>
      </c>
      <c r="B323">
        <v>0.999739202189716</v>
      </c>
      <c r="C323">
        <v>1.04481276817218</v>
      </c>
      <c r="D323">
        <v>0.936498020775363</v>
      </c>
      <c r="E323">
        <v>0.9476206251817501</v>
      </c>
      <c r="F323">
        <v>0.952739897436975</v>
      </c>
      <c r="G323">
        <v>0.663160880655945</v>
      </c>
      <c r="H323">
        <v>0.470027067668472</v>
      </c>
      <c r="I323">
        <v>0.388217079064932</v>
      </c>
      <c r="J323">
        <v>0.33161070039152</v>
      </c>
      <c r="K323">
        <v>0.226458051387737</v>
      </c>
      <c r="L323">
        <v>1030.47849612656</v>
      </c>
      <c r="M323">
        <v>18.7572401447161</v>
      </c>
      <c r="N323">
        <v>57.0562951470408</v>
      </c>
      <c r="O323">
        <v>54.3246550952927</v>
      </c>
      <c r="P323">
        <v>-0.06467042695624919</v>
      </c>
      <c r="Q323">
        <v>0.250838599234548</v>
      </c>
      <c r="R323">
        <v>0.9817931391706221</v>
      </c>
      <c r="S323" t="s">
        <v>2516</v>
      </c>
      <c r="T323" t="s">
        <v>4362</v>
      </c>
      <c r="U323" t="s">
        <v>4362</v>
      </c>
      <c r="V323" t="s">
        <v>4362</v>
      </c>
      <c r="W323" t="s">
        <v>4685</v>
      </c>
      <c r="X323">
        <v>9</v>
      </c>
      <c r="Y323" t="s">
        <v>6844</v>
      </c>
      <c r="Z323" t="s">
        <v>9011</v>
      </c>
      <c r="AA323">
        <v>0.7079038497796698</v>
      </c>
      <c r="AB323">
        <f>HYPERLINK("Melting_Curves/meltCurve_P0A7I0_prfA.pdf", "Melting_Curves/meltCurve_P0A7I0_prfA.pdf")</f>
        <v>0</v>
      </c>
    </row>
    <row r="324" spans="1:28">
      <c r="A324" t="s">
        <v>350</v>
      </c>
      <c r="B324">
        <v>0.999739202189716</v>
      </c>
      <c r="C324">
        <v>1.0445381300146</v>
      </c>
      <c r="D324">
        <v>1.02020190844455</v>
      </c>
      <c r="E324">
        <v>0.640997073850631</v>
      </c>
      <c r="F324">
        <v>0.221302138626852</v>
      </c>
      <c r="G324">
        <v>0.134210405163518</v>
      </c>
      <c r="H324">
        <v>0.112236848955546</v>
      </c>
      <c r="I324">
        <v>0.09283034133430269</v>
      </c>
      <c r="J324">
        <v>0.09136234794216901</v>
      </c>
      <c r="K324">
        <v>0.0897174793317079</v>
      </c>
      <c r="L324">
        <v>1625.75176760303</v>
      </c>
      <c r="M324">
        <v>34.4150476845092</v>
      </c>
      <c r="N324">
        <v>47.5570497357301</v>
      </c>
      <c r="O324">
        <v>47.0809141370071</v>
      </c>
      <c r="P324">
        <v>-0.1639888371492</v>
      </c>
      <c r="Q324">
        <v>0.102634951414682</v>
      </c>
      <c r="R324">
        <v>0.9965409472575421</v>
      </c>
      <c r="S324" t="s">
        <v>2517</v>
      </c>
      <c r="T324" t="s">
        <v>4362</v>
      </c>
      <c r="U324" t="s">
        <v>4362</v>
      </c>
      <c r="V324" t="s">
        <v>4362</v>
      </c>
      <c r="W324" t="s">
        <v>4686</v>
      </c>
      <c r="X324">
        <v>10</v>
      </c>
      <c r="Y324" t="s">
        <v>6845</v>
      </c>
      <c r="Z324" t="s">
        <v>9012</v>
      </c>
      <c r="AA324">
        <v>0.4128926938462171</v>
      </c>
      <c r="AB324">
        <f>HYPERLINK("Melting_Curves/meltCurve_P0A7I4_prfC.pdf", "Melting_Curves/meltCurve_P0A7I4_prfC.pdf")</f>
        <v>0</v>
      </c>
    </row>
    <row r="325" spans="1:28">
      <c r="A325" t="s">
        <v>351</v>
      </c>
      <c r="B325">
        <v>0.999739202189716</v>
      </c>
      <c r="C325">
        <v>0.880637750230531</v>
      </c>
      <c r="D325">
        <v>1.03868693175772</v>
      </c>
      <c r="E325">
        <v>0.9957483668823079</v>
      </c>
      <c r="F325">
        <v>1.01993686852048</v>
      </c>
      <c r="G325">
        <v>0.822236045846771</v>
      </c>
      <c r="H325">
        <v>0.75522735378496</v>
      </c>
      <c r="I325">
        <v>0.597221727876785</v>
      </c>
      <c r="J325">
        <v>0.373250531178098</v>
      </c>
      <c r="K325">
        <v>0.188181340899562</v>
      </c>
      <c r="L325">
        <v>932.066999118933</v>
      </c>
      <c r="M325">
        <v>15.0939300013199</v>
      </c>
      <c r="N325">
        <v>61.7511146848923</v>
      </c>
      <c r="O325">
        <v>60.6976184540498</v>
      </c>
      <c r="P325">
        <v>-0.0621746596614845</v>
      </c>
      <c r="Q325">
        <v>0</v>
      </c>
      <c r="R325">
        <v>0.961960301720923</v>
      </c>
      <c r="S325" t="s">
        <v>2518</v>
      </c>
      <c r="T325" t="s">
        <v>4362</v>
      </c>
      <c r="U325" t="s">
        <v>4362</v>
      </c>
      <c r="V325" t="s">
        <v>4362</v>
      </c>
      <c r="W325" t="s">
        <v>4687</v>
      </c>
      <c r="X325">
        <v>6</v>
      </c>
      <c r="Y325" t="s">
        <v>6846</v>
      </c>
      <c r="Z325" t="s">
        <v>9013</v>
      </c>
      <c r="AA325">
        <v>0.805181950621576</v>
      </c>
      <c r="AB325">
        <f>HYPERLINK("Melting_Curves/meltCurve_P0A7I7_ribA.pdf", "Melting_Curves/meltCurve_P0A7I7_ribA.pdf")</f>
        <v>0</v>
      </c>
    </row>
    <row r="326" spans="1:28">
      <c r="A326" t="s">
        <v>352</v>
      </c>
      <c r="B326">
        <v>0.999739202189716</v>
      </c>
      <c r="C326">
        <v>0.986385854631018</v>
      </c>
      <c r="D326">
        <v>0.90300709775166</v>
      </c>
      <c r="E326">
        <v>0.9284778538599781</v>
      </c>
      <c r="F326">
        <v>0.729279331475949</v>
      </c>
      <c r="G326">
        <v>0.509719359746342</v>
      </c>
      <c r="H326">
        <v>0.392424124461843</v>
      </c>
      <c r="I326">
        <v>0.353527853900509</v>
      </c>
      <c r="J326">
        <v>0.310998919465907</v>
      </c>
      <c r="K326">
        <v>0.325459622898232</v>
      </c>
      <c r="L326">
        <v>912.6716421760621</v>
      </c>
      <c r="M326">
        <v>17.7669699626793</v>
      </c>
      <c r="N326">
        <v>54.2279109076218</v>
      </c>
      <c r="O326">
        <v>50.7314987258038</v>
      </c>
      <c r="P326">
        <v>-0.0609375625765402</v>
      </c>
      <c r="Q326">
        <v>0.304035880707086</v>
      </c>
      <c r="R326">
        <v>0.990974150370825</v>
      </c>
      <c r="S326" t="s">
        <v>2519</v>
      </c>
      <c r="T326" t="s">
        <v>4362</v>
      </c>
      <c r="U326" t="s">
        <v>4362</v>
      </c>
      <c r="V326" t="s">
        <v>4362</v>
      </c>
      <c r="W326" t="s">
        <v>4688</v>
      </c>
      <c r="X326">
        <v>4</v>
      </c>
      <c r="Y326" t="s">
        <v>6847</v>
      </c>
      <c r="Z326" t="s">
        <v>9014</v>
      </c>
      <c r="AA326">
        <v>0.6482977827606582</v>
      </c>
      <c r="AB326">
        <f>HYPERLINK("Melting_Curves/meltCurve_P0A7J0_ribB.pdf", "Melting_Curves/meltCurve_P0A7J0_ribB.pdf")</f>
        <v>0</v>
      </c>
    </row>
    <row r="327" spans="1:28">
      <c r="A327" t="s">
        <v>353</v>
      </c>
      <c r="B327">
        <v>0.999739202189716</v>
      </c>
      <c r="C327">
        <v>0.966336652628192</v>
      </c>
      <c r="D327">
        <v>0.955774283657851</v>
      </c>
      <c r="E327">
        <v>0.803297909856924</v>
      </c>
      <c r="F327">
        <v>0.529730161187449</v>
      </c>
      <c r="G327">
        <v>0.286170308756434</v>
      </c>
      <c r="H327">
        <v>0.180285133617973</v>
      </c>
      <c r="I327">
        <v>0.12863692025632</v>
      </c>
      <c r="J327">
        <v>0.113527629684283</v>
      </c>
      <c r="K327">
        <v>0.09362629602084831</v>
      </c>
      <c r="L327">
        <v>881.357602809489</v>
      </c>
      <c r="M327">
        <v>17.6333631335183</v>
      </c>
      <c r="N327">
        <v>50.5553639280783</v>
      </c>
      <c r="O327">
        <v>49.3528492256785</v>
      </c>
      <c r="P327">
        <v>-0.0812370108027709</v>
      </c>
      <c r="Q327">
        <v>0.0905731639259563</v>
      </c>
      <c r="R327">
        <v>0.999474156323342</v>
      </c>
      <c r="S327" t="s">
        <v>2520</v>
      </c>
      <c r="T327" t="s">
        <v>4362</v>
      </c>
      <c r="U327" t="s">
        <v>4362</v>
      </c>
      <c r="V327" t="s">
        <v>4362</v>
      </c>
      <c r="W327" t="s">
        <v>4689</v>
      </c>
      <c r="X327">
        <v>14</v>
      </c>
      <c r="Y327" t="s">
        <v>6848</v>
      </c>
      <c r="Z327" t="s">
        <v>9015</v>
      </c>
      <c r="AA327">
        <v>0.4989471587180824</v>
      </c>
      <c r="AB327">
        <f>HYPERLINK("Melting_Curves/meltCurve_P0A7J3_rplJ.pdf", "Melting_Curves/meltCurve_P0A7J3_rplJ.pdf")</f>
        <v>0</v>
      </c>
    </row>
    <row r="328" spans="1:28">
      <c r="A328" t="s">
        <v>354</v>
      </c>
      <c r="B328">
        <v>0.999739202189716</v>
      </c>
      <c r="C328">
        <v>0.942957772844675</v>
      </c>
      <c r="D328">
        <v>0.8277918107521191</v>
      </c>
      <c r="E328">
        <v>0.599600388175864</v>
      </c>
      <c r="F328">
        <v>0.231821484374236</v>
      </c>
      <c r="G328">
        <v>0.124860091977438</v>
      </c>
      <c r="H328">
        <v>0.0937811765729043</v>
      </c>
      <c r="I328">
        <v>0.0738582198519884</v>
      </c>
      <c r="J328">
        <v>0.0705461172154013</v>
      </c>
      <c r="K328">
        <v>0.0627564480216482</v>
      </c>
      <c r="L328">
        <v>893.3953186851101</v>
      </c>
      <c r="M328">
        <v>19.056513153503</v>
      </c>
      <c r="N328">
        <v>47.1886891106144</v>
      </c>
      <c r="O328">
        <v>46.3742403954316</v>
      </c>
      <c r="P328">
        <v>-0.09674070143497809</v>
      </c>
      <c r="Q328">
        <v>0.0583582855168931</v>
      </c>
      <c r="R328">
        <v>0.9966082985109</v>
      </c>
      <c r="S328" t="s">
        <v>2521</v>
      </c>
      <c r="T328" t="s">
        <v>4362</v>
      </c>
      <c r="U328" t="s">
        <v>4362</v>
      </c>
      <c r="V328" t="s">
        <v>4362</v>
      </c>
      <c r="W328" t="s">
        <v>4690</v>
      </c>
      <c r="X328">
        <v>5</v>
      </c>
      <c r="Y328" t="s">
        <v>6849</v>
      </c>
      <c r="Z328" t="s">
        <v>9016</v>
      </c>
      <c r="AA328">
        <v>0.3820606750508718</v>
      </c>
      <c r="AB328">
        <f>HYPERLINK("Melting_Curves/meltCurve_P0A7J7_rplK.pdf", "Melting_Curves/meltCurve_P0A7J7_rplK.pdf")</f>
        <v>0</v>
      </c>
    </row>
    <row r="329" spans="1:28">
      <c r="A329" t="s">
        <v>355</v>
      </c>
      <c r="B329">
        <v>0.999739202189716</v>
      </c>
      <c r="C329">
        <v>1.11008268143439</v>
      </c>
      <c r="D329">
        <v>0.866055792410948</v>
      </c>
      <c r="E329">
        <v>0.989559908705072</v>
      </c>
      <c r="F329">
        <v>1.17370368241167</v>
      </c>
      <c r="G329">
        <v>0.846012811624563</v>
      </c>
      <c r="H329">
        <v>0.906264014995644</v>
      </c>
      <c r="I329">
        <v>0.820103374255708</v>
      </c>
      <c r="J329">
        <v>0.633646312207092</v>
      </c>
      <c r="K329">
        <v>0.560261868422832</v>
      </c>
      <c r="L329">
        <v>945.140486192059</v>
      </c>
      <c r="M329">
        <v>14.6726992447164</v>
      </c>
      <c r="O329">
        <v>63.2538819158037</v>
      </c>
      <c r="P329">
        <v>-0.0407366883975271</v>
      </c>
      <c r="Q329">
        <v>0.297615354031758</v>
      </c>
      <c r="R329">
        <v>0.760072359775793</v>
      </c>
      <c r="S329" t="s">
        <v>2522</v>
      </c>
      <c r="T329" t="s">
        <v>4362</v>
      </c>
      <c r="U329" t="s">
        <v>4362</v>
      </c>
      <c r="V329" t="s">
        <v>4362</v>
      </c>
      <c r="W329" t="s">
        <v>4691</v>
      </c>
      <c r="X329">
        <v>6</v>
      </c>
      <c r="Y329" t="s">
        <v>6850</v>
      </c>
      <c r="Z329" t="s">
        <v>9017</v>
      </c>
      <c r="AA329">
        <v>0.9037061546790336</v>
      </c>
      <c r="AB329">
        <f>HYPERLINK("Melting_Curves/meltCurve_P0A7K2_rplL.pdf", "Melting_Curves/meltCurve_P0A7K2_rplL.pdf")</f>
        <v>0</v>
      </c>
    </row>
    <row r="330" spans="1:28">
      <c r="A330" t="s">
        <v>356</v>
      </c>
      <c r="B330">
        <v>0.999739202189716</v>
      </c>
      <c r="C330">
        <v>0.88464346850222</v>
      </c>
      <c r="D330">
        <v>0.802017113933067</v>
      </c>
      <c r="E330">
        <v>0.599061926313094</v>
      </c>
      <c r="F330">
        <v>0.380403003425367</v>
      </c>
      <c r="G330">
        <v>0.18211160528528</v>
      </c>
      <c r="H330">
        <v>0.105734028417287</v>
      </c>
      <c r="I330">
        <v>0.0629865161823594</v>
      </c>
      <c r="J330">
        <v>0.0540824588436954</v>
      </c>
      <c r="K330">
        <v>0.0390567342254969</v>
      </c>
      <c r="L330">
        <v>591.3138782876121</v>
      </c>
      <c r="M330">
        <v>12.3422270329896</v>
      </c>
      <c r="N330">
        <v>47.9185311041195</v>
      </c>
      <c r="O330">
        <v>46.7041854535026</v>
      </c>
      <c r="P330">
        <v>-0.0660060201261346</v>
      </c>
      <c r="Q330">
        <v>0.00112296066270788</v>
      </c>
      <c r="R330">
        <v>0.997330728843545</v>
      </c>
      <c r="S330" t="s">
        <v>2523</v>
      </c>
      <c r="T330" t="s">
        <v>4362</v>
      </c>
      <c r="U330" t="s">
        <v>4362</v>
      </c>
      <c r="V330" t="s">
        <v>4362</v>
      </c>
      <c r="W330" t="s">
        <v>4692</v>
      </c>
      <c r="X330">
        <v>8</v>
      </c>
      <c r="Y330" t="s">
        <v>6851</v>
      </c>
      <c r="Z330" t="s">
        <v>9018</v>
      </c>
      <c r="AA330">
        <v>0.3944982372616313</v>
      </c>
      <c r="AB330">
        <f>HYPERLINK("Melting_Curves/meltCurve_P0A7K6_rplS.pdf", "Melting_Curves/meltCurve_P0A7K6_rplS.pdf")</f>
        <v>0</v>
      </c>
    </row>
    <row r="331" spans="1:28">
      <c r="A331" t="s">
        <v>357</v>
      </c>
      <c r="B331">
        <v>0.999739202189716</v>
      </c>
      <c r="C331">
        <v>0.691523561938047</v>
      </c>
      <c r="D331">
        <v>0.500680276315967</v>
      </c>
      <c r="E331">
        <v>0.212813975220255</v>
      </c>
      <c r="F331">
        <v>0.103686125734084</v>
      </c>
      <c r="G331">
        <v>0.067195558614871</v>
      </c>
      <c r="H331">
        <v>0.0473884245236067</v>
      </c>
      <c r="I331">
        <v>0.0353401395911822</v>
      </c>
      <c r="J331">
        <v>0.0289127990983652</v>
      </c>
      <c r="K331">
        <v>0.0246036463390772</v>
      </c>
      <c r="L331">
        <v>695.364347934998</v>
      </c>
      <c r="M331">
        <v>16.3433648201703</v>
      </c>
      <c r="N331">
        <v>42.7047793481848</v>
      </c>
      <c r="O331">
        <v>41.9254732602693</v>
      </c>
      <c r="P331">
        <v>-0.0946098304979883</v>
      </c>
      <c r="Q331">
        <v>0.0292628401873884</v>
      </c>
      <c r="R331">
        <v>0.989768639688127</v>
      </c>
      <c r="S331" t="s">
        <v>2524</v>
      </c>
      <c r="T331" t="s">
        <v>4362</v>
      </c>
      <c r="U331" t="s">
        <v>4362</v>
      </c>
      <c r="V331" t="s">
        <v>4362</v>
      </c>
      <c r="W331" t="s">
        <v>4693</v>
      </c>
      <c r="X331">
        <v>7</v>
      </c>
      <c r="Y331" t="s">
        <v>6852</v>
      </c>
      <c r="Z331" t="s">
        <v>9019</v>
      </c>
      <c r="AA331">
        <v>0.2308119684041678</v>
      </c>
      <c r="AB331">
        <f>HYPERLINK("Melting_Curves/meltCurve_P0A7L0_rplA.pdf", "Melting_Curves/meltCurve_P0A7L0_rplA.pdf")</f>
        <v>0</v>
      </c>
    </row>
    <row r="332" spans="1:28">
      <c r="A332" t="s">
        <v>358</v>
      </c>
      <c r="B332">
        <v>0.999739202189716</v>
      </c>
      <c r="C332">
        <v>0.883159191392423</v>
      </c>
      <c r="D332">
        <v>0.851221519921432</v>
      </c>
      <c r="E332">
        <v>0.653680256814747</v>
      </c>
      <c r="F332">
        <v>0.232443271155124</v>
      </c>
      <c r="G332">
        <v>0.134500328117225</v>
      </c>
      <c r="H332">
        <v>0.113172016927829</v>
      </c>
      <c r="I332">
        <v>0.07258457195555081</v>
      </c>
      <c r="J332">
        <v>0.0673751603577787</v>
      </c>
      <c r="K332">
        <v>0.0546947247496429</v>
      </c>
      <c r="L332">
        <v>901.864639267558</v>
      </c>
      <c r="M332">
        <v>19.0859201635686</v>
      </c>
      <c r="N332">
        <v>47.5525447462808</v>
      </c>
      <c r="O332">
        <v>46.7433028644284</v>
      </c>
      <c r="P332">
        <v>-0.0962981561409559</v>
      </c>
      <c r="Q332">
        <v>0.0566621652250657</v>
      </c>
      <c r="R332">
        <v>0.988037087781539</v>
      </c>
      <c r="S332" t="s">
        <v>2525</v>
      </c>
      <c r="T332" t="s">
        <v>4362</v>
      </c>
      <c r="U332" t="s">
        <v>4362</v>
      </c>
      <c r="V332" t="s">
        <v>4362</v>
      </c>
      <c r="W332" t="s">
        <v>4694</v>
      </c>
      <c r="X332">
        <v>7</v>
      </c>
      <c r="Y332" t="s">
        <v>6853</v>
      </c>
      <c r="Z332" t="s">
        <v>9020</v>
      </c>
      <c r="AA332">
        <v>0.3925882976976449</v>
      </c>
      <c r="AB332">
        <f>HYPERLINK("Melting_Curves/meltCurve_P0A7L3_rplT.pdf", "Melting_Curves/meltCurve_P0A7L3_rplT.pdf")</f>
        <v>0</v>
      </c>
    </row>
    <row r="333" spans="1:28">
      <c r="A333" t="s">
        <v>359</v>
      </c>
      <c r="B333">
        <v>0.999739202189716</v>
      </c>
      <c r="C333">
        <v>0.957147927123899</v>
      </c>
      <c r="D333">
        <v>0.743411981330192</v>
      </c>
      <c r="E333">
        <v>0.908926538862041</v>
      </c>
      <c r="F333">
        <v>1.31425206385419</v>
      </c>
      <c r="G333">
        <v>1.1196742162509</v>
      </c>
      <c r="H333">
        <v>1.57803158766813</v>
      </c>
      <c r="I333">
        <v>1.8558671140147</v>
      </c>
      <c r="J333">
        <v>2.82314750088055</v>
      </c>
      <c r="K333">
        <v>4.71179166905737</v>
      </c>
      <c r="L333">
        <v>1604.04346723233</v>
      </c>
      <c r="M333">
        <v>30.8509336908925</v>
      </c>
      <c r="O333">
        <v>51.7763610156143</v>
      </c>
      <c r="P333">
        <v>0.0744816578907615</v>
      </c>
      <c r="Q333">
        <v>1.5</v>
      </c>
      <c r="R333">
        <v>0.07800229795731529</v>
      </c>
      <c r="S333" t="s">
        <v>2526</v>
      </c>
      <c r="T333" t="s">
        <v>4362</v>
      </c>
      <c r="U333" t="s">
        <v>4362</v>
      </c>
      <c r="V333" t="s">
        <v>4362</v>
      </c>
      <c r="W333" t="s">
        <v>4695</v>
      </c>
      <c r="X333">
        <v>1</v>
      </c>
      <c r="Y333" t="s">
        <v>6854</v>
      </c>
      <c r="Z333" t="s">
        <v>9021</v>
      </c>
      <c r="AA333">
        <v>1.247121445002285</v>
      </c>
      <c r="AB333">
        <f>HYPERLINK("Melting_Curves/meltCurve_P0A7L8_rpmA.pdf", "Melting_Curves/meltCurve_P0A7L8_rpmA.pdf")</f>
        <v>0</v>
      </c>
    </row>
    <row r="334" spans="1:28">
      <c r="A334" t="s">
        <v>360</v>
      </c>
      <c r="B334">
        <v>0.999739202189716</v>
      </c>
      <c r="C334">
        <v>0.843901724115678</v>
      </c>
      <c r="D334">
        <v>0.578447176755009</v>
      </c>
      <c r="E334">
        <v>0.362703815446676</v>
      </c>
      <c r="F334">
        <v>0.211593418178132</v>
      </c>
      <c r="G334">
        <v>0.177053643728117</v>
      </c>
      <c r="H334">
        <v>0.197053555509185</v>
      </c>
      <c r="I334">
        <v>0.211787610123295</v>
      </c>
      <c r="J334">
        <v>0.248416201967105</v>
      </c>
      <c r="K334">
        <v>0.270071488252715</v>
      </c>
      <c r="L334">
        <v>910.8337800813561</v>
      </c>
      <c r="M334">
        <v>21.31591063316</v>
      </c>
      <c r="N334">
        <v>43.8946477124418</v>
      </c>
      <c r="O334">
        <v>42.3594831916801</v>
      </c>
      <c r="P334">
        <v>-0.0986390885256337</v>
      </c>
      <c r="Q334">
        <v>0.215948045053631</v>
      </c>
      <c r="R334">
        <v>0.987195563924483</v>
      </c>
      <c r="S334" t="s">
        <v>2527</v>
      </c>
      <c r="T334" t="s">
        <v>4362</v>
      </c>
      <c r="U334" t="s">
        <v>4362</v>
      </c>
      <c r="V334" t="s">
        <v>4362</v>
      </c>
      <c r="W334" t="s">
        <v>4696</v>
      </c>
      <c r="X334">
        <v>3</v>
      </c>
      <c r="Y334" t="s">
        <v>6855</v>
      </c>
      <c r="Z334" t="s">
        <v>9022</v>
      </c>
      <c r="AA334">
        <v>0.3753080324790808</v>
      </c>
      <c r="AB334">
        <f>HYPERLINK("Melting_Curves/meltCurve_P0A7M2_rpmB.pdf", "Melting_Curves/meltCurve_P0A7M2_rpmB.pdf")</f>
        <v>0</v>
      </c>
    </row>
    <row r="335" spans="1:28">
      <c r="A335" t="s">
        <v>361</v>
      </c>
      <c r="B335">
        <v>0.999739202189716</v>
      </c>
      <c r="C335">
        <v>2.68176787089582</v>
      </c>
      <c r="D335">
        <v>0.275242048518878</v>
      </c>
      <c r="E335">
        <v>0.92346709827397</v>
      </c>
      <c r="F335">
        <v>0.214435252201688</v>
      </c>
      <c r="G335">
        <v>0.194777686886373</v>
      </c>
      <c r="H335">
        <v>0.154228519022151</v>
      </c>
      <c r="I335">
        <v>0.111709343313734</v>
      </c>
      <c r="J335">
        <v>0.119715339517719</v>
      </c>
      <c r="K335">
        <v>0.22353934225751</v>
      </c>
      <c r="L335">
        <v>3069.63474838108</v>
      </c>
      <c r="M335">
        <v>63.6827358381136</v>
      </c>
      <c r="N335">
        <v>48.4943550193207</v>
      </c>
      <c r="O335">
        <v>48.1545279738857</v>
      </c>
      <c r="P335">
        <v>-0.27791357159895</v>
      </c>
      <c r="Q335">
        <v>0.159408442799423</v>
      </c>
      <c r="R335">
        <v>0.422774804815141</v>
      </c>
      <c r="S335" t="s">
        <v>2528</v>
      </c>
      <c r="T335" t="s">
        <v>4362</v>
      </c>
      <c r="U335" t="s">
        <v>4362</v>
      </c>
      <c r="V335" t="s">
        <v>4362</v>
      </c>
      <c r="W335" t="s">
        <v>4697</v>
      </c>
      <c r="X335">
        <v>1</v>
      </c>
      <c r="Y335" t="s">
        <v>6856</v>
      </c>
      <c r="Z335" t="s">
        <v>9023</v>
      </c>
      <c r="AA335">
        <v>0.4743845082274951</v>
      </c>
      <c r="AB335">
        <f>HYPERLINK("Melting_Curves/meltCurve_P0A7M6_rpmC.pdf", "Melting_Curves/meltCurve_P0A7M6_rpmC.pdf")</f>
        <v>0</v>
      </c>
    </row>
    <row r="336" spans="1:28">
      <c r="A336" t="s">
        <v>362</v>
      </c>
      <c r="B336">
        <v>0.999739202189716</v>
      </c>
      <c r="C336">
        <v>0.90437406514791</v>
      </c>
      <c r="D336">
        <v>0.855360486414787</v>
      </c>
      <c r="E336">
        <v>1.12766781372317</v>
      </c>
      <c r="F336">
        <v>0.96649540908785</v>
      </c>
      <c r="G336">
        <v>0.975176728207115</v>
      </c>
      <c r="H336">
        <v>0.913993538762228</v>
      </c>
      <c r="I336">
        <v>0.868991581696641</v>
      </c>
      <c r="J336">
        <v>0.776987426353923</v>
      </c>
      <c r="K336">
        <v>0.77848444598438</v>
      </c>
      <c r="L336">
        <v>1124.10361164296</v>
      </c>
      <c r="M336">
        <v>18.6985819788669</v>
      </c>
      <c r="O336">
        <v>59.442118777561</v>
      </c>
      <c r="P336">
        <v>-0.0208093626549244</v>
      </c>
      <c r="Q336">
        <v>0.735402378696715</v>
      </c>
      <c r="R336">
        <v>0.526677470270303</v>
      </c>
      <c r="S336" t="s">
        <v>2529</v>
      </c>
      <c r="T336" t="s">
        <v>4362</v>
      </c>
      <c r="U336" t="s">
        <v>4362</v>
      </c>
      <c r="V336" t="s">
        <v>4362</v>
      </c>
      <c r="W336" t="s">
        <v>4698</v>
      </c>
      <c r="X336">
        <v>5</v>
      </c>
      <c r="Y336" t="s">
        <v>6857</v>
      </c>
      <c r="Z336" t="s">
        <v>9024</v>
      </c>
      <c r="AA336">
        <v>0.9389456433569763</v>
      </c>
      <c r="AB336">
        <f>HYPERLINK("Melting_Curves/meltCurve_P0A7M9_rpmE.pdf", "Melting_Curves/meltCurve_P0A7M9_rpmE.pdf")</f>
        <v>0</v>
      </c>
    </row>
    <row r="337" spans="1:28">
      <c r="A337" t="s">
        <v>363</v>
      </c>
      <c r="B337">
        <v>0.999739202189716</v>
      </c>
      <c r="C337">
        <v>0.974385034935163</v>
      </c>
      <c r="D337">
        <v>0.7229768744062109</v>
      </c>
      <c r="E337">
        <v>0.7562650153435591</v>
      </c>
      <c r="F337">
        <v>1.25989320383792</v>
      </c>
      <c r="G337">
        <v>1.25958401723455</v>
      </c>
      <c r="H337">
        <v>0.668889227682761</v>
      </c>
      <c r="I337">
        <v>0.667559436112807</v>
      </c>
      <c r="J337">
        <v>1.29426709978281</v>
      </c>
      <c r="K337">
        <v>3.13446442189492</v>
      </c>
      <c r="L337">
        <v>15000</v>
      </c>
      <c r="M337">
        <v>234.368714663539</v>
      </c>
      <c r="O337">
        <v>63.9970563441325</v>
      </c>
      <c r="P337">
        <v>0.45777245263291</v>
      </c>
      <c r="Q337">
        <v>1.5</v>
      </c>
      <c r="R337">
        <v>0.345367890554604</v>
      </c>
      <c r="S337" t="s">
        <v>2530</v>
      </c>
      <c r="T337" t="s">
        <v>4362</v>
      </c>
      <c r="U337" t="s">
        <v>4362</v>
      </c>
      <c r="V337" t="s">
        <v>4362</v>
      </c>
      <c r="W337" t="s">
        <v>4699</v>
      </c>
      <c r="X337">
        <v>1</v>
      </c>
      <c r="Y337" t="s">
        <v>6858</v>
      </c>
      <c r="Z337" t="s">
        <v>9025</v>
      </c>
      <c r="AA337">
        <v>1.049907630089034</v>
      </c>
      <c r="AB337">
        <f>HYPERLINK("Melting_Curves/meltCurve_P0A7P5_rpmH.pdf", "Melting_Curves/meltCurve_P0A7P5_rpmH.pdf")</f>
        <v>0</v>
      </c>
    </row>
    <row r="338" spans="1:28">
      <c r="A338" t="s">
        <v>364</v>
      </c>
      <c r="B338">
        <v>0.999739202189716</v>
      </c>
      <c r="C338">
        <v>0.91056113165402</v>
      </c>
      <c r="D338">
        <v>0.798849083830133</v>
      </c>
      <c r="E338">
        <v>1.56527798574915</v>
      </c>
      <c r="F338">
        <v>2.17240352126827</v>
      </c>
      <c r="G338">
        <v>2.03259061252838</v>
      </c>
      <c r="H338">
        <v>1.81668393635741</v>
      </c>
      <c r="I338">
        <v>1.84289346757357</v>
      </c>
      <c r="J338">
        <v>1.81411257391645</v>
      </c>
      <c r="K338">
        <v>1.93140430549345</v>
      </c>
      <c r="L338">
        <v>11208.987703065</v>
      </c>
      <c r="M338">
        <v>250</v>
      </c>
      <c r="O338">
        <v>44.8330818926417</v>
      </c>
      <c r="P338">
        <v>0.697029936717049</v>
      </c>
      <c r="Q338">
        <v>1.5</v>
      </c>
      <c r="R338">
        <v>0.427110963419084</v>
      </c>
      <c r="S338" t="s">
        <v>2531</v>
      </c>
      <c r="T338" t="s">
        <v>4362</v>
      </c>
      <c r="U338" t="s">
        <v>4362</v>
      </c>
      <c r="V338" t="s">
        <v>4362</v>
      </c>
      <c r="W338" t="s">
        <v>4700</v>
      </c>
      <c r="X338">
        <v>1</v>
      </c>
      <c r="Y338" t="s">
        <v>6859</v>
      </c>
      <c r="Z338" t="s">
        <v>9026</v>
      </c>
      <c r="AA338">
        <v>1.369361476597723</v>
      </c>
      <c r="AB338">
        <f>HYPERLINK("Melting_Curves/meltCurve_P0A7Q6_rpmJ.pdf", "Melting_Curves/meltCurve_P0A7Q6_rpmJ.pdf")</f>
        <v>0</v>
      </c>
    </row>
    <row r="339" spans="1:28">
      <c r="A339" t="s">
        <v>365</v>
      </c>
      <c r="B339">
        <v>0.999739202189716</v>
      </c>
      <c r="C339">
        <v>0.894321158982611</v>
      </c>
      <c r="D339">
        <v>0.854516733061645</v>
      </c>
      <c r="E339">
        <v>0.531450825424632</v>
      </c>
      <c r="F339">
        <v>0.235903635489566</v>
      </c>
      <c r="G339">
        <v>0.122544009891312</v>
      </c>
      <c r="H339">
        <v>0.091679421599829</v>
      </c>
      <c r="I339">
        <v>0.07346742243349939</v>
      </c>
      <c r="J339">
        <v>0.07277896854675819</v>
      </c>
      <c r="K339">
        <v>0.07378957431309061</v>
      </c>
      <c r="L339">
        <v>881.8899436743239</v>
      </c>
      <c r="M339">
        <v>18.9668139329681</v>
      </c>
      <c r="N339">
        <v>46.8349544142715</v>
      </c>
      <c r="O339">
        <v>45.9888494288021</v>
      </c>
      <c r="P339">
        <v>-0.0965057041726682</v>
      </c>
      <c r="Q339">
        <v>0.06404765724831191</v>
      </c>
      <c r="R339">
        <v>0.99608834975339</v>
      </c>
      <c r="S339" t="s">
        <v>2532</v>
      </c>
      <c r="T339" t="s">
        <v>4362</v>
      </c>
      <c r="U339" t="s">
        <v>4362</v>
      </c>
      <c r="V339" t="s">
        <v>4362</v>
      </c>
      <c r="W339" t="s">
        <v>4701</v>
      </c>
      <c r="X339">
        <v>12</v>
      </c>
      <c r="Y339" t="s">
        <v>6860</v>
      </c>
      <c r="Z339" t="s">
        <v>9027</v>
      </c>
      <c r="AA339">
        <v>0.3739190548913621</v>
      </c>
      <c r="AB339">
        <f>HYPERLINK("Melting_Curves/meltCurve_P0A7R1_rplI.pdf", "Melting_Curves/meltCurve_P0A7R1_rplI.pdf")</f>
        <v>0</v>
      </c>
    </row>
    <row r="340" spans="1:28">
      <c r="A340" t="s">
        <v>366</v>
      </c>
      <c r="B340">
        <v>0.999739202189716</v>
      </c>
      <c r="C340">
        <v>0.713358932877128</v>
      </c>
      <c r="D340">
        <v>0.8795730310555609</v>
      </c>
      <c r="E340">
        <v>0.701563828677244</v>
      </c>
      <c r="F340">
        <v>0.526691690273976</v>
      </c>
      <c r="G340">
        <v>0.318860353297397</v>
      </c>
      <c r="H340">
        <v>0.206131916570502</v>
      </c>
      <c r="I340">
        <v>0.163773659080312</v>
      </c>
      <c r="J340">
        <v>0.123025665455665</v>
      </c>
      <c r="K340">
        <v>0.103600844655322</v>
      </c>
      <c r="L340">
        <v>446.904818647845</v>
      </c>
      <c r="M340">
        <v>8.928985935882769</v>
      </c>
      <c r="N340">
        <v>50.0510142382251</v>
      </c>
      <c r="O340">
        <v>47.7315224552896</v>
      </c>
      <c r="P340">
        <v>-0.046801711316024</v>
      </c>
      <c r="Q340">
        <v>0</v>
      </c>
      <c r="R340">
        <v>0.951569803885507</v>
      </c>
      <c r="S340" t="s">
        <v>2533</v>
      </c>
      <c r="T340" t="s">
        <v>4362</v>
      </c>
      <c r="U340" t="s">
        <v>4362</v>
      </c>
      <c r="V340" t="s">
        <v>4362</v>
      </c>
      <c r="W340" t="s">
        <v>4702</v>
      </c>
      <c r="X340">
        <v>4</v>
      </c>
      <c r="Y340" t="s">
        <v>6861</v>
      </c>
      <c r="Z340" t="s">
        <v>9028</v>
      </c>
      <c r="AA340">
        <v>0.4722980272955671</v>
      </c>
      <c r="AB340">
        <f>HYPERLINK("Melting_Curves/meltCurve_P0A7R5_rpsJ.pdf", "Melting_Curves/meltCurve_P0A7R5_rpsJ.pdf")</f>
        <v>0</v>
      </c>
    </row>
    <row r="341" spans="1:28">
      <c r="A341" t="s">
        <v>367</v>
      </c>
      <c r="B341">
        <v>0.999739202189716</v>
      </c>
      <c r="C341">
        <v>1.16228221103716</v>
      </c>
      <c r="D341">
        <v>0.861251529409904</v>
      </c>
      <c r="E341">
        <v>1.05393290234757</v>
      </c>
      <c r="F341">
        <v>0.564316548531332</v>
      </c>
      <c r="G341">
        <v>0.466099018841868</v>
      </c>
      <c r="H341">
        <v>0.389611050230543</v>
      </c>
      <c r="I341">
        <v>0.352541360916733</v>
      </c>
      <c r="J341">
        <v>0.358742951739168</v>
      </c>
      <c r="K341">
        <v>0.474302932256187</v>
      </c>
      <c r="L341">
        <v>10278.2733066443</v>
      </c>
      <c r="M341">
        <v>205.773171578628</v>
      </c>
      <c r="N341">
        <v>50.3645526537222</v>
      </c>
      <c r="O341">
        <v>49.9448126372714</v>
      </c>
      <c r="P341">
        <v>-0.609494446987309</v>
      </c>
      <c r="Q341">
        <v>0.408259383413797</v>
      </c>
      <c r="R341">
        <v>0.931171617967697</v>
      </c>
      <c r="S341" t="s">
        <v>2534</v>
      </c>
      <c r="T341" t="s">
        <v>4362</v>
      </c>
      <c r="U341" t="s">
        <v>4362</v>
      </c>
      <c r="V341" t="s">
        <v>4362</v>
      </c>
      <c r="W341" t="s">
        <v>4703</v>
      </c>
      <c r="X341">
        <v>6</v>
      </c>
      <c r="Y341" t="s">
        <v>6862</v>
      </c>
      <c r="Z341" t="s">
        <v>9029</v>
      </c>
      <c r="AA341">
        <v>0.6637613963866047</v>
      </c>
      <c r="AB341">
        <f>HYPERLINK("Melting_Curves/meltCurve_P0A7R9_rpsK.pdf", "Melting_Curves/meltCurve_P0A7R9_rpsK.pdf")</f>
        <v>0</v>
      </c>
    </row>
    <row r="342" spans="1:28">
      <c r="A342" t="s">
        <v>368</v>
      </c>
      <c r="B342">
        <v>0.999739202189716</v>
      </c>
      <c r="C342">
        <v>0.854989866863283</v>
      </c>
      <c r="D342">
        <v>0.622139836455935</v>
      </c>
      <c r="E342">
        <v>0.599132808597392</v>
      </c>
      <c r="F342">
        <v>0.354081802803361</v>
      </c>
      <c r="G342">
        <v>0.2646223597376</v>
      </c>
      <c r="H342">
        <v>0.199136584493417</v>
      </c>
      <c r="I342">
        <v>0.171012722261442</v>
      </c>
      <c r="J342">
        <v>0.157072474373868</v>
      </c>
      <c r="K342">
        <v>0.169052590320155</v>
      </c>
      <c r="L342">
        <v>495.109035456337</v>
      </c>
      <c r="M342">
        <v>10.8126011792215</v>
      </c>
      <c r="N342">
        <v>47.0207571991822</v>
      </c>
      <c r="O342">
        <v>44.3072087526904</v>
      </c>
      <c r="P342">
        <v>-0.0535093757322797</v>
      </c>
      <c r="Q342">
        <v>0.123246379675003</v>
      </c>
      <c r="R342">
        <v>0.978716567103875</v>
      </c>
      <c r="S342" t="s">
        <v>2535</v>
      </c>
      <c r="T342" t="s">
        <v>4362</v>
      </c>
      <c r="U342" t="s">
        <v>4362</v>
      </c>
      <c r="V342" t="s">
        <v>4362</v>
      </c>
      <c r="W342" t="s">
        <v>4704</v>
      </c>
      <c r="X342">
        <v>6</v>
      </c>
      <c r="Y342" t="s">
        <v>6863</v>
      </c>
      <c r="Z342" t="s">
        <v>9030</v>
      </c>
      <c r="AA342">
        <v>0.4165162819892393</v>
      </c>
      <c r="AB342">
        <f>HYPERLINK("Melting_Curves/meltCurve_P0A7S3_rpsL.pdf", "Melting_Curves/meltCurve_P0A7S3_rpsL.pdf")</f>
        <v>0</v>
      </c>
    </row>
    <row r="343" spans="1:28">
      <c r="A343" t="s">
        <v>369</v>
      </c>
      <c r="B343">
        <v>0.999739202189716</v>
      </c>
      <c r="C343">
        <v>0.692766572483331</v>
      </c>
      <c r="D343">
        <v>0.67091924373187</v>
      </c>
      <c r="E343">
        <v>0.312256081650702</v>
      </c>
      <c r="F343">
        <v>0.22403102372042</v>
      </c>
      <c r="G343">
        <v>0.147278419786796</v>
      </c>
      <c r="H343">
        <v>0.112900177299511</v>
      </c>
      <c r="I343">
        <v>0.09876341419375401</v>
      </c>
      <c r="J343">
        <v>0.11066879404479</v>
      </c>
      <c r="K343">
        <v>0.110159280830592</v>
      </c>
      <c r="L343">
        <v>604.163876253332</v>
      </c>
      <c r="M343">
        <v>13.8706805581136</v>
      </c>
      <c r="N343">
        <v>44.1944905176619</v>
      </c>
      <c r="O343">
        <v>42.6815107676852</v>
      </c>
      <c r="P343">
        <v>-0.0738880804781696</v>
      </c>
      <c r="Q343">
        <v>0.0906798795726419</v>
      </c>
      <c r="R343">
        <v>0.972115396124459</v>
      </c>
      <c r="S343" t="s">
        <v>2536</v>
      </c>
      <c r="T343" t="s">
        <v>4362</v>
      </c>
      <c r="U343" t="s">
        <v>4362</v>
      </c>
      <c r="V343" t="s">
        <v>4362</v>
      </c>
      <c r="W343" t="s">
        <v>4705</v>
      </c>
      <c r="X343">
        <v>5</v>
      </c>
      <c r="Y343" t="s">
        <v>6864</v>
      </c>
      <c r="Z343" t="s">
        <v>9031</v>
      </c>
      <c r="AA343">
        <v>0.3166585952488746</v>
      </c>
      <c r="AB343">
        <f>HYPERLINK("Melting_Curves/meltCurve_P0A7S9_rpsM.pdf", "Melting_Curves/meltCurve_P0A7S9_rpsM.pdf")</f>
        <v>0</v>
      </c>
    </row>
    <row r="344" spans="1:28">
      <c r="A344" t="s">
        <v>370</v>
      </c>
      <c r="B344">
        <v>0.999739202189716</v>
      </c>
      <c r="C344">
        <v>1.49053546580881</v>
      </c>
      <c r="D344">
        <v>0.788661819004406</v>
      </c>
      <c r="E344">
        <v>0.76483936124817</v>
      </c>
      <c r="F344">
        <v>0.4962457784928</v>
      </c>
      <c r="G344">
        <v>0.345092688258881</v>
      </c>
      <c r="H344">
        <v>0.283447881318449</v>
      </c>
      <c r="I344">
        <v>0.216712519672748</v>
      </c>
      <c r="J344">
        <v>0.268683328020075</v>
      </c>
      <c r="K344">
        <v>0.309151627791209</v>
      </c>
      <c r="L344">
        <v>1013.01352505662</v>
      </c>
      <c r="M344">
        <v>21.0310248409034</v>
      </c>
      <c r="N344">
        <v>49.9442661765768</v>
      </c>
      <c r="O344">
        <v>47.738419354576</v>
      </c>
      <c r="P344">
        <v>-0.0811315244666998</v>
      </c>
      <c r="Q344">
        <v>0.263376287863607</v>
      </c>
      <c r="R344">
        <v>0.817477703768458</v>
      </c>
      <c r="S344" t="s">
        <v>2537</v>
      </c>
      <c r="T344" t="s">
        <v>4362</v>
      </c>
      <c r="U344" t="s">
        <v>4362</v>
      </c>
      <c r="V344" t="s">
        <v>4362</v>
      </c>
      <c r="W344" t="s">
        <v>4706</v>
      </c>
      <c r="X344">
        <v>2</v>
      </c>
      <c r="Y344" t="s">
        <v>6865</v>
      </c>
      <c r="Z344" t="s">
        <v>9032</v>
      </c>
      <c r="AA344">
        <v>0.5463908390924085</v>
      </c>
      <c r="AB344">
        <f>HYPERLINK("Melting_Curves/meltCurve_P0A7T3_rpsP.pdf", "Melting_Curves/meltCurve_P0A7T3_rpsP.pdf")</f>
        <v>0</v>
      </c>
    </row>
    <row r="345" spans="1:28">
      <c r="A345" t="s">
        <v>371</v>
      </c>
      <c r="B345">
        <v>0.999739202189716</v>
      </c>
      <c r="C345">
        <v>0.7772088432984</v>
      </c>
      <c r="D345">
        <v>0.359608906817779</v>
      </c>
      <c r="E345">
        <v>0.358130092525496</v>
      </c>
      <c r="F345">
        <v>0.260246534685327</v>
      </c>
      <c r="G345">
        <v>0.181013097192908</v>
      </c>
      <c r="H345">
        <v>0.156989564381061</v>
      </c>
      <c r="I345">
        <v>0.120254257607797</v>
      </c>
      <c r="J345">
        <v>0.142413029571861</v>
      </c>
      <c r="K345">
        <v>0.178885188816377</v>
      </c>
      <c r="L345">
        <v>921.960698620293</v>
      </c>
      <c r="M345">
        <v>22.2285451702288</v>
      </c>
      <c r="N345">
        <v>42.3206864997204</v>
      </c>
      <c r="O345">
        <v>41.14512272471</v>
      </c>
      <c r="P345">
        <v>-0.110876421726515</v>
      </c>
      <c r="Q345">
        <v>0.179086849031813</v>
      </c>
      <c r="R345">
        <v>0.9610288149484389</v>
      </c>
      <c r="S345" t="s">
        <v>2538</v>
      </c>
      <c r="T345" t="s">
        <v>4362</v>
      </c>
      <c r="U345" t="s">
        <v>4362</v>
      </c>
      <c r="V345" t="s">
        <v>4362</v>
      </c>
      <c r="W345" t="s">
        <v>4707</v>
      </c>
      <c r="X345">
        <v>4</v>
      </c>
      <c r="Y345" t="s">
        <v>6866</v>
      </c>
      <c r="Z345" t="s">
        <v>9033</v>
      </c>
      <c r="AA345">
        <v>0.3118041363417095</v>
      </c>
      <c r="AB345">
        <f>HYPERLINK("Melting_Curves/meltCurve_P0A7T7_rpsR.pdf", "Melting_Curves/meltCurve_P0A7T7_rpsR.pdf")</f>
        <v>0</v>
      </c>
    </row>
    <row r="346" spans="1:28">
      <c r="A346" t="s">
        <v>372</v>
      </c>
      <c r="B346">
        <v>0.999739202189716</v>
      </c>
      <c r="C346">
        <v>0.9392403853517231</v>
      </c>
      <c r="D346">
        <v>0.722263957948351</v>
      </c>
      <c r="E346">
        <v>0.8515720752929991</v>
      </c>
      <c r="F346">
        <v>1.0024727875391</v>
      </c>
      <c r="G346">
        <v>0.902421737847764</v>
      </c>
      <c r="H346">
        <v>0.7746508021748379</v>
      </c>
      <c r="I346">
        <v>0.792768730028095</v>
      </c>
      <c r="J346">
        <v>0.965518476002125</v>
      </c>
      <c r="K346">
        <v>1.11808737524025</v>
      </c>
      <c r="L346">
        <v>9965.611950711689</v>
      </c>
      <c r="M346">
        <v>250</v>
      </c>
      <c r="O346">
        <v>39.8598969147623</v>
      </c>
      <c r="P346">
        <v>-0.17056696604324</v>
      </c>
      <c r="Q346">
        <v>0.891219493311299</v>
      </c>
      <c r="R346">
        <v>0.0864683180353545</v>
      </c>
      <c r="S346" t="s">
        <v>2539</v>
      </c>
      <c r="T346" t="s">
        <v>4362</v>
      </c>
      <c r="U346" t="s">
        <v>4362</v>
      </c>
      <c r="V346" t="s">
        <v>4362</v>
      </c>
      <c r="W346" t="s">
        <v>4708</v>
      </c>
      <c r="X346">
        <v>4</v>
      </c>
      <c r="Y346" t="s">
        <v>6867</v>
      </c>
      <c r="Z346" t="s">
        <v>9034</v>
      </c>
      <c r="AA346">
        <v>0.9016063874560784</v>
      </c>
      <c r="AB346">
        <f>HYPERLINK("Melting_Curves/meltCurve_P0A7U3_rpsS.pdf", "Melting_Curves/meltCurve_P0A7U3_rpsS.pdf")</f>
        <v>0</v>
      </c>
    </row>
    <row r="347" spans="1:28">
      <c r="A347" t="s">
        <v>373</v>
      </c>
      <c r="B347">
        <v>0.999739202189716</v>
      </c>
      <c r="C347">
        <v>1.03201338710211</v>
      </c>
      <c r="D347">
        <v>0.714541429154559</v>
      </c>
      <c r="E347">
        <v>0.895875471098236</v>
      </c>
      <c r="F347">
        <v>1.07126354289505</v>
      </c>
      <c r="G347">
        <v>0.867428108462447</v>
      </c>
      <c r="H347">
        <v>0.699196840402303</v>
      </c>
      <c r="I347">
        <v>0.76863336274995</v>
      </c>
      <c r="J347">
        <v>1.05773403832508</v>
      </c>
      <c r="K347">
        <v>2.38558534451035</v>
      </c>
      <c r="L347">
        <v>15000</v>
      </c>
      <c r="M347">
        <v>232.020260458545</v>
      </c>
      <c r="O347">
        <v>64.64473188223241</v>
      </c>
      <c r="P347">
        <v>0.448645009600519</v>
      </c>
      <c r="Q347">
        <v>1.5</v>
      </c>
      <c r="R347">
        <v>0.516188206259689</v>
      </c>
      <c r="S347" t="s">
        <v>2540</v>
      </c>
      <c r="T347" t="s">
        <v>4362</v>
      </c>
      <c r="U347" t="s">
        <v>4362</v>
      </c>
      <c r="V347" t="s">
        <v>4362</v>
      </c>
      <c r="W347" t="s">
        <v>4709</v>
      </c>
      <c r="X347">
        <v>5</v>
      </c>
      <c r="Y347" t="s">
        <v>6868</v>
      </c>
      <c r="Z347" t="s">
        <v>9035</v>
      </c>
      <c r="AA347">
        <v>1.039110160124124</v>
      </c>
      <c r="AB347">
        <f>HYPERLINK("Melting_Curves/meltCurve_P0A7U7_rpsT.pdf", "Melting_Curves/meltCurve_P0A7U7_rpsT.pdf")</f>
        <v>0</v>
      </c>
    </row>
    <row r="348" spans="1:28">
      <c r="A348" t="s">
        <v>374</v>
      </c>
      <c r="B348">
        <v>0.999739202189716</v>
      </c>
      <c r="C348">
        <v>0.587735677301173</v>
      </c>
      <c r="D348">
        <v>0.539969404339907</v>
      </c>
      <c r="E348">
        <v>0.263005915783894</v>
      </c>
      <c r="F348">
        <v>0.169271870570397</v>
      </c>
      <c r="G348">
        <v>0.09682453551481091</v>
      </c>
      <c r="H348">
        <v>0.0692479696907415</v>
      </c>
      <c r="I348">
        <v>0.0594905677733701</v>
      </c>
      <c r="J348">
        <v>0.0558937849402207</v>
      </c>
      <c r="K348">
        <v>0.0359674738216207</v>
      </c>
      <c r="L348">
        <v>557.748576698074</v>
      </c>
      <c r="M348">
        <v>13.1215342520916</v>
      </c>
      <c r="N348">
        <v>42.7870521885175</v>
      </c>
      <c r="O348">
        <v>41.5554456406441</v>
      </c>
      <c r="P348">
        <v>-0.0756972937229234</v>
      </c>
      <c r="Q348">
        <v>0.0412404995237329</v>
      </c>
      <c r="R348">
        <v>0.963696955437353</v>
      </c>
      <c r="S348" t="s">
        <v>2541</v>
      </c>
      <c r="T348" t="s">
        <v>4362</v>
      </c>
      <c r="U348" t="s">
        <v>4362</v>
      </c>
      <c r="V348" t="s">
        <v>4362</v>
      </c>
      <c r="W348" t="s">
        <v>4710</v>
      </c>
      <c r="X348">
        <v>9</v>
      </c>
      <c r="Y348" t="s">
        <v>6869</v>
      </c>
      <c r="Z348" t="s">
        <v>9036</v>
      </c>
      <c r="AA348">
        <v>0.2520473934890111</v>
      </c>
      <c r="AB348">
        <f>HYPERLINK("Melting_Curves/meltCurve_P0A7V0_rpsB.pdf", "Melting_Curves/meltCurve_P0A7V0_rpsB.pdf")</f>
        <v>0</v>
      </c>
    </row>
    <row r="349" spans="1:28">
      <c r="A349" t="s">
        <v>375</v>
      </c>
      <c r="B349">
        <v>0.999739202189716</v>
      </c>
      <c r="C349">
        <v>0.581664224062663</v>
      </c>
      <c r="D349">
        <v>0.230190507195629</v>
      </c>
      <c r="E349">
        <v>0.138102341186743</v>
      </c>
      <c r="F349">
        <v>0.09489787426172171</v>
      </c>
      <c r="G349">
        <v>0.0616300144327552</v>
      </c>
      <c r="H349">
        <v>0.0495162392759741</v>
      </c>
      <c r="I349">
        <v>0.0377005292601169</v>
      </c>
      <c r="J349">
        <v>0.0358844961433988</v>
      </c>
      <c r="K349">
        <v>0.0298587703234937</v>
      </c>
      <c r="L349">
        <v>1097.53253880648</v>
      </c>
      <c r="M349">
        <v>27.1366450153295</v>
      </c>
      <c r="N349">
        <v>40.6347812909529</v>
      </c>
      <c r="O349">
        <v>40.2269534292101</v>
      </c>
      <c r="P349">
        <v>-0.158595637545604</v>
      </c>
      <c r="Q349">
        <v>0.0596102025449599</v>
      </c>
      <c r="R349">
        <v>0.986954170020314</v>
      </c>
      <c r="S349" t="s">
        <v>2542</v>
      </c>
      <c r="T349" t="s">
        <v>4362</v>
      </c>
      <c r="U349" t="s">
        <v>4362</v>
      </c>
      <c r="V349" t="s">
        <v>4362</v>
      </c>
      <c r="W349" t="s">
        <v>4711</v>
      </c>
      <c r="X349">
        <v>10</v>
      </c>
      <c r="Y349" t="s">
        <v>6870</v>
      </c>
      <c r="Z349" t="s">
        <v>9037</v>
      </c>
      <c r="AA349">
        <v>0.1761789054060889</v>
      </c>
      <c r="AB349">
        <f>HYPERLINK("Melting_Curves/meltCurve_P0A7V3_rpsC.pdf", "Melting_Curves/meltCurve_P0A7V3_rpsC.pdf")</f>
        <v>0</v>
      </c>
    </row>
    <row r="350" spans="1:28">
      <c r="A350" t="s">
        <v>376</v>
      </c>
      <c r="B350">
        <v>0.999739202189716</v>
      </c>
      <c r="C350">
        <v>0.607040542074779</v>
      </c>
      <c r="D350">
        <v>0.221512599936948</v>
      </c>
      <c r="E350">
        <v>0.174923545289213</v>
      </c>
      <c r="F350">
        <v>0.111826389905401</v>
      </c>
      <c r="G350">
        <v>0.0828914699349035</v>
      </c>
      <c r="H350">
        <v>0.076405205839757</v>
      </c>
      <c r="I350">
        <v>0.0479978209601148</v>
      </c>
      <c r="J350">
        <v>0.0357926032945406</v>
      </c>
      <c r="K350">
        <v>0.0283087481303243</v>
      </c>
      <c r="L350">
        <v>1149.8422136518</v>
      </c>
      <c r="M350">
        <v>28.411190842627</v>
      </c>
      <c r="N350">
        <v>40.7040397736943</v>
      </c>
      <c r="O350">
        <v>40.2725531877452</v>
      </c>
      <c r="P350">
        <v>-0.163155174258701</v>
      </c>
      <c r="Q350">
        <v>0.0749250238146322</v>
      </c>
      <c r="R350">
        <v>0.9825137108602729</v>
      </c>
      <c r="S350" t="s">
        <v>2543</v>
      </c>
      <c r="T350" t="s">
        <v>4362</v>
      </c>
      <c r="U350" t="s">
        <v>4362</v>
      </c>
      <c r="V350" t="s">
        <v>4362</v>
      </c>
      <c r="W350" t="s">
        <v>4712</v>
      </c>
      <c r="X350">
        <v>11</v>
      </c>
      <c r="Y350" t="s">
        <v>6871</v>
      </c>
      <c r="Z350" t="s">
        <v>9038</v>
      </c>
      <c r="AA350">
        <v>0.1894665618506907</v>
      </c>
      <c r="AB350">
        <f>HYPERLINK("Melting_Curves/meltCurve_P0A7V8_rpsD.pdf", "Melting_Curves/meltCurve_P0A7V8_rpsD.pdf")</f>
        <v>0</v>
      </c>
    </row>
    <row r="351" spans="1:28">
      <c r="A351" t="s">
        <v>377</v>
      </c>
      <c r="B351">
        <v>0.999739202189716</v>
      </c>
      <c r="C351">
        <v>0.906109899845818</v>
      </c>
      <c r="D351">
        <v>0.445319586851726</v>
      </c>
      <c r="E351">
        <v>0.341640749134974</v>
      </c>
      <c r="F351">
        <v>0.110685454996362</v>
      </c>
      <c r="G351">
        <v>0.0653771616774385</v>
      </c>
      <c r="H351">
        <v>0.0428547723753873</v>
      </c>
      <c r="I351">
        <v>0.0317635891277417</v>
      </c>
      <c r="J351">
        <v>0.0287070848769263</v>
      </c>
      <c r="K351">
        <v>0.028614358111734</v>
      </c>
      <c r="L351">
        <v>772.396863418459</v>
      </c>
      <c r="M351">
        <v>17.8016735057238</v>
      </c>
      <c r="N351">
        <v>43.5652024492273</v>
      </c>
      <c r="O351">
        <v>42.8525848018735</v>
      </c>
      <c r="P351">
        <v>-0.100252030837522</v>
      </c>
      <c r="Q351">
        <v>0.0347341035842047</v>
      </c>
      <c r="R351">
        <v>0.978043463806976</v>
      </c>
      <c r="S351" t="s">
        <v>2544</v>
      </c>
      <c r="T351" t="s">
        <v>4362</v>
      </c>
      <c r="U351" t="s">
        <v>4362</v>
      </c>
      <c r="V351" t="s">
        <v>4362</v>
      </c>
      <c r="W351" t="s">
        <v>4713</v>
      </c>
      <c r="X351">
        <v>10</v>
      </c>
      <c r="Y351" t="s">
        <v>6872</v>
      </c>
      <c r="Z351" t="s">
        <v>9039</v>
      </c>
      <c r="AA351">
        <v>0.2574257333890723</v>
      </c>
      <c r="AB351">
        <f>HYPERLINK("Melting_Curves/meltCurve_P0A7W1_rpsE.pdf", "Melting_Curves/meltCurve_P0A7W1_rpsE.pdf")</f>
        <v>0</v>
      </c>
    </row>
    <row r="352" spans="1:28">
      <c r="A352" t="s">
        <v>378</v>
      </c>
      <c r="B352">
        <v>0.999739202189716</v>
      </c>
      <c r="C352">
        <v>0.86422336685743</v>
      </c>
      <c r="D352">
        <v>0.985473943548456</v>
      </c>
      <c r="E352">
        <v>0.583191254780231</v>
      </c>
      <c r="F352">
        <v>0.274926043927793</v>
      </c>
      <c r="G352">
        <v>0.179427180052109</v>
      </c>
      <c r="H352">
        <v>0.140753316842658</v>
      </c>
      <c r="I352">
        <v>0.114768922807204</v>
      </c>
      <c r="J352">
        <v>0.100415631832602</v>
      </c>
      <c r="K352">
        <v>0.09311233291412679</v>
      </c>
      <c r="L352">
        <v>1143.29596606655</v>
      </c>
      <c r="M352">
        <v>24.3060440364258</v>
      </c>
      <c r="N352">
        <v>47.5417080094569</v>
      </c>
      <c r="O352">
        <v>46.7225888157319</v>
      </c>
      <c r="P352">
        <v>-0.115280235990915</v>
      </c>
      <c r="Q352">
        <v>0.113617967973768</v>
      </c>
      <c r="R352">
        <v>0.983363098996868</v>
      </c>
      <c r="S352" t="s">
        <v>2545</v>
      </c>
      <c r="T352" t="s">
        <v>4362</v>
      </c>
      <c r="U352" t="s">
        <v>4362</v>
      </c>
      <c r="V352" t="s">
        <v>4362</v>
      </c>
      <c r="W352" t="s">
        <v>4714</v>
      </c>
      <c r="X352">
        <v>6</v>
      </c>
      <c r="Y352" t="s">
        <v>6873</v>
      </c>
      <c r="Z352" t="s">
        <v>9040</v>
      </c>
      <c r="AA352">
        <v>0.4180684376141573</v>
      </c>
      <c r="AB352">
        <f>HYPERLINK("Melting_Curves/meltCurve_P0A7W7_rpsH.pdf", "Melting_Curves/meltCurve_P0A7W7_rpsH.pdf")</f>
        <v>0</v>
      </c>
    </row>
    <row r="353" spans="1:28">
      <c r="A353" t="s">
        <v>379</v>
      </c>
      <c r="B353">
        <v>0.999739202189716</v>
      </c>
      <c r="C353">
        <v>0.867123937926732</v>
      </c>
      <c r="D353">
        <v>0.523613692512939</v>
      </c>
      <c r="E353">
        <v>0.532985645829082</v>
      </c>
      <c r="F353">
        <v>0.320351724738461</v>
      </c>
      <c r="G353">
        <v>0.226099178941566</v>
      </c>
      <c r="H353">
        <v>0.167342247658237</v>
      </c>
      <c r="I353">
        <v>0.120126619664387</v>
      </c>
      <c r="J353">
        <v>0.101798795505072</v>
      </c>
      <c r="K353">
        <v>0.116030563761996</v>
      </c>
      <c r="L353">
        <v>492.990249901171</v>
      </c>
      <c r="M353">
        <v>10.9332552520688</v>
      </c>
      <c r="N353">
        <v>45.8656183660746</v>
      </c>
      <c r="O353">
        <v>43.6611216985671</v>
      </c>
      <c r="P353">
        <v>-0.0573446215561774</v>
      </c>
      <c r="Q353">
        <v>0.0843107610119591</v>
      </c>
      <c r="R353">
        <v>0.965731276277054</v>
      </c>
      <c r="S353" t="s">
        <v>2546</v>
      </c>
      <c r="T353" t="s">
        <v>4362</v>
      </c>
      <c r="U353" t="s">
        <v>4362</v>
      </c>
      <c r="V353" t="s">
        <v>4362</v>
      </c>
      <c r="W353" t="s">
        <v>4715</v>
      </c>
      <c r="X353">
        <v>4</v>
      </c>
      <c r="Y353" t="s">
        <v>6874</v>
      </c>
      <c r="Z353" t="s">
        <v>9041</v>
      </c>
      <c r="AA353">
        <v>0.3702353397070887</v>
      </c>
      <c r="AB353">
        <f>HYPERLINK("Melting_Curves/meltCurve_P0A7X3_rpsI.pdf", "Melting_Curves/meltCurve_P0A7X3_rpsI.pdf")</f>
        <v>0</v>
      </c>
    </row>
    <row r="354" spans="1:28">
      <c r="A354" t="s">
        <v>380</v>
      </c>
      <c r="B354">
        <v>0.999739202189716</v>
      </c>
      <c r="C354">
        <v>1.05131240239316</v>
      </c>
      <c r="D354">
        <v>1.13795384682592</v>
      </c>
      <c r="E354">
        <v>1.11705963002947</v>
      </c>
      <c r="F354">
        <v>0.852763817455775</v>
      </c>
      <c r="G354">
        <v>0.611579393608451</v>
      </c>
      <c r="H354">
        <v>0.369568960519765</v>
      </c>
      <c r="I354">
        <v>0.238160015682805</v>
      </c>
      <c r="J354">
        <v>0.213626035578363</v>
      </c>
      <c r="K354">
        <v>0.251761220900019</v>
      </c>
      <c r="L354">
        <v>1398.67606925989</v>
      </c>
      <c r="M354">
        <v>26.0098757714361</v>
      </c>
      <c r="N354">
        <v>55.025573886133</v>
      </c>
      <c r="O354">
        <v>53.4599535158682</v>
      </c>
      <c r="P354">
        <v>-0.0944883337365767</v>
      </c>
      <c r="Q354">
        <v>0.223174471867075</v>
      </c>
      <c r="R354">
        <v>0.968769130605987</v>
      </c>
      <c r="S354" t="s">
        <v>2547</v>
      </c>
      <c r="T354" t="s">
        <v>4362</v>
      </c>
      <c r="U354" t="s">
        <v>4362</v>
      </c>
      <c r="V354" t="s">
        <v>4362</v>
      </c>
      <c r="W354" t="s">
        <v>4716</v>
      </c>
      <c r="X354">
        <v>7</v>
      </c>
      <c r="Y354" t="s">
        <v>6875</v>
      </c>
      <c r="Z354" t="s">
        <v>9042</v>
      </c>
      <c r="AA354">
        <v>0.6639178276903716</v>
      </c>
      <c r="AB354">
        <f>HYPERLINK("Melting_Curves/meltCurve_P0A7X6_rimM.pdf", "Melting_Curves/meltCurve_P0A7X6_rimM.pdf")</f>
        <v>0</v>
      </c>
    </row>
    <row r="355" spans="1:28">
      <c r="A355" t="s">
        <v>381</v>
      </c>
      <c r="B355">
        <v>0.999739202189716</v>
      </c>
      <c r="C355">
        <v>0.683567063539395</v>
      </c>
      <c r="D355">
        <v>0.440099884411891</v>
      </c>
      <c r="E355">
        <v>0.308011601528465</v>
      </c>
      <c r="F355">
        <v>0.204814372545152</v>
      </c>
      <c r="G355">
        <v>0.137710093475789</v>
      </c>
      <c r="H355">
        <v>0.106536013124953</v>
      </c>
      <c r="I355">
        <v>0.0888806623833493</v>
      </c>
      <c r="J355">
        <v>0.0850931870135145</v>
      </c>
      <c r="K355">
        <v>0.0722756636924119</v>
      </c>
      <c r="L355">
        <v>632.911660085695</v>
      </c>
      <c r="M355">
        <v>15.0160414453922</v>
      </c>
      <c r="N355">
        <v>42.7340556483823</v>
      </c>
      <c r="O355">
        <v>41.4226998817915</v>
      </c>
      <c r="P355">
        <v>-0.0822149939902876</v>
      </c>
      <c r="Q355">
        <v>0.09291022025266089</v>
      </c>
      <c r="R355">
        <v>0.9799099007051461</v>
      </c>
      <c r="S355" t="s">
        <v>2548</v>
      </c>
      <c r="T355" t="s">
        <v>4362</v>
      </c>
      <c r="U355" t="s">
        <v>4362</v>
      </c>
      <c r="V355" t="s">
        <v>4362</v>
      </c>
      <c r="W355" t="s">
        <v>4717</v>
      </c>
      <c r="X355">
        <v>6</v>
      </c>
      <c r="Y355" t="s">
        <v>6876</v>
      </c>
      <c r="Z355" t="s">
        <v>9043</v>
      </c>
      <c r="AA355">
        <v>0.2743048272167866</v>
      </c>
      <c r="AB355">
        <f>HYPERLINK("Melting_Curves/meltCurve_P0A7Y0_rnc.pdf", "Melting_Curves/meltCurve_P0A7Y0_rnc.pdf")</f>
        <v>0</v>
      </c>
    </row>
    <row r="356" spans="1:28">
      <c r="A356" t="s">
        <v>382</v>
      </c>
      <c r="B356">
        <v>0.999739202189716</v>
      </c>
      <c r="C356">
        <v>0.788924829412691</v>
      </c>
      <c r="D356">
        <v>1.02275006937191</v>
      </c>
      <c r="E356">
        <v>0.827567664888664</v>
      </c>
      <c r="F356">
        <v>0.530131086414161</v>
      </c>
      <c r="G356">
        <v>0.257604422761575</v>
      </c>
      <c r="H356">
        <v>0.162460033936274</v>
      </c>
      <c r="I356">
        <v>0.0978152747657421</v>
      </c>
      <c r="J356">
        <v>0.0652240124565007</v>
      </c>
      <c r="K356">
        <v>0.0581319806549575</v>
      </c>
      <c r="L356">
        <v>936.390844390337</v>
      </c>
      <c r="M356">
        <v>18.6293800412617</v>
      </c>
      <c r="N356">
        <v>50.5910622397392</v>
      </c>
      <c r="O356">
        <v>49.6957611296326</v>
      </c>
      <c r="P356">
        <v>-0.0884074674638885</v>
      </c>
      <c r="Q356">
        <v>0.0566970907462221</v>
      </c>
      <c r="R356">
        <v>0.967754522245746</v>
      </c>
      <c r="S356" t="s">
        <v>2549</v>
      </c>
      <c r="T356" t="s">
        <v>4362</v>
      </c>
      <c r="U356" t="s">
        <v>4362</v>
      </c>
      <c r="V356" t="s">
        <v>4362</v>
      </c>
      <c r="W356" t="s">
        <v>4718</v>
      </c>
      <c r="X356">
        <v>2</v>
      </c>
      <c r="Y356" t="s">
        <v>6877</v>
      </c>
      <c r="Z356" t="s">
        <v>9044</v>
      </c>
      <c r="AA356">
        <v>0.4877671530892902</v>
      </c>
      <c r="AB356">
        <f>HYPERLINK("Melting_Curves/meltCurve_P0A7Y4_rnhA.pdf", "Melting_Curves/meltCurve_P0A7Y4_rnhA.pdf")</f>
        <v>0</v>
      </c>
    </row>
    <row r="357" spans="1:28">
      <c r="A357" t="s">
        <v>383</v>
      </c>
      <c r="B357">
        <v>0.999739202189716</v>
      </c>
      <c r="C357">
        <v>0.874610266466941</v>
      </c>
      <c r="D357">
        <v>1.03209225971709</v>
      </c>
      <c r="E357">
        <v>1.05973723399538</v>
      </c>
      <c r="F357">
        <v>0.815740289052136</v>
      </c>
      <c r="G357">
        <v>0.542818227155963</v>
      </c>
      <c r="H357">
        <v>0.389468949687772</v>
      </c>
      <c r="I357">
        <v>0.335349581478574</v>
      </c>
      <c r="J357">
        <v>0.26885529054277</v>
      </c>
      <c r="K357">
        <v>0.277618459003477</v>
      </c>
      <c r="L357">
        <v>1332.38570545394</v>
      </c>
      <c r="M357">
        <v>25.3067509722989</v>
      </c>
      <c r="N357">
        <v>54.4948947364134</v>
      </c>
      <c r="O357">
        <v>52.3239742147355</v>
      </c>
      <c r="P357">
        <v>-0.0861174974222388</v>
      </c>
      <c r="Q357">
        <v>0.287786717154309</v>
      </c>
      <c r="R357">
        <v>0.972437740018525</v>
      </c>
      <c r="S357" t="s">
        <v>2550</v>
      </c>
      <c r="T357" t="s">
        <v>4362</v>
      </c>
      <c r="U357" t="s">
        <v>4362</v>
      </c>
      <c r="V357" t="s">
        <v>4362</v>
      </c>
      <c r="W357" t="s">
        <v>4719</v>
      </c>
      <c r="X357">
        <v>10</v>
      </c>
      <c r="Y357" t="s">
        <v>6878</v>
      </c>
      <c r="Z357" t="s">
        <v>9045</v>
      </c>
      <c r="AA357">
        <v>0.6654825227389544</v>
      </c>
      <c r="AB357">
        <f>HYPERLINK("Melting_Curves/meltCurve_P0A7Z0_rpiA.pdf", "Melting_Curves/meltCurve_P0A7Z0_rpiA.pdf")</f>
        <v>0</v>
      </c>
    </row>
    <row r="358" spans="1:28">
      <c r="A358" t="s">
        <v>384</v>
      </c>
      <c r="B358">
        <v>0.999739202189716</v>
      </c>
      <c r="C358">
        <v>1.00170904082863</v>
      </c>
      <c r="D358">
        <v>0.971212297013807</v>
      </c>
      <c r="E358">
        <v>0.892816352705567</v>
      </c>
      <c r="F358">
        <v>0.844093709380822</v>
      </c>
      <c r="G358">
        <v>0.6644589068753119</v>
      </c>
      <c r="H358">
        <v>0.559269066707351</v>
      </c>
      <c r="I358">
        <v>0.487219127789092</v>
      </c>
      <c r="J358">
        <v>0.432646910796578</v>
      </c>
      <c r="K358">
        <v>0.337796870252645</v>
      </c>
      <c r="L358">
        <v>565.562992555129</v>
      </c>
      <c r="M358">
        <v>10.1526648269531</v>
      </c>
      <c r="N358">
        <v>59.7760685484994</v>
      </c>
      <c r="O358">
        <v>53.6743025639819</v>
      </c>
      <c r="P358">
        <v>-0.0355043274433147</v>
      </c>
      <c r="Q358">
        <v>0.24953861573274</v>
      </c>
      <c r="R358">
        <v>0.993138765135021</v>
      </c>
      <c r="S358" t="s">
        <v>2551</v>
      </c>
      <c r="T358" t="s">
        <v>4362</v>
      </c>
      <c r="U358" t="s">
        <v>4362</v>
      </c>
      <c r="V358" t="s">
        <v>4362</v>
      </c>
      <c r="W358" t="s">
        <v>4720</v>
      </c>
      <c r="X358">
        <v>14</v>
      </c>
      <c r="Y358" t="s">
        <v>6879</v>
      </c>
      <c r="Z358" t="s">
        <v>9046</v>
      </c>
      <c r="AA358">
        <v>0.72369051223561</v>
      </c>
      <c r="AB358">
        <f>HYPERLINK("Melting_Curves/meltCurve_P0A7Z4_rpoA.pdf", "Melting_Curves/meltCurve_P0A7Z4_rpoA.pdf")</f>
        <v>0</v>
      </c>
    </row>
    <row r="359" spans="1:28">
      <c r="A359" t="s">
        <v>385</v>
      </c>
      <c r="B359">
        <v>0.999739202189716</v>
      </c>
      <c r="C359">
        <v>0.9708907971922029</v>
      </c>
      <c r="D359">
        <v>0.589472233901471</v>
      </c>
      <c r="E359">
        <v>0.733560999432585</v>
      </c>
      <c r="F359">
        <v>0.6962283033433641</v>
      </c>
      <c r="G359">
        <v>0.650426287902409</v>
      </c>
      <c r="H359">
        <v>0.70234786065873</v>
      </c>
      <c r="I359">
        <v>0.778326893031848</v>
      </c>
      <c r="J359">
        <v>0.764860780009944</v>
      </c>
      <c r="K359">
        <v>0.685481986483921</v>
      </c>
      <c r="L359">
        <v>10063.9901921806</v>
      </c>
      <c r="M359">
        <v>250</v>
      </c>
      <c r="O359">
        <v>40.2533813381528</v>
      </c>
      <c r="P359">
        <v>-0.465662446658746</v>
      </c>
      <c r="Q359">
        <v>0.700088166969319</v>
      </c>
      <c r="R359">
        <v>0.831972920103322</v>
      </c>
      <c r="S359" t="s">
        <v>2552</v>
      </c>
      <c r="T359" t="s">
        <v>4362</v>
      </c>
      <c r="U359" t="s">
        <v>4362</v>
      </c>
      <c r="V359" t="s">
        <v>4362</v>
      </c>
      <c r="W359" t="s">
        <v>4721</v>
      </c>
      <c r="X359">
        <v>2</v>
      </c>
      <c r="Y359" t="s">
        <v>6880</v>
      </c>
      <c r="Z359" t="s">
        <v>9047</v>
      </c>
      <c r="AA359">
        <v>0.7326593940636633</v>
      </c>
      <c r="AB359">
        <f>HYPERLINK("Melting_Curves/meltCurve_P0A800_rpoZ.pdf", "Melting_Curves/meltCurve_P0A800_rpoZ.pdf")</f>
        <v>0</v>
      </c>
    </row>
    <row r="360" spans="1:28">
      <c r="A360" t="s">
        <v>386</v>
      </c>
      <c r="B360">
        <v>0.999739202189716</v>
      </c>
      <c r="C360">
        <v>1.00029645882522</v>
      </c>
      <c r="D360">
        <v>1.05882634616331</v>
      </c>
      <c r="E360">
        <v>1.16016523614223</v>
      </c>
      <c r="F360">
        <v>0.996418820860318</v>
      </c>
      <c r="G360">
        <v>0.881220918716749</v>
      </c>
      <c r="H360">
        <v>0.797229214366607</v>
      </c>
      <c r="I360">
        <v>0.732532005952652</v>
      </c>
      <c r="J360">
        <v>0.676565073005408</v>
      </c>
      <c r="K360">
        <v>0.70708209712984</v>
      </c>
      <c r="L360">
        <v>1484.8907583703</v>
      </c>
      <c r="M360">
        <v>26.793018511717</v>
      </c>
      <c r="O360">
        <v>55.1148377191234</v>
      </c>
      <c r="P360">
        <v>-0.0370307972394998</v>
      </c>
      <c r="Q360">
        <v>0.695304874394257</v>
      </c>
      <c r="R360">
        <v>0.872146797434655</v>
      </c>
      <c r="S360" t="s">
        <v>2553</v>
      </c>
      <c r="T360" t="s">
        <v>4362</v>
      </c>
      <c r="U360" t="s">
        <v>4362</v>
      </c>
      <c r="V360" t="s">
        <v>4362</v>
      </c>
      <c r="W360" t="s">
        <v>4722</v>
      </c>
      <c r="X360">
        <v>23</v>
      </c>
      <c r="Y360" t="s">
        <v>6881</v>
      </c>
      <c r="Z360" t="s">
        <v>9048</v>
      </c>
      <c r="AA360">
        <v>0.8846981243191467</v>
      </c>
      <c r="AB360">
        <f>HYPERLINK("Melting_Curves/meltCurve_P0A805_frr.pdf", "Melting_Curves/meltCurve_P0A805_frr.pdf")</f>
        <v>0</v>
      </c>
    </row>
    <row r="361" spans="1:28">
      <c r="A361" t="s">
        <v>387</v>
      </c>
      <c r="B361">
        <v>0.999739202189716</v>
      </c>
      <c r="C361">
        <v>0.875078401752358</v>
      </c>
      <c r="D361">
        <v>1.13923515380538</v>
      </c>
      <c r="E361">
        <v>0.867035905740046</v>
      </c>
      <c r="F361">
        <v>0.768979665475077</v>
      </c>
      <c r="G361">
        <v>0.736174786217046</v>
      </c>
      <c r="H361">
        <v>0.542314076907351</v>
      </c>
      <c r="I361">
        <v>0.466408141713999</v>
      </c>
      <c r="J361">
        <v>0.424943580464381</v>
      </c>
      <c r="K361">
        <v>0.356174176269608</v>
      </c>
      <c r="L361">
        <v>600.759468963239</v>
      </c>
      <c r="M361">
        <v>10.8971803932806</v>
      </c>
      <c r="N361">
        <v>59.5804910898639</v>
      </c>
      <c r="O361">
        <v>53.3707294120475</v>
      </c>
      <c r="P361">
        <v>-0.0368435021411388</v>
      </c>
      <c r="Q361">
        <v>0.278464004391237</v>
      </c>
      <c r="R361">
        <v>0.919237036910852</v>
      </c>
      <c r="S361" t="s">
        <v>2554</v>
      </c>
      <c r="T361" t="s">
        <v>4362</v>
      </c>
      <c r="U361" t="s">
        <v>4362</v>
      </c>
      <c r="V361" t="s">
        <v>4362</v>
      </c>
      <c r="W361" t="s">
        <v>4723</v>
      </c>
      <c r="X361">
        <v>6</v>
      </c>
      <c r="Y361" t="s">
        <v>6882</v>
      </c>
      <c r="Z361" t="s">
        <v>9049</v>
      </c>
      <c r="AA361">
        <v>0.7236967615907551</v>
      </c>
      <c r="AB361">
        <f>HYPERLINK("Melting_Curves/meltCurve_P0A809_ruvA.pdf", "Melting_Curves/meltCurve_P0A809_ruvA.pdf")</f>
        <v>0</v>
      </c>
    </row>
    <row r="362" spans="1:28">
      <c r="A362" t="s">
        <v>388</v>
      </c>
      <c r="B362">
        <v>0.999739202189716</v>
      </c>
      <c r="C362">
        <v>0.959258050878722</v>
      </c>
      <c r="D362">
        <v>0.589025993170631</v>
      </c>
      <c r="E362">
        <v>0.583874970262013</v>
      </c>
      <c r="F362">
        <v>0.427371564969598</v>
      </c>
      <c r="G362">
        <v>0.336233294613791</v>
      </c>
      <c r="H362">
        <v>0.29961515062216</v>
      </c>
      <c r="I362">
        <v>0.262787779117014</v>
      </c>
      <c r="J362">
        <v>0.261485857758059</v>
      </c>
      <c r="K362">
        <v>0.328298198251786</v>
      </c>
      <c r="L362">
        <v>621.627427880583</v>
      </c>
      <c r="M362">
        <v>14.0187345200853</v>
      </c>
      <c r="N362">
        <v>47.1176010631968</v>
      </c>
      <c r="O362">
        <v>43.4695663503551</v>
      </c>
      <c r="P362">
        <v>-0.0579745830955481</v>
      </c>
      <c r="Q362">
        <v>0.281019959726667</v>
      </c>
      <c r="R362">
        <v>0.951141019063809</v>
      </c>
      <c r="S362" t="s">
        <v>2555</v>
      </c>
      <c r="T362" t="s">
        <v>4362</v>
      </c>
      <c r="U362" t="s">
        <v>4362</v>
      </c>
      <c r="V362" t="s">
        <v>4362</v>
      </c>
      <c r="W362" t="s">
        <v>4724</v>
      </c>
      <c r="X362">
        <v>1</v>
      </c>
      <c r="Y362" t="s">
        <v>6883</v>
      </c>
      <c r="Z362" t="s">
        <v>9050</v>
      </c>
      <c r="AA362">
        <v>0.4771366906765818</v>
      </c>
      <c r="AB362">
        <f>HYPERLINK("Melting_Curves/meltCurve_P0A812_ruvB.pdf", "Melting_Curves/meltCurve_P0A812_ruvB.pdf")</f>
        <v>0</v>
      </c>
    </row>
    <row r="363" spans="1:28">
      <c r="A363" t="s">
        <v>389</v>
      </c>
      <c r="B363">
        <v>0.999739202189716</v>
      </c>
      <c r="C363">
        <v>0.803777406128319</v>
      </c>
      <c r="D363">
        <v>0.591075747612877</v>
      </c>
      <c r="E363">
        <v>0.461551530080522</v>
      </c>
      <c r="F363">
        <v>0.37743730047692</v>
      </c>
      <c r="G363">
        <v>0.277343883897715</v>
      </c>
      <c r="H363">
        <v>0.246831746220703</v>
      </c>
      <c r="I363">
        <v>0.20946662034652</v>
      </c>
      <c r="J363">
        <v>0.196432659519179</v>
      </c>
      <c r="K363">
        <v>0.16536266731271</v>
      </c>
      <c r="L363">
        <v>518.1038966145489</v>
      </c>
      <c r="M363">
        <v>11.7840986224508</v>
      </c>
      <c r="N363">
        <v>45.7335998098854</v>
      </c>
      <c r="O363">
        <v>42.7575195668718</v>
      </c>
      <c r="P363">
        <v>-0.0563140645705067</v>
      </c>
      <c r="Q363">
        <v>0.182889414263813</v>
      </c>
      <c r="R363">
        <v>0.982865963799277</v>
      </c>
      <c r="S363" t="s">
        <v>2556</v>
      </c>
      <c r="T363" t="s">
        <v>4362</v>
      </c>
      <c r="U363" t="s">
        <v>4362</v>
      </c>
      <c r="V363" t="s">
        <v>4362</v>
      </c>
      <c r="W363" t="s">
        <v>4725</v>
      </c>
      <c r="X363">
        <v>8</v>
      </c>
      <c r="Y363" t="s">
        <v>6884</v>
      </c>
      <c r="Z363" t="s">
        <v>9051</v>
      </c>
      <c r="AA363">
        <v>0.4053729984448806</v>
      </c>
      <c r="AB363">
        <f>HYPERLINK("Melting_Curves/meltCurve_P0A817_metK.pdf", "Melting_Curves/meltCurve_P0A817_metK.pdf")</f>
        <v>0</v>
      </c>
    </row>
    <row r="364" spans="1:28">
      <c r="A364" t="s">
        <v>390</v>
      </c>
      <c r="B364">
        <v>0.999739202189716</v>
      </c>
      <c r="C364">
        <v>1.64708255058897</v>
      </c>
      <c r="D364">
        <v>1.12063788377279</v>
      </c>
      <c r="E364">
        <v>1.33970832745662</v>
      </c>
      <c r="F364">
        <v>0.626961239543085</v>
      </c>
      <c r="G364">
        <v>0.490553854463315</v>
      </c>
      <c r="H364">
        <v>0.331580897871985</v>
      </c>
      <c r="I364">
        <v>0.203273565659423</v>
      </c>
      <c r="J364">
        <v>0.164925826172504</v>
      </c>
      <c r="K364">
        <v>0.109426073950982</v>
      </c>
      <c r="L364">
        <v>1301.05886157678</v>
      </c>
      <c r="M364">
        <v>24.8199997737648</v>
      </c>
      <c r="N364">
        <v>53.3052322004095</v>
      </c>
      <c r="O364">
        <v>52.0830451889318</v>
      </c>
      <c r="P364">
        <v>-0.0990119727266844</v>
      </c>
      <c r="Q364">
        <v>0.168932515626284</v>
      </c>
      <c r="R364">
        <v>0.767344686423663</v>
      </c>
      <c r="S364" t="s">
        <v>2557</v>
      </c>
      <c r="T364" t="s">
        <v>4362</v>
      </c>
      <c r="U364" t="s">
        <v>4362</v>
      </c>
      <c r="V364" t="s">
        <v>4362</v>
      </c>
      <c r="W364" t="s">
        <v>4726</v>
      </c>
      <c r="X364">
        <v>12</v>
      </c>
      <c r="Y364" t="s">
        <v>6885</v>
      </c>
      <c r="Z364" t="s">
        <v>9052</v>
      </c>
      <c r="AA364">
        <v>0.603551327560928</v>
      </c>
      <c r="AB364">
        <f>HYPERLINK("Melting_Curves/meltCurve_P0A821_selA.pdf", "Melting_Curves/meltCurve_P0A821_selA.pdf")</f>
        <v>0</v>
      </c>
    </row>
    <row r="365" spans="1:28">
      <c r="A365" t="s">
        <v>391</v>
      </c>
      <c r="B365">
        <v>0.999739202189716</v>
      </c>
      <c r="C365">
        <v>1.11869056617781</v>
      </c>
      <c r="D365">
        <v>0.698262441269637</v>
      </c>
      <c r="E365">
        <v>1.00049380426784</v>
      </c>
      <c r="F365">
        <v>0.898696101522855</v>
      </c>
      <c r="G365">
        <v>0.562845186315489</v>
      </c>
      <c r="H365">
        <v>0.266373463848395</v>
      </c>
      <c r="I365">
        <v>0.185243933545554</v>
      </c>
      <c r="J365">
        <v>0.151167363514708</v>
      </c>
      <c r="K365">
        <v>0.152047508764328</v>
      </c>
      <c r="L365">
        <v>1495.39470293454</v>
      </c>
      <c r="M365">
        <v>27.8423732020789</v>
      </c>
      <c r="N365">
        <v>54.3936557424757</v>
      </c>
      <c r="O365">
        <v>53.4345336806831</v>
      </c>
      <c r="P365">
        <v>-0.111017192728848</v>
      </c>
      <c r="Q365">
        <v>0.14775945010161</v>
      </c>
      <c r="R365">
        <v>0.923669354287581</v>
      </c>
      <c r="S365" t="s">
        <v>2558</v>
      </c>
      <c r="T365" t="s">
        <v>4362</v>
      </c>
      <c r="U365" t="s">
        <v>4362</v>
      </c>
      <c r="V365" t="s">
        <v>4362</v>
      </c>
      <c r="W365" t="s">
        <v>4727</v>
      </c>
      <c r="X365">
        <v>5</v>
      </c>
      <c r="Y365" t="s">
        <v>6886</v>
      </c>
      <c r="Z365" t="s">
        <v>9053</v>
      </c>
      <c r="AA365">
        <v>0.6286582301664705</v>
      </c>
      <c r="AB365">
        <f>HYPERLINK("Melting_Curves/meltCurve_P0A823_sfsA.pdf", "Melting_Curves/meltCurve_P0A823_sfsA.pdf")</f>
        <v>0</v>
      </c>
    </row>
    <row r="366" spans="1:28">
      <c r="A366" t="s">
        <v>392</v>
      </c>
      <c r="B366">
        <v>0.999739202189716</v>
      </c>
      <c r="C366">
        <v>0.876161060788952</v>
      </c>
      <c r="D366">
        <v>1.18607019841884</v>
      </c>
      <c r="E366">
        <v>0.9291290803936409</v>
      </c>
      <c r="F366">
        <v>0.866378532478036</v>
      </c>
      <c r="G366">
        <v>0.802820204038593</v>
      </c>
      <c r="H366">
        <v>0.494047129773157</v>
      </c>
      <c r="I366">
        <v>0.30058607176157</v>
      </c>
      <c r="J366">
        <v>0.105862409605229</v>
      </c>
      <c r="K366">
        <v>0.0581921909927778</v>
      </c>
      <c r="L366">
        <v>1007.11090712726</v>
      </c>
      <c r="M366">
        <v>17.5228548228736</v>
      </c>
      <c r="N366">
        <v>57.4741347277196</v>
      </c>
      <c r="O366">
        <v>56.7412688557793</v>
      </c>
      <c r="P366">
        <v>-0.07720930626598541</v>
      </c>
      <c r="Q366">
        <v>0</v>
      </c>
      <c r="R366">
        <v>0.956050935260964</v>
      </c>
      <c r="S366" t="s">
        <v>2559</v>
      </c>
      <c r="T366" t="s">
        <v>4362</v>
      </c>
      <c r="U366" t="s">
        <v>4362</v>
      </c>
      <c r="V366" t="s">
        <v>4362</v>
      </c>
      <c r="W366" t="s">
        <v>4728</v>
      </c>
      <c r="X366">
        <v>19</v>
      </c>
      <c r="Y366" t="s">
        <v>6887</v>
      </c>
      <c r="Z366" t="s">
        <v>9054</v>
      </c>
      <c r="AA366">
        <v>0.6901578891540873</v>
      </c>
      <c r="AB366">
        <f>HYPERLINK("Melting_Curves/meltCurve_P0A825_glyA.pdf", "Melting_Curves/meltCurve_P0A825_glyA.pdf")</f>
        <v>0</v>
      </c>
    </row>
    <row r="367" spans="1:28">
      <c r="A367" t="s">
        <v>393</v>
      </c>
      <c r="B367">
        <v>0.999739202189716</v>
      </c>
      <c r="C367">
        <v>1.09572390386923</v>
      </c>
      <c r="D367">
        <v>0.624626785541195</v>
      </c>
      <c r="E367">
        <v>0.441259343364673</v>
      </c>
      <c r="F367">
        <v>0.228120258762021</v>
      </c>
      <c r="G367">
        <v>0.131822008704317</v>
      </c>
      <c r="H367">
        <v>0.09964946742459289</v>
      </c>
      <c r="I367">
        <v>0.0701296130218866</v>
      </c>
      <c r="J367">
        <v>0.0595706008239</v>
      </c>
      <c r="K367">
        <v>0.050900830593623</v>
      </c>
      <c r="L367">
        <v>818.312721172173</v>
      </c>
      <c r="M367">
        <v>18.087796316686</v>
      </c>
      <c r="N367">
        <v>45.6177559159655</v>
      </c>
      <c r="O367">
        <v>44.6990401206288</v>
      </c>
      <c r="P367">
        <v>-0.0941525761342752</v>
      </c>
      <c r="Q367">
        <v>0.06935571698328589</v>
      </c>
      <c r="R367">
        <v>0.968434627947236</v>
      </c>
      <c r="S367" t="s">
        <v>2560</v>
      </c>
      <c r="T367" t="s">
        <v>4362</v>
      </c>
      <c r="U367" t="s">
        <v>4362</v>
      </c>
      <c r="V367" t="s">
        <v>4362</v>
      </c>
      <c r="W367" t="s">
        <v>4729</v>
      </c>
      <c r="X367">
        <v>2</v>
      </c>
      <c r="Y367" t="s">
        <v>6888</v>
      </c>
      <c r="Z367" t="s">
        <v>9055</v>
      </c>
      <c r="AA367">
        <v>0.3400430115782124</v>
      </c>
      <c r="AB367">
        <f>HYPERLINK("Melting_Curves/meltCurve_P0A830_dctA.pdf", "Melting_Curves/meltCurve_P0A830_dctA.pdf")</f>
        <v>0</v>
      </c>
    </row>
    <row r="368" spans="1:28">
      <c r="A368" t="s">
        <v>394</v>
      </c>
      <c r="B368">
        <v>0.999739202189716</v>
      </c>
      <c r="C368">
        <v>1.31487969608807</v>
      </c>
      <c r="D368">
        <v>1.00212746455481</v>
      </c>
      <c r="E368">
        <v>0.678281323595136</v>
      </c>
      <c r="F368">
        <v>0.347711680190937</v>
      </c>
      <c r="G368">
        <v>0.252939018899838</v>
      </c>
      <c r="H368">
        <v>0.25309676419012</v>
      </c>
      <c r="I368">
        <v>0.147106114113291</v>
      </c>
      <c r="J368">
        <v>0.124118354860185</v>
      </c>
      <c r="K368">
        <v>0.115852683008942</v>
      </c>
      <c r="L368">
        <v>1273.50144638146</v>
      </c>
      <c r="M368">
        <v>26.6923472785828</v>
      </c>
      <c r="N368">
        <v>48.4486227502715</v>
      </c>
      <c r="O368">
        <v>47.4449818852203</v>
      </c>
      <c r="P368">
        <v>-0.117148938393634</v>
      </c>
      <c r="Q368">
        <v>0.167091343340734</v>
      </c>
      <c r="R368">
        <v>0.932402656704247</v>
      </c>
      <c r="S368" t="s">
        <v>2561</v>
      </c>
      <c r="T368" t="s">
        <v>4362</v>
      </c>
      <c r="U368" t="s">
        <v>4362</v>
      </c>
      <c r="V368" t="s">
        <v>4362</v>
      </c>
      <c r="W368" t="s">
        <v>4730</v>
      </c>
      <c r="X368">
        <v>3</v>
      </c>
      <c r="Y368" t="s">
        <v>6889</v>
      </c>
      <c r="Z368" t="s">
        <v>9056</v>
      </c>
      <c r="AA368">
        <v>0.4706521085845132</v>
      </c>
      <c r="AB368">
        <f>HYPERLINK("Melting_Curves/meltCurve_P0A832_smpB.pdf", "Melting_Curves/meltCurve_P0A832_smpB.pdf")</f>
        <v>0</v>
      </c>
    </row>
    <row r="369" spans="1:28">
      <c r="A369" t="s">
        <v>395</v>
      </c>
      <c r="B369">
        <v>0.999739202189716</v>
      </c>
      <c r="C369">
        <v>0.925284832457715</v>
      </c>
      <c r="D369">
        <v>1.11424296685172</v>
      </c>
      <c r="E369">
        <v>0.905992990200237</v>
      </c>
      <c r="F369">
        <v>0.790372412327241</v>
      </c>
      <c r="G369">
        <v>0.337211780429453</v>
      </c>
      <c r="H369">
        <v>0.0913161392825944</v>
      </c>
      <c r="I369">
        <v>0.0597164263657071</v>
      </c>
      <c r="J369">
        <v>0.0469951531472732</v>
      </c>
      <c r="K369">
        <v>0.0411140903716415</v>
      </c>
      <c r="L369">
        <v>1492.95366394081</v>
      </c>
      <c r="M369">
        <v>28.5451003955387</v>
      </c>
      <c r="N369">
        <v>52.4432959402729</v>
      </c>
      <c r="O369">
        <v>52.0468898136777</v>
      </c>
      <c r="P369">
        <v>-0.132023701759762</v>
      </c>
      <c r="Q369">
        <v>0.0371208710210382</v>
      </c>
      <c r="R369">
        <v>0.987075658592534</v>
      </c>
      <c r="S369" t="s">
        <v>2562</v>
      </c>
      <c r="T369" t="s">
        <v>4362</v>
      </c>
      <c r="U369" t="s">
        <v>4362</v>
      </c>
      <c r="V369" t="s">
        <v>4362</v>
      </c>
      <c r="W369" t="s">
        <v>4731</v>
      </c>
      <c r="X369">
        <v>20</v>
      </c>
      <c r="Y369" t="s">
        <v>6890</v>
      </c>
      <c r="Z369" t="s">
        <v>9057</v>
      </c>
      <c r="AA369">
        <v>0.5349341703206345</v>
      </c>
      <c r="AB369">
        <f>HYPERLINK("Melting_Curves/meltCurve_P0A836_sucC.pdf", "Melting_Curves/meltCurve_P0A836_sucC.pdf")</f>
        <v>0</v>
      </c>
    </row>
    <row r="370" spans="1:28">
      <c r="A370" t="s">
        <v>396</v>
      </c>
      <c r="B370">
        <v>0.999739202189716</v>
      </c>
      <c r="C370">
        <v>0.83326433195156</v>
      </c>
      <c r="D370">
        <v>0.416618845996276</v>
      </c>
      <c r="E370">
        <v>0.470255557059832</v>
      </c>
      <c r="F370">
        <v>0.360501599501811</v>
      </c>
      <c r="G370">
        <v>0.207967170808646</v>
      </c>
      <c r="H370">
        <v>0.170986839652227</v>
      </c>
      <c r="I370">
        <v>0.149200351298566</v>
      </c>
      <c r="J370">
        <v>0.125179428975344</v>
      </c>
      <c r="K370">
        <v>0.109986099626254</v>
      </c>
      <c r="L370">
        <v>505.792199479978</v>
      </c>
      <c r="M370">
        <v>11.595382633083</v>
      </c>
      <c r="N370">
        <v>44.6995380287792</v>
      </c>
      <c r="O370">
        <v>42.383311951607</v>
      </c>
      <c r="P370">
        <v>-0.0600606600129882</v>
      </c>
      <c r="Q370">
        <v>0.122109483842179</v>
      </c>
      <c r="R370">
        <v>0.933706822098198</v>
      </c>
      <c r="S370" t="s">
        <v>2563</v>
      </c>
      <c r="T370" t="s">
        <v>4362</v>
      </c>
      <c r="U370" t="s">
        <v>4362</v>
      </c>
      <c r="V370" t="s">
        <v>4362</v>
      </c>
      <c r="W370" t="s">
        <v>4732</v>
      </c>
      <c r="X370">
        <v>2</v>
      </c>
      <c r="Y370" t="s">
        <v>6891</v>
      </c>
      <c r="Z370" t="s">
        <v>9058</v>
      </c>
      <c r="AA370">
        <v>0.3529693846875565</v>
      </c>
      <c r="AB370">
        <f>HYPERLINK("Melting_Curves/meltCurve_P0A840_surE.pdf", "Melting_Curves/meltCurve_P0A840_surE.pdf")</f>
        <v>0</v>
      </c>
    </row>
    <row r="371" spans="1:28">
      <c r="A371" t="s">
        <v>397</v>
      </c>
      <c r="B371">
        <v>0.999739202189716</v>
      </c>
      <c r="C371">
        <v>1.13789592639378</v>
      </c>
      <c r="D371">
        <v>0.804927290586344</v>
      </c>
      <c r="E371">
        <v>0.556216596224006</v>
      </c>
      <c r="F371">
        <v>0.350607021013583</v>
      </c>
      <c r="G371">
        <v>0.198149040507573</v>
      </c>
      <c r="H371">
        <v>0.125917469103599</v>
      </c>
      <c r="I371">
        <v>0.102879643917692</v>
      </c>
      <c r="J371">
        <v>0.0878402653251858</v>
      </c>
      <c r="K371">
        <v>0.0779810334008024</v>
      </c>
      <c r="L371">
        <v>825.369729135371</v>
      </c>
      <c r="M371">
        <v>17.5237881968541</v>
      </c>
      <c r="N371">
        <v>47.6260241473262</v>
      </c>
      <c r="O371">
        <v>46.4994512099809</v>
      </c>
      <c r="P371">
        <v>-0.0859297057289887</v>
      </c>
      <c r="Q371">
        <v>0.08799076409202</v>
      </c>
      <c r="R371">
        <v>0.975831244106818</v>
      </c>
      <c r="S371" t="s">
        <v>2564</v>
      </c>
      <c r="T371" t="s">
        <v>4362</v>
      </c>
      <c r="U371" t="s">
        <v>4362</v>
      </c>
      <c r="V371" t="s">
        <v>4362</v>
      </c>
      <c r="W371" t="s">
        <v>4733</v>
      </c>
      <c r="X371">
        <v>7</v>
      </c>
      <c r="Y371" t="s">
        <v>6892</v>
      </c>
      <c r="Z371" t="s">
        <v>9059</v>
      </c>
      <c r="AA371">
        <v>0.4104289440889733</v>
      </c>
      <c r="AB371">
        <f>HYPERLINK("Melting_Curves/meltCurve_P0A847_tgt.pdf", "Melting_Curves/meltCurve_P0A847_tgt.pdf")</f>
        <v>0</v>
      </c>
    </row>
    <row r="372" spans="1:28">
      <c r="A372" t="s">
        <v>398</v>
      </c>
      <c r="B372">
        <v>0.999739202189716</v>
      </c>
      <c r="C372">
        <v>0.972076508610916</v>
      </c>
      <c r="D372">
        <v>1.01001515884632</v>
      </c>
      <c r="E372">
        <v>0.953943164739524</v>
      </c>
      <c r="F372">
        <v>0.923037555830224</v>
      </c>
      <c r="G372">
        <v>0.702268786157086</v>
      </c>
      <c r="H372">
        <v>0.654958526928734</v>
      </c>
      <c r="I372">
        <v>0.561593051442992</v>
      </c>
      <c r="J372">
        <v>0.550935043784333</v>
      </c>
      <c r="K372">
        <v>0.466234099992021</v>
      </c>
      <c r="L372">
        <v>848.413572963228</v>
      </c>
      <c r="M372">
        <v>15.6525233306105</v>
      </c>
      <c r="O372">
        <v>53.3413986232754</v>
      </c>
      <c r="P372">
        <v>-0.0383444455805729</v>
      </c>
      <c r="Q372">
        <v>0.477356726969919</v>
      </c>
      <c r="R372">
        <v>0.979988751095473</v>
      </c>
      <c r="S372" t="s">
        <v>2565</v>
      </c>
      <c r="T372" t="s">
        <v>4362</v>
      </c>
      <c r="U372" t="s">
        <v>4362</v>
      </c>
      <c r="V372" t="s">
        <v>4362</v>
      </c>
      <c r="W372" t="s">
        <v>4734</v>
      </c>
      <c r="X372">
        <v>26</v>
      </c>
      <c r="Y372" t="s">
        <v>6893</v>
      </c>
      <c r="Z372" t="s">
        <v>9060</v>
      </c>
      <c r="AA372">
        <v>0.7850749365969297</v>
      </c>
      <c r="AB372">
        <f>HYPERLINK("Melting_Curves/meltCurve_P0A850_tig.pdf", "Melting_Curves/meltCurve_P0A850_tig.pdf")</f>
        <v>0</v>
      </c>
    </row>
    <row r="373" spans="1:28">
      <c r="A373" t="s">
        <v>399</v>
      </c>
      <c r="B373">
        <v>0.999739202189716</v>
      </c>
      <c r="C373">
        <v>0.993734679315482</v>
      </c>
      <c r="D373">
        <v>1.12413300141905</v>
      </c>
      <c r="E373">
        <v>0.900282774854022</v>
      </c>
      <c r="F373">
        <v>0.7792579489309031</v>
      </c>
      <c r="G373">
        <v>0.240385915313615</v>
      </c>
      <c r="H373">
        <v>0.100407278626515</v>
      </c>
      <c r="I373">
        <v>0.07155274071111201</v>
      </c>
      <c r="J373">
        <v>0.06500183565591749</v>
      </c>
      <c r="K373">
        <v>0.0625023730808239</v>
      </c>
      <c r="L373">
        <v>1839.4771743726</v>
      </c>
      <c r="M373">
        <v>35.5688114381322</v>
      </c>
      <c r="N373">
        <v>51.9189975073822</v>
      </c>
      <c r="O373">
        <v>51.5533629689499</v>
      </c>
      <c r="P373">
        <v>-0.161289542970562</v>
      </c>
      <c r="Q373">
        <v>0.0649121976093206</v>
      </c>
      <c r="R373">
        <v>0.988019627280474</v>
      </c>
      <c r="S373" t="s">
        <v>2566</v>
      </c>
      <c r="T373" t="s">
        <v>4362</v>
      </c>
      <c r="U373" t="s">
        <v>4362</v>
      </c>
      <c r="V373" t="s">
        <v>4362</v>
      </c>
      <c r="W373" t="s">
        <v>4735</v>
      </c>
      <c r="X373">
        <v>31</v>
      </c>
      <c r="Y373" t="s">
        <v>6894</v>
      </c>
      <c r="Z373" t="s">
        <v>9061</v>
      </c>
      <c r="AA373">
        <v>0.5278184904078548</v>
      </c>
      <c r="AB373">
        <f>HYPERLINK("Melting_Curves/meltCurve_P0A853_tnaA.pdf", "Melting_Curves/meltCurve_P0A853_tnaA.pdf")</f>
        <v>0</v>
      </c>
    </row>
    <row r="374" spans="1:28">
      <c r="A374" t="s">
        <v>400</v>
      </c>
      <c r="B374">
        <v>0.999739202189716</v>
      </c>
      <c r="C374">
        <v>1.04393970280025</v>
      </c>
      <c r="D374">
        <v>1.00218081950516</v>
      </c>
      <c r="E374">
        <v>0.966100748767398</v>
      </c>
      <c r="F374">
        <v>0.754747554946507</v>
      </c>
      <c r="G374">
        <v>0.141093283992243</v>
      </c>
      <c r="H374">
        <v>0.089408637380345</v>
      </c>
      <c r="I374">
        <v>0.0677216789272712</v>
      </c>
      <c r="J374">
        <v>0.0655197654230231</v>
      </c>
      <c r="K374">
        <v>0.0584323823211428</v>
      </c>
      <c r="L374">
        <v>2560.5062953339</v>
      </c>
      <c r="M374">
        <v>49.9900492507286</v>
      </c>
      <c r="N374">
        <v>51.3708294860685</v>
      </c>
      <c r="O374">
        <v>51.1385724143604</v>
      </c>
      <c r="P374">
        <v>-0.227737566921217</v>
      </c>
      <c r="Q374">
        <v>0.0681217744650765</v>
      </c>
      <c r="R374">
        <v>0.9984027876245271</v>
      </c>
      <c r="S374" t="s">
        <v>2567</v>
      </c>
      <c r="T374" t="s">
        <v>4362</v>
      </c>
      <c r="U374" t="s">
        <v>4362</v>
      </c>
      <c r="V374" t="s">
        <v>4362</v>
      </c>
      <c r="W374" t="s">
        <v>4736</v>
      </c>
      <c r="X374">
        <v>8</v>
      </c>
      <c r="Y374" t="s">
        <v>6895</v>
      </c>
      <c r="Z374" t="s">
        <v>9062</v>
      </c>
      <c r="AA374">
        <v>0.511947818178397</v>
      </c>
      <c r="AB374">
        <f>HYPERLINK("Melting_Curves/meltCurve_P0A855_tolB.pdf", "Melting_Curves/meltCurve_P0A855_tolB.pdf")</f>
        <v>0</v>
      </c>
    </row>
    <row r="375" spans="1:28">
      <c r="A375" t="s">
        <v>401</v>
      </c>
      <c r="B375">
        <v>0.999739202189716</v>
      </c>
      <c r="C375">
        <v>0.995475624765051</v>
      </c>
      <c r="D375">
        <v>1.04496151311655</v>
      </c>
      <c r="E375">
        <v>1.12086613031759</v>
      </c>
      <c r="F375">
        <v>0.787437639763895</v>
      </c>
      <c r="G375">
        <v>0.297083930174504</v>
      </c>
      <c r="H375">
        <v>0.131975090280442</v>
      </c>
      <c r="I375">
        <v>0.0879624894747405</v>
      </c>
      <c r="J375">
        <v>0.083364584830891</v>
      </c>
      <c r="K375">
        <v>0.0747016155309019</v>
      </c>
      <c r="L375">
        <v>1932.22306344417</v>
      </c>
      <c r="M375">
        <v>37.1660986279978</v>
      </c>
      <c r="N375">
        <v>52.2582951120121</v>
      </c>
      <c r="O375">
        <v>51.8390333677656</v>
      </c>
      <c r="P375">
        <v>-0.163610394006724</v>
      </c>
      <c r="Q375">
        <v>0.0871916706430607</v>
      </c>
      <c r="R375">
        <v>0.989182546607309</v>
      </c>
      <c r="S375" t="s">
        <v>2568</v>
      </c>
      <c r="T375" t="s">
        <v>4362</v>
      </c>
      <c r="U375" t="s">
        <v>4362</v>
      </c>
      <c r="V375" t="s">
        <v>4362</v>
      </c>
      <c r="W375" t="s">
        <v>4737</v>
      </c>
      <c r="X375">
        <v>6</v>
      </c>
      <c r="Y375" t="s">
        <v>6896</v>
      </c>
      <c r="Z375" t="s">
        <v>9063</v>
      </c>
      <c r="AA375">
        <v>0.5470445033275282</v>
      </c>
      <c r="AB375">
        <f>HYPERLINK("Melting_Curves/meltCurve_P0A858_tpiA.pdf", "Melting_Curves/meltCurve_P0A858_tpiA.pdf")</f>
        <v>0</v>
      </c>
    </row>
    <row r="376" spans="1:28">
      <c r="A376" t="s">
        <v>402</v>
      </c>
      <c r="B376">
        <v>0.999739202189716</v>
      </c>
      <c r="C376">
        <v>0.833466814922951</v>
      </c>
      <c r="D376">
        <v>0.988452543119641</v>
      </c>
      <c r="E376">
        <v>0.930230560297544</v>
      </c>
      <c r="F376">
        <v>0.960931032183669</v>
      </c>
      <c r="G376">
        <v>0.758572172309192</v>
      </c>
      <c r="H376">
        <v>0.752169883081284</v>
      </c>
      <c r="I376">
        <v>0.547482318139192</v>
      </c>
      <c r="J376">
        <v>0.40683764208946</v>
      </c>
      <c r="K376">
        <v>0.280618154821548</v>
      </c>
      <c r="L376">
        <v>652.011306473927</v>
      </c>
      <c r="M376">
        <v>10.5407316467579</v>
      </c>
      <c r="N376">
        <v>61.8563378276256</v>
      </c>
      <c r="O376">
        <v>59.7544668058822</v>
      </c>
      <c r="P376">
        <v>-0.0441177125156796</v>
      </c>
      <c r="Q376">
        <v>0</v>
      </c>
      <c r="R376">
        <v>0.932783557325886</v>
      </c>
      <c r="S376" t="s">
        <v>2569</v>
      </c>
      <c r="T376" t="s">
        <v>4362</v>
      </c>
      <c r="U376" t="s">
        <v>4362</v>
      </c>
      <c r="V376" t="s">
        <v>4362</v>
      </c>
      <c r="W376" t="s">
        <v>4738</v>
      </c>
      <c r="X376">
        <v>7</v>
      </c>
      <c r="Y376" t="s">
        <v>6897</v>
      </c>
      <c r="Z376" t="s">
        <v>9064</v>
      </c>
      <c r="AA376">
        <v>0.7850127595301399</v>
      </c>
      <c r="AB376">
        <f>HYPERLINK("Melting_Curves/meltCurve_P0A862_tpx.pdf", "Melting_Curves/meltCurve_P0A862_tpx.pdf")</f>
        <v>0</v>
      </c>
    </row>
    <row r="377" spans="1:28">
      <c r="A377" t="s">
        <v>403</v>
      </c>
      <c r="B377">
        <v>0.999739202189716</v>
      </c>
      <c r="C377">
        <v>0.941641075448619</v>
      </c>
      <c r="D377">
        <v>1.02954222095468</v>
      </c>
      <c r="E377">
        <v>0.8845726184603649</v>
      </c>
      <c r="F377">
        <v>0.706635013462718</v>
      </c>
      <c r="G377">
        <v>0.216031809369378</v>
      </c>
      <c r="H377">
        <v>0.117288577015899</v>
      </c>
      <c r="I377">
        <v>0.0816234956795734</v>
      </c>
      <c r="J377">
        <v>0.06357337916126</v>
      </c>
      <c r="K377">
        <v>0.047745463532236</v>
      </c>
      <c r="L377">
        <v>1515.03181669514</v>
      </c>
      <c r="M377">
        <v>29.5482392232132</v>
      </c>
      <c r="N377">
        <v>51.4974705843113</v>
      </c>
      <c r="O377">
        <v>51.0400437987323</v>
      </c>
      <c r="P377">
        <v>-0.135992531192036</v>
      </c>
      <c r="Q377">
        <v>0.0603816903750239</v>
      </c>
      <c r="R377">
        <v>0.992965230701785</v>
      </c>
      <c r="S377" t="s">
        <v>2570</v>
      </c>
      <c r="T377" t="s">
        <v>4362</v>
      </c>
      <c r="U377" t="s">
        <v>4362</v>
      </c>
      <c r="V377" t="s">
        <v>4362</v>
      </c>
      <c r="W377" t="s">
        <v>4739</v>
      </c>
      <c r="X377">
        <v>20</v>
      </c>
      <c r="Y377" t="s">
        <v>6898</v>
      </c>
      <c r="Z377" t="s">
        <v>9065</v>
      </c>
      <c r="AA377">
        <v>0.5134773910924314</v>
      </c>
      <c r="AB377">
        <f>HYPERLINK("Melting_Curves/meltCurve_P0A867_talA.pdf", "Melting_Curves/meltCurve_P0A867_talA.pdf")</f>
        <v>0</v>
      </c>
    </row>
    <row r="378" spans="1:28">
      <c r="A378" t="s">
        <v>404</v>
      </c>
      <c r="B378">
        <v>0.999739202189716</v>
      </c>
      <c r="C378">
        <v>0.879732381104638</v>
      </c>
      <c r="D378">
        <v>0.928206551516929</v>
      </c>
      <c r="E378">
        <v>0.63970570208486</v>
      </c>
      <c r="F378">
        <v>0.361905780873358</v>
      </c>
      <c r="G378">
        <v>0.191531828472189</v>
      </c>
      <c r="H378">
        <v>0.145883072371443</v>
      </c>
      <c r="I378">
        <v>0.102416980885291</v>
      </c>
      <c r="J378">
        <v>0.0720360270294672</v>
      </c>
      <c r="K378">
        <v>0.0478921556726695</v>
      </c>
      <c r="L378">
        <v>778.522579443953</v>
      </c>
      <c r="M378">
        <v>16.2067260424769</v>
      </c>
      <c r="N378">
        <v>48.4140751005862</v>
      </c>
      <c r="O378">
        <v>47.323498406156</v>
      </c>
      <c r="P378">
        <v>-0.0805463404697427</v>
      </c>
      <c r="Q378">
        <v>0.0592917962829174</v>
      </c>
      <c r="R378">
        <v>0.991345289001735</v>
      </c>
      <c r="S378" t="s">
        <v>2571</v>
      </c>
      <c r="T378" t="s">
        <v>4362</v>
      </c>
      <c r="U378" t="s">
        <v>4362</v>
      </c>
      <c r="V378" t="s">
        <v>4362</v>
      </c>
      <c r="W378" t="s">
        <v>4740</v>
      </c>
      <c r="X378">
        <v>18</v>
      </c>
      <c r="Y378" t="s">
        <v>6899</v>
      </c>
      <c r="Z378" t="s">
        <v>9066</v>
      </c>
      <c r="AA378">
        <v>0.4235111353747525</v>
      </c>
      <c r="AB378">
        <f>HYPERLINK("Melting_Curves/meltCurve_P0A870_talB.pdf", "Melting_Curves/meltCurve_P0A870_talB.pdf")</f>
        <v>0</v>
      </c>
    </row>
    <row r="379" spans="1:28">
      <c r="A379" t="s">
        <v>405</v>
      </c>
      <c r="B379">
        <v>0.999739202189716</v>
      </c>
      <c r="C379">
        <v>0.8637583395984481</v>
      </c>
      <c r="D379">
        <v>0.764896403976651</v>
      </c>
      <c r="E379">
        <v>0.459869197612476</v>
      </c>
      <c r="F379">
        <v>0.278631835290145</v>
      </c>
      <c r="G379">
        <v>0.167977958326348</v>
      </c>
      <c r="H379">
        <v>0.148964337721222</v>
      </c>
      <c r="I379">
        <v>0.117792426481987</v>
      </c>
      <c r="J379">
        <v>0.110197227146653</v>
      </c>
      <c r="K379">
        <v>0.11678661309146</v>
      </c>
      <c r="L379">
        <v>699.017630557097</v>
      </c>
      <c r="M379">
        <v>15.3720352045829</v>
      </c>
      <c r="N379">
        <v>46.1719771696217</v>
      </c>
      <c r="O379">
        <v>44.7246072904067</v>
      </c>
      <c r="P379">
        <v>-0.0770170036019598</v>
      </c>
      <c r="Q379">
        <v>0.103764963370149</v>
      </c>
      <c r="R379">
        <v>0.996689960137592</v>
      </c>
      <c r="S379" t="s">
        <v>2572</v>
      </c>
      <c r="T379" t="s">
        <v>4362</v>
      </c>
      <c r="U379" t="s">
        <v>4362</v>
      </c>
      <c r="V379" t="s">
        <v>4362</v>
      </c>
      <c r="W379" t="s">
        <v>4741</v>
      </c>
      <c r="X379">
        <v>4</v>
      </c>
      <c r="Y379" t="s">
        <v>6900</v>
      </c>
      <c r="Z379" t="s">
        <v>9067</v>
      </c>
      <c r="AA379">
        <v>0.3769035868240321</v>
      </c>
      <c r="AB379">
        <f>HYPERLINK("Melting_Curves/meltCurve_P0A873_trmD.pdf", "Melting_Curves/meltCurve_P0A873_trmD.pdf")</f>
        <v>0</v>
      </c>
    </row>
    <row r="380" spans="1:28">
      <c r="A380" t="s">
        <v>406</v>
      </c>
      <c r="B380">
        <v>0.999739202189716</v>
      </c>
      <c r="C380">
        <v>0.87049642062633</v>
      </c>
      <c r="D380">
        <v>0.884167379165639</v>
      </c>
      <c r="E380">
        <v>0.713379356401276</v>
      </c>
      <c r="F380">
        <v>0.527311153554062</v>
      </c>
      <c r="G380">
        <v>0.29650251182685</v>
      </c>
      <c r="H380">
        <v>0.203452707539616</v>
      </c>
      <c r="I380">
        <v>0.140400519360987</v>
      </c>
      <c r="J380">
        <v>0.119042524723131</v>
      </c>
      <c r="K380">
        <v>0.100898704118974</v>
      </c>
      <c r="L380">
        <v>578.999145675479</v>
      </c>
      <c r="M380">
        <v>11.6276092448</v>
      </c>
      <c r="N380">
        <v>50.1953391034388</v>
      </c>
      <c r="O380">
        <v>48.3907319779973</v>
      </c>
      <c r="P380">
        <v>-0.0574281949384419</v>
      </c>
      <c r="Q380">
        <v>0.0442623306422553</v>
      </c>
      <c r="R380">
        <v>0.9922508893770789</v>
      </c>
      <c r="S380" t="s">
        <v>2573</v>
      </c>
      <c r="T380" t="s">
        <v>4362</v>
      </c>
      <c r="U380" t="s">
        <v>4362</v>
      </c>
      <c r="V380" t="s">
        <v>4362</v>
      </c>
      <c r="W380" t="s">
        <v>4742</v>
      </c>
      <c r="X380">
        <v>7</v>
      </c>
      <c r="Y380" t="s">
        <v>6901</v>
      </c>
      <c r="Z380" t="s">
        <v>9068</v>
      </c>
      <c r="AA380">
        <v>0.4800274795040974</v>
      </c>
      <c r="AB380">
        <f>HYPERLINK("Melting_Curves/meltCurve_P0A877_trpA.pdf", "Melting_Curves/meltCurve_P0A877_trpA.pdf")</f>
        <v>0</v>
      </c>
    </row>
    <row r="381" spans="1:28">
      <c r="A381" t="s">
        <v>407</v>
      </c>
      <c r="B381">
        <v>0.999739202189716</v>
      </c>
      <c r="C381">
        <v>0.921598175703594</v>
      </c>
      <c r="D381">
        <v>0.45833713404901</v>
      </c>
      <c r="E381">
        <v>0.589368307237506</v>
      </c>
      <c r="F381">
        <v>0.384036484031233</v>
      </c>
      <c r="G381">
        <v>0.292965624899268</v>
      </c>
      <c r="H381">
        <v>0.266491507083277</v>
      </c>
      <c r="I381">
        <v>0.242953636498977</v>
      </c>
      <c r="J381">
        <v>0.212666919463648</v>
      </c>
      <c r="K381">
        <v>0.263231033203516</v>
      </c>
      <c r="L381">
        <v>570.9142385797051</v>
      </c>
      <c r="M381">
        <v>13.0790400384743</v>
      </c>
      <c r="N381">
        <v>45.9338775847737</v>
      </c>
      <c r="O381">
        <v>42.668444432193</v>
      </c>
      <c r="P381">
        <v>-0.0583287242793823</v>
      </c>
      <c r="Q381">
        <v>0.238975777849126</v>
      </c>
      <c r="R381">
        <v>0.905959824876317</v>
      </c>
      <c r="S381" t="s">
        <v>2574</v>
      </c>
      <c r="T381" t="s">
        <v>4362</v>
      </c>
      <c r="U381" t="s">
        <v>4362</v>
      </c>
      <c r="V381" t="s">
        <v>4362</v>
      </c>
      <c r="W381" t="s">
        <v>4743</v>
      </c>
      <c r="X381">
        <v>9</v>
      </c>
      <c r="Y381" t="s">
        <v>6902</v>
      </c>
      <c r="Z381" t="s">
        <v>9069</v>
      </c>
      <c r="AA381">
        <v>0.4331926078986002</v>
      </c>
      <c r="AB381">
        <f>HYPERLINK("Melting_Curves/meltCurve_P0A879_trpB.pdf", "Melting_Curves/meltCurve_P0A879_trpB.pdf")</f>
        <v>0</v>
      </c>
    </row>
    <row r="382" spans="1:28">
      <c r="A382" t="s">
        <v>408</v>
      </c>
      <c r="B382">
        <v>0.999739202189716</v>
      </c>
      <c r="C382">
        <v>1.03880383428794</v>
      </c>
      <c r="D382">
        <v>0.711720455843264</v>
      </c>
      <c r="E382">
        <v>0.934847930446814</v>
      </c>
      <c r="F382">
        <v>0.808181092783018</v>
      </c>
      <c r="G382">
        <v>0.594560871871109</v>
      </c>
      <c r="H382">
        <v>0.518916298149854</v>
      </c>
      <c r="I382">
        <v>0.574435924402584</v>
      </c>
      <c r="J382">
        <v>0.436857051718914</v>
      </c>
      <c r="K382">
        <v>0.502347233196626</v>
      </c>
      <c r="L382">
        <v>454.303630646495</v>
      </c>
      <c r="M382">
        <v>8.76129801869744</v>
      </c>
      <c r="N382">
        <v>62.7270993271413</v>
      </c>
      <c r="O382">
        <v>49.3648241938446</v>
      </c>
      <c r="P382">
        <v>-0.0270649908304632</v>
      </c>
      <c r="Q382">
        <v>0.390507971158304</v>
      </c>
      <c r="R382">
        <v>0.828640846072479</v>
      </c>
      <c r="S382" t="s">
        <v>2575</v>
      </c>
      <c r="T382" t="s">
        <v>4362</v>
      </c>
      <c r="U382" t="s">
        <v>4362</v>
      </c>
      <c r="V382" t="s">
        <v>4362</v>
      </c>
      <c r="W382" t="s">
        <v>4744</v>
      </c>
      <c r="X382">
        <v>4</v>
      </c>
      <c r="Y382" t="s">
        <v>6903</v>
      </c>
      <c r="Z382" t="s">
        <v>9070</v>
      </c>
      <c r="AA382">
        <v>0.7098390766374522</v>
      </c>
      <c r="AB382">
        <f>HYPERLINK("Melting_Curves/meltCurve_P0A881_trpR.pdf", "Melting_Curves/meltCurve_P0A881_trpR.pdf")</f>
        <v>0</v>
      </c>
    </row>
    <row r="383" spans="1:28">
      <c r="A383" t="s">
        <v>409</v>
      </c>
      <c r="B383">
        <v>0.999739202189716</v>
      </c>
      <c r="C383">
        <v>0.6626289573322059</v>
      </c>
      <c r="D383">
        <v>0.545140989946941</v>
      </c>
      <c r="E383">
        <v>0.378657108164832</v>
      </c>
      <c r="F383">
        <v>0.314189907529006</v>
      </c>
      <c r="G383">
        <v>0.214346074457884</v>
      </c>
      <c r="H383">
        <v>0.202407333323479</v>
      </c>
      <c r="I383">
        <v>0.167917906019791</v>
      </c>
      <c r="J383">
        <v>0.193610103717764</v>
      </c>
      <c r="K383">
        <v>0.128456818413533</v>
      </c>
      <c r="L383">
        <v>536.426877354462</v>
      </c>
      <c r="M383">
        <v>12.6209718375305</v>
      </c>
      <c r="N383">
        <v>43.8760992611776</v>
      </c>
      <c r="O383">
        <v>41.478128334568</v>
      </c>
      <c r="P383">
        <v>-0.06367044398975449</v>
      </c>
      <c r="Q383">
        <v>0.163168287307658</v>
      </c>
      <c r="R383">
        <v>0.966113539028471</v>
      </c>
      <c r="S383" t="s">
        <v>2576</v>
      </c>
      <c r="T383" t="s">
        <v>4362</v>
      </c>
      <c r="U383" t="s">
        <v>4362</v>
      </c>
      <c r="V383" t="s">
        <v>4362</v>
      </c>
      <c r="W383" t="s">
        <v>4745</v>
      </c>
      <c r="X383">
        <v>5</v>
      </c>
      <c r="Y383" t="s">
        <v>6904</v>
      </c>
      <c r="Z383" t="s">
        <v>9071</v>
      </c>
      <c r="AA383">
        <v>0.3495324650510195</v>
      </c>
      <c r="AB383">
        <f>HYPERLINK("Melting_Curves/meltCurve_P0A884_thyA.pdf", "Melting_Curves/meltCurve_P0A884_thyA.pdf")</f>
        <v>0</v>
      </c>
    </row>
    <row r="384" spans="1:28">
      <c r="A384" t="s">
        <v>410</v>
      </c>
      <c r="B384">
        <v>0.999739202189716</v>
      </c>
      <c r="C384">
        <v>0.54676393316442</v>
      </c>
      <c r="D384">
        <v>0.37427036671267</v>
      </c>
      <c r="E384">
        <v>0.219565249236942</v>
      </c>
      <c r="F384">
        <v>0.171041840877697</v>
      </c>
      <c r="G384">
        <v>0.116578779087766</v>
      </c>
      <c r="H384">
        <v>0.110480361363846</v>
      </c>
      <c r="I384">
        <v>0.0811670634195418</v>
      </c>
      <c r="J384">
        <v>0.0690741393984952</v>
      </c>
      <c r="K384">
        <v>0.0551452788850889</v>
      </c>
      <c r="L384">
        <v>746.305076345414</v>
      </c>
      <c r="M384">
        <v>18.286273757795</v>
      </c>
      <c r="N384">
        <v>41.2996358542586</v>
      </c>
      <c r="O384">
        <v>40.3336219788142</v>
      </c>
      <c r="P384">
        <v>-0.10234962062195</v>
      </c>
      <c r="Q384">
        <v>0.09704085884495969</v>
      </c>
      <c r="R384">
        <v>0.962356131703562</v>
      </c>
      <c r="S384" t="s">
        <v>2577</v>
      </c>
      <c r="T384" t="s">
        <v>4362</v>
      </c>
      <c r="U384" t="s">
        <v>4362</v>
      </c>
      <c r="V384" t="s">
        <v>4362</v>
      </c>
      <c r="W384" t="s">
        <v>4746</v>
      </c>
      <c r="X384">
        <v>10</v>
      </c>
      <c r="Y384" t="s">
        <v>6905</v>
      </c>
      <c r="Z384" t="s">
        <v>9072</v>
      </c>
      <c r="AA384">
        <v>0.2313595940413281</v>
      </c>
      <c r="AB384">
        <f>HYPERLINK("Melting_Curves/meltCurve_P0A887_ubiE.pdf", "Melting_Curves/meltCurve_P0A887_ubiE.pdf")</f>
        <v>0</v>
      </c>
    </row>
    <row r="385" spans="1:28">
      <c r="A385" t="s">
        <v>411</v>
      </c>
      <c r="B385">
        <v>0.999739202189716</v>
      </c>
      <c r="C385">
        <v>1.12359266800571</v>
      </c>
      <c r="D385">
        <v>0.553702996581256</v>
      </c>
      <c r="E385">
        <v>0.770015030028538</v>
      </c>
      <c r="F385">
        <v>0.824891744728402</v>
      </c>
      <c r="G385">
        <v>0.57434790069148</v>
      </c>
      <c r="H385">
        <v>0.420323159393387</v>
      </c>
      <c r="I385">
        <v>0.432264176031281</v>
      </c>
      <c r="J385">
        <v>0.344486734531366</v>
      </c>
      <c r="K385">
        <v>0.404712984415774</v>
      </c>
      <c r="L385">
        <v>356.421743827167</v>
      </c>
      <c r="M385">
        <v>6.77322837194821</v>
      </c>
      <c r="N385">
        <v>57.0573822987512</v>
      </c>
      <c r="O385">
        <v>48.6059656173454</v>
      </c>
      <c r="P385">
        <v>-0.0277653070554795</v>
      </c>
      <c r="Q385">
        <v>0.204666822409155</v>
      </c>
      <c r="R385">
        <v>0.7414685063172159</v>
      </c>
      <c r="S385" t="s">
        <v>2578</v>
      </c>
      <c r="T385" t="s">
        <v>4362</v>
      </c>
      <c r="U385" t="s">
        <v>4362</v>
      </c>
      <c r="V385" t="s">
        <v>4362</v>
      </c>
      <c r="W385" t="s">
        <v>4747</v>
      </c>
      <c r="X385">
        <v>2</v>
      </c>
      <c r="Y385" t="s">
        <v>6906</v>
      </c>
      <c r="Z385" t="s">
        <v>9073</v>
      </c>
      <c r="AA385">
        <v>0.6372974027886571</v>
      </c>
      <c r="AB385">
        <f>HYPERLINK("Melting_Curves/meltCurve_P0A890_tusA.pdf", "Melting_Curves/meltCurve_P0A890_tusA.pdf")</f>
        <v>0</v>
      </c>
    </row>
    <row r="386" spans="1:28">
      <c r="A386" t="s">
        <v>412</v>
      </c>
      <c r="B386">
        <v>0.999739202189716</v>
      </c>
      <c r="C386">
        <v>0.929944354349479</v>
      </c>
      <c r="D386">
        <v>0.975210550991588</v>
      </c>
      <c r="E386">
        <v>0.927686562036493</v>
      </c>
      <c r="F386">
        <v>1.18458227001265</v>
      </c>
      <c r="G386">
        <v>0.8966747165029491</v>
      </c>
      <c r="H386">
        <v>0.988307946558744</v>
      </c>
      <c r="I386">
        <v>1.02055126111085</v>
      </c>
      <c r="J386">
        <v>0.9043011103441611</v>
      </c>
      <c r="K386">
        <v>0.551227477741322</v>
      </c>
      <c r="L386">
        <v>15000</v>
      </c>
      <c r="M386">
        <v>232.703700202819</v>
      </c>
      <c r="O386">
        <v>64.4548957107519</v>
      </c>
      <c r="P386">
        <v>-0.40511435857723</v>
      </c>
      <c r="Q386">
        <v>0.551161367671107</v>
      </c>
      <c r="R386">
        <v>0.754082395630285</v>
      </c>
      <c r="S386" t="s">
        <v>2579</v>
      </c>
      <c r="T386" t="s">
        <v>4362</v>
      </c>
      <c r="U386" t="s">
        <v>4362</v>
      </c>
      <c r="V386" t="s">
        <v>4362</v>
      </c>
      <c r="W386" t="s">
        <v>4748</v>
      </c>
      <c r="X386">
        <v>4</v>
      </c>
      <c r="Y386" t="s">
        <v>6907</v>
      </c>
      <c r="Z386" t="s">
        <v>9074</v>
      </c>
      <c r="AA386">
        <v>0.9620510928281717</v>
      </c>
      <c r="AB386">
        <f>HYPERLINK("Melting_Curves/meltCurve_P0A894_rapZ.pdf", "Melting_Curves/meltCurve_P0A894_rapZ.pdf")</f>
        <v>0</v>
      </c>
    </row>
    <row r="387" spans="1:28">
      <c r="A387" t="s">
        <v>413</v>
      </c>
      <c r="B387">
        <v>0.999739202189716</v>
      </c>
      <c r="C387">
        <v>0.937193101017037</v>
      </c>
      <c r="D387">
        <v>0.580581015865451</v>
      </c>
      <c r="E387">
        <v>0.7939311917278949</v>
      </c>
      <c r="F387">
        <v>0.644302149136201</v>
      </c>
      <c r="G387">
        <v>0.36363218795323</v>
      </c>
      <c r="H387">
        <v>0.270830133033581</v>
      </c>
      <c r="I387">
        <v>0.265093396728259</v>
      </c>
      <c r="J387">
        <v>0.272402684456595</v>
      </c>
      <c r="K387">
        <v>0.285605029648034</v>
      </c>
      <c r="L387">
        <v>405.498277051026</v>
      </c>
      <c r="M387">
        <v>8.25453842869136</v>
      </c>
      <c r="N387">
        <v>51.3325303810133</v>
      </c>
      <c r="O387">
        <v>46.4942092451114</v>
      </c>
      <c r="P387">
        <v>-0.037789548887043</v>
      </c>
      <c r="Q387">
        <v>0.149447481786922</v>
      </c>
      <c r="R387">
        <v>0.876730885839286</v>
      </c>
      <c r="S387" t="s">
        <v>2580</v>
      </c>
      <c r="T387" t="s">
        <v>4362</v>
      </c>
      <c r="U387" t="s">
        <v>4362</v>
      </c>
      <c r="V387" t="s">
        <v>4362</v>
      </c>
      <c r="W387" t="s">
        <v>4749</v>
      </c>
      <c r="X387">
        <v>1</v>
      </c>
      <c r="Y387" t="s">
        <v>6908</v>
      </c>
      <c r="Z387" t="s">
        <v>9075</v>
      </c>
      <c r="AA387">
        <v>0.5310149250125804</v>
      </c>
      <c r="AB387">
        <f>HYPERLINK("Melting_Curves/meltCurve_P0A898_ybeY.pdf", "Melting_Curves/meltCurve_P0A898_ybeY.pdf")</f>
        <v>0</v>
      </c>
    </row>
    <row r="388" spans="1:28">
      <c r="A388" t="s">
        <v>414</v>
      </c>
      <c r="B388">
        <v>0.999739202189716</v>
      </c>
      <c r="C388">
        <v>0.989630642799321</v>
      </c>
      <c r="D388">
        <v>1.05479421290405</v>
      </c>
      <c r="E388">
        <v>0.975370486781323</v>
      </c>
      <c r="F388">
        <v>1.09416537522659</v>
      </c>
      <c r="G388">
        <v>0.839369841507526</v>
      </c>
      <c r="H388">
        <v>0.846565448966454</v>
      </c>
      <c r="I388">
        <v>0.802735197375978</v>
      </c>
      <c r="J388">
        <v>0.819851980077296</v>
      </c>
      <c r="K388">
        <v>0.596293180327489</v>
      </c>
      <c r="L388">
        <v>570.521771316406</v>
      </c>
      <c r="M388">
        <v>7.91290318885373</v>
      </c>
      <c r="Q388">
        <v>0</v>
      </c>
      <c r="R388">
        <v>0.794946722981427</v>
      </c>
      <c r="S388" t="s">
        <v>2581</v>
      </c>
      <c r="T388" t="s">
        <v>4362</v>
      </c>
      <c r="U388" t="s">
        <v>4362</v>
      </c>
      <c r="V388" t="s">
        <v>4362</v>
      </c>
      <c r="W388" t="s">
        <v>4750</v>
      </c>
      <c r="X388">
        <v>7</v>
      </c>
      <c r="Y388" t="s">
        <v>6909</v>
      </c>
      <c r="Z388" t="s">
        <v>9076</v>
      </c>
      <c r="AA388">
        <v>0.9077876272921569</v>
      </c>
      <c r="AB388">
        <f>HYPERLINK("Melting_Curves/meltCurve_P0A8A0_yebC.pdf", "Melting_Curves/meltCurve_P0A8A0_yebC.pdf")</f>
        <v>0</v>
      </c>
    </row>
    <row r="389" spans="1:28">
      <c r="A389" t="s">
        <v>415</v>
      </c>
      <c r="B389">
        <v>0.999739202189716</v>
      </c>
      <c r="C389">
        <v>0.845742403538063</v>
      </c>
      <c r="D389">
        <v>0.95975000158752</v>
      </c>
      <c r="E389">
        <v>0.924322458134724</v>
      </c>
      <c r="F389">
        <v>0.809437008038409</v>
      </c>
      <c r="G389">
        <v>0.623986677207901</v>
      </c>
      <c r="H389">
        <v>0.486607479117332</v>
      </c>
      <c r="I389">
        <v>0.461768915450396</v>
      </c>
      <c r="J389">
        <v>0.386425463920542</v>
      </c>
      <c r="K389">
        <v>0.380339036973435</v>
      </c>
      <c r="L389">
        <v>689.119409171167</v>
      </c>
      <c r="M389">
        <v>12.9911858278515</v>
      </c>
      <c r="N389">
        <v>57.9233272575219</v>
      </c>
      <c r="O389">
        <v>51.8354443835207</v>
      </c>
      <c r="P389">
        <v>-0.0418253443993172</v>
      </c>
      <c r="Q389">
        <v>0.332577810750614</v>
      </c>
      <c r="R389">
        <v>0.956423852180987</v>
      </c>
      <c r="S389" t="s">
        <v>2582</v>
      </c>
      <c r="T389" t="s">
        <v>4362</v>
      </c>
      <c r="U389" t="s">
        <v>4362</v>
      </c>
      <c r="V389" t="s">
        <v>4362</v>
      </c>
      <c r="W389" t="s">
        <v>4751</v>
      </c>
      <c r="X389">
        <v>3</v>
      </c>
      <c r="Y389" t="s">
        <v>6910</v>
      </c>
      <c r="Z389" t="s">
        <v>9077</v>
      </c>
      <c r="AA389">
        <v>0.7028806468766529</v>
      </c>
      <c r="AB389">
        <f>HYPERLINK("Melting_Curves/meltCurve_P0A8A2_yeeN.pdf", "Melting_Curves/meltCurve_P0A8A2_yeeN.pdf")</f>
        <v>0</v>
      </c>
    </row>
    <row r="390" spans="1:28">
      <c r="A390" t="s">
        <v>416</v>
      </c>
      <c r="B390">
        <v>0.999739202189716</v>
      </c>
      <c r="C390">
        <v>0.607106015406642</v>
      </c>
      <c r="D390">
        <v>0.317316903749554</v>
      </c>
      <c r="E390">
        <v>0.231295143562774</v>
      </c>
      <c r="F390">
        <v>0.15764829531065</v>
      </c>
      <c r="G390">
        <v>0.123043878681575</v>
      </c>
      <c r="H390">
        <v>0.0951019162325047</v>
      </c>
      <c r="I390">
        <v>0.0737836829009208</v>
      </c>
      <c r="J390">
        <v>0.058503645415868</v>
      </c>
      <c r="K390">
        <v>0.0383417392578539</v>
      </c>
      <c r="L390">
        <v>842.646379600611</v>
      </c>
      <c r="M390">
        <v>20.6235431069813</v>
      </c>
      <c r="N390">
        <v>41.2734232530852</v>
      </c>
      <c r="O390">
        <v>40.4801390211457</v>
      </c>
      <c r="P390">
        <v>-0.115445939242241</v>
      </c>
      <c r="Q390">
        <v>0.09363154435499441</v>
      </c>
      <c r="R390">
        <v>0.971770208878653</v>
      </c>
      <c r="S390" t="s">
        <v>2583</v>
      </c>
      <c r="T390" t="s">
        <v>4362</v>
      </c>
      <c r="U390" t="s">
        <v>4362</v>
      </c>
      <c r="V390" t="s">
        <v>4362</v>
      </c>
      <c r="W390" t="s">
        <v>4752</v>
      </c>
      <c r="X390">
        <v>3</v>
      </c>
      <c r="Y390" t="s">
        <v>6911</v>
      </c>
      <c r="Z390" t="s">
        <v>9078</v>
      </c>
      <c r="AA390">
        <v>0.2249995665440867</v>
      </c>
      <c r="AB390">
        <f>HYPERLINK("Melting_Curves/meltCurve_P0A8A4_ppsR.pdf", "Melting_Curves/meltCurve_P0A8A4_ppsR.pdf")</f>
        <v>0</v>
      </c>
    </row>
    <row r="391" spans="1:28">
      <c r="A391" t="s">
        <v>417</v>
      </c>
      <c r="B391">
        <v>0.999739202189716</v>
      </c>
      <c r="C391">
        <v>1.17823671400747</v>
      </c>
      <c r="D391">
        <v>0.709668381258207</v>
      </c>
      <c r="E391">
        <v>1.10355519056246</v>
      </c>
      <c r="F391">
        <v>0.903578679162198</v>
      </c>
      <c r="G391">
        <v>0.734000397719496</v>
      </c>
      <c r="H391">
        <v>0.633963196939321</v>
      </c>
      <c r="I391">
        <v>0.511468150184586</v>
      </c>
      <c r="J391">
        <v>0.389285830953172</v>
      </c>
      <c r="K391">
        <v>0.470957473004088</v>
      </c>
      <c r="L391">
        <v>983.677222113873</v>
      </c>
      <c r="M391">
        <v>17.8606999309215</v>
      </c>
      <c r="N391">
        <v>60.8832112446343</v>
      </c>
      <c r="O391">
        <v>54.3984620207093</v>
      </c>
      <c r="P391">
        <v>-0.0485122058919571</v>
      </c>
      <c r="Q391">
        <v>0.409014171601779</v>
      </c>
      <c r="R391">
        <v>0.795320827815051</v>
      </c>
      <c r="S391" t="s">
        <v>2584</v>
      </c>
      <c r="T391" t="s">
        <v>4362</v>
      </c>
      <c r="U391" t="s">
        <v>4362</v>
      </c>
      <c r="V391" t="s">
        <v>4362</v>
      </c>
      <c r="W391" t="s">
        <v>4753</v>
      </c>
      <c r="X391">
        <v>5</v>
      </c>
      <c r="Y391" t="s">
        <v>6912</v>
      </c>
      <c r="Z391" t="s">
        <v>9079</v>
      </c>
      <c r="AA391">
        <v>0.7724986119015573</v>
      </c>
      <c r="AB391">
        <f>HYPERLINK("Melting_Curves/meltCurve_P0A8B5_ybaB.pdf", "Melting_Curves/meltCurve_P0A8B5_ybaB.pdf")</f>
        <v>0</v>
      </c>
    </row>
    <row r="392" spans="1:28">
      <c r="A392" t="s">
        <v>418</v>
      </c>
      <c r="B392">
        <v>0.999739202189716</v>
      </c>
      <c r="C392">
        <v>0.950994036983125</v>
      </c>
      <c r="D392">
        <v>0.935518975178835</v>
      </c>
      <c r="E392">
        <v>0.772458210845102</v>
      </c>
      <c r="F392">
        <v>0.401401718147811</v>
      </c>
      <c r="G392">
        <v>0.302165823827406</v>
      </c>
      <c r="H392">
        <v>0.172944100679861</v>
      </c>
      <c r="I392">
        <v>0.171447195375036</v>
      </c>
      <c r="J392">
        <v>0.100736728743002</v>
      </c>
      <c r="K392">
        <v>0.0938635397092781</v>
      </c>
      <c r="L392">
        <v>865.420211948001</v>
      </c>
      <c r="M392">
        <v>17.6884929804142</v>
      </c>
      <c r="N392">
        <v>49.6259716310838</v>
      </c>
      <c r="O392">
        <v>48.3131417220911</v>
      </c>
      <c r="P392">
        <v>-0.0814247499669235</v>
      </c>
      <c r="Q392">
        <v>0.110455201211828</v>
      </c>
      <c r="R392">
        <v>0.99274637371543</v>
      </c>
      <c r="S392" t="s">
        <v>2585</v>
      </c>
      <c r="T392" t="s">
        <v>4362</v>
      </c>
      <c r="U392" t="s">
        <v>4362</v>
      </c>
      <c r="V392" t="s">
        <v>4362</v>
      </c>
      <c r="W392" t="s">
        <v>4754</v>
      </c>
      <c r="X392">
        <v>2</v>
      </c>
      <c r="Y392" t="s">
        <v>6913</v>
      </c>
      <c r="Z392" t="s">
        <v>9080</v>
      </c>
      <c r="AA392">
        <v>0.4786539071673568</v>
      </c>
      <c r="AB392">
        <f>HYPERLINK("Melting_Curves/meltCurve_P0A8C1_ybjQ.pdf", "Melting_Curves/meltCurve_P0A8C1_ybjQ.pdf")</f>
        <v>0</v>
      </c>
    </row>
    <row r="393" spans="1:28">
      <c r="A393" t="s">
        <v>419</v>
      </c>
      <c r="B393">
        <v>0.999739202189716</v>
      </c>
      <c r="C393">
        <v>1.01122054172626</v>
      </c>
      <c r="D393">
        <v>0.813443690404579</v>
      </c>
      <c r="E393">
        <v>0.849740513478459</v>
      </c>
      <c r="F393">
        <v>0.541783112038929</v>
      </c>
      <c r="G393">
        <v>0.39292652725583</v>
      </c>
      <c r="H393">
        <v>0.31180217358187</v>
      </c>
      <c r="I393">
        <v>0.228747072953376</v>
      </c>
      <c r="J393">
        <v>0.202398155346912</v>
      </c>
      <c r="K393">
        <v>0.182936191453869</v>
      </c>
      <c r="L393">
        <v>641.502954486462</v>
      </c>
      <c r="M393">
        <v>12.7842894321993</v>
      </c>
      <c r="N393">
        <v>51.6442216176479</v>
      </c>
      <c r="O393">
        <v>48.9987736015232</v>
      </c>
      <c r="P393">
        <v>-0.0553166128622384</v>
      </c>
      <c r="Q393">
        <v>0.152104543468932</v>
      </c>
      <c r="R393">
        <v>0.980991514931823</v>
      </c>
      <c r="S393" t="s">
        <v>2586</v>
      </c>
      <c r="T393" t="s">
        <v>4362</v>
      </c>
      <c r="U393" t="s">
        <v>4362</v>
      </c>
      <c r="V393" t="s">
        <v>4362</v>
      </c>
      <c r="W393" t="s">
        <v>4755</v>
      </c>
      <c r="X393">
        <v>9</v>
      </c>
      <c r="Y393" t="s">
        <v>6914</v>
      </c>
      <c r="Z393" t="s">
        <v>9081</v>
      </c>
      <c r="AA393">
        <v>0.5463505772632876</v>
      </c>
      <c r="AB393">
        <f>HYPERLINK("Melting_Curves/meltCurve_P0A8D0_nrdR.pdf", "Melting_Curves/meltCurve_P0A8D0_nrdR.pdf")</f>
        <v>0</v>
      </c>
    </row>
    <row r="394" spans="1:28">
      <c r="A394" t="s">
        <v>420</v>
      </c>
      <c r="B394">
        <v>0.999739202189716</v>
      </c>
      <c r="C394">
        <v>0.987526674906716</v>
      </c>
      <c r="D394">
        <v>1.00548866801039</v>
      </c>
      <c r="E394">
        <v>0.96023890597253</v>
      </c>
      <c r="F394">
        <v>0.950460763994656</v>
      </c>
      <c r="G394">
        <v>0.801751877404865</v>
      </c>
      <c r="H394">
        <v>0.657413859154331</v>
      </c>
      <c r="I394">
        <v>0.533990491633056</v>
      </c>
      <c r="J394">
        <v>0.41774045489796</v>
      </c>
      <c r="K394">
        <v>0.310242840798421</v>
      </c>
      <c r="L394">
        <v>693.437992522575</v>
      </c>
      <c r="M394">
        <v>11.5400435849835</v>
      </c>
      <c r="N394">
        <v>61.4980677540485</v>
      </c>
      <c r="O394">
        <v>58.3702761503204</v>
      </c>
      <c r="P394">
        <v>-0.0436989756522153</v>
      </c>
      <c r="Q394">
        <v>0.116118732096681</v>
      </c>
      <c r="R394">
        <v>0.995957880455927</v>
      </c>
      <c r="S394" t="s">
        <v>2587</v>
      </c>
      <c r="T394" t="s">
        <v>4362</v>
      </c>
      <c r="U394" t="s">
        <v>4362</v>
      </c>
      <c r="V394" t="s">
        <v>4362</v>
      </c>
      <c r="W394" t="s">
        <v>4756</v>
      </c>
      <c r="X394">
        <v>5</v>
      </c>
      <c r="Y394" t="s">
        <v>6915</v>
      </c>
      <c r="Z394" t="s">
        <v>9082</v>
      </c>
      <c r="AA394">
        <v>0.7794887029964864</v>
      </c>
      <c r="AB394">
        <f>HYPERLINK("Melting_Curves/meltCurve_P0A8D3_yaiI.pdf", "Melting_Curves/meltCurve_P0A8D3_yaiI.pdf")</f>
        <v>0</v>
      </c>
    </row>
    <row r="395" spans="1:28">
      <c r="A395" t="s">
        <v>421</v>
      </c>
      <c r="B395">
        <v>0.999739202189716</v>
      </c>
      <c r="C395">
        <v>0.989396988260642</v>
      </c>
      <c r="D395">
        <v>0.958681540831124</v>
      </c>
      <c r="E395">
        <v>0.992819128920516</v>
      </c>
      <c r="F395">
        <v>0.63302071781117</v>
      </c>
      <c r="G395">
        <v>0.297794144155126</v>
      </c>
      <c r="H395">
        <v>0.151301703217476</v>
      </c>
      <c r="I395">
        <v>0.0911020248241298</v>
      </c>
      <c r="J395">
        <v>0.072168782791164</v>
      </c>
      <c r="K395">
        <v>0.059547408395347</v>
      </c>
      <c r="L395">
        <v>1313.04502458317</v>
      </c>
      <c r="M395">
        <v>25.6058979749213</v>
      </c>
      <c r="N395">
        <v>51.5995980880269</v>
      </c>
      <c r="O395">
        <v>50.9693137912317</v>
      </c>
      <c r="P395">
        <v>-0.116359801428862</v>
      </c>
      <c r="Q395">
        <v>0.0735405337422875</v>
      </c>
      <c r="R395">
        <v>0.99615638189</v>
      </c>
      <c r="S395" t="s">
        <v>2588</v>
      </c>
      <c r="T395" t="s">
        <v>4362</v>
      </c>
      <c r="U395" t="s">
        <v>4362</v>
      </c>
      <c r="V395" t="s">
        <v>4362</v>
      </c>
      <c r="W395" t="s">
        <v>4757</v>
      </c>
      <c r="X395">
        <v>5</v>
      </c>
      <c r="Y395" t="s">
        <v>6916</v>
      </c>
      <c r="Z395" t="s">
        <v>9083</v>
      </c>
      <c r="AA395">
        <v>0.5223373602887216</v>
      </c>
      <c r="AB395">
        <f>HYPERLINK("Melting_Curves/meltCurve_P0A8D6_ymdB.pdf", "Melting_Curves/meltCurve_P0A8D6_ymdB.pdf")</f>
        <v>0</v>
      </c>
    </row>
    <row r="396" spans="1:28">
      <c r="A396" t="s">
        <v>422</v>
      </c>
      <c r="B396">
        <v>0.999739202189716</v>
      </c>
      <c r="C396">
        <v>0.608625996136944</v>
      </c>
      <c r="D396">
        <v>0.237591224789557</v>
      </c>
      <c r="E396">
        <v>0.128284930497942</v>
      </c>
      <c r="F396">
        <v>0.0953905175448537</v>
      </c>
      <c r="G396">
        <v>0.0592740707968441</v>
      </c>
      <c r="H396">
        <v>0.0468623430393018</v>
      </c>
      <c r="I396">
        <v>0.0290576400090299</v>
      </c>
      <c r="J396">
        <v>0.0297350755838957</v>
      </c>
      <c r="K396">
        <v>0.0240967434566162</v>
      </c>
      <c r="L396">
        <v>1080.13483225947</v>
      </c>
      <c r="M396">
        <v>26.5911147932699</v>
      </c>
      <c r="N396">
        <v>40.7927164556263</v>
      </c>
      <c r="O396">
        <v>40.3925020109611</v>
      </c>
      <c r="P396">
        <v>-0.155825955726821</v>
      </c>
      <c r="Q396">
        <v>0.0531975719625005</v>
      </c>
      <c r="R396">
        <v>0.988889981062309</v>
      </c>
      <c r="S396" t="s">
        <v>2589</v>
      </c>
      <c r="T396" t="s">
        <v>4362</v>
      </c>
      <c r="U396" t="s">
        <v>4362</v>
      </c>
      <c r="V396" t="s">
        <v>4362</v>
      </c>
      <c r="W396" t="s">
        <v>4758</v>
      </c>
      <c r="X396">
        <v>7</v>
      </c>
      <c r="Y396" t="s">
        <v>6917</v>
      </c>
      <c r="Z396" t="s">
        <v>9084</v>
      </c>
      <c r="AA396">
        <v>0.1762118126928396</v>
      </c>
      <c r="AB396">
        <f>HYPERLINK("Melting_Curves/meltCurve_P0A8E1_ycfP.pdf", "Melting_Curves/meltCurve_P0A8E1_ycfP.pdf")</f>
        <v>0</v>
      </c>
    </row>
    <row r="397" spans="1:28">
      <c r="A397" t="s">
        <v>423</v>
      </c>
      <c r="B397">
        <v>0.999739202189716</v>
      </c>
      <c r="C397">
        <v>1.10291677942812</v>
      </c>
      <c r="D397">
        <v>1.01410706083209</v>
      </c>
      <c r="E397">
        <v>0.934034449495399</v>
      </c>
      <c r="F397">
        <v>1.01661655352761</v>
      </c>
      <c r="G397">
        <v>0.687245540730259</v>
      </c>
      <c r="H397">
        <v>0.631432741379371</v>
      </c>
      <c r="I397">
        <v>0.533167112125983</v>
      </c>
      <c r="J397">
        <v>0.566726451102827</v>
      </c>
      <c r="K397">
        <v>0.571483267267856</v>
      </c>
      <c r="L397">
        <v>6015.66610607112</v>
      </c>
      <c r="M397">
        <v>112.843669333035</v>
      </c>
      <c r="O397">
        <v>53.2930076553541</v>
      </c>
      <c r="P397">
        <v>-0.224639313814442</v>
      </c>
      <c r="Q397">
        <v>0.575635846898564</v>
      </c>
      <c r="R397">
        <v>0.95568516015327</v>
      </c>
      <c r="S397" t="s">
        <v>2590</v>
      </c>
      <c r="T397" t="s">
        <v>4362</v>
      </c>
      <c r="U397" t="s">
        <v>4362</v>
      </c>
      <c r="V397" t="s">
        <v>4362</v>
      </c>
      <c r="W397" t="s">
        <v>4759</v>
      </c>
      <c r="X397">
        <v>2</v>
      </c>
      <c r="Y397" t="s">
        <v>6918</v>
      </c>
      <c r="Z397" t="s">
        <v>9085</v>
      </c>
      <c r="AA397">
        <v>0.8065397810422933</v>
      </c>
      <c r="AB397">
        <f>HYPERLINK("Melting_Curves/meltCurve_P0A8E5_yacL.pdf", "Melting_Curves/meltCurve_P0A8E5_yacL.pdf")</f>
        <v>0</v>
      </c>
    </row>
    <row r="398" spans="1:28">
      <c r="A398" t="s">
        <v>424</v>
      </c>
      <c r="B398">
        <v>0.999739202189716</v>
      </c>
      <c r="C398">
        <v>0.870571477235062</v>
      </c>
      <c r="D398">
        <v>0.912921571847338</v>
      </c>
      <c r="E398">
        <v>1.02655938061709</v>
      </c>
      <c r="F398">
        <v>0.84755587527684</v>
      </c>
      <c r="G398">
        <v>0.553158397246498</v>
      </c>
      <c r="H398">
        <v>0.335318034945772</v>
      </c>
      <c r="I398">
        <v>0.219932990006017</v>
      </c>
      <c r="J398">
        <v>0.166202493641576</v>
      </c>
      <c r="K398">
        <v>0.169639318234525</v>
      </c>
      <c r="L398">
        <v>1187.43698125127</v>
      </c>
      <c r="M398">
        <v>22.1269965379254</v>
      </c>
      <c r="N398">
        <v>54.6036201413695</v>
      </c>
      <c r="O398">
        <v>53.2320695154295</v>
      </c>
      <c r="P398">
        <v>-0.0874752728872667</v>
      </c>
      <c r="Q398">
        <v>0.158243051406897</v>
      </c>
      <c r="R398">
        <v>0.976469794080898</v>
      </c>
      <c r="S398" t="s">
        <v>2591</v>
      </c>
      <c r="T398" t="s">
        <v>4362</v>
      </c>
      <c r="U398" t="s">
        <v>4362</v>
      </c>
      <c r="V398" t="s">
        <v>4362</v>
      </c>
      <c r="W398" t="s">
        <v>4760</v>
      </c>
      <c r="X398">
        <v>13</v>
      </c>
      <c r="Y398" t="s">
        <v>6919</v>
      </c>
      <c r="Z398" t="s">
        <v>9086</v>
      </c>
      <c r="AA398">
        <v>0.6347862604349206</v>
      </c>
      <c r="AB398">
        <f>HYPERLINK("Melting_Curves/meltCurve_P0A8E7_yajQ.pdf", "Melting_Curves/meltCurve_P0A8E7_yajQ.pdf")</f>
        <v>0</v>
      </c>
    </row>
    <row r="399" spans="1:28">
      <c r="A399" t="s">
        <v>425</v>
      </c>
      <c r="B399">
        <v>0.999739202189716</v>
      </c>
      <c r="C399">
        <v>0.877986104522539</v>
      </c>
      <c r="D399">
        <v>0.952206111386372</v>
      </c>
      <c r="E399">
        <v>0.853012469647641</v>
      </c>
      <c r="F399">
        <v>0.675767697079424</v>
      </c>
      <c r="G399">
        <v>0.439067075958459</v>
      </c>
      <c r="H399">
        <v>0.308068999868744</v>
      </c>
      <c r="I399">
        <v>0.218150909054862</v>
      </c>
      <c r="J399">
        <v>0.184078998129853</v>
      </c>
      <c r="K399">
        <v>0.141778768664977</v>
      </c>
      <c r="L399">
        <v>666.736829836596</v>
      </c>
      <c r="M399">
        <v>12.7849099231398</v>
      </c>
      <c r="N399">
        <v>53.0342406473645</v>
      </c>
      <c r="O399">
        <v>50.9238097237307</v>
      </c>
      <c r="P399">
        <v>-0.0567527411449867</v>
      </c>
      <c r="Q399">
        <v>0.09595886631443309</v>
      </c>
      <c r="R399">
        <v>0.988504119005238</v>
      </c>
      <c r="S399" t="s">
        <v>2592</v>
      </c>
      <c r="T399" t="s">
        <v>4362</v>
      </c>
      <c r="U399" t="s">
        <v>4362</v>
      </c>
      <c r="V399" t="s">
        <v>4362</v>
      </c>
      <c r="W399" t="s">
        <v>4761</v>
      </c>
      <c r="X399">
        <v>7</v>
      </c>
      <c r="Y399" t="s">
        <v>6920</v>
      </c>
      <c r="Z399" t="s">
        <v>9087</v>
      </c>
      <c r="AA399">
        <v>0.572597175686235</v>
      </c>
      <c r="AB399">
        <f>HYPERLINK("Melting_Curves/meltCurve_P0A8F0_upp.pdf", "Melting_Curves/meltCurve_P0A8F0_upp.pdf")</f>
        <v>0</v>
      </c>
    </row>
    <row r="400" spans="1:28">
      <c r="A400" t="s">
        <v>426</v>
      </c>
      <c r="B400">
        <v>0.999739202189716</v>
      </c>
      <c r="C400">
        <v>0.930511037115501</v>
      </c>
      <c r="D400">
        <v>0.578709120159948</v>
      </c>
      <c r="E400">
        <v>0.544347950392207</v>
      </c>
      <c r="F400">
        <v>0.315729520809513</v>
      </c>
      <c r="G400">
        <v>0.266066897825334</v>
      </c>
      <c r="H400">
        <v>0.189509279950027</v>
      </c>
      <c r="I400">
        <v>0.144990922326407</v>
      </c>
      <c r="J400">
        <v>0.137820159697363</v>
      </c>
      <c r="K400">
        <v>0.133815625971503</v>
      </c>
      <c r="L400">
        <v>552.8913794872</v>
      </c>
      <c r="M400">
        <v>12.2060837064116</v>
      </c>
      <c r="N400">
        <v>46.3722887793926</v>
      </c>
      <c r="O400">
        <v>44.1320223370561</v>
      </c>
      <c r="P400">
        <v>-0.0606322498124115</v>
      </c>
      <c r="Q400">
        <v>0.123315662944157</v>
      </c>
      <c r="R400">
        <v>0.9716279551188139</v>
      </c>
      <c r="S400" t="s">
        <v>2593</v>
      </c>
      <c r="T400" t="s">
        <v>4362</v>
      </c>
      <c r="U400" t="s">
        <v>4362</v>
      </c>
      <c r="V400" t="s">
        <v>4362</v>
      </c>
      <c r="W400" t="s">
        <v>4762</v>
      </c>
      <c r="X400">
        <v>2</v>
      </c>
      <c r="Y400" t="s">
        <v>6921</v>
      </c>
      <c r="Z400" t="s">
        <v>9088</v>
      </c>
      <c r="AA400">
        <v>0.3961886524735911</v>
      </c>
      <c r="AB400">
        <f>HYPERLINK("Melting_Curves/meltCurve_P0A8F4_udk.pdf", "Melting_Curves/meltCurve_P0A8F4_udk.pdf")</f>
        <v>0</v>
      </c>
    </row>
    <row r="401" spans="1:28">
      <c r="A401" t="s">
        <v>427</v>
      </c>
      <c r="B401">
        <v>0.999739202189716</v>
      </c>
      <c r="C401">
        <v>1.10587129297321</v>
      </c>
      <c r="D401">
        <v>0.454982088632944</v>
      </c>
      <c r="E401">
        <v>0.182073758860951</v>
      </c>
      <c r="F401">
        <v>0.137239874719663</v>
      </c>
      <c r="G401">
        <v>0.09394980810089749</v>
      </c>
      <c r="H401">
        <v>0.08730265476672321</v>
      </c>
      <c r="I401">
        <v>0.0626548592375837</v>
      </c>
      <c r="J401">
        <v>0.058851431110914</v>
      </c>
      <c r="K401">
        <v>0.0484686968759361</v>
      </c>
      <c r="L401">
        <v>10732.0704731654</v>
      </c>
      <c r="M401">
        <v>250</v>
      </c>
      <c r="N401">
        <v>42.9648324750992</v>
      </c>
      <c r="O401">
        <v>42.9255488199756</v>
      </c>
      <c r="P401">
        <v>-1.31653632937713</v>
      </c>
      <c r="Q401">
        <v>0.0957915838806119</v>
      </c>
      <c r="R401">
        <v>0.982816956870512</v>
      </c>
      <c r="S401" t="s">
        <v>2594</v>
      </c>
      <c r="T401" t="s">
        <v>4362</v>
      </c>
      <c r="U401" t="s">
        <v>4362</v>
      </c>
      <c r="V401" t="s">
        <v>4362</v>
      </c>
      <c r="W401" t="s">
        <v>4763</v>
      </c>
      <c r="X401">
        <v>12</v>
      </c>
      <c r="Y401" t="s">
        <v>6922</v>
      </c>
      <c r="Z401" t="s">
        <v>9089</v>
      </c>
      <c r="AA401">
        <v>0.2745397849052713</v>
      </c>
      <c r="AB401">
        <f>HYPERLINK("Melting_Curves/meltCurve_P0A8F8_uvrB.pdf", "Melting_Curves/meltCurve_P0A8F8_uvrB.pdf")</f>
        <v>0</v>
      </c>
    </row>
    <row r="402" spans="1:28">
      <c r="A402" t="s">
        <v>428</v>
      </c>
      <c r="B402">
        <v>0.999739202189716</v>
      </c>
      <c r="C402">
        <v>1.02206820298469</v>
      </c>
      <c r="D402">
        <v>1.16999641700001</v>
      </c>
      <c r="E402">
        <v>0.98266813717901</v>
      </c>
      <c r="F402">
        <v>0.501549586136627</v>
      </c>
      <c r="G402">
        <v>0.163951490608106</v>
      </c>
      <c r="H402">
        <v>0.112057706633313</v>
      </c>
      <c r="I402">
        <v>0.08209790838797359</v>
      </c>
      <c r="J402">
        <v>0.0810140493861156</v>
      </c>
      <c r="K402">
        <v>0.0653080116399286</v>
      </c>
      <c r="L402">
        <v>2104.72704863004</v>
      </c>
      <c r="M402">
        <v>42.0725542262901</v>
      </c>
      <c r="N402">
        <v>50.2624479574488</v>
      </c>
      <c r="O402">
        <v>49.9135065183588</v>
      </c>
      <c r="P402">
        <v>-0.191817046423206</v>
      </c>
      <c r="Q402">
        <v>0.0897395841049495</v>
      </c>
      <c r="R402">
        <v>0.98391919120838</v>
      </c>
      <c r="S402" t="s">
        <v>2595</v>
      </c>
      <c r="T402" t="s">
        <v>4362</v>
      </c>
      <c r="U402" t="s">
        <v>4362</v>
      </c>
      <c r="V402" t="s">
        <v>4362</v>
      </c>
      <c r="W402" t="s">
        <v>4764</v>
      </c>
      <c r="X402">
        <v>20</v>
      </c>
      <c r="Y402" t="s">
        <v>6923</v>
      </c>
      <c r="Z402" t="s">
        <v>9090</v>
      </c>
      <c r="AA402">
        <v>0.4878205133182221</v>
      </c>
      <c r="AB402">
        <f>HYPERLINK("Melting_Curves/meltCurve_P0A8G3_uxaC.pdf", "Melting_Curves/meltCurve_P0A8G3_uxaC.pdf")</f>
        <v>0</v>
      </c>
    </row>
    <row r="403" spans="1:28">
      <c r="A403" t="s">
        <v>429</v>
      </c>
      <c r="B403">
        <v>0.999739202189716</v>
      </c>
      <c r="C403">
        <v>0.663792151489202</v>
      </c>
      <c r="D403">
        <v>0.6357851727430101</v>
      </c>
      <c r="E403">
        <v>0.458813514521586</v>
      </c>
      <c r="F403">
        <v>0.386420818511992</v>
      </c>
      <c r="G403">
        <v>0.294329206943808</v>
      </c>
      <c r="H403">
        <v>0.225776514454083</v>
      </c>
      <c r="I403">
        <v>0.185661015198187</v>
      </c>
      <c r="J403">
        <v>0.0518189581218737</v>
      </c>
      <c r="K403">
        <v>0.0494357596659394</v>
      </c>
      <c r="L403">
        <v>345.019321361314</v>
      </c>
      <c r="M403">
        <v>7.4434488010373</v>
      </c>
      <c r="N403">
        <v>46.3520785644805</v>
      </c>
      <c r="O403">
        <v>43.3596750539602</v>
      </c>
      <c r="P403">
        <v>-0.0429803458109265</v>
      </c>
      <c r="Q403">
        <v>0</v>
      </c>
      <c r="R403">
        <v>0.951760453480633</v>
      </c>
      <c r="S403" t="s">
        <v>2596</v>
      </c>
      <c r="T403" t="s">
        <v>4362</v>
      </c>
      <c r="U403" t="s">
        <v>4362</v>
      </c>
      <c r="V403" t="s">
        <v>4362</v>
      </c>
      <c r="W403" t="s">
        <v>4765</v>
      </c>
      <c r="X403">
        <v>11</v>
      </c>
      <c r="Y403" t="s">
        <v>6924</v>
      </c>
      <c r="Z403" t="s">
        <v>9091</v>
      </c>
      <c r="AA403">
        <v>0.3780907832162385</v>
      </c>
      <c r="AB403">
        <f>HYPERLINK("Melting_Curves/meltCurve_P0A8G6_wrbA.pdf", "Melting_Curves/meltCurve_P0A8G6_wrbA.pdf")</f>
        <v>0</v>
      </c>
    </row>
    <row r="404" spans="1:28">
      <c r="A404" t="s">
        <v>430</v>
      </c>
      <c r="B404">
        <v>0.999739202189716</v>
      </c>
      <c r="C404">
        <v>1.08498882139458</v>
      </c>
      <c r="D404">
        <v>0.774997416907082</v>
      </c>
      <c r="E404">
        <v>1.07044363161941</v>
      </c>
      <c r="F404">
        <v>0.793932986762806</v>
      </c>
      <c r="G404">
        <v>0.743656493278824</v>
      </c>
      <c r="H404">
        <v>0.612745524119244</v>
      </c>
      <c r="I404">
        <v>0.6586590095304991</v>
      </c>
      <c r="J404">
        <v>0.478802760336611</v>
      </c>
      <c r="K404">
        <v>0.462961610224733</v>
      </c>
      <c r="L404">
        <v>481.712942629938</v>
      </c>
      <c r="M404">
        <v>8.363528412833</v>
      </c>
      <c r="N404">
        <v>64.8748417324219</v>
      </c>
      <c r="O404">
        <v>54.5862497471554</v>
      </c>
      <c r="P404">
        <v>-0.0266719655333249</v>
      </c>
      <c r="Q404">
        <v>0.304346445706758</v>
      </c>
      <c r="R404">
        <v>0.8208443005063309</v>
      </c>
      <c r="S404" t="s">
        <v>2597</v>
      </c>
      <c r="T404" t="s">
        <v>4362</v>
      </c>
      <c r="U404" t="s">
        <v>4362</v>
      </c>
      <c r="V404" t="s">
        <v>4362</v>
      </c>
      <c r="W404" t="s">
        <v>4766</v>
      </c>
      <c r="X404">
        <v>1</v>
      </c>
      <c r="Y404" t="s">
        <v>6925</v>
      </c>
      <c r="Z404" t="s">
        <v>9092</v>
      </c>
      <c r="AA404">
        <v>0.772066967985292</v>
      </c>
      <c r="AB404">
        <f>HYPERLINK("Melting_Curves/meltCurve_P0A8G9_xseB.pdf", "Melting_Curves/meltCurve_P0A8G9_xseB.pdf")</f>
        <v>0</v>
      </c>
    </row>
    <row r="405" spans="1:28">
      <c r="A405" t="s">
        <v>431</v>
      </c>
      <c r="B405">
        <v>0.999739202189716</v>
      </c>
      <c r="C405">
        <v>1.13249708259297</v>
      </c>
      <c r="D405">
        <v>0.537238001163669</v>
      </c>
      <c r="E405">
        <v>1.0192207487077</v>
      </c>
      <c r="F405">
        <v>0.921043934030629</v>
      </c>
      <c r="G405">
        <v>0.809888522153774</v>
      </c>
      <c r="H405">
        <v>0.795395382931988</v>
      </c>
      <c r="I405">
        <v>0.669827700549259</v>
      </c>
      <c r="J405">
        <v>0.664010870927894</v>
      </c>
      <c r="K405">
        <v>0.656665272793465</v>
      </c>
      <c r="L405">
        <v>232.423830262627</v>
      </c>
      <c r="M405">
        <v>2.8778315626387</v>
      </c>
      <c r="O405">
        <v>58.3633547020025</v>
      </c>
      <c r="P405">
        <v>-0.0127559888121259</v>
      </c>
      <c r="Q405">
        <v>0</v>
      </c>
      <c r="R405">
        <v>0.371139067017539</v>
      </c>
      <c r="S405" t="s">
        <v>2598</v>
      </c>
      <c r="T405" t="s">
        <v>4362</v>
      </c>
      <c r="U405" t="s">
        <v>4362</v>
      </c>
      <c r="V405" t="s">
        <v>4362</v>
      </c>
      <c r="W405" t="s">
        <v>4767</v>
      </c>
      <c r="X405">
        <v>4</v>
      </c>
      <c r="Y405" t="s">
        <v>6926</v>
      </c>
      <c r="Z405" t="s">
        <v>9093</v>
      </c>
      <c r="AA405">
        <v>0.8224763836249939</v>
      </c>
      <c r="AB405">
        <f>HYPERLINK("Melting_Curves/meltCurve_P0A8H6_yihI.pdf", "Melting_Curves/meltCurve_P0A8H6_yihI.pdf")</f>
        <v>0</v>
      </c>
    </row>
    <row r="406" spans="1:28">
      <c r="A406" t="s">
        <v>432</v>
      </c>
      <c r="B406">
        <v>0.999739202189716</v>
      </c>
      <c r="C406">
        <v>1.00175870084228</v>
      </c>
      <c r="D406">
        <v>0.802207268167812</v>
      </c>
      <c r="E406">
        <v>1.06840818505707</v>
      </c>
      <c r="F406">
        <v>0.866263698575015</v>
      </c>
      <c r="G406">
        <v>0.822694377987349</v>
      </c>
      <c r="H406">
        <v>0.516453633221268</v>
      </c>
      <c r="I406">
        <v>0.500328543194579</v>
      </c>
      <c r="J406">
        <v>0.340732839972726</v>
      </c>
      <c r="K406">
        <v>0.441828342005507</v>
      </c>
      <c r="L406">
        <v>1213.76821378741</v>
      </c>
      <c r="M406">
        <v>22.0513772688278</v>
      </c>
      <c r="N406">
        <v>59.004599948314</v>
      </c>
      <c r="O406">
        <v>54.5960693428894</v>
      </c>
      <c r="P406">
        <v>-0.0619743782623355</v>
      </c>
      <c r="Q406">
        <v>0.386254641743909</v>
      </c>
      <c r="R406">
        <v>0.897509014689058</v>
      </c>
      <c r="S406" t="s">
        <v>2599</v>
      </c>
      <c r="T406" t="s">
        <v>4362</v>
      </c>
      <c r="U406" t="s">
        <v>4362</v>
      </c>
      <c r="V406" t="s">
        <v>4362</v>
      </c>
      <c r="W406" t="s">
        <v>4768</v>
      </c>
      <c r="X406">
        <v>1</v>
      </c>
      <c r="Y406" t="s">
        <v>6927</v>
      </c>
      <c r="Z406" t="s">
        <v>9094</v>
      </c>
      <c r="AA406">
        <v>0.7615657983123297</v>
      </c>
      <c r="AB406">
        <f>HYPERLINK("Melting_Curves/meltCurve_P0A8H8_yacG.pdf", "Melting_Curves/meltCurve_P0A8H8_yacG.pdf")</f>
        <v>0</v>
      </c>
    </row>
    <row r="407" spans="1:28">
      <c r="A407" t="s">
        <v>433</v>
      </c>
      <c r="B407">
        <v>0.999739202189716</v>
      </c>
      <c r="C407">
        <v>1.06104029431361</v>
      </c>
      <c r="D407">
        <v>0.950666202913087</v>
      </c>
      <c r="E407">
        <v>1.00027613713319</v>
      </c>
      <c r="F407">
        <v>0.861022733255555</v>
      </c>
      <c r="G407">
        <v>0.705317985782332</v>
      </c>
      <c r="H407">
        <v>0.498220373657745</v>
      </c>
      <c r="I407">
        <v>0.279245987422792</v>
      </c>
      <c r="J407">
        <v>0.189409540534719</v>
      </c>
      <c r="K407">
        <v>0.161680182479773</v>
      </c>
      <c r="L407">
        <v>878.209080900595</v>
      </c>
      <c r="M407">
        <v>15.558000593981</v>
      </c>
      <c r="N407">
        <v>57.0427986460919</v>
      </c>
      <c r="O407">
        <v>55.5395113039939</v>
      </c>
      <c r="P407">
        <v>-0.0647886105451221</v>
      </c>
      <c r="Q407">
        <v>0.0749421100332474</v>
      </c>
      <c r="R407">
        <v>0.992858609526198</v>
      </c>
      <c r="S407" t="s">
        <v>2600</v>
      </c>
      <c r="T407" t="s">
        <v>4362</v>
      </c>
      <c r="U407" t="s">
        <v>4362</v>
      </c>
      <c r="V407" t="s">
        <v>4362</v>
      </c>
      <c r="W407" t="s">
        <v>4769</v>
      </c>
      <c r="X407">
        <v>3</v>
      </c>
      <c r="Y407" t="s">
        <v>6928</v>
      </c>
      <c r="Z407" t="s">
        <v>9095</v>
      </c>
      <c r="AA407">
        <v>0.6840678329419529</v>
      </c>
      <c r="AB407">
        <f>HYPERLINK("Melting_Curves/meltCurve_P0A8I1_yqgF.pdf", "Melting_Curves/meltCurve_P0A8I1_yqgF.pdf")</f>
        <v>0</v>
      </c>
    </row>
    <row r="408" spans="1:28">
      <c r="A408" t="s">
        <v>434</v>
      </c>
      <c r="B408">
        <v>0.999739202189716</v>
      </c>
      <c r="C408">
        <v>0.64002014596043</v>
      </c>
      <c r="D408">
        <v>0.230417751736892</v>
      </c>
      <c r="E408">
        <v>0.172025468394363</v>
      </c>
      <c r="F408">
        <v>0.152147871366487</v>
      </c>
      <c r="G408">
        <v>0.08733694402024671</v>
      </c>
      <c r="H408">
        <v>0.07756963959023321</v>
      </c>
      <c r="I408">
        <v>0.062905466126544</v>
      </c>
      <c r="J408">
        <v>0.0699518937395361</v>
      </c>
      <c r="K408">
        <v>0.0447648154793609</v>
      </c>
      <c r="L408">
        <v>1207.35000279909</v>
      </c>
      <c r="M408">
        <v>29.7663165437777</v>
      </c>
      <c r="N408">
        <v>40.836750717686</v>
      </c>
      <c r="O408">
        <v>40.3792118406813</v>
      </c>
      <c r="P408">
        <v>-0.167512211575212</v>
      </c>
      <c r="Q408">
        <v>0.09105800306210241</v>
      </c>
      <c r="R408">
        <v>0.984988412029226</v>
      </c>
      <c r="S408" t="s">
        <v>2601</v>
      </c>
      <c r="T408" t="s">
        <v>4362</v>
      </c>
      <c r="U408" t="s">
        <v>4362</v>
      </c>
      <c r="V408" t="s">
        <v>4362</v>
      </c>
      <c r="W408" t="s">
        <v>4770</v>
      </c>
      <c r="X408">
        <v>4</v>
      </c>
      <c r="Y408" t="s">
        <v>6929</v>
      </c>
      <c r="Z408" t="s">
        <v>9096</v>
      </c>
      <c r="AA408">
        <v>0.2053794335797774</v>
      </c>
      <c r="AB408">
        <f>HYPERLINK("Melting_Curves/meltCurve_P0A8I3_yaaA.pdf", "Melting_Curves/meltCurve_P0A8I3_yaaA.pdf")</f>
        <v>0</v>
      </c>
    </row>
    <row r="409" spans="1:28">
      <c r="A409" t="s">
        <v>435</v>
      </c>
      <c r="B409">
        <v>0.999739202189716</v>
      </c>
      <c r="C409">
        <v>0.873306260295782</v>
      </c>
      <c r="D409">
        <v>1.05516335646273</v>
      </c>
      <c r="E409">
        <v>0.4012461200608</v>
      </c>
      <c r="F409">
        <v>0.249086263184084</v>
      </c>
      <c r="G409">
        <v>0.155654577527342</v>
      </c>
      <c r="H409">
        <v>0.129500139172335</v>
      </c>
      <c r="I409">
        <v>0.11550768068698</v>
      </c>
      <c r="J409">
        <v>0.09484763716794339</v>
      </c>
      <c r="K409">
        <v>0.08606290059618379</v>
      </c>
      <c r="L409">
        <v>4319.70795807263</v>
      </c>
      <c r="M409">
        <v>93.5174655106976</v>
      </c>
      <c r="N409">
        <v>46.3519575116158</v>
      </c>
      <c r="O409">
        <v>46.1703462094788</v>
      </c>
      <c r="P409">
        <v>-0.436342904735517</v>
      </c>
      <c r="Q409">
        <v>0.138295662185748</v>
      </c>
      <c r="R409">
        <v>0.97437386748869</v>
      </c>
      <c r="S409" t="s">
        <v>2602</v>
      </c>
      <c r="T409" t="s">
        <v>4362</v>
      </c>
      <c r="U409" t="s">
        <v>4362</v>
      </c>
      <c r="V409" t="s">
        <v>4362</v>
      </c>
      <c r="W409" t="s">
        <v>4771</v>
      </c>
      <c r="X409">
        <v>5</v>
      </c>
      <c r="Y409" t="s">
        <v>6930</v>
      </c>
      <c r="Z409" t="s">
        <v>9097</v>
      </c>
      <c r="AA409">
        <v>0.4028061617525868</v>
      </c>
      <c r="AB409">
        <f>HYPERLINK("Melting_Curves/meltCurve_P0A8I5_trmB.pdf", "Melting_Curves/meltCurve_P0A8I5_trmB.pdf")</f>
        <v>0</v>
      </c>
    </row>
    <row r="410" spans="1:28">
      <c r="A410" t="s">
        <v>436</v>
      </c>
      <c r="B410">
        <v>0.999739202189716</v>
      </c>
      <c r="C410">
        <v>0.8032485979669201</v>
      </c>
      <c r="D410">
        <v>0.400048430644215</v>
      </c>
      <c r="E410">
        <v>0.264499221234018</v>
      </c>
      <c r="F410">
        <v>0.132629142287859</v>
      </c>
      <c r="G410">
        <v>0.0864094818242552</v>
      </c>
      <c r="H410">
        <v>0.0630737357943594</v>
      </c>
      <c r="I410">
        <v>0.0501692809824054</v>
      </c>
      <c r="J410">
        <v>0.0306641181047475</v>
      </c>
      <c r="K410">
        <v>0.0361098011836188</v>
      </c>
      <c r="L410">
        <v>801.8948417782181</v>
      </c>
      <c r="M410">
        <v>18.9071429972752</v>
      </c>
      <c r="N410">
        <v>42.6865097287893</v>
      </c>
      <c r="O410">
        <v>41.946365081021</v>
      </c>
      <c r="P410">
        <v>-0.106245640550364</v>
      </c>
      <c r="Q410">
        <v>0.0571949995094937</v>
      </c>
      <c r="R410">
        <v>0.986816327604333</v>
      </c>
      <c r="S410" t="s">
        <v>2603</v>
      </c>
      <c r="T410" t="s">
        <v>4362</v>
      </c>
      <c r="U410" t="s">
        <v>4362</v>
      </c>
      <c r="V410" t="s">
        <v>4362</v>
      </c>
      <c r="W410" t="s">
        <v>4772</v>
      </c>
      <c r="X410">
        <v>1</v>
      </c>
      <c r="Y410" t="s">
        <v>6931</v>
      </c>
      <c r="Z410" t="s">
        <v>9098</v>
      </c>
      <c r="AA410">
        <v>0.2428700214967765</v>
      </c>
      <c r="AB410">
        <f>HYPERLINK("Melting_Curves/meltCurve_P0A8I8_rlmH.pdf", "Melting_Curves/meltCurve_P0A8I8_rlmH.pdf")</f>
        <v>0</v>
      </c>
    </row>
    <row r="411" spans="1:28">
      <c r="A411" t="s">
        <v>437</v>
      </c>
      <c r="B411">
        <v>0.999739202189716</v>
      </c>
      <c r="C411">
        <v>1.38398558752218</v>
      </c>
      <c r="D411">
        <v>0.66308342520227</v>
      </c>
      <c r="E411">
        <v>0.260349556061444</v>
      </c>
      <c r="F411">
        <v>0.15196219247974</v>
      </c>
      <c r="G411">
        <v>0.105291994060806</v>
      </c>
      <c r="H411">
        <v>0.08388607677789869</v>
      </c>
      <c r="I411">
        <v>0.0840783060019861</v>
      </c>
      <c r="J411">
        <v>0.06463869176144441</v>
      </c>
      <c r="K411">
        <v>0.068016968408664</v>
      </c>
      <c r="L411">
        <v>1777.14540876251</v>
      </c>
      <c r="M411">
        <v>40.5035204018628</v>
      </c>
      <c r="N411">
        <v>44.1255254141781</v>
      </c>
      <c r="O411">
        <v>43.7697897254478</v>
      </c>
      <c r="P411">
        <v>-0.207692782242411</v>
      </c>
      <c r="Q411">
        <v>0.102236279740224</v>
      </c>
      <c r="R411">
        <v>0.9116183317551499</v>
      </c>
      <c r="S411" t="s">
        <v>2604</v>
      </c>
      <c r="T411" t="s">
        <v>4362</v>
      </c>
      <c r="U411" t="s">
        <v>4362</v>
      </c>
      <c r="V411" t="s">
        <v>4362</v>
      </c>
      <c r="W411" t="s">
        <v>4773</v>
      </c>
      <c r="X411">
        <v>10</v>
      </c>
      <c r="Y411" t="s">
        <v>6932</v>
      </c>
      <c r="Z411" t="s">
        <v>9099</v>
      </c>
      <c r="AA411">
        <v>0.310680829852695</v>
      </c>
      <c r="AB411">
        <f>HYPERLINK("Melting_Curves/meltCurve_P0A8J8_rhlB.pdf", "Melting_Curves/meltCurve_P0A8J8_rhlB.pdf")</f>
        <v>0</v>
      </c>
    </row>
    <row r="412" spans="1:28">
      <c r="A412" t="s">
        <v>438</v>
      </c>
      <c r="B412">
        <v>0.999739202189716</v>
      </c>
      <c r="C412">
        <v>0.788379710819162</v>
      </c>
      <c r="D412">
        <v>0.74713072568719</v>
      </c>
      <c r="E412">
        <v>0.294684263129494</v>
      </c>
      <c r="F412">
        <v>0.177274922763521</v>
      </c>
      <c r="G412">
        <v>0.11577860334388</v>
      </c>
      <c r="H412">
        <v>0.0858036727418765</v>
      </c>
      <c r="I412">
        <v>0.0694535666882504</v>
      </c>
      <c r="J412">
        <v>0.0573972665061874</v>
      </c>
      <c r="K412">
        <v>0.0374381003254307</v>
      </c>
      <c r="L412">
        <v>756.864679870715</v>
      </c>
      <c r="M412">
        <v>17.0203189203297</v>
      </c>
      <c r="N412">
        <v>44.7648960117516</v>
      </c>
      <c r="O412">
        <v>43.8680457912728</v>
      </c>
      <c r="P412">
        <v>-0.0918307986892266</v>
      </c>
      <c r="Q412">
        <v>0.0533218398249251</v>
      </c>
      <c r="R412">
        <v>0.982230348727586</v>
      </c>
      <c r="S412" t="s">
        <v>2605</v>
      </c>
      <c r="T412" t="s">
        <v>4362</v>
      </c>
      <c r="U412" t="s">
        <v>4362</v>
      </c>
      <c r="V412" t="s">
        <v>4362</v>
      </c>
      <c r="W412" t="s">
        <v>4774</v>
      </c>
      <c r="X412">
        <v>4</v>
      </c>
      <c r="Y412" t="s">
        <v>6933</v>
      </c>
      <c r="Z412" t="s">
        <v>9100</v>
      </c>
      <c r="AA412">
        <v>0.3066790508487947</v>
      </c>
      <c r="AB412">
        <f>HYPERLINK("Melting_Curves/meltCurve_P0A8K1_psd.pdf", "Melting_Curves/meltCurve_P0A8K1_psd.pdf")</f>
        <v>0</v>
      </c>
    </row>
    <row r="413" spans="1:28">
      <c r="A413" t="s">
        <v>439</v>
      </c>
      <c r="B413">
        <v>0.999739202189716</v>
      </c>
      <c r="C413">
        <v>1.6164613971799</v>
      </c>
      <c r="D413">
        <v>0.311603712534371</v>
      </c>
      <c r="E413">
        <v>0.962941594390828</v>
      </c>
      <c r="F413">
        <v>0.323349812127857</v>
      </c>
      <c r="G413">
        <v>0.301644690021032</v>
      </c>
      <c r="H413">
        <v>0.247190339323027</v>
      </c>
      <c r="I413">
        <v>0.1313868674944</v>
      </c>
      <c r="J413">
        <v>0.105490012091451</v>
      </c>
      <c r="K413">
        <v>0.179559086001003</v>
      </c>
      <c r="L413">
        <v>728.447140587567</v>
      </c>
      <c r="M413">
        <v>15.0672205823182</v>
      </c>
      <c r="N413">
        <v>49.3011483999703</v>
      </c>
      <c r="O413">
        <v>47.5188414604443</v>
      </c>
      <c r="P413">
        <v>-0.0692467022880552</v>
      </c>
      <c r="Q413">
        <v>0.126528636992445</v>
      </c>
      <c r="R413">
        <v>0.625353738956567</v>
      </c>
      <c r="S413" t="s">
        <v>2606</v>
      </c>
      <c r="T413" t="s">
        <v>4362</v>
      </c>
      <c r="U413" t="s">
        <v>4362</v>
      </c>
      <c r="V413" t="s">
        <v>4362</v>
      </c>
      <c r="W413" t="s">
        <v>4775</v>
      </c>
      <c r="X413">
        <v>1</v>
      </c>
      <c r="Y413" t="s">
        <v>6934</v>
      </c>
      <c r="Z413" t="s">
        <v>9101</v>
      </c>
      <c r="AA413">
        <v>0.4758383574949187</v>
      </c>
      <c r="AB413">
        <f>HYPERLINK("Melting_Curves/meltCurve_P0A8K5_yaeP.pdf", "Melting_Curves/meltCurve_P0A8K5_yaeP.pdf")</f>
        <v>0</v>
      </c>
    </row>
    <row r="414" spans="1:28">
      <c r="A414" t="s">
        <v>440</v>
      </c>
      <c r="B414">
        <v>0.999739202189716</v>
      </c>
      <c r="C414">
        <v>1.03732676049637</v>
      </c>
      <c r="D414">
        <v>1.02239180401819</v>
      </c>
      <c r="E414">
        <v>0.9219080714894</v>
      </c>
      <c r="F414">
        <v>0.692885682396695</v>
      </c>
      <c r="G414">
        <v>0.611803481149479</v>
      </c>
      <c r="H414">
        <v>0.362208967270658</v>
      </c>
      <c r="I414">
        <v>0.0869198279956563</v>
      </c>
      <c r="J414">
        <v>0.0630764895381517</v>
      </c>
      <c r="K414">
        <v>0.0527927030706436</v>
      </c>
      <c r="L414">
        <v>828.344747713782</v>
      </c>
      <c r="M414">
        <v>15.2201589502153</v>
      </c>
      <c r="N414">
        <v>54.4241853293518</v>
      </c>
      <c r="O414">
        <v>53.5106308787563</v>
      </c>
      <c r="P414">
        <v>-0.0711149195976057</v>
      </c>
      <c r="Q414">
        <v>0</v>
      </c>
      <c r="R414">
        <v>0.98389240299318</v>
      </c>
      <c r="S414" t="s">
        <v>2607</v>
      </c>
      <c r="T414" t="s">
        <v>4362</v>
      </c>
      <c r="U414" t="s">
        <v>4362</v>
      </c>
      <c r="V414" t="s">
        <v>4362</v>
      </c>
      <c r="W414" t="s">
        <v>4776</v>
      </c>
      <c r="X414">
        <v>15</v>
      </c>
      <c r="Y414" t="s">
        <v>6935</v>
      </c>
      <c r="Z414" t="s">
        <v>9102</v>
      </c>
      <c r="AA414">
        <v>0.5960377478673988</v>
      </c>
      <c r="AB414">
        <f>HYPERLINK("Melting_Curves/meltCurve_P0A8L1_serS.pdf", "Melting_Curves/meltCurve_P0A8L1_serS.pdf")</f>
        <v>0</v>
      </c>
    </row>
    <row r="415" spans="1:28">
      <c r="A415" t="s">
        <v>441</v>
      </c>
      <c r="B415">
        <v>0.999739202189716</v>
      </c>
      <c r="C415">
        <v>1.3288715026614</v>
      </c>
      <c r="D415">
        <v>0.652621325797243</v>
      </c>
      <c r="E415">
        <v>0.681368721926206</v>
      </c>
      <c r="F415">
        <v>0.915543113890082</v>
      </c>
      <c r="G415">
        <v>0.367497987838217</v>
      </c>
      <c r="H415">
        <v>0.310067887000034</v>
      </c>
      <c r="I415">
        <v>0.346269861645839</v>
      </c>
      <c r="J415">
        <v>0.419154513519768</v>
      </c>
      <c r="K415">
        <v>0.465011350147832</v>
      </c>
      <c r="L415">
        <v>657.9909809170369</v>
      </c>
      <c r="M415">
        <v>13.458290951323</v>
      </c>
      <c r="N415">
        <v>53.7795272716027</v>
      </c>
      <c r="O415">
        <v>47.8495353525856</v>
      </c>
      <c r="P415">
        <v>-0.0455101222359427</v>
      </c>
      <c r="Q415">
        <v>0.352874107688064</v>
      </c>
      <c r="R415">
        <v>0.672118317867188</v>
      </c>
      <c r="S415" t="s">
        <v>2608</v>
      </c>
      <c r="T415" t="s">
        <v>4362</v>
      </c>
      <c r="U415" t="s">
        <v>4362</v>
      </c>
      <c r="V415" t="s">
        <v>4362</v>
      </c>
      <c r="W415" t="s">
        <v>4777</v>
      </c>
      <c r="X415">
        <v>1</v>
      </c>
      <c r="Y415" t="s">
        <v>6936</v>
      </c>
      <c r="Z415" t="s">
        <v>9103</v>
      </c>
      <c r="AA415">
        <v>0.6258462917968671</v>
      </c>
      <c r="AB415">
        <f>HYPERLINK("Melting_Curves/meltCurve_P0A8L7_yciU.pdf", "Melting_Curves/meltCurve_P0A8L7_yciU.pdf")</f>
        <v>0</v>
      </c>
    </row>
    <row r="416" spans="1:28">
      <c r="A416" t="s">
        <v>442</v>
      </c>
      <c r="B416">
        <v>0.999739202189716</v>
      </c>
      <c r="C416">
        <v>1.07849000490925</v>
      </c>
      <c r="D416">
        <v>1.06618388260814</v>
      </c>
      <c r="E416">
        <v>0.902431677053374</v>
      </c>
      <c r="F416">
        <v>0.84897570814779</v>
      </c>
      <c r="G416">
        <v>0.530225409337179</v>
      </c>
      <c r="H416">
        <v>0.192589466609267</v>
      </c>
      <c r="I416">
        <v>0.0952769176691957</v>
      </c>
      <c r="J416">
        <v>0.09610322864587729</v>
      </c>
      <c r="K416">
        <v>0.08072545356190861</v>
      </c>
      <c r="L416">
        <v>1313.17566685084</v>
      </c>
      <c r="M416">
        <v>24.5087552122459</v>
      </c>
      <c r="N416">
        <v>53.8822988041605</v>
      </c>
      <c r="O416">
        <v>53.2269910212627</v>
      </c>
      <c r="P416">
        <v>-0.10771845033644</v>
      </c>
      <c r="Q416">
        <v>0.06426193538251369</v>
      </c>
      <c r="R416">
        <v>0.989450649772551</v>
      </c>
      <c r="S416" t="s">
        <v>2609</v>
      </c>
      <c r="T416" t="s">
        <v>4362</v>
      </c>
      <c r="U416" t="s">
        <v>4362</v>
      </c>
      <c r="V416" t="s">
        <v>4362</v>
      </c>
      <c r="W416" t="s">
        <v>4778</v>
      </c>
      <c r="X416">
        <v>15</v>
      </c>
      <c r="Y416" t="s">
        <v>6937</v>
      </c>
      <c r="Z416" t="s">
        <v>9104</v>
      </c>
      <c r="AA416">
        <v>0.5899054197041802</v>
      </c>
      <c r="AB416">
        <f>HYPERLINK("Melting_Curves/meltCurve_P0A8M0_asnS.pdf", "Melting_Curves/meltCurve_P0A8M0_asnS.pdf")</f>
        <v>0</v>
      </c>
    </row>
    <row r="417" spans="1:28">
      <c r="A417" t="s">
        <v>443</v>
      </c>
      <c r="B417">
        <v>0.999739202189716</v>
      </c>
      <c r="C417">
        <v>0.960833049316853</v>
      </c>
      <c r="D417">
        <v>0.65469905545648</v>
      </c>
      <c r="E417">
        <v>0.442762489791303</v>
      </c>
      <c r="F417">
        <v>0.259882632405373</v>
      </c>
      <c r="G417">
        <v>0.158618156398352</v>
      </c>
      <c r="H417">
        <v>0.107894554976149</v>
      </c>
      <c r="I417">
        <v>0.08331724819003369</v>
      </c>
      <c r="J417">
        <v>0.0731844481141786</v>
      </c>
      <c r="K417">
        <v>0.0619216563971378</v>
      </c>
      <c r="L417">
        <v>689.785601776741</v>
      </c>
      <c r="M417">
        <v>15.2277830383802</v>
      </c>
      <c r="N417">
        <v>45.7439169906242</v>
      </c>
      <c r="O417">
        <v>44.5382182124105</v>
      </c>
      <c r="P417">
        <v>-0.0795858521289767</v>
      </c>
      <c r="Q417">
        <v>0.06899832465011969</v>
      </c>
      <c r="R417">
        <v>0.992164760995904</v>
      </c>
      <c r="S417" t="s">
        <v>2610</v>
      </c>
      <c r="T417" t="s">
        <v>4362</v>
      </c>
      <c r="U417" t="s">
        <v>4362</v>
      </c>
      <c r="V417" t="s">
        <v>4362</v>
      </c>
      <c r="W417" t="s">
        <v>4779</v>
      </c>
      <c r="X417">
        <v>19</v>
      </c>
      <c r="Y417" t="s">
        <v>6938</v>
      </c>
      <c r="Z417" t="s">
        <v>9105</v>
      </c>
      <c r="AA417">
        <v>0.3477870823149469</v>
      </c>
      <c r="AB417">
        <f>HYPERLINK("Melting_Curves/meltCurve_P0A8M3_thrS.pdf", "Melting_Curves/meltCurve_P0A8M3_thrS.pdf")</f>
        <v>0</v>
      </c>
    </row>
    <row r="418" spans="1:28">
      <c r="A418" t="s">
        <v>444</v>
      </c>
      <c r="B418">
        <v>0.999739202189716</v>
      </c>
      <c r="C418">
        <v>2.12154096787793</v>
      </c>
      <c r="D418">
        <v>2.65050736834451</v>
      </c>
      <c r="E418">
        <v>2.05344746281568</v>
      </c>
      <c r="F418">
        <v>1.27465336560861</v>
      </c>
      <c r="G418">
        <v>1.41408590078114</v>
      </c>
      <c r="H418">
        <v>2.86286600821812</v>
      </c>
      <c r="I418">
        <v>4.53166320005317</v>
      </c>
      <c r="J418">
        <v>3.114040440871</v>
      </c>
      <c r="K418">
        <v>4.46754858346554</v>
      </c>
      <c r="S418" t="s">
        <v>2611</v>
      </c>
      <c r="T418" t="s">
        <v>4362</v>
      </c>
      <c r="U418" t="s">
        <v>4363</v>
      </c>
      <c r="V418" t="s">
        <v>4362</v>
      </c>
      <c r="W418" t="s">
        <v>4780</v>
      </c>
      <c r="X418">
        <v>2</v>
      </c>
      <c r="Y418" t="s">
        <v>6939</v>
      </c>
      <c r="Z418" t="s">
        <v>9106</v>
      </c>
      <c r="AB418">
        <f>HYPERLINK("Melting_Curves/meltCurve_P0A8M6_yeeX.pdf", "Melting_Curves/meltCurve_P0A8M6_yeeX.pdf")</f>
        <v>0</v>
      </c>
    </row>
    <row r="419" spans="1:28">
      <c r="A419" t="s">
        <v>445</v>
      </c>
      <c r="B419">
        <v>0.999739202189716</v>
      </c>
      <c r="C419">
        <v>0.731647679479884</v>
      </c>
      <c r="D419">
        <v>1.42565485664513</v>
      </c>
      <c r="E419">
        <v>0.772148779776317</v>
      </c>
      <c r="F419">
        <v>0.55801951388305</v>
      </c>
      <c r="G419">
        <v>0.188290421843296</v>
      </c>
      <c r="H419">
        <v>0.105500935737942</v>
      </c>
      <c r="I419">
        <v>0.0565048129483259</v>
      </c>
      <c r="J419">
        <v>0.0494320832587962</v>
      </c>
      <c r="K419">
        <v>0.0398543167290758</v>
      </c>
      <c r="L419">
        <v>1270.49049305645</v>
      </c>
      <c r="M419">
        <v>25.2846667565788</v>
      </c>
      <c r="N419">
        <v>50.4488826775574</v>
      </c>
      <c r="O419">
        <v>49.9363467919444</v>
      </c>
      <c r="P419">
        <v>-0.120508785382808</v>
      </c>
      <c r="Q419">
        <v>0.0480098485974554</v>
      </c>
      <c r="R419">
        <v>0.867761121797163</v>
      </c>
      <c r="S419" t="s">
        <v>2612</v>
      </c>
      <c r="T419" t="s">
        <v>4362</v>
      </c>
      <c r="U419" t="s">
        <v>4362</v>
      </c>
      <c r="V419" t="s">
        <v>4362</v>
      </c>
      <c r="W419" t="s">
        <v>4781</v>
      </c>
      <c r="X419">
        <v>2</v>
      </c>
      <c r="Y419" t="s">
        <v>6940</v>
      </c>
      <c r="Z419" t="s">
        <v>9107</v>
      </c>
      <c r="AA419">
        <v>0.4765609370110319</v>
      </c>
      <c r="AB419">
        <f>HYPERLINK("Melting_Curves/meltCurve_P0A8N0_matP.pdf", "Melting_Curves/meltCurve_P0A8N0_matP.pdf")</f>
        <v>0</v>
      </c>
    </row>
    <row r="420" spans="1:28">
      <c r="A420" t="s">
        <v>446</v>
      </c>
      <c r="B420">
        <v>0.999739202189716</v>
      </c>
      <c r="C420">
        <v>0.90004757901578</v>
      </c>
      <c r="D420">
        <v>0.353701740391093</v>
      </c>
      <c r="E420">
        <v>0.190713934711543</v>
      </c>
      <c r="F420">
        <v>0.128611607573099</v>
      </c>
      <c r="G420">
        <v>0.0890952963063104</v>
      </c>
      <c r="H420">
        <v>0.0790556519088732</v>
      </c>
      <c r="I420">
        <v>0.0569857068638573</v>
      </c>
      <c r="J420">
        <v>0.0568259804697001</v>
      </c>
      <c r="K420">
        <v>0.0424862092241224</v>
      </c>
      <c r="L420">
        <v>1453.04627698937</v>
      </c>
      <c r="M420">
        <v>34.5455758373282</v>
      </c>
      <c r="N420">
        <v>42.2890893855488</v>
      </c>
      <c r="O420">
        <v>41.9215356764865</v>
      </c>
      <c r="P420">
        <v>-0.188553591075404</v>
      </c>
      <c r="Q420">
        <v>0.0847541608948794</v>
      </c>
      <c r="R420">
        <v>0.989896212170603</v>
      </c>
      <c r="S420" t="s">
        <v>2613</v>
      </c>
      <c r="T420" t="s">
        <v>4362</v>
      </c>
      <c r="U420" t="s">
        <v>4362</v>
      </c>
      <c r="V420" t="s">
        <v>4362</v>
      </c>
      <c r="W420" t="s">
        <v>4782</v>
      </c>
      <c r="X420">
        <v>19</v>
      </c>
      <c r="Y420" t="s">
        <v>6941</v>
      </c>
      <c r="Z420" t="s">
        <v>9108</v>
      </c>
      <c r="AA420">
        <v>0.2429989329534954</v>
      </c>
      <c r="AB420">
        <f>HYPERLINK("Melting_Curves/meltCurve_P0A8N3_lysS.pdf", "Melting_Curves/meltCurve_P0A8N3_lysS.pdf")</f>
        <v>0</v>
      </c>
    </row>
    <row r="421" spans="1:28">
      <c r="A421" t="s">
        <v>447</v>
      </c>
      <c r="B421">
        <v>0.999739202189716</v>
      </c>
      <c r="C421">
        <v>1.09347134906282</v>
      </c>
      <c r="D421">
        <v>0.634748523089761</v>
      </c>
      <c r="E421">
        <v>0.186420191031324</v>
      </c>
      <c r="F421">
        <v>0.0969446538170096</v>
      </c>
      <c r="G421">
        <v>0.0594516082930978</v>
      </c>
      <c r="H421">
        <v>0.0474339709383805</v>
      </c>
      <c r="I421">
        <v>0.0361356798138453</v>
      </c>
      <c r="J421">
        <v>0.036113830750675</v>
      </c>
      <c r="K421">
        <v>0.030515259787243</v>
      </c>
      <c r="L421">
        <v>1539.60644994943</v>
      </c>
      <c r="M421">
        <v>35.1898362672403</v>
      </c>
      <c r="N421">
        <v>43.8911892814685</v>
      </c>
      <c r="O421">
        <v>43.6108930126486</v>
      </c>
      <c r="P421">
        <v>-0.191035684924503</v>
      </c>
      <c r="Q421">
        <v>0.0529985674603875</v>
      </c>
      <c r="R421">
        <v>0.987621461841616</v>
      </c>
      <c r="S421" t="s">
        <v>2614</v>
      </c>
      <c r="T421" t="s">
        <v>4362</v>
      </c>
      <c r="U421" t="s">
        <v>4362</v>
      </c>
      <c r="V421" t="s">
        <v>4362</v>
      </c>
      <c r="W421" t="s">
        <v>4783</v>
      </c>
      <c r="X421">
        <v>20</v>
      </c>
      <c r="Y421" t="s">
        <v>6942</v>
      </c>
      <c r="Z421" t="s">
        <v>9109</v>
      </c>
      <c r="AA421">
        <v>0.2698739892377164</v>
      </c>
      <c r="AB421">
        <f>HYPERLINK("Melting_Curves/meltCurve_P0A8N5_lysU.pdf", "Melting_Curves/meltCurve_P0A8N5_lysU.pdf")</f>
        <v>0</v>
      </c>
    </row>
    <row r="422" spans="1:28">
      <c r="A422" t="s">
        <v>448</v>
      </c>
      <c r="B422">
        <v>0.999739202189716</v>
      </c>
      <c r="C422">
        <v>0.84503716295201</v>
      </c>
      <c r="D422">
        <v>0.739630225637213</v>
      </c>
      <c r="E422">
        <v>0.494547444597283</v>
      </c>
      <c r="F422">
        <v>0.311813720758241</v>
      </c>
      <c r="G422">
        <v>0.217928351485677</v>
      </c>
      <c r="H422">
        <v>0.179224491808013</v>
      </c>
      <c r="I422">
        <v>0.12174573832058</v>
      </c>
      <c r="J422">
        <v>0.10475969624469</v>
      </c>
      <c r="K422">
        <v>0.0740643038885259</v>
      </c>
      <c r="L422">
        <v>559.710000762861</v>
      </c>
      <c r="M422">
        <v>12.1626310833631</v>
      </c>
      <c r="N422">
        <v>46.6519012762205</v>
      </c>
      <c r="O422">
        <v>44.8278005860394</v>
      </c>
      <c r="P422">
        <v>-0.0626839903874592</v>
      </c>
      <c r="Q422">
        <v>0.0760740386488188</v>
      </c>
      <c r="R422">
        <v>0.9955096874356369</v>
      </c>
      <c r="S422" t="s">
        <v>2615</v>
      </c>
      <c r="T422" t="s">
        <v>4362</v>
      </c>
      <c r="U422" t="s">
        <v>4362</v>
      </c>
      <c r="V422" t="s">
        <v>4362</v>
      </c>
      <c r="W422" t="s">
        <v>4784</v>
      </c>
      <c r="X422">
        <v>2</v>
      </c>
      <c r="Y422" t="s">
        <v>6943</v>
      </c>
      <c r="Z422" t="s">
        <v>9110</v>
      </c>
      <c r="AA422">
        <v>0.3849507766701026</v>
      </c>
      <c r="AB422">
        <f>HYPERLINK("Melting_Curves/meltCurve_P0A8N7_epmA.pdf", "Melting_Curves/meltCurve_P0A8N7_epmA.pdf")</f>
        <v>0</v>
      </c>
    </row>
    <row r="423" spans="1:28">
      <c r="A423" t="s">
        <v>449</v>
      </c>
      <c r="B423">
        <v>0.999739202189716</v>
      </c>
      <c r="C423">
        <v>0.920985073931433</v>
      </c>
      <c r="D423">
        <v>1.04921702006982</v>
      </c>
      <c r="E423">
        <v>0.953481408088875</v>
      </c>
      <c r="F423">
        <v>1.10990243059845</v>
      </c>
      <c r="G423">
        <v>0.903198147466902</v>
      </c>
      <c r="H423">
        <v>0.794867166799434</v>
      </c>
      <c r="I423">
        <v>0.736240508649605</v>
      </c>
      <c r="J423">
        <v>0.592684421587312</v>
      </c>
      <c r="K423">
        <v>0.568923715317193</v>
      </c>
      <c r="L423">
        <v>1127.22150025237</v>
      </c>
      <c r="M423">
        <v>19.0978951395661</v>
      </c>
      <c r="O423">
        <v>58.3876145329538</v>
      </c>
      <c r="P423">
        <v>-0.0387441312323598</v>
      </c>
      <c r="Q423">
        <v>0.526211863952194</v>
      </c>
      <c r="R423">
        <v>0.900031709970405</v>
      </c>
      <c r="S423" t="s">
        <v>2616</v>
      </c>
      <c r="T423" t="s">
        <v>4362</v>
      </c>
      <c r="U423" t="s">
        <v>4362</v>
      </c>
      <c r="V423" t="s">
        <v>4362</v>
      </c>
      <c r="W423" t="s">
        <v>4785</v>
      </c>
      <c r="X423">
        <v>5</v>
      </c>
      <c r="Y423" t="s">
        <v>6944</v>
      </c>
      <c r="Z423" t="s">
        <v>9111</v>
      </c>
      <c r="AA423">
        <v>0.8756885503630171</v>
      </c>
      <c r="AB423">
        <f>HYPERLINK("Melting_Curves/meltCurve_P0A8P3_yggX.pdf", "Melting_Curves/meltCurve_P0A8P3_yggX.pdf")</f>
        <v>0</v>
      </c>
    </row>
    <row r="424" spans="1:28">
      <c r="A424" t="s">
        <v>450</v>
      </c>
      <c r="B424">
        <v>0.999739202189716</v>
      </c>
      <c r="C424">
        <v>0.896818060116784</v>
      </c>
      <c r="D424">
        <v>1.17855296661345</v>
      </c>
      <c r="E424">
        <v>0.781289403638739</v>
      </c>
      <c r="F424">
        <v>0.6884883434658829</v>
      </c>
      <c r="G424">
        <v>0.458611560857934</v>
      </c>
      <c r="H424">
        <v>0.337669440477963</v>
      </c>
      <c r="I424">
        <v>0.269639698868699</v>
      </c>
      <c r="J424">
        <v>0.221862872491091</v>
      </c>
      <c r="K424">
        <v>0.158678884422016</v>
      </c>
      <c r="L424">
        <v>786.836218177702</v>
      </c>
      <c r="M424">
        <v>15.2100793620587</v>
      </c>
      <c r="N424">
        <v>53.191725303736</v>
      </c>
      <c r="O424">
        <v>50.8617340654054</v>
      </c>
      <c r="P424">
        <v>-0.0620063260171811</v>
      </c>
      <c r="Q424">
        <v>0.170695072149538</v>
      </c>
      <c r="R424">
        <v>0.943796535067324</v>
      </c>
      <c r="S424" t="s">
        <v>2617</v>
      </c>
      <c r="T424" t="s">
        <v>4362</v>
      </c>
      <c r="U424" t="s">
        <v>4362</v>
      </c>
      <c r="V424" t="s">
        <v>4362</v>
      </c>
      <c r="W424" t="s">
        <v>4786</v>
      </c>
      <c r="X424">
        <v>4</v>
      </c>
      <c r="Y424" t="s">
        <v>6945</v>
      </c>
      <c r="Z424" t="s">
        <v>9112</v>
      </c>
      <c r="AA424">
        <v>0.593762294215582</v>
      </c>
      <c r="AB424">
        <f>HYPERLINK("Melting_Curves/meltCurve_P0A8Q0_frdC.pdf", "Melting_Curves/meltCurve_P0A8Q0_frdC.pdf")</f>
        <v>0</v>
      </c>
    </row>
    <row r="425" spans="1:28">
      <c r="A425" t="s">
        <v>451</v>
      </c>
      <c r="B425">
        <v>0.999739202189716</v>
      </c>
      <c r="C425">
        <v>0.952039905472332</v>
      </c>
      <c r="D425">
        <v>1.65394329487285</v>
      </c>
      <c r="E425">
        <v>1.12848808105136</v>
      </c>
      <c r="F425">
        <v>1.29117155177201</v>
      </c>
      <c r="G425">
        <v>1.09487875836657</v>
      </c>
      <c r="H425">
        <v>0.798137680385919</v>
      </c>
      <c r="I425">
        <v>0.880876099125131</v>
      </c>
      <c r="J425">
        <v>0.785482521925301</v>
      </c>
      <c r="K425">
        <v>0.756612533280871</v>
      </c>
      <c r="L425">
        <v>13958.8687290091</v>
      </c>
      <c r="M425">
        <v>250</v>
      </c>
      <c r="O425">
        <v>55.8319015113805</v>
      </c>
      <c r="P425">
        <v>-0.218034340757187</v>
      </c>
      <c r="Q425">
        <v>0.8052276497374929</v>
      </c>
      <c r="R425">
        <v>0.203271884454115</v>
      </c>
      <c r="S425" t="s">
        <v>2618</v>
      </c>
      <c r="T425" t="s">
        <v>4362</v>
      </c>
      <c r="U425" t="s">
        <v>4362</v>
      </c>
      <c r="V425" t="s">
        <v>4362</v>
      </c>
      <c r="W425" t="s">
        <v>4787</v>
      </c>
      <c r="X425">
        <v>1</v>
      </c>
      <c r="Y425" t="s">
        <v>6946</v>
      </c>
      <c r="Z425" t="s">
        <v>9113</v>
      </c>
      <c r="AA425">
        <v>0.9275343928128532</v>
      </c>
      <c r="AB425">
        <f>HYPERLINK("Melting_Curves/meltCurve_P0A8Q3_frdD.pdf", "Melting_Curves/meltCurve_P0A8Q3_frdD.pdf")</f>
        <v>0</v>
      </c>
    </row>
    <row r="426" spans="1:28">
      <c r="A426" t="s">
        <v>452</v>
      </c>
      <c r="B426">
        <v>0.999739202189716</v>
      </c>
      <c r="C426">
        <v>0.999093412777452</v>
      </c>
      <c r="D426">
        <v>0.992626033510672</v>
      </c>
      <c r="E426">
        <v>0.722783086879069</v>
      </c>
      <c r="F426">
        <v>0.768000607930664</v>
      </c>
      <c r="G426">
        <v>0.623716908539403</v>
      </c>
      <c r="H426">
        <v>0.554864061782637</v>
      </c>
      <c r="I426">
        <v>0.398437630603184</v>
      </c>
      <c r="J426">
        <v>0.24140724091258</v>
      </c>
      <c r="K426">
        <v>0.157739150687075</v>
      </c>
      <c r="L426">
        <v>476.050513090838</v>
      </c>
      <c r="M426">
        <v>8.36947647289189</v>
      </c>
      <c r="N426">
        <v>56.8793643206637</v>
      </c>
      <c r="O426">
        <v>53.9101214592257</v>
      </c>
      <c r="P426">
        <v>-0.0388492416952387</v>
      </c>
      <c r="Q426">
        <v>0</v>
      </c>
      <c r="R426">
        <v>0.958036374008988</v>
      </c>
      <c r="S426" t="s">
        <v>2619</v>
      </c>
      <c r="T426" t="s">
        <v>4362</v>
      </c>
      <c r="U426" t="s">
        <v>4362</v>
      </c>
      <c r="V426" t="s">
        <v>4362</v>
      </c>
      <c r="W426" t="s">
        <v>4788</v>
      </c>
      <c r="X426">
        <v>1</v>
      </c>
      <c r="Y426" t="s">
        <v>6947</v>
      </c>
      <c r="Z426" t="s">
        <v>9114</v>
      </c>
      <c r="AA426">
        <v>0.6551477742668446</v>
      </c>
      <c r="AB426">
        <f>HYPERLINK("Melting_Curves/meltCurve_P0A8Q6_clpS.pdf", "Melting_Curves/meltCurve_P0A8Q6_clpS.pdf")</f>
        <v>0</v>
      </c>
    </row>
    <row r="427" spans="1:28">
      <c r="A427" t="s">
        <v>453</v>
      </c>
      <c r="B427">
        <v>0.999739202189716</v>
      </c>
      <c r="C427">
        <v>0.950451592106331</v>
      </c>
      <c r="D427">
        <v>0.955198582447937</v>
      </c>
      <c r="E427">
        <v>1.01002741527697</v>
      </c>
      <c r="F427">
        <v>0.836713587770931</v>
      </c>
      <c r="G427">
        <v>0.785686211650542</v>
      </c>
      <c r="H427">
        <v>0.551996123444302</v>
      </c>
      <c r="I427">
        <v>0.671967935631976</v>
      </c>
      <c r="J427">
        <v>0.70519610727869</v>
      </c>
      <c r="K427">
        <v>0.913538459463192</v>
      </c>
      <c r="L427">
        <v>2152.12930511292</v>
      </c>
      <c r="M427">
        <v>43.0809727857514</v>
      </c>
      <c r="O427">
        <v>49.8481886614518</v>
      </c>
      <c r="P427">
        <v>-0.060111243180599</v>
      </c>
      <c r="Q427">
        <v>0.7217861527999</v>
      </c>
      <c r="R427">
        <v>0.64885508596111</v>
      </c>
      <c r="S427" t="s">
        <v>2620</v>
      </c>
      <c r="T427" t="s">
        <v>4362</v>
      </c>
      <c r="U427" t="s">
        <v>4362</v>
      </c>
      <c r="V427" t="s">
        <v>4362</v>
      </c>
      <c r="W427" t="s">
        <v>4789</v>
      </c>
      <c r="X427">
        <v>4</v>
      </c>
      <c r="Y427" t="s">
        <v>6948</v>
      </c>
      <c r="Z427" t="s">
        <v>9115</v>
      </c>
      <c r="AA427">
        <v>0.8427593822803909</v>
      </c>
      <c r="AB427">
        <f>HYPERLINK("Melting_Curves/meltCurve_P0A8R0_rraA.pdf", "Melting_Curves/meltCurve_P0A8R0_rraA.pdf")</f>
        <v>0</v>
      </c>
    </row>
    <row r="428" spans="1:28">
      <c r="A428" t="s">
        <v>454</v>
      </c>
      <c r="B428">
        <v>0.999739202189716</v>
      </c>
      <c r="C428">
        <v>1.17551087806222</v>
      </c>
      <c r="D428">
        <v>0.65199166543505</v>
      </c>
      <c r="E428">
        <v>1.022140472055</v>
      </c>
      <c r="F428">
        <v>0.753396350993122</v>
      </c>
      <c r="G428">
        <v>0.626804495082314</v>
      </c>
      <c r="H428">
        <v>0.534616126400032</v>
      </c>
      <c r="I428">
        <v>0.474329703654666</v>
      </c>
      <c r="J428">
        <v>0.36517371440492</v>
      </c>
      <c r="K428">
        <v>0.498269109332353</v>
      </c>
      <c r="L428">
        <v>627.119916852381</v>
      </c>
      <c r="M428">
        <v>12.0349427637656</v>
      </c>
      <c r="N428">
        <v>59.3123058383041</v>
      </c>
      <c r="O428">
        <v>50.7321131918349</v>
      </c>
      <c r="P428">
        <v>-0.0365363148420987</v>
      </c>
      <c r="Q428">
        <v>0.384085900245795</v>
      </c>
      <c r="R428">
        <v>0.757405104105873</v>
      </c>
      <c r="S428" t="s">
        <v>2621</v>
      </c>
      <c r="T428" t="s">
        <v>4362</v>
      </c>
      <c r="U428" t="s">
        <v>4362</v>
      </c>
      <c r="V428" t="s">
        <v>4362</v>
      </c>
      <c r="W428" t="s">
        <v>4790</v>
      </c>
      <c r="X428">
        <v>2</v>
      </c>
      <c r="Y428" t="s">
        <v>6949</v>
      </c>
      <c r="Z428" t="s">
        <v>9116</v>
      </c>
      <c r="AA428">
        <v>0.7086995411325243</v>
      </c>
      <c r="AB428">
        <f>HYPERLINK("Melting_Curves/meltCurve_P0A8R4_slyX.pdf", "Melting_Curves/meltCurve_P0A8R4_slyX.pdf")</f>
        <v>0</v>
      </c>
    </row>
    <row r="429" spans="1:28">
      <c r="A429" t="s">
        <v>455</v>
      </c>
      <c r="B429">
        <v>0.999739202189716</v>
      </c>
      <c r="C429">
        <v>1.02051359726778</v>
      </c>
      <c r="D429">
        <v>0.821808392249774</v>
      </c>
      <c r="E429">
        <v>0.751806135959291</v>
      </c>
      <c r="F429">
        <v>0.368270464097069</v>
      </c>
      <c r="G429">
        <v>0.197283330754952</v>
      </c>
      <c r="H429">
        <v>0.165014961129976</v>
      </c>
      <c r="I429">
        <v>0.100799406114227</v>
      </c>
      <c r="J429">
        <v>0.100928113632936</v>
      </c>
      <c r="K429">
        <v>0.09496233269925659</v>
      </c>
      <c r="L429">
        <v>864.989837426185</v>
      </c>
      <c r="M429">
        <v>17.9018024225826</v>
      </c>
      <c r="N429">
        <v>48.8452998279647</v>
      </c>
      <c r="O429">
        <v>47.7277530831717</v>
      </c>
      <c r="P429">
        <v>-0.0855442567419057</v>
      </c>
      <c r="Q429">
        <v>0.0877724392177396</v>
      </c>
      <c r="R429">
        <v>0.988903764134698</v>
      </c>
      <c r="S429" t="s">
        <v>2622</v>
      </c>
      <c r="T429" t="s">
        <v>4362</v>
      </c>
      <c r="U429" t="s">
        <v>4362</v>
      </c>
      <c r="V429" t="s">
        <v>4362</v>
      </c>
      <c r="W429" t="s">
        <v>4791</v>
      </c>
      <c r="X429">
        <v>2</v>
      </c>
      <c r="Y429" t="s">
        <v>6950</v>
      </c>
      <c r="Z429" t="s">
        <v>9117</v>
      </c>
      <c r="AA429">
        <v>0.446647268033115</v>
      </c>
      <c r="AB429">
        <f>HYPERLINK("Melting_Curves/meltCurve_P0A8R7_ycjF.pdf", "Melting_Curves/meltCurve_P0A8R7_ycjF.pdf")</f>
        <v>0</v>
      </c>
    </row>
    <row r="430" spans="1:28">
      <c r="A430" t="s">
        <v>456</v>
      </c>
      <c r="B430">
        <v>0.999739202189716</v>
      </c>
      <c r="C430">
        <v>0.924165451001279</v>
      </c>
      <c r="D430">
        <v>0.857537192583032</v>
      </c>
      <c r="E430">
        <v>0.86199183581408</v>
      </c>
      <c r="F430">
        <v>0.548909268696684</v>
      </c>
      <c r="G430">
        <v>0.501969830539577</v>
      </c>
      <c r="H430">
        <v>0.316022838298867</v>
      </c>
      <c r="I430">
        <v>0.254576969208092</v>
      </c>
      <c r="J430">
        <v>0.201591399456711</v>
      </c>
      <c r="K430">
        <v>0.198993282492681</v>
      </c>
      <c r="L430">
        <v>537.025756130439</v>
      </c>
      <c r="M430">
        <v>10.4232435325019</v>
      </c>
      <c r="N430">
        <v>52.777667340579</v>
      </c>
      <c r="O430">
        <v>49.7337800360492</v>
      </c>
      <c r="P430">
        <v>-0.0466605373058914</v>
      </c>
      <c r="Q430">
        <v>0.10981938302318</v>
      </c>
      <c r="R430">
        <v>0.9809955888181769</v>
      </c>
      <c r="S430" t="s">
        <v>2623</v>
      </c>
      <c r="T430" t="s">
        <v>4362</v>
      </c>
      <c r="U430" t="s">
        <v>4362</v>
      </c>
      <c r="V430" t="s">
        <v>4362</v>
      </c>
      <c r="W430" t="s">
        <v>4792</v>
      </c>
      <c r="X430">
        <v>4</v>
      </c>
      <c r="Y430" t="s">
        <v>6951</v>
      </c>
      <c r="Z430" t="s">
        <v>9118</v>
      </c>
      <c r="AA430">
        <v>0.5654582489455232</v>
      </c>
      <c r="AB430">
        <f>HYPERLINK("Melting_Curves/meltCurve_P0A8S1_argP.pdf", "Melting_Curves/meltCurve_P0A8S1_argP.pdf")</f>
        <v>0</v>
      </c>
    </row>
    <row r="431" spans="1:28">
      <c r="A431" t="s">
        <v>457</v>
      </c>
      <c r="B431">
        <v>0.999739202189716</v>
      </c>
      <c r="C431">
        <v>1.19595398617189</v>
      </c>
      <c r="D431">
        <v>0.958530522120544</v>
      </c>
      <c r="E431">
        <v>0.859080255829749</v>
      </c>
      <c r="F431">
        <v>0.836982597108287</v>
      </c>
      <c r="G431">
        <v>0.431094858395429</v>
      </c>
      <c r="H431">
        <v>0.223607315299257</v>
      </c>
      <c r="I431">
        <v>0.175984460872871</v>
      </c>
      <c r="J431">
        <v>0.182673658039559</v>
      </c>
      <c r="K431">
        <v>0.270432758161859</v>
      </c>
      <c r="L431">
        <v>1536.90219428495</v>
      </c>
      <c r="M431">
        <v>29.4591440705646</v>
      </c>
      <c r="N431">
        <v>53.0781559940266</v>
      </c>
      <c r="O431">
        <v>51.9320024041055</v>
      </c>
      <c r="P431">
        <v>-0.113758291914374</v>
      </c>
      <c r="Q431">
        <v>0.197851167211168</v>
      </c>
      <c r="R431">
        <v>0.9556784560131329</v>
      </c>
      <c r="S431" t="s">
        <v>2624</v>
      </c>
      <c r="T431" t="s">
        <v>4362</v>
      </c>
      <c r="U431" t="s">
        <v>4362</v>
      </c>
      <c r="V431" t="s">
        <v>4362</v>
      </c>
      <c r="W431" t="s">
        <v>4793</v>
      </c>
      <c r="X431">
        <v>3</v>
      </c>
      <c r="Y431" t="s">
        <v>6952</v>
      </c>
      <c r="Z431" t="s">
        <v>9119</v>
      </c>
      <c r="AA431">
        <v>0.6087370673723664</v>
      </c>
      <c r="AB431">
        <f>HYPERLINK("Melting_Curves/meltCurve_P0A8T1_prmA.pdf", "Melting_Curves/meltCurve_P0A8T1_prmA.pdf")</f>
        <v>0</v>
      </c>
    </row>
    <row r="432" spans="1:28">
      <c r="A432" t="s">
        <v>458</v>
      </c>
      <c r="B432">
        <v>0.999739202189716</v>
      </c>
      <c r="C432">
        <v>0.952954845887132</v>
      </c>
      <c r="D432">
        <v>0.417669630161814</v>
      </c>
      <c r="E432">
        <v>0.266163828685324</v>
      </c>
      <c r="F432">
        <v>0.158934861428047</v>
      </c>
      <c r="G432">
        <v>0.115597662435439</v>
      </c>
      <c r="H432">
        <v>0.07796518580013791</v>
      </c>
      <c r="I432">
        <v>0.0613493061737381</v>
      </c>
      <c r="J432">
        <v>0.0599636705742679</v>
      </c>
      <c r="K432">
        <v>0.052573372975566</v>
      </c>
      <c r="L432">
        <v>1204.88529028879</v>
      </c>
      <c r="M432">
        <v>28.3049149694975</v>
      </c>
      <c r="N432">
        <v>42.8891824497218</v>
      </c>
      <c r="O432">
        <v>42.3572808469917</v>
      </c>
      <c r="P432">
        <v>-0.151109537570666</v>
      </c>
      <c r="Q432">
        <v>0.0954876120168322</v>
      </c>
      <c r="R432">
        <v>0.977674828927603</v>
      </c>
      <c r="S432" t="s">
        <v>2625</v>
      </c>
      <c r="T432" t="s">
        <v>4362</v>
      </c>
      <c r="U432" t="s">
        <v>4362</v>
      </c>
      <c r="V432" t="s">
        <v>4362</v>
      </c>
      <c r="W432" t="s">
        <v>4794</v>
      </c>
      <c r="X432">
        <v>42</v>
      </c>
      <c r="Y432" t="s">
        <v>6953</v>
      </c>
      <c r="Z432" t="s">
        <v>9120</v>
      </c>
      <c r="AA432">
        <v>0.2691811084077019</v>
      </c>
      <c r="AB432">
        <f>HYPERLINK("Melting_Curves/meltCurve_P0A8T7_rpoC.pdf", "Melting_Curves/meltCurve_P0A8T7_rpoC.pdf")</f>
        <v>0</v>
      </c>
    </row>
    <row r="433" spans="1:28">
      <c r="A433" t="s">
        <v>459</v>
      </c>
      <c r="B433">
        <v>0.999739202189716</v>
      </c>
      <c r="C433">
        <v>0.715492757360727</v>
      </c>
      <c r="D433">
        <v>0.801681698407291</v>
      </c>
      <c r="E433">
        <v>0.358829651012195</v>
      </c>
      <c r="F433">
        <v>0.125942313237983</v>
      </c>
      <c r="G433">
        <v>0.07913760258910731</v>
      </c>
      <c r="H433">
        <v>0.08172553601512091</v>
      </c>
      <c r="I433">
        <v>0.0539893410184054</v>
      </c>
      <c r="J433">
        <v>0.0524890753066728</v>
      </c>
      <c r="K433">
        <v>0.0419805985363411</v>
      </c>
      <c r="L433">
        <v>722.607690426515</v>
      </c>
      <c r="M433">
        <v>16.1081755145025</v>
      </c>
      <c r="N433">
        <v>45.0441755255587</v>
      </c>
      <c r="O433">
        <v>44.1853851876227</v>
      </c>
      <c r="P433">
        <v>-0.08823691331356009</v>
      </c>
      <c r="Q433">
        <v>0.0319238827531941</v>
      </c>
      <c r="R433">
        <v>0.959925914248936</v>
      </c>
      <c r="S433" t="s">
        <v>2626</v>
      </c>
      <c r="T433" t="s">
        <v>4362</v>
      </c>
      <c r="U433" t="s">
        <v>4362</v>
      </c>
      <c r="V433" t="s">
        <v>4362</v>
      </c>
      <c r="W433" t="s">
        <v>4795</v>
      </c>
      <c r="X433">
        <v>2</v>
      </c>
      <c r="Y433" t="s">
        <v>6954</v>
      </c>
      <c r="Z433" t="s">
        <v>9121</v>
      </c>
      <c r="AA433">
        <v>0.3055816816615932</v>
      </c>
      <c r="AB433">
        <f>HYPERLINK("Melting_Curves/meltCurve_P0A8U0_syd.pdf", "Melting_Curves/meltCurve_P0A8U0_syd.pdf")</f>
        <v>0</v>
      </c>
    </row>
    <row r="434" spans="1:28">
      <c r="A434" t="s">
        <v>460</v>
      </c>
      <c r="B434">
        <v>0.999739202189716</v>
      </c>
      <c r="C434">
        <v>1.64864704311781</v>
      </c>
      <c r="D434">
        <v>1.47850509771517</v>
      </c>
      <c r="E434">
        <v>1.68846398191502</v>
      </c>
      <c r="F434">
        <v>0.983537092005477</v>
      </c>
      <c r="G434">
        <v>1.05213606260835</v>
      </c>
      <c r="H434">
        <v>0.676490907635421</v>
      </c>
      <c r="I434">
        <v>0.6475138850500169</v>
      </c>
      <c r="J434">
        <v>0.5424630206833519</v>
      </c>
      <c r="K434">
        <v>0.398496543337031</v>
      </c>
      <c r="L434">
        <v>1627.89129967744</v>
      </c>
      <c r="M434">
        <v>28.0459069812316</v>
      </c>
      <c r="N434">
        <v>63.8735998024988</v>
      </c>
      <c r="O434">
        <v>57.751138565306</v>
      </c>
      <c r="P434">
        <v>-0.0653986336571399</v>
      </c>
      <c r="Q434">
        <v>0.461338608875061</v>
      </c>
      <c r="R434">
        <v>0.398335344226221</v>
      </c>
      <c r="S434" t="s">
        <v>2627</v>
      </c>
      <c r="T434" t="s">
        <v>4362</v>
      </c>
      <c r="U434" t="s">
        <v>4362</v>
      </c>
      <c r="V434" t="s">
        <v>4362</v>
      </c>
      <c r="W434" t="s">
        <v>4796</v>
      </c>
      <c r="X434">
        <v>4</v>
      </c>
      <c r="Y434" t="s">
        <v>6955</v>
      </c>
      <c r="Z434" t="s">
        <v>9122</v>
      </c>
      <c r="AA434">
        <v>0.8423653520080358</v>
      </c>
      <c r="AB434">
        <f>HYPERLINK("Melting_Curves/meltCurve_P0A8U2_yafD.pdf", "Melting_Curves/meltCurve_P0A8U2_yafD.pdf")</f>
        <v>0</v>
      </c>
    </row>
    <row r="435" spans="1:28">
      <c r="A435" t="s">
        <v>461</v>
      </c>
      <c r="B435">
        <v>0.999739202189716</v>
      </c>
      <c r="C435">
        <v>1.03738263401317</v>
      </c>
      <c r="D435">
        <v>0.611100496757867</v>
      </c>
      <c r="E435">
        <v>0.983620299836379</v>
      </c>
      <c r="F435">
        <v>0.756087557606303</v>
      </c>
      <c r="G435">
        <v>0.665427014245312</v>
      </c>
      <c r="H435">
        <v>0.545803703247122</v>
      </c>
      <c r="I435">
        <v>0.540739227980792</v>
      </c>
      <c r="J435">
        <v>0.398207823493706</v>
      </c>
      <c r="K435">
        <v>0.515118996351691</v>
      </c>
      <c r="L435">
        <v>339.742594031082</v>
      </c>
      <c r="M435">
        <v>6.16702639304323</v>
      </c>
      <c r="N435">
        <v>62.641101017134</v>
      </c>
      <c r="O435">
        <v>50.1428798563861</v>
      </c>
      <c r="P435">
        <v>-0.0227503681473476</v>
      </c>
      <c r="Q435">
        <v>0.262250721637245</v>
      </c>
      <c r="R435">
        <v>0.72444980679566</v>
      </c>
      <c r="S435" t="s">
        <v>2628</v>
      </c>
      <c r="T435" t="s">
        <v>4362</v>
      </c>
      <c r="U435" t="s">
        <v>4362</v>
      </c>
      <c r="V435" t="s">
        <v>4362</v>
      </c>
      <c r="W435" t="s">
        <v>4797</v>
      </c>
      <c r="X435">
        <v>3</v>
      </c>
      <c r="Y435" t="s">
        <v>6956</v>
      </c>
      <c r="Z435" t="s">
        <v>9123</v>
      </c>
      <c r="AA435">
        <v>0.7039536802249453</v>
      </c>
      <c r="AB435">
        <f>HYPERLINK("Melting_Curves/meltCurve_P0A8U6_metJ.pdf", "Melting_Curves/meltCurve_P0A8U6_metJ.pdf")</f>
        <v>0</v>
      </c>
    </row>
    <row r="436" spans="1:28">
      <c r="A436" t="s">
        <v>462</v>
      </c>
      <c r="B436">
        <v>0.999739202189716</v>
      </c>
      <c r="C436">
        <v>0.858531404538485</v>
      </c>
      <c r="D436">
        <v>0.782317185507324</v>
      </c>
      <c r="E436">
        <v>0.83433692391082</v>
      </c>
      <c r="F436">
        <v>0.799798860719695</v>
      </c>
      <c r="G436">
        <v>0.685938769474791</v>
      </c>
      <c r="H436">
        <v>0.556585237119387</v>
      </c>
      <c r="I436">
        <v>0.35237240209383</v>
      </c>
      <c r="J436">
        <v>0.211109179170956</v>
      </c>
      <c r="K436">
        <v>0.0933583150927639</v>
      </c>
      <c r="L436">
        <v>527.423110442478</v>
      </c>
      <c r="M436">
        <v>9.284598412577511</v>
      </c>
      <c r="N436">
        <v>56.8062273718982</v>
      </c>
      <c r="O436">
        <v>54.3575969505758</v>
      </c>
      <c r="P436">
        <v>-0.0427290340564298</v>
      </c>
      <c r="Q436">
        <v>0</v>
      </c>
      <c r="R436">
        <v>0.916092230225859</v>
      </c>
      <c r="S436" t="s">
        <v>2629</v>
      </c>
      <c r="T436" t="s">
        <v>4362</v>
      </c>
      <c r="U436" t="s">
        <v>4362</v>
      </c>
      <c r="V436" t="s">
        <v>4362</v>
      </c>
      <c r="W436" t="s">
        <v>4798</v>
      </c>
      <c r="X436">
        <v>5</v>
      </c>
      <c r="Y436" t="s">
        <v>6957</v>
      </c>
      <c r="Z436" t="s">
        <v>9124</v>
      </c>
      <c r="AA436">
        <v>0.6579674785496946</v>
      </c>
      <c r="AB436">
        <f>HYPERLINK("Melting_Curves/meltCurve_P0A8V0_rbn.pdf", "Melting_Curves/meltCurve_P0A8V0_rbn.pdf")</f>
        <v>0</v>
      </c>
    </row>
    <row r="437" spans="1:28">
      <c r="A437" t="s">
        <v>463</v>
      </c>
      <c r="B437">
        <v>0.999739202189716</v>
      </c>
      <c r="C437">
        <v>1.16277685795879</v>
      </c>
      <c r="D437">
        <v>0.465175615936518</v>
      </c>
      <c r="E437">
        <v>0.211196013858134</v>
      </c>
      <c r="F437">
        <v>0.118578257178172</v>
      </c>
      <c r="G437">
        <v>0.0822027046159826</v>
      </c>
      <c r="H437">
        <v>0.06474217989747411</v>
      </c>
      <c r="I437">
        <v>0.0500804385230813</v>
      </c>
      <c r="J437">
        <v>0.04747263401365</v>
      </c>
      <c r="K437">
        <v>0.0407146929627231</v>
      </c>
      <c r="L437">
        <v>10734.9997134345</v>
      </c>
      <c r="M437">
        <v>250</v>
      </c>
      <c r="N437">
        <v>42.9732119669742</v>
      </c>
      <c r="O437">
        <v>42.9372521213715</v>
      </c>
      <c r="P437">
        <v>-1.32772928350097</v>
      </c>
      <c r="Q437">
        <v>0.08785527342157309</v>
      </c>
      <c r="R437">
        <v>0.969544278180653</v>
      </c>
      <c r="S437" t="s">
        <v>2630</v>
      </c>
      <c r="T437" t="s">
        <v>4362</v>
      </c>
      <c r="U437" t="s">
        <v>4362</v>
      </c>
      <c r="V437" t="s">
        <v>4362</v>
      </c>
      <c r="W437" t="s">
        <v>4794</v>
      </c>
      <c r="X437">
        <v>40</v>
      </c>
      <c r="Y437" t="s">
        <v>6958</v>
      </c>
      <c r="Z437" t="s">
        <v>9125</v>
      </c>
      <c r="AA437">
        <v>0.2685286327737426</v>
      </c>
      <c r="AB437">
        <f>HYPERLINK("Melting_Curves/meltCurve_P0A8V2_rpoB.pdf", "Melting_Curves/meltCurve_P0A8V2_rpoB.pdf")</f>
        <v>0</v>
      </c>
    </row>
    <row r="438" spans="1:28">
      <c r="A438" t="s">
        <v>464</v>
      </c>
      <c r="B438">
        <v>0.999739202189716</v>
      </c>
      <c r="C438">
        <v>0.923479325292896</v>
      </c>
      <c r="D438">
        <v>0.8908718327192851</v>
      </c>
      <c r="E438">
        <v>0.850016975074796</v>
      </c>
      <c r="F438">
        <v>0.833509687060508</v>
      </c>
      <c r="G438">
        <v>0.580071818964248</v>
      </c>
      <c r="H438">
        <v>0.358060328143925</v>
      </c>
      <c r="I438">
        <v>0.175799627383332</v>
      </c>
      <c r="J438">
        <v>0.18798829578221</v>
      </c>
      <c r="K438">
        <v>0.13063789212285</v>
      </c>
      <c r="L438">
        <v>676.932571485843</v>
      </c>
      <c r="M438">
        <v>12.3500639918957</v>
      </c>
      <c r="N438">
        <v>54.9740229874616</v>
      </c>
      <c r="O438">
        <v>53.4344345921185</v>
      </c>
      <c r="P438">
        <v>-0.0567613890528199</v>
      </c>
      <c r="Q438">
        <v>0.0178646362130709</v>
      </c>
      <c r="R438">
        <v>0.978474337825746</v>
      </c>
      <c r="S438" t="s">
        <v>2631</v>
      </c>
      <c r="T438" t="s">
        <v>4362</v>
      </c>
      <c r="U438" t="s">
        <v>4362</v>
      </c>
      <c r="V438" t="s">
        <v>4362</v>
      </c>
      <c r="W438" t="s">
        <v>4799</v>
      </c>
      <c r="X438">
        <v>4</v>
      </c>
      <c r="Y438" t="s">
        <v>6959</v>
      </c>
      <c r="Z438" t="s">
        <v>9126</v>
      </c>
      <c r="AA438">
        <v>0.6157453105565526</v>
      </c>
      <c r="AB438">
        <f>HYPERLINK("Melting_Curves/meltCurve_P0A8V6_fadR.pdf", "Melting_Curves/meltCurve_P0A8V6_fadR.pdf")</f>
        <v>0</v>
      </c>
    </row>
    <row r="439" spans="1:28">
      <c r="A439" t="s">
        <v>465</v>
      </c>
      <c r="B439">
        <v>0.999739202189716</v>
      </c>
      <c r="C439">
        <v>0.813575437968135</v>
      </c>
      <c r="D439">
        <v>0.962426062228916</v>
      </c>
      <c r="E439">
        <v>0.753850689408771</v>
      </c>
      <c r="F439">
        <v>0.624453464152698</v>
      </c>
      <c r="G439">
        <v>0.413968281774193</v>
      </c>
      <c r="H439">
        <v>0.25989064775759</v>
      </c>
      <c r="I439">
        <v>0.170024117600843</v>
      </c>
      <c r="J439">
        <v>0.120262792268026</v>
      </c>
      <c r="K439">
        <v>0.10142093251888</v>
      </c>
      <c r="L439">
        <v>536.977680846619</v>
      </c>
      <c r="M439">
        <v>10.3180188010558</v>
      </c>
      <c r="N439">
        <v>52.0427119785023</v>
      </c>
      <c r="O439">
        <v>50.201592808068</v>
      </c>
      <c r="P439">
        <v>-0.0514050946179814</v>
      </c>
      <c r="Q439">
        <v>0</v>
      </c>
      <c r="R439">
        <v>0.975629057990664</v>
      </c>
      <c r="S439" t="s">
        <v>2632</v>
      </c>
      <c r="T439" t="s">
        <v>4362</v>
      </c>
      <c r="U439" t="s">
        <v>4362</v>
      </c>
      <c r="V439" t="s">
        <v>4362</v>
      </c>
      <c r="W439" t="s">
        <v>4800</v>
      </c>
      <c r="X439">
        <v>7</v>
      </c>
      <c r="Y439" t="s">
        <v>6960</v>
      </c>
      <c r="Z439" t="s">
        <v>9127</v>
      </c>
      <c r="AA439">
        <v>0.5275041250284046</v>
      </c>
      <c r="AB439">
        <f>HYPERLINK("Melting_Curves/meltCurve_P0A8W0_nanR.pdf", "Melting_Curves/meltCurve_P0A8W0_nanR.pdf")</f>
        <v>0</v>
      </c>
    </row>
    <row r="440" spans="1:28">
      <c r="A440" t="s">
        <v>466</v>
      </c>
      <c r="B440">
        <v>0.999739202189716</v>
      </c>
      <c r="C440">
        <v>0.982203772616646</v>
      </c>
      <c r="D440">
        <v>0.898081479673195</v>
      </c>
      <c r="E440">
        <v>0.790159971193571</v>
      </c>
      <c r="F440">
        <v>0.763958722915265</v>
      </c>
      <c r="G440">
        <v>0.55040732718859</v>
      </c>
      <c r="H440">
        <v>0.400579969973811</v>
      </c>
      <c r="I440">
        <v>0.319627863344106</v>
      </c>
      <c r="J440">
        <v>0.287894117259758</v>
      </c>
      <c r="K440">
        <v>0.231486657682515</v>
      </c>
      <c r="L440">
        <v>503.548919316135</v>
      </c>
      <c r="M440">
        <v>9.35006871737011</v>
      </c>
      <c r="N440">
        <v>55.2740286240753</v>
      </c>
      <c r="O440">
        <v>51.5638334617063</v>
      </c>
      <c r="P440">
        <v>-0.0405211931809237</v>
      </c>
      <c r="Q440">
        <v>0.106695175898222</v>
      </c>
      <c r="R440">
        <v>0.990107979973793</v>
      </c>
      <c r="S440" t="s">
        <v>2633</v>
      </c>
      <c r="T440" t="s">
        <v>4362</v>
      </c>
      <c r="U440" t="s">
        <v>4362</v>
      </c>
      <c r="V440" t="s">
        <v>4362</v>
      </c>
      <c r="W440" t="s">
        <v>4801</v>
      </c>
      <c r="X440">
        <v>4</v>
      </c>
      <c r="Y440" t="s">
        <v>6961</v>
      </c>
      <c r="Z440" t="s">
        <v>9128</v>
      </c>
      <c r="AA440">
        <v>0.6245136663443056</v>
      </c>
      <c r="AB440">
        <f>HYPERLINK("Melting_Curves/meltCurve_P0A8W2_slyA.pdf", "Melting_Curves/meltCurve_P0A8W2_slyA.pdf")</f>
        <v>0</v>
      </c>
    </row>
    <row r="441" spans="1:28">
      <c r="A441" t="s">
        <v>467</v>
      </c>
      <c r="B441">
        <v>0.999739202189716</v>
      </c>
      <c r="C441">
        <v>1.11741803181421</v>
      </c>
      <c r="D441">
        <v>0.916918331807269</v>
      </c>
      <c r="E441">
        <v>0.9143575754166831</v>
      </c>
      <c r="F441">
        <v>0.937086266665655</v>
      </c>
      <c r="G441">
        <v>0.601788157098766</v>
      </c>
      <c r="H441">
        <v>0.368700204812687</v>
      </c>
      <c r="I441">
        <v>0.197921811359086</v>
      </c>
      <c r="J441">
        <v>0.145920358056324</v>
      </c>
      <c r="K441">
        <v>0.110911290666381</v>
      </c>
      <c r="L441">
        <v>1114.18167042357</v>
      </c>
      <c r="M441">
        <v>20.3253097422524</v>
      </c>
      <c r="N441">
        <v>55.3991313164709</v>
      </c>
      <c r="O441">
        <v>54.295092212074</v>
      </c>
      <c r="P441">
        <v>-0.0845971195250291</v>
      </c>
      <c r="Q441">
        <v>0.096088923918781</v>
      </c>
      <c r="R441">
        <v>0.979417205286732</v>
      </c>
      <c r="S441" t="s">
        <v>2634</v>
      </c>
      <c r="T441" t="s">
        <v>4362</v>
      </c>
      <c r="U441" t="s">
        <v>4362</v>
      </c>
      <c r="V441" t="s">
        <v>4362</v>
      </c>
      <c r="W441" t="s">
        <v>4802</v>
      </c>
      <c r="X441">
        <v>4</v>
      </c>
      <c r="Y441" t="s">
        <v>6962</v>
      </c>
      <c r="Z441" t="s">
        <v>9129</v>
      </c>
      <c r="AA441">
        <v>0.6431431345948139</v>
      </c>
      <c r="AB441">
        <f>HYPERLINK("Melting_Curves/meltCurve_P0A8W5_yqgE.pdf", "Melting_Curves/meltCurve_P0A8W5_yqgE.pdf")</f>
        <v>0</v>
      </c>
    </row>
    <row r="442" spans="1:28">
      <c r="A442" t="s">
        <v>468</v>
      </c>
      <c r="B442">
        <v>0.999739202189716</v>
      </c>
      <c r="C442">
        <v>0.9165562889151569</v>
      </c>
      <c r="D442">
        <v>1.06264100099119</v>
      </c>
      <c r="E442">
        <v>1.03419087190726</v>
      </c>
      <c r="F442">
        <v>0.974808837051412</v>
      </c>
      <c r="G442">
        <v>0.857061946328284</v>
      </c>
      <c r="H442">
        <v>0.770919421245886</v>
      </c>
      <c r="I442">
        <v>0.52642345930143</v>
      </c>
      <c r="J442">
        <v>0.0858405431253437</v>
      </c>
      <c r="K442">
        <v>0.07493855721473459</v>
      </c>
      <c r="L442">
        <v>1527.56196620797</v>
      </c>
      <c r="M442">
        <v>25.3021516365728</v>
      </c>
      <c r="N442">
        <v>60.3728089712554</v>
      </c>
      <c r="O442">
        <v>59.9994798132581</v>
      </c>
      <c r="P442">
        <v>-0.105427901261085</v>
      </c>
      <c r="Q442">
        <v>0</v>
      </c>
      <c r="R442">
        <v>0.967719005825912</v>
      </c>
      <c r="S442" t="s">
        <v>2635</v>
      </c>
      <c r="T442" t="s">
        <v>4362</v>
      </c>
      <c r="U442" t="s">
        <v>4362</v>
      </c>
      <c r="V442" t="s">
        <v>4362</v>
      </c>
      <c r="W442" t="s">
        <v>4803</v>
      </c>
      <c r="X442">
        <v>9</v>
      </c>
      <c r="Y442" t="s">
        <v>6963</v>
      </c>
      <c r="Z442" t="s">
        <v>9130</v>
      </c>
      <c r="AA442">
        <v>0.7811605742998938</v>
      </c>
      <c r="AB442">
        <f>HYPERLINK("Melting_Curves/meltCurve_P0A8W8_yfbU.pdf", "Melting_Curves/meltCurve_P0A8W8_yfbU.pdf")</f>
        <v>0</v>
      </c>
    </row>
    <row r="443" spans="1:28">
      <c r="A443" t="s">
        <v>469</v>
      </c>
      <c r="B443">
        <v>0.999739202189716</v>
      </c>
      <c r="C443">
        <v>0.880220523780714</v>
      </c>
      <c r="D443">
        <v>0.891946728495621</v>
      </c>
      <c r="E443">
        <v>1.01383072588384</v>
      </c>
      <c r="F443">
        <v>0.921640856023348</v>
      </c>
      <c r="G443">
        <v>0.777210714950416</v>
      </c>
      <c r="H443">
        <v>0.7262361482192</v>
      </c>
      <c r="I443">
        <v>0.705702912674588</v>
      </c>
      <c r="J443">
        <v>0.601052186479042</v>
      </c>
      <c r="K443">
        <v>0.6661114652254569</v>
      </c>
      <c r="L443">
        <v>856.288344251734</v>
      </c>
      <c r="M443">
        <v>16.0113783244903</v>
      </c>
      <c r="O443">
        <v>52.666643797327</v>
      </c>
      <c r="P443">
        <v>-0.0283055755596457</v>
      </c>
      <c r="Q443">
        <v>0.6276042180114521</v>
      </c>
      <c r="R443">
        <v>0.828473637086557</v>
      </c>
      <c r="S443" t="s">
        <v>2636</v>
      </c>
      <c r="T443" t="s">
        <v>4362</v>
      </c>
      <c r="U443" t="s">
        <v>4362</v>
      </c>
      <c r="V443" t="s">
        <v>4362</v>
      </c>
      <c r="W443" t="s">
        <v>4804</v>
      </c>
      <c r="X443">
        <v>10</v>
      </c>
      <c r="Y443" t="s">
        <v>6964</v>
      </c>
      <c r="Z443" t="s">
        <v>9131</v>
      </c>
      <c r="AA443">
        <v>0.838173345203879</v>
      </c>
      <c r="AB443">
        <f>HYPERLINK("Melting_Curves/meltCurve_P0A8X0_yjgA.pdf", "Melting_Curves/meltCurve_P0A8X0_yjgA.pdf")</f>
        <v>0</v>
      </c>
    </row>
    <row r="444" spans="1:28">
      <c r="A444" t="s">
        <v>470</v>
      </c>
      <c r="B444">
        <v>0.999739202189716</v>
      </c>
      <c r="C444">
        <v>1.05514642921614</v>
      </c>
      <c r="D444">
        <v>0.885303855910344</v>
      </c>
      <c r="E444">
        <v>1.01142848190441</v>
      </c>
      <c r="F444">
        <v>0.937060122420292</v>
      </c>
      <c r="G444">
        <v>0.705455947447248</v>
      </c>
      <c r="H444">
        <v>0.698093519316878</v>
      </c>
      <c r="I444">
        <v>0.642165679316785</v>
      </c>
      <c r="J444">
        <v>0.61085788865223</v>
      </c>
      <c r="K444">
        <v>0.564499843253814</v>
      </c>
      <c r="L444">
        <v>1502.9649427375</v>
      </c>
      <c r="M444">
        <v>28.6361844628477</v>
      </c>
      <c r="O444">
        <v>52.2308603142676</v>
      </c>
      <c r="P444">
        <v>-0.0530769124668079</v>
      </c>
      <c r="Q444">
        <v>0.6127652536931379</v>
      </c>
      <c r="R444">
        <v>0.922303320408721</v>
      </c>
      <c r="S444" t="s">
        <v>2637</v>
      </c>
      <c r="T444" t="s">
        <v>4362</v>
      </c>
      <c r="U444" t="s">
        <v>4362</v>
      </c>
      <c r="V444" t="s">
        <v>4362</v>
      </c>
      <c r="W444" t="s">
        <v>4805</v>
      </c>
      <c r="X444">
        <v>7</v>
      </c>
      <c r="Y444" t="s">
        <v>6965</v>
      </c>
      <c r="Z444" t="s">
        <v>9132</v>
      </c>
      <c r="AA444">
        <v>0.8153202837173404</v>
      </c>
      <c r="AB444">
        <f>HYPERLINK("Melting_Curves/meltCurve_P0A8X2_yceI.pdf", "Melting_Curves/meltCurve_P0A8X2_yceI.pdf")</f>
        <v>0</v>
      </c>
    </row>
    <row r="445" spans="1:28">
      <c r="A445" t="s">
        <v>471</v>
      </c>
      <c r="B445">
        <v>0.999739202189716</v>
      </c>
      <c r="C445">
        <v>0.971573041404744</v>
      </c>
      <c r="D445">
        <v>0.86077303024469</v>
      </c>
      <c r="E445">
        <v>0.999311107348541</v>
      </c>
      <c r="F445">
        <v>0.798936041505529</v>
      </c>
      <c r="G445">
        <v>0.410810051379684</v>
      </c>
      <c r="H445">
        <v>0.226539348376131</v>
      </c>
      <c r="I445">
        <v>0.143119546705739</v>
      </c>
      <c r="J445">
        <v>0.121122714854636</v>
      </c>
      <c r="K445">
        <v>0.0971951272644898</v>
      </c>
      <c r="L445">
        <v>1335.77130435651</v>
      </c>
      <c r="M445">
        <v>25.4187698947634</v>
      </c>
      <c r="N445">
        <v>53.0765943278821</v>
      </c>
      <c r="O445">
        <v>52.2285582480644</v>
      </c>
      <c r="P445">
        <v>-0.108125168286607</v>
      </c>
      <c r="Q445">
        <v>0.111341408565472</v>
      </c>
      <c r="R445">
        <v>0.984778206593077</v>
      </c>
      <c r="S445" t="s">
        <v>2638</v>
      </c>
      <c r="T445" t="s">
        <v>4362</v>
      </c>
      <c r="U445" t="s">
        <v>4362</v>
      </c>
      <c r="V445" t="s">
        <v>4362</v>
      </c>
      <c r="W445" t="s">
        <v>4806</v>
      </c>
      <c r="X445">
        <v>5</v>
      </c>
      <c r="Y445" t="s">
        <v>6966</v>
      </c>
      <c r="Z445" t="s">
        <v>9133</v>
      </c>
      <c r="AA445">
        <v>0.5796226255963597</v>
      </c>
      <c r="AB445">
        <f>HYPERLINK("Melting_Curves/meltCurve_P0A8Y3_yihX.pdf", "Melting_Curves/meltCurve_P0A8Y3_yihX.pdf")</f>
        <v>0</v>
      </c>
    </row>
    <row r="446" spans="1:28">
      <c r="A446" t="s">
        <v>472</v>
      </c>
      <c r="B446">
        <v>0.999739202189716</v>
      </c>
      <c r="C446">
        <v>0.792597814067784</v>
      </c>
      <c r="D446">
        <v>0.787967856645331</v>
      </c>
      <c r="E446">
        <v>0.369390788151631</v>
      </c>
      <c r="F446">
        <v>0.166870802350274</v>
      </c>
      <c r="G446">
        <v>0.0928742871787749</v>
      </c>
      <c r="H446">
        <v>0.0806987733751746</v>
      </c>
      <c r="I446">
        <v>0.0598640753424682</v>
      </c>
      <c r="J446">
        <v>0.06623357601288481</v>
      </c>
      <c r="K446">
        <v>0.0569449043158497</v>
      </c>
      <c r="L446">
        <v>781.905319120561</v>
      </c>
      <c r="M446">
        <v>17.3651047698215</v>
      </c>
      <c r="N446">
        <v>45.2998219502575</v>
      </c>
      <c r="O446">
        <v>44.4429806065283</v>
      </c>
      <c r="P446">
        <v>-0.0928436094815978</v>
      </c>
      <c r="Q446">
        <v>0.0495854149458349</v>
      </c>
      <c r="R446">
        <v>0.98295177277178</v>
      </c>
      <c r="S446" t="s">
        <v>2639</v>
      </c>
      <c r="T446" t="s">
        <v>4362</v>
      </c>
      <c r="U446" t="s">
        <v>4362</v>
      </c>
      <c r="V446" t="s">
        <v>4362</v>
      </c>
      <c r="W446" t="s">
        <v>4807</v>
      </c>
      <c r="X446">
        <v>7</v>
      </c>
      <c r="Y446" t="s">
        <v>6967</v>
      </c>
      <c r="Z446" t="s">
        <v>9134</v>
      </c>
      <c r="AA446">
        <v>0.3206686934409678</v>
      </c>
      <c r="AB446">
        <f>HYPERLINK("Melting_Curves/meltCurve_P0A8Y5_yidA.pdf", "Melting_Curves/meltCurve_P0A8Y5_yidA.pdf")</f>
        <v>0</v>
      </c>
    </row>
    <row r="447" spans="1:28">
      <c r="A447" t="s">
        <v>473</v>
      </c>
      <c r="B447">
        <v>0.999739202189716</v>
      </c>
      <c r="C447">
        <v>0.793757175833717</v>
      </c>
      <c r="D447">
        <v>0.544957460908895</v>
      </c>
      <c r="E447">
        <v>0.403750619170868</v>
      </c>
      <c r="F447">
        <v>0.272725492138817</v>
      </c>
      <c r="G447">
        <v>0.170085347830429</v>
      </c>
      <c r="H447">
        <v>0.127569465917438</v>
      </c>
      <c r="I447">
        <v>0.0859672447553224</v>
      </c>
      <c r="J447">
        <v>0.0752031177748908</v>
      </c>
      <c r="K447">
        <v>0.09478287648077099</v>
      </c>
      <c r="L447">
        <v>548.116696315015</v>
      </c>
      <c r="M447">
        <v>12.4569795980829</v>
      </c>
      <c r="N447">
        <v>44.5931363235409</v>
      </c>
      <c r="O447">
        <v>42.9130096624177</v>
      </c>
      <c r="P447">
        <v>-0.0670512378968406</v>
      </c>
      <c r="Q447">
        <v>0.07625458325914319</v>
      </c>
      <c r="R447">
        <v>0.987231043002932</v>
      </c>
      <c r="S447" t="s">
        <v>2640</v>
      </c>
      <c r="T447" t="s">
        <v>4362</v>
      </c>
      <c r="U447" t="s">
        <v>4362</v>
      </c>
      <c r="V447" t="s">
        <v>4362</v>
      </c>
      <c r="W447" t="s">
        <v>4808</v>
      </c>
      <c r="X447">
        <v>4</v>
      </c>
      <c r="Y447" t="s">
        <v>6968</v>
      </c>
      <c r="Z447" t="s">
        <v>9135</v>
      </c>
      <c r="AA447">
        <v>0.3250813833963343</v>
      </c>
      <c r="AB447">
        <f>HYPERLINK("Melting_Curves/meltCurve_P0A8Z0_yciA.pdf", "Melting_Curves/meltCurve_P0A8Z0_yciA.pdf")</f>
        <v>0</v>
      </c>
    </row>
    <row r="448" spans="1:28">
      <c r="A448" t="s">
        <v>474</v>
      </c>
      <c r="B448">
        <v>0.999739202189716</v>
      </c>
      <c r="C448">
        <v>0.851885994318525</v>
      </c>
      <c r="D448">
        <v>0.540158358190341</v>
      </c>
      <c r="E448">
        <v>0.590056938101546</v>
      </c>
      <c r="F448">
        <v>0.393124555044421</v>
      </c>
      <c r="G448">
        <v>0.264459110346665</v>
      </c>
      <c r="H448">
        <v>0.242843528200139</v>
      </c>
      <c r="I448">
        <v>0.174798848922856</v>
      </c>
      <c r="J448">
        <v>0.149123815983556</v>
      </c>
      <c r="K448">
        <v>0.16503302128125</v>
      </c>
      <c r="L448">
        <v>442.119165876141</v>
      </c>
      <c r="M448">
        <v>9.702190854618321</v>
      </c>
      <c r="N448">
        <v>46.8747044141731</v>
      </c>
      <c r="O448">
        <v>43.7594698705831</v>
      </c>
      <c r="P448">
        <v>-0.0488925255529143</v>
      </c>
      <c r="Q448">
        <v>0.118407884748701</v>
      </c>
      <c r="R448">
        <v>0.955733632701155</v>
      </c>
      <c r="S448" t="s">
        <v>2641</v>
      </c>
      <c r="T448" t="s">
        <v>4362</v>
      </c>
      <c r="U448" t="s">
        <v>4362</v>
      </c>
      <c r="V448" t="s">
        <v>4362</v>
      </c>
      <c r="W448" t="s">
        <v>4809</v>
      </c>
      <c r="X448">
        <v>1</v>
      </c>
      <c r="Y448" t="s">
        <v>6969</v>
      </c>
      <c r="Z448" t="s">
        <v>9136</v>
      </c>
      <c r="AA448">
        <v>0.4142088240241154</v>
      </c>
      <c r="AB448">
        <f>HYPERLINK("Melting_Curves/meltCurve_P0A8Z3_ybgC.pdf", "Melting_Curves/meltCurve_P0A8Z3_ybgC.pdf")</f>
        <v>0</v>
      </c>
    </row>
    <row r="449" spans="1:28">
      <c r="A449" t="s">
        <v>475</v>
      </c>
      <c r="B449">
        <v>0.999739202189716</v>
      </c>
      <c r="C449">
        <v>0.835298064347734</v>
      </c>
      <c r="D449">
        <v>0.953986124160673</v>
      </c>
      <c r="E449">
        <v>0.896653805925869</v>
      </c>
      <c r="F449">
        <v>0.696749768794356</v>
      </c>
      <c r="G449">
        <v>0.41319487977462</v>
      </c>
      <c r="H449">
        <v>0.187620893110354</v>
      </c>
      <c r="I449">
        <v>0.115994664516375</v>
      </c>
      <c r="J449">
        <v>0.09330308725823649</v>
      </c>
      <c r="K449">
        <v>0.0769154220714422</v>
      </c>
      <c r="L449">
        <v>904.4313772577131</v>
      </c>
      <c r="M449">
        <v>17.3166787948667</v>
      </c>
      <c r="N449">
        <v>52.5314712036117</v>
      </c>
      <c r="O449">
        <v>51.5473311493398</v>
      </c>
      <c r="P449">
        <v>-0.0800029490655044</v>
      </c>
      <c r="Q449">
        <v>0.0474614284995896</v>
      </c>
      <c r="R449">
        <v>0.979876068445561</v>
      </c>
      <c r="S449" t="s">
        <v>2642</v>
      </c>
      <c r="T449" t="s">
        <v>4362</v>
      </c>
      <c r="U449" t="s">
        <v>4362</v>
      </c>
      <c r="V449" t="s">
        <v>4362</v>
      </c>
      <c r="W449" t="s">
        <v>4810</v>
      </c>
      <c r="X449">
        <v>11</v>
      </c>
      <c r="Y449" t="s">
        <v>6970</v>
      </c>
      <c r="Z449" t="s">
        <v>9137</v>
      </c>
      <c r="AA449">
        <v>0.5460699628804366</v>
      </c>
      <c r="AB449">
        <f>HYPERLINK("Melting_Curves/meltCurve_P0A901_blc.pdf", "Melting_Curves/meltCurve_P0A901_blc.pdf")</f>
        <v>0</v>
      </c>
    </row>
    <row r="450" spans="1:28">
      <c r="A450" t="s">
        <v>476</v>
      </c>
      <c r="B450">
        <v>0.999739202189716</v>
      </c>
      <c r="C450">
        <v>1.04110728916555</v>
      </c>
      <c r="D450">
        <v>0.941249357732615</v>
      </c>
      <c r="E450">
        <v>0.928136325825616</v>
      </c>
      <c r="F450">
        <v>0.966243726350613</v>
      </c>
      <c r="G450">
        <v>0.8269666470511851</v>
      </c>
      <c r="H450">
        <v>0.875163732472084</v>
      </c>
      <c r="I450">
        <v>0.763917036915537</v>
      </c>
      <c r="J450">
        <v>0.794653417244213</v>
      </c>
      <c r="K450">
        <v>0.536352332718337</v>
      </c>
      <c r="L450">
        <v>458.674081230017</v>
      </c>
      <c r="M450">
        <v>6.34628450438908</v>
      </c>
      <c r="O450">
        <v>66.0961284417112</v>
      </c>
      <c r="P450">
        <v>-0.0240675583818549</v>
      </c>
      <c r="Q450">
        <v>0</v>
      </c>
      <c r="R450">
        <v>0.839714477675</v>
      </c>
      <c r="S450" t="s">
        <v>2643</v>
      </c>
      <c r="T450" t="s">
        <v>4362</v>
      </c>
      <c r="U450" t="s">
        <v>4362</v>
      </c>
      <c r="V450" t="s">
        <v>4362</v>
      </c>
      <c r="W450" t="s">
        <v>4811</v>
      </c>
      <c r="X450">
        <v>11</v>
      </c>
      <c r="Y450" t="s">
        <v>6971</v>
      </c>
      <c r="Z450" t="s">
        <v>9138</v>
      </c>
      <c r="AA450">
        <v>0.8811083534590363</v>
      </c>
      <c r="AB450">
        <f>HYPERLINK("Melting_Curves/meltCurve_P0A903_bamC.pdf", "Melting_Curves/meltCurve_P0A903_bamC.pdf")</f>
        <v>0</v>
      </c>
    </row>
    <row r="451" spans="1:28">
      <c r="A451" t="s">
        <v>477</v>
      </c>
      <c r="B451">
        <v>0.999739202189716</v>
      </c>
      <c r="C451">
        <v>0.99521375389249</v>
      </c>
      <c r="D451">
        <v>0.999023797835318</v>
      </c>
      <c r="E451">
        <v>1.13305114746501</v>
      </c>
      <c r="F451">
        <v>1.62088876395969</v>
      </c>
      <c r="G451">
        <v>1.53161057391264</v>
      </c>
      <c r="H451">
        <v>1.64115839661777</v>
      </c>
      <c r="I451">
        <v>1.56080561512018</v>
      </c>
      <c r="J451">
        <v>1.68450217376007</v>
      </c>
      <c r="K451">
        <v>1.22301332347952</v>
      </c>
      <c r="L451">
        <v>11697.2751689156</v>
      </c>
      <c r="M451">
        <v>250</v>
      </c>
      <c r="O451">
        <v>46.7861063070559</v>
      </c>
      <c r="P451">
        <v>0.66793333289231</v>
      </c>
      <c r="Q451">
        <v>1.5</v>
      </c>
      <c r="R451">
        <v>0.807950406582018</v>
      </c>
      <c r="S451" t="s">
        <v>2644</v>
      </c>
      <c r="T451" t="s">
        <v>4362</v>
      </c>
      <c r="U451" t="s">
        <v>4362</v>
      </c>
      <c r="V451" t="s">
        <v>4362</v>
      </c>
      <c r="W451" t="s">
        <v>4812</v>
      </c>
      <c r="X451">
        <v>4</v>
      </c>
      <c r="Y451" t="s">
        <v>6972</v>
      </c>
      <c r="Z451" t="s">
        <v>9139</v>
      </c>
      <c r="AA451">
        <v>1.33680726500055</v>
      </c>
      <c r="AB451">
        <f>HYPERLINK("Melting_Curves/meltCurve_P0A905_slyB.pdf", "Melting_Curves/meltCurve_P0A905_slyB.pdf")</f>
        <v>0</v>
      </c>
    </row>
    <row r="452" spans="1:28">
      <c r="A452" t="s">
        <v>478</v>
      </c>
      <c r="B452">
        <v>0.999739202189716</v>
      </c>
      <c r="C452">
        <v>1.16951541888741</v>
      </c>
      <c r="D452">
        <v>1.2957644552223</v>
      </c>
      <c r="E452">
        <v>1.41334326922668</v>
      </c>
      <c r="F452">
        <v>1.53723307966258</v>
      </c>
      <c r="G452">
        <v>1.45715994846234</v>
      </c>
      <c r="H452">
        <v>1.36270646118125</v>
      </c>
      <c r="I452">
        <v>1.37752585614641</v>
      </c>
      <c r="J452">
        <v>1.20957217787869</v>
      </c>
      <c r="K452">
        <v>1.14430119289948</v>
      </c>
      <c r="L452">
        <v>1418.57395983483</v>
      </c>
      <c r="M452">
        <v>35.3552663992212</v>
      </c>
      <c r="O452">
        <v>39.9956988476953</v>
      </c>
      <c r="P452">
        <v>0.0783525973932885</v>
      </c>
      <c r="Q452">
        <v>1.35454477347217</v>
      </c>
      <c r="R452">
        <v>0.528107562646824</v>
      </c>
      <c r="S452" t="s">
        <v>2645</v>
      </c>
      <c r="T452" t="s">
        <v>4362</v>
      </c>
      <c r="U452" t="s">
        <v>4362</v>
      </c>
      <c r="V452" t="s">
        <v>4362</v>
      </c>
      <c r="W452" t="s">
        <v>4813</v>
      </c>
      <c r="X452">
        <v>21</v>
      </c>
      <c r="Y452" t="s">
        <v>6973</v>
      </c>
      <c r="Z452" t="s">
        <v>9140</v>
      </c>
      <c r="AA452">
        <v>1.315834675861847</v>
      </c>
      <c r="AB452">
        <f>HYPERLINK("Melting_Curves/meltCurve_P0A910_ompA.pdf", "Melting_Curves/meltCurve_P0A910_ompA.pdf")</f>
        <v>0</v>
      </c>
    </row>
    <row r="453" spans="1:28">
      <c r="A453" t="s">
        <v>479</v>
      </c>
      <c r="B453">
        <v>0.999739202189716</v>
      </c>
      <c r="C453">
        <v>0.921054548266085</v>
      </c>
      <c r="D453">
        <v>0.794651275442486</v>
      </c>
      <c r="E453">
        <v>0.905291676465688</v>
      </c>
      <c r="F453">
        <v>0.951298225760084</v>
      </c>
      <c r="G453">
        <v>0.761290404101354</v>
      </c>
      <c r="H453">
        <v>0.864523866247612</v>
      </c>
      <c r="I453">
        <v>0.821759379739388</v>
      </c>
      <c r="J453">
        <v>0.746883693423028</v>
      </c>
      <c r="K453">
        <v>0.585528199386175</v>
      </c>
      <c r="L453">
        <v>208.070801750023</v>
      </c>
      <c r="M453">
        <v>2.29690159375074</v>
      </c>
      <c r="O453">
        <v>58.3591287975077</v>
      </c>
      <c r="P453">
        <v>-0.0104672669854302</v>
      </c>
      <c r="Q453">
        <v>0</v>
      </c>
      <c r="R453">
        <v>0.589674626056452</v>
      </c>
      <c r="S453" t="s">
        <v>2646</v>
      </c>
      <c r="T453" t="s">
        <v>4362</v>
      </c>
      <c r="U453" t="s">
        <v>4362</v>
      </c>
      <c r="V453" t="s">
        <v>4362</v>
      </c>
      <c r="W453" t="s">
        <v>4814</v>
      </c>
      <c r="X453">
        <v>6</v>
      </c>
      <c r="Y453" t="s">
        <v>6974</v>
      </c>
      <c r="Z453" t="s">
        <v>9141</v>
      </c>
      <c r="AA453">
        <v>0.8403582755246967</v>
      </c>
      <c r="AB453">
        <f>HYPERLINK("Melting_Curves/meltCurve_P0A912_pal.pdf", "Melting_Curves/meltCurve_P0A912_pal.pdf")</f>
        <v>0</v>
      </c>
    </row>
    <row r="454" spans="1:28">
      <c r="A454" t="s">
        <v>480</v>
      </c>
      <c r="B454">
        <v>0.999739202189716</v>
      </c>
      <c r="C454">
        <v>1.06910844124676</v>
      </c>
      <c r="D454">
        <v>0.86980008410409</v>
      </c>
      <c r="E454">
        <v>1.1804453255512</v>
      </c>
      <c r="F454">
        <v>1.10804141069531</v>
      </c>
      <c r="G454">
        <v>1.0702241171237</v>
      </c>
      <c r="H454">
        <v>1.01070601372161</v>
      </c>
      <c r="I454">
        <v>1.19527620234648</v>
      </c>
      <c r="J454">
        <v>1.12625291279383</v>
      </c>
      <c r="K454">
        <v>0.9880853654217761</v>
      </c>
      <c r="L454">
        <v>11193.844458427</v>
      </c>
      <c r="M454">
        <v>250</v>
      </c>
      <c r="O454">
        <v>44.772512783786</v>
      </c>
      <c r="P454">
        <v>0.135412289932406</v>
      </c>
      <c r="Q454">
        <v>1.0970039749989</v>
      </c>
      <c r="R454">
        <v>0.318304774894497</v>
      </c>
      <c r="S454" t="s">
        <v>2647</v>
      </c>
      <c r="T454" t="s">
        <v>4362</v>
      </c>
      <c r="U454" t="s">
        <v>4362</v>
      </c>
      <c r="V454" t="s">
        <v>4362</v>
      </c>
      <c r="W454" t="s">
        <v>4815</v>
      </c>
      <c r="X454">
        <v>3</v>
      </c>
      <c r="Y454" t="s">
        <v>6975</v>
      </c>
      <c r="Z454" t="s">
        <v>9142</v>
      </c>
      <c r="AA454">
        <v>1.071854933851431</v>
      </c>
      <c r="AB454">
        <f>HYPERLINK("Melting_Curves/meltCurve_P0A915_ompW.pdf", "Melting_Curves/meltCurve_P0A915_ompW.pdf")</f>
        <v>0</v>
      </c>
    </row>
    <row r="455" spans="1:28">
      <c r="A455" t="s">
        <v>481</v>
      </c>
      <c r="B455">
        <v>0.999739202189716</v>
      </c>
      <c r="C455">
        <v>1.32383209810288</v>
      </c>
      <c r="D455">
        <v>1.32613731800423</v>
      </c>
      <c r="E455">
        <v>1.36858485914757</v>
      </c>
      <c r="F455">
        <v>1.64341575996491</v>
      </c>
      <c r="G455">
        <v>1.30466654370379</v>
      </c>
      <c r="H455">
        <v>1.43287877115424</v>
      </c>
      <c r="I455">
        <v>1.35041996671862</v>
      </c>
      <c r="J455">
        <v>1.44838431311491</v>
      </c>
      <c r="K455">
        <v>0.931989258500481</v>
      </c>
      <c r="L455">
        <v>5382.52717356648</v>
      </c>
      <c r="M455">
        <v>137.385498643423</v>
      </c>
      <c r="O455">
        <v>39.1699787147205</v>
      </c>
      <c r="P455">
        <v>0.307609535338976</v>
      </c>
      <c r="Q455">
        <v>1.35081019542065</v>
      </c>
      <c r="R455">
        <v>0.281228322147896</v>
      </c>
      <c r="S455" t="s">
        <v>2648</v>
      </c>
      <c r="T455" t="s">
        <v>4362</v>
      </c>
      <c r="U455" t="s">
        <v>4362</v>
      </c>
      <c r="V455" t="s">
        <v>4362</v>
      </c>
      <c r="W455" t="s">
        <v>4816</v>
      </c>
      <c r="X455">
        <v>5</v>
      </c>
      <c r="Y455" t="s">
        <v>6976</v>
      </c>
      <c r="Z455" t="s">
        <v>9143</v>
      </c>
      <c r="AA455">
        <v>1.325257318744854</v>
      </c>
      <c r="AB455">
        <f>HYPERLINK("Melting_Curves/meltCurve_P0A917_ompX.pdf", "Melting_Curves/meltCurve_P0A917_ompX.pdf")</f>
        <v>0</v>
      </c>
    </row>
    <row r="456" spans="1:28">
      <c r="A456" t="s">
        <v>482</v>
      </c>
      <c r="B456">
        <v>0.999739202189716</v>
      </c>
      <c r="C456">
        <v>0.974505979421339</v>
      </c>
      <c r="D456">
        <v>0.91702776601645</v>
      </c>
      <c r="E456">
        <v>0.881624752867229</v>
      </c>
      <c r="F456">
        <v>0.99973093433292</v>
      </c>
      <c r="G456">
        <v>0.818927367322935</v>
      </c>
      <c r="H456">
        <v>0.708423925598535</v>
      </c>
      <c r="I456">
        <v>0.6099584582980641</v>
      </c>
      <c r="J456">
        <v>0.637857360040006</v>
      </c>
      <c r="K456">
        <v>0.393763951920562</v>
      </c>
      <c r="L456">
        <v>476.106759068651</v>
      </c>
      <c r="M456">
        <v>7.26721527395537</v>
      </c>
      <c r="N456">
        <v>65.5143326701815</v>
      </c>
      <c r="O456">
        <v>61.0997748704139</v>
      </c>
      <c r="P456">
        <v>-0.0297830680262419</v>
      </c>
      <c r="Q456">
        <v>0</v>
      </c>
      <c r="R456">
        <v>0.90827222998693</v>
      </c>
      <c r="S456" t="s">
        <v>2649</v>
      </c>
      <c r="T456" t="s">
        <v>4362</v>
      </c>
      <c r="U456" t="s">
        <v>4362</v>
      </c>
      <c r="V456" t="s">
        <v>4362</v>
      </c>
      <c r="W456" t="s">
        <v>4817</v>
      </c>
      <c r="X456">
        <v>4</v>
      </c>
      <c r="Y456" t="s">
        <v>6977</v>
      </c>
      <c r="Z456" t="s">
        <v>9144</v>
      </c>
      <c r="AA456">
        <v>0.8142314789351399</v>
      </c>
      <c r="AB456">
        <f>HYPERLINK("Melting_Curves/meltCurve_P0A921_pldA.pdf", "Melting_Curves/meltCurve_P0A921_pldA.pdf")</f>
        <v>0</v>
      </c>
    </row>
    <row r="457" spans="1:28">
      <c r="A457" t="s">
        <v>483</v>
      </c>
      <c r="B457">
        <v>0.999739202189716</v>
      </c>
      <c r="C457">
        <v>1.07015127737891</v>
      </c>
      <c r="D457">
        <v>0.705398474630841</v>
      </c>
      <c r="E457">
        <v>0.494441469556517</v>
      </c>
      <c r="F457">
        <v>0.330843828333381</v>
      </c>
      <c r="G457">
        <v>0.256225189197362</v>
      </c>
      <c r="H457">
        <v>0.227191477087463</v>
      </c>
      <c r="I457">
        <v>0.186097672153951</v>
      </c>
      <c r="J457">
        <v>0.186779129631201</v>
      </c>
      <c r="K457">
        <v>0.175526017308442</v>
      </c>
      <c r="L457">
        <v>850.856788265433</v>
      </c>
      <c r="M457">
        <v>18.8180515546483</v>
      </c>
      <c r="N457">
        <v>46.4490679675362</v>
      </c>
      <c r="O457">
        <v>44.7136046599516</v>
      </c>
      <c r="P457">
        <v>-0.0845186330195407</v>
      </c>
      <c r="Q457">
        <v>0.19673377976352</v>
      </c>
      <c r="R457">
        <v>0.976498996931178</v>
      </c>
      <c r="S457" t="s">
        <v>2650</v>
      </c>
      <c r="T457" t="s">
        <v>4362</v>
      </c>
      <c r="U457" t="s">
        <v>4362</v>
      </c>
      <c r="V457" t="s">
        <v>4362</v>
      </c>
      <c r="W457" t="s">
        <v>4818</v>
      </c>
      <c r="X457">
        <v>1</v>
      </c>
      <c r="Y457" t="s">
        <v>6978</v>
      </c>
      <c r="Z457" t="s">
        <v>9145</v>
      </c>
      <c r="AA457">
        <v>0.4286532256781635</v>
      </c>
      <c r="AB457">
        <f>HYPERLINK("Melting_Curves/meltCurve_P0A924_pgpB.pdf", "Melting_Curves/meltCurve_P0A924_pgpB.pdf")</f>
        <v>0</v>
      </c>
    </row>
    <row r="458" spans="1:28">
      <c r="A458" t="s">
        <v>484</v>
      </c>
      <c r="B458">
        <v>0.999739202189716</v>
      </c>
      <c r="C458">
        <v>0.824320968059857</v>
      </c>
      <c r="D458">
        <v>1.2404839238935</v>
      </c>
      <c r="E458">
        <v>0.729423186642135</v>
      </c>
      <c r="F458">
        <v>1.13775631338472</v>
      </c>
      <c r="G458">
        <v>0.7555799067075381</v>
      </c>
      <c r="H458">
        <v>0.86517044375957</v>
      </c>
      <c r="I458">
        <v>0.583110765174612</v>
      </c>
      <c r="J458">
        <v>0.269632740540328</v>
      </c>
      <c r="K458">
        <v>0.129058289376323</v>
      </c>
      <c r="L458">
        <v>1291.70925394987</v>
      </c>
      <c r="M458">
        <v>21.0023899425367</v>
      </c>
      <c r="N458">
        <v>61.5029650918144</v>
      </c>
      <c r="O458">
        <v>60.9535251474073</v>
      </c>
      <c r="P458">
        <v>-0.0861433060039765</v>
      </c>
      <c r="Q458">
        <v>0</v>
      </c>
      <c r="R458">
        <v>0.7967689009041991</v>
      </c>
      <c r="S458" t="s">
        <v>2651</v>
      </c>
      <c r="T458" t="s">
        <v>4362</v>
      </c>
      <c r="U458" t="s">
        <v>4362</v>
      </c>
      <c r="V458" t="s">
        <v>4362</v>
      </c>
      <c r="W458" t="s">
        <v>4819</v>
      </c>
      <c r="X458">
        <v>3</v>
      </c>
      <c r="Y458" t="s">
        <v>6979</v>
      </c>
      <c r="Z458" t="s">
        <v>9146</v>
      </c>
      <c r="AA458">
        <v>0.8110692463375261</v>
      </c>
      <c r="AB458">
        <f>HYPERLINK("Melting_Curves/meltCurve_P0A927_tsx.pdf", "Melting_Curves/meltCurve_P0A927_tsx.pdf")</f>
        <v>0</v>
      </c>
    </row>
    <row r="459" spans="1:28">
      <c r="A459" t="s">
        <v>485</v>
      </c>
      <c r="B459">
        <v>0.999739202189716</v>
      </c>
      <c r="C459">
        <v>0.694070110397519</v>
      </c>
      <c r="D459">
        <v>1.2722537313201</v>
      </c>
      <c r="E459">
        <v>1.18183414433551</v>
      </c>
      <c r="F459">
        <v>1.19211051814739</v>
      </c>
      <c r="G459">
        <v>1.13577572435098</v>
      </c>
      <c r="H459">
        <v>1.08791493784932</v>
      </c>
      <c r="I459">
        <v>1.07685863334284</v>
      </c>
      <c r="J459">
        <v>1.04398895472376</v>
      </c>
      <c r="K459">
        <v>0.845009476770144</v>
      </c>
      <c r="L459">
        <v>15000</v>
      </c>
      <c r="M459">
        <v>222.184594368694</v>
      </c>
      <c r="Q459">
        <v>0</v>
      </c>
      <c r="R459">
        <v>-0.0150239627973792</v>
      </c>
      <c r="S459" t="s">
        <v>2652</v>
      </c>
      <c r="T459" t="s">
        <v>4362</v>
      </c>
      <c r="U459" t="s">
        <v>4362</v>
      </c>
      <c r="V459" t="s">
        <v>4362</v>
      </c>
      <c r="W459" t="s">
        <v>4820</v>
      </c>
      <c r="X459">
        <v>1</v>
      </c>
      <c r="Y459" t="s">
        <v>6980</v>
      </c>
      <c r="Z459" t="s">
        <v>9147</v>
      </c>
      <c r="AA459">
        <v>0.9983355118333801</v>
      </c>
      <c r="AB459">
        <f>HYPERLINK("Melting_Curves/meltCurve_P0A937_bamE.pdf", "Melting_Curves/meltCurve_P0A937_bamE.pdf")</f>
        <v>0</v>
      </c>
    </row>
    <row r="460" spans="1:28">
      <c r="A460" t="s">
        <v>486</v>
      </c>
      <c r="B460">
        <v>0.999739202189716</v>
      </c>
      <c r="C460">
        <v>1.19346448015849</v>
      </c>
      <c r="D460">
        <v>0.972584004245166</v>
      </c>
      <c r="E460">
        <v>1.24026730696445</v>
      </c>
      <c r="F460">
        <v>0.903174086820771</v>
      </c>
      <c r="G460">
        <v>0.447755423118377</v>
      </c>
      <c r="H460">
        <v>0.193747870605302</v>
      </c>
      <c r="I460">
        <v>0.140047244401729</v>
      </c>
      <c r="J460">
        <v>0.129069625041475</v>
      </c>
      <c r="K460">
        <v>0.0907393191438791</v>
      </c>
      <c r="L460">
        <v>2069.33747640101</v>
      </c>
      <c r="M460">
        <v>38.9740854761522</v>
      </c>
      <c r="N460">
        <v>53.4876081275561</v>
      </c>
      <c r="O460">
        <v>52.9560081640027</v>
      </c>
      <c r="P460">
        <v>-0.161116356218226</v>
      </c>
      <c r="Q460">
        <v>0.124335119368035</v>
      </c>
      <c r="R460">
        <v>0.950678044243158</v>
      </c>
      <c r="S460" t="s">
        <v>2653</v>
      </c>
      <c r="T460" t="s">
        <v>4362</v>
      </c>
      <c r="U460" t="s">
        <v>4362</v>
      </c>
      <c r="V460" t="s">
        <v>4362</v>
      </c>
      <c r="W460" t="s">
        <v>4821</v>
      </c>
      <c r="X460">
        <v>22</v>
      </c>
      <c r="Y460" t="s">
        <v>6981</v>
      </c>
      <c r="Z460" t="s">
        <v>9148</v>
      </c>
      <c r="AA460">
        <v>0.5975025641761519</v>
      </c>
      <c r="AB460">
        <f>HYPERLINK("Melting_Curves/meltCurve_P0A940_bamA.pdf", "Melting_Curves/meltCurve_P0A940_bamA.pdf")</f>
        <v>0</v>
      </c>
    </row>
    <row r="461" spans="1:28">
      <c r="A461" t="s">
        <v>487</v>
      </c>
      <c r="B461">
        <v>0.999739202189716</v>
      </c>
      <c r="C461">
        <v>0.722268442585821</v>
      </c>
      <c r="D461">
        <v>0.475660434974038</v>
      </c>
      <c r="E461">
        <v>0.415291260748876</v>
      </c>
      <c r="F461">
        <v>0.300968509147324</v>
      </c>
      <c r="G461">
        <v>0.184635305660504</v>
      </c>
      <c r="H461">
        <v>0.154175613157438</v>
      </c>
      <c r="I461">
        <v>0.101304073163378</v>
      </c>
      <c r="J461">
        <v>0.117927638032051</v>
      </c>
      <c r="K461">
        <v>0.0912400146580514</v>
      </c>
      <c r="L461">
        <v>499.018520313196</v>
      </c>
      <c r="M461">
        <v>11.5351729168072</v>
      </c>
      <c r="N461">
        <v>44.08443167755</v>
      </c>
      <c r="O461">
        <v>42.0217454884821</v>
      </c>
      <c r="P461">
        <v>-0.0619898630665906</v>
      </c>
      <c r="Q461">
        <v>0.0969567197121799</v>
      </c>
      <c r="R461">
        <v>0.967498617560878</v>
      </c>
      <c r="S461" t="s">
        <v>2654</v>
      </c>
      <c r="T461" t="s">
        <v>4362</v>
      </c>
      <c r="U461" t="s">
        <v>4362</v>
      </c>
      <c r="V461" t="s">
        <v>4362</v>
      </c>
      <c r="W461" t="s">
        <v>4822</v>
      </c>
      <c r="X461">
        <v>1</v>
      </c>
      <c r="Y461" t="s">
        <v>6982</v>
      </c>
      <c r="Z461" t="s">
        <v>9149</v>
      </c>
      <c r="AA461">
        <v>0.3250305667127116</v>
      </c>
      <c r="AB461">
        <f>HYPERLINK("Melting_Curves/meltCurve_P0A944_rimI.pdf", "Melting_Curves/meltCurve_P0A944_rimI.pdf")</f>
        <v>0</v>
      </c>
    </row>
    <row r="462" spans="1:28">
      <c r="A462" t="s">
        <v>488</v>
      </c>
      <c r="B462">
        <v>0.999739202189716</v>
      </c>
      <c r="C462">
        <v>0.799003725556918</v>
      </c>
      <c r="D462">
        <v>0.6874100328095361</v>
      </c>
      <c r="E462">
        <v>0.815713978735268</v>
      </c>
      <c r="F462">
        <v>0.5969191036457689</v>
      </c>
      <c r="G462">
        <v>0.382124934228529</v>
      </c>
      <c r="H462">
        <v>0.153629712867093</v>
      </c>
      <c r="I462">
        <v>0.116314740649097</v>
      </c>
      <c r="J462">
        <v>0.0955668275148627</v>
      </c>
      <c r="K462">
        <v>0.0879554466554095</v>
      </c>
      <c r="L462">
        <v>480.319938759046</v>
      </c>
      <c r="M462">
        <v>9.51036454869346</v>
      </c>
      <c r="N462">
        <v>50.5048914509938</v>
      </c>
      <c r="O462">
        <v>48.4231371014426</v>
      </c>
      <c r="P462">
        <v>-0.0491292339655673</v>
      </c>
      <c r="Q462">
        <v>0</v>
      </c>
      <c r="R462">
        <v>0.931994366248555</v>
      </c>
      <c r="S462" t="s">
        <v>2655</v>
      </c>
      <c r="T462" t="s">
        <v>4362</v>
      </c>
      <c r="U462" t="s">
        <v>4362</v>
      </c>
      <c r="V462" t="s">
        <v>4362</v>
      </c>
      <c r="W462" t="s">
        <v>4822</v>
      </c>
      <c r="X462">
        <v>2</v>
      </c>
      <c r="Y462" t="s">
        <v>6983</v>
      </c>
      <c r="Z462" t="s">
        <v>9150</v>
      </c>
      <c r="AA462">
        <v>0.4837396306015267</v>
      </c>
      <c r="AB462">
        <f>HYPERLINK("Melting_Curves/meltCurve_P0A948_rimJ.pdf", "Melting_Curves/meltCurve_P0A948_rimJ.pdf")</f>
        <v>0</v>
      </c>
    </row>
    <row r="463" spans="1:28">
      <c r="A463" t="s">
        <v>489</v>
      </c>
      <c r="B463">
        <v>0.999739202189716</v>
      </c>
      <c r="C463">
        <v>0.507244934600792</v>
      </c>
      <c r="D463">
        <v>0.322384102786942</v>
      </c>
      <c r="E463">
        <v>0.130406602209586</v>
      </c>
      <c r="F463">
        <v>0.0857671220018433</v>
      </c>
      <c r="G463">
        <v>0.0510787224008991</v>
      </c>
      <c r="H463">
        <v>0.037050837108354</v>
      </c>
      <c r="I463">
        <v>0.0292241372594941</v>
      </c>
      <c r="J463">
        <v>0.0283723072321257</v>
      </c>
      <c r="K463">
        <v>0.0225206661610229</v>
      </c>
      <c r="L463">
        <v>834.649688054446</v>
      </c>
      <c r="M463">
        <v>20.5727579358697</v>
      </c>
      <c r="N463">
        <v>40.7509601162431</v>
      </c>
      <c r="O463">
        <v>40.1931291296795</v>
      </c>
      <c r="P463">
        <v>-0.122397780941797</v>
      </c>
      <c r="Q463">
        <v>0.0435105400602328</v>
      </c>
      <c r="R463">
        <v>0.969640200227022</v>
      </c>
      <c r="S463" t="s">
        <v>2656</v>
      </c>
      <c r="T463" t="s">
        <v>4362</v>
      </c>
      <c r="U463" t="s">
        <v>4362</v>
      </c>
      <c r="V463" t="s">
        <v>4362</v>
      </c>
      <c r="W463" t="s">
        <v>4823</v>
      </c>
      <c r="X463">
        <v>2</v>
      </c>
      <c r="Y463" t="s">
        <v>6984</v>
      </c>
      <c r="Z463" t="s">
        <v>9151</v>
      </c>
      <c r="AA463">
        <v>0.1738860364254523</v>
      </c>
      <c r="AB463">
        <f>HYPERLINK("Melting_Curves/meltCurve_P0A951_speG.pdf", "Melting_Curves/meltCurve_P0A951_speG.pdf")</f>
        <v>0</v>
      </c>
    </row>
    <row r="464" spans="1:28">
      <c r="A464" t="s">
        <v>490</v>
      </c>
      <c r="B464">
        <v>0.999739202189716</v>
      </c>
      <c r="C464">
        <v>0.937687124427072</v>
      </c>
      <c r="D464">
        <v>0.727268328197519</v>
      </c>
      <c r="E464">
        <v>0.258759395510451</v>
      </c>
      <c r="F464">
        <v>0.123237182266626</v>
      </c>
      <c r="G464">
        <v>0.0771872654207614</v>
      </c>
      <c r="H464">
        <v>0.0716049678608837</v>
      </c>
      <c r="I464">
        <v>0.0411690875850035</v>
      </c>
      <c r="J464">
        <v>0.0345104543240316</v>
      </c>
      <c r="K464">
        <v>0.0277841287718702</v>
      </c>
      <c r="L464">
        <v>1116.91143050569</v>
      </c>
      <c r="M464">
        <v>25.1231102542425</v>
      </c>
      <c r="N464">
        <v>44.6416545675825</v>
      </c>
      <c r="O464">
        <v>44.1787071582176</v>
      </c>
      <c r="P464">
        <v>-0.135172216029447</v>
      </c>
      <c r="Q464">
        <v>0.0492168863863693</v>
      </c>
      <c r="R464">
        <v>0.998187470297949</v>
      </c>
      <c r="S464" t="s">
        <v>2657</v>
      </c>
      <c r="T464" t="s">
        <v>4362</v>
      </c>
      <c r="U464" t="s">
        <v>4362</v>
      </c>
      <c r="V464" t="s">
        <v>4362</v>
      </c>
      <c r="W464" t="s">
        <v>4824</v>
      </c>
      <c r="X464">
        <v>14</v>
      </c>
      <c r="Y464" t="s">
        <v>6985</v>
      </c>
      <c r="Z464" t="s">
        <v>9152</v>
      </c>
      <c r="AA464">
        <v>0.2932791070450802</v>
      </c>
      <c r="AB464">
        <f>HYPERLINK("Melting_Curves/meltCurve_P0A953_fabB.pdf", "Melting_Curves/meltCurve_P0A953_fabB.pdf")</f>
        <v>0</v>
      </c>
    </row>
    <row r="465" spans="1:28">
      <c r="A465" t="s">
        <v>491</v>
      </c>
      <c r="B465">
        <v>0.999739202189716</v>
      </c>
      <c r="C465">
        <v>0.966299056360336</v>
      </c>
      <c r="D465">
        <v>1.03529840178218</v>
      </c>
      <c r="E465">
        <v>1.07698485909411</v>
      </c>
      <c r="F465">
        <v>0.974630072624738</v>
      </c>
      <c r="G465">
        <v>0.872078591091407</v>
      </c>
      <c r="H465">
        <v>0.821259442133328</v>
      </c>
      <c r="I465">
        <v>0.782045968964311</v>
      </c>
      <c r="J465">
        <v>0.780040856509457</v>
      </c>
      <c r="K465">
        <v>0.6570649827985749</v>
      </c>
      <c r="L465">
        <v>867.0789353373819</v>
      </c>
      <c r="M465">
        <v>15.1768544073385</v>
      </c>
      <c r="O465">
        <v>56.1673122274898</v>
      </c>
      <c r="P465">
        <v>-0.0219444766390647</v>
      </c>
      <c r="Q465">
        <v>0.675178177445054</v>
      </c>
      <c r="R465">
        <v>0.895115673179406</v>
      </c>
      <c r="S465" t="s">
        <v>2658</v>
      </c>
      <c r="T465" t="s">
        <v>4362</v>
      </c>
      <c r="U465" t="s">
        <v>4362</v>
      </c>
      <c r="V465" t="s">
        <v>4362</v>
      </c>
      <c r="W465" t="s">
        <v>4825</v>
      </c>
      <c r="X465">
        <v>10</v>
      </c>
      <c r="Y465" t="s">
        <v>6986</v>
      </c>
      <c r="Z465" t="s">
        <v>9153</v>
      </c>
      <c r="AA465">
        <v>0.8956912941652667</v>
      </c>
      <c r="AB465">
        <f>HYPERLINK("Melting_Curves/meltCurve_P0A955_eda.pdf", "Melting_Curves/meltCurve_P0A955_eda.pdf")</f>
        <v>0</v>
      </c>
    </row>
    <row r="466" spans="1:28">
      <c r="A466" t="s">
        <v>492</v>
      </c>
      <c r="B466">
        <v>0.999739202189716</v>
      </c>
      <c r="C466">
        <v>0.773053332200769</v>
      </c>
      <c r="D466">
        <v>0.741197539114803</v>
      </c>
      <c r="E466">
        <v>0.642732968751584</v>
      </c>
      <c r="F466">
        <v>0.389677676775723</v>
      </c>
      <c r="G466">
        <v>0.3497392348952</v>
      </c>
      <c r="H466">
        <v>0.211828714968682</v>
      </c>
      <c r="I466">
        <v>0.176487967969213</v>
      </c>
      <c r="J466">
        <v>0.12946041836375</v>
      </c>
      <c r="K466">
        <v>0.110226166855337</v>
      </c>
      <c r="L466">
        <v>393.058009840935</v>
      </c>
      <c r="M466">
        <v>8.100085782527371</v>
      </c>
      <c r="N466">
        <v>48.6633605839347</v>
      </c>
      <c r="O466">
        <v>45.836132945344</v>
      </c>
      <c r="P466">
        <v>-0.0437243764746263</v>
      </c>
      <c r="Q466">
        <v>0.0113709935799558</v>
      </c>
      <c r="R466">
        <v>0.978989157872075</v>
      </c>
      <c r="S466" t="s">
        <v>2659</v>
      </c>
      <c r="T466" t="s">
        <v>4362</v>
      </c>
      <c r="U466" t="s">
        <v>4362</v>
      </c>
      <c r="V466" t="s">
        <v>4362</v>
      </c>
      <c r="W466" t="s">
        <v>4826</v>
      </c>
      <c r="X466">
        <v>7</v>
      </c>
      <c r="Y466" t="s">
        <v>6987</v>
      </c>
      <c r="Z466" t="s">
        <v>9154</v>
      </c>
      <c r="AA466">
        <v>0.4390663529829866</v>
      </c>
      <c r="AB466">
        <f>HYPERLINK("Melting_Curves/meltCurve_P0A959_alaA.pdf", "Melting_Curves/meltCurve_P0A959_alaA.pdf")</f>
        <v>0</v>
      </c>
    </row>
    <row r="467" spans="1:28">
      <c r="A467" t="s">
        <v>493</v>
      </c>
      <c r="B467">
        <v>0.999739202189716</v>
      </c>
      <c r="C467">
        <v>0.921298439661131</v>
      </c>
      <c r="D467">
        <v>0.8896079169857271</v>
      </c>
      <c r="E467">
        <v>0.742950484699223</v>
      </c>
      <c r="F467">
        <v>0.490889510502857</v>
      </c>
      <c r="G467">
        <v>0.254634256350573</v>
      </c>
      <c r="H467">
        <v>0.157503104890848</v>
      </c>
      <c r="I467">
        <v>0.114190850422843</v>
      </c>
      <c r="J467">
        <v>0.0992399723486513</v>
      </c>
      <c r="K467">
        <v>0.100196974491991</v>
      </c>
      <c r="L467">
        <v>734.094693600888</v>
      </c>
      <c r="M467">
        <v>14.876522323634</v>
      </c>
      <c r="N467">
        <v>49.8201026360525</v>
      </c>
      <c r="O467">
        <v>48.4799136601245</v>
      </c>
      <c r="P467">
        <v>-0.07165749150034501</v>
      </c>
      <c r="Q467">
        <v>0.066021420891461</v>
      </c>
      <c r="R467">
        <v>0.996473606071696</v>
      </c>
      <c r="S467" t="s">
        <v>2660</v>
      </c>
      <c r="T467" t="s">
        <v>4362</v>
      </c>
      <c r="U467" t="s">
        <v>4362</v>
      </c>
      <c r="V467" t="s">
        <v>4362</v>
      </c>
      <c r="W467" t="s">
        <v>4827</v>
      </c>
      <c r="X467">
        <v>4</v>
      </c>
      <c r="Y467" t="s">
        <v>6988</v>
      </c>
      <c r="Z467" t="s">
        <v>9155</v>
      </c>
      <c r="AA467">
        <v>0.4705410489490578</v>
      </c>
      <c r="AB467">
        <f>HYPERLINK("Melting_Curves/meltCurve_P0A962_ansA.pdf", "Melting_Curves/meltCurve_P0A962_ansA.pdf")</f>
        <v>0</v>
      </c>
    </row>
    <row r="468" spans="1:28">
      <c r="A468" t="s">
        <v>494</v>
      </c>
      <c r="B468">
        <v>0.999739202189716</v>
      </c>
      <c r="C468">
        <v>0.909546982900015</v>
      </c>
      <c r="D468">
        <v>1.16821899835634</v>
      </c>
      <c r="E468">
        <v>0.945285110252728</v>
      </c>
      <c r="F468">
        <v>0.9494459400009509</v>
      </c>
      <c r="G468">
        <v>0.821394876251645</v>
      </c>
      <c r="H468">
        <v>0.620488690598105</v>
      </c>
      <c r="I468">
        <v>0.633215313071918</v>
      </c>
      <c r="J468">
        <v>0.496606302244024</v>
      </c>
      <c r="K468">
        <v>0.450379741639091</v>
      </c>
      <c r="L468">
        <v>905.128781781818</v>
      </c>
      <c r="M468">
        <v>16.0778631838164</v>
      </c>
      <c r="N468">
        <v>64.4090693907458</v>
      </c>
      <c r="O468">
        <v>55.4472689887892</v>
      </c>
      <c r="P468">
        <v>-0.0410330067679137</v>
      </c>
      <c r="Q468">
        <v>0.434006103092492</v>
      </c>
      <c r="R468">
        <v>0.905115282672467</v>
      </c>
      <c r="S468" t="s">
        <v>2661</v>
      </c>
      <c r="T468" t="s">
        <v>4362</v>
      </c>
      <c r="U468" t="s">
        <v>4362</v>
      </c>
      <c r="V468" t="s">
        <v>4362</v>
      </c>
      <c r="W468" t="s">
        <v>4828</v>
      </c>
      <c r="X468">
        <v>5</v>
      </c>
      <c r="Y468" t="s">
        <v>6989</v>
      </c>
      <c r="Z468" t="s">
        <v>9156</v>
      </c>
      <c r="AA468">
        <v>0.8041200507443648</v>
      </c>
      <c r="AB468">
        <f>HYPERLINK("Melting_Curves/meltCurve_P0A964_cheW.pdf", "Melting_Curves/meltCurve_P0A964_cheW.pdf")</f>
        <v>0</v>
      </c>
    </row>
    <row r="469" spans="1:28">
      <c r="A469" t="s">
        <v>495</v>
      </c>
      <c r="B469">
        <v>0.999739202189716</v>
      </c>
      <c r="C469">
        <v>1.1139854416271</v>
      </c>
      <c r="D469">
        <v>1.0097421271583</v>
      </c>
      <c r="E469">
        <v>1.53344325195008</v>
      </c>
      <c r="F469">
        <v>1.34087659584372</v>
      </c>
      <c r="G469">
        <v>1.19882831471036</v>
      </c>
      <c r="H469">
        <v>1.05250664374167</v>
      </c>
      <c r="I469">
        <v>1.00852194277656</v>
      </c>
      <c r="J469">
        <v>0.79030256006989</v>
      </c>
      <c r="K469">
        <v>0.868680455856921</v>
      </c>
      <c r="L469">
        <v>15000</v>
      </c>
      <c r="M469">
        <v>240.673713692894</v>
      </c>
      <c r="O469">
        <v>62.320742446587</v>
      </c>
      <c r="P469">
        <v>-0.164676207017003</v>
      </c>
      <c r="Q469">
        <v>0.82943308364157</v>
      </c>
      <c r="R469">
        <v>-0.0597765943575337</v>
      </c>
      <c r="S469" t="s">
        <v>2662</v>
      </c>
      <c r="T469" t="s">
        <v>4362</v>
      </c>
      <c r="U469" t="s">
        <v>4362</v>
      </c>
      <c r="V469" t="s">
        <v>4362</v>
      </c>
      <c r="W469" t="s">
        <v>4829</v>
      </c>
      <c r="X469">
        <v>1</v>
      </c>
      <c r="Y469" t="s">
        <v>6990</v>
      </c>
      <c r="Z469" t="s">
        <v>9157</v>
      </c>
      <c r="AA469">
        <v>0.9734403745710708</v>
      </c>
      <c r="AB469">
        <f>HYPERLINK("Melting_Curves/meltCurve_P0A968_cspD.pdf", "Melting_Curves/meltCurve_P0A968_cspD.pdf")</f>
        <v>0</v>
      </c>
    </row>
    <row r="470" spans="1:28">
      <c r="A470" t="s">
        <v>496</v>
      </c>
      <c r="B470">
        <v>0.999739202189716</v>
      </c>
      <c r="C470">
        <v>0.992802941358463</v>
      </c>
      <c r="D470">
        <v>1.05959403170517</v>
      </c>
      <c r="E470">
        <v>1.15405348886965</v>
      </c>
      <c r="F470">
        <v>1.22762883771852</v>
      </c>
      <c r="G470">
        <v>0.98637472559435</v>
      </c>
      <c r="H470">
        <v>1.11499846236451</v>
      </c>
      <c r="I470">
        <v>1.0081024865755</v>
      </c>
      <c r="J470">
        <v>1.11343648027872</v>
      </c>
      <c r="K470">
        <v>0.817371525605274</v>
      </c>
      <c r="L470">
        <v>15000</v>
      </c>
      <c r="M470">
        <v>222.381911771242</v>
      </c>
      <c r="Q470">
        <v>0</v>
      </c>
      <c r="R470">
        <v>0.093441758747537</v>
      </c>
      <c r="S470" t="s">
        <v>2663</v>
      </c>
      <c r="T470" t="s">
        <v>4362</v>
      </c>
      <c r="U470" t="s">
        <v>4362</v>
      </c>
      <c r="V470" t="s">
        <v>4362</v>
      </c>
      <c r="W470" t="s">
        <v>4830</v>
      </c>
      <c r="X470">
        <v>5</v>
      </c>
      <c r="Y470" t="s">
        <v>6991</v>
      </c>
      <c r="Z470" t="s">
        <v>9158</v>
      </c>
      <c r="AA470">
        <v>0.9980070381375634</v>
      </c>
      <c r="AB470">
        <f>HYPERLINK("Melting_Curves/meltCurve_P0A972_cspE.pdf", "Melting_Curves/meltCurve_P0A972_cspE.pdf")</f>
        <v>0</v>
      </c>
    </row>
    <row r="471" spans="1:28">
      <c r="A471" t="s">
        <v>497</v>
      </c>
      <c r="B471">
        <v>0.999739202189716</v>
      </c>
      <c r="C471">
        <v>0.843867205204385</v>
      </c>
      <c r="D471">
        <v>0.735971633974259</v>
      </c>
      <c r="E471">
        <v>0.584492280557843</v>
      </c>
      <c r="F471">
        <v>0.497350546938528</v>
      </c>
      <c r="G471">
        <v>0.35329856416008</v>
      </c>
      <c r="H471">
        <v>0.214509125971472</v>
      </c>
      <c r="I471">
        <v>0.115958963458943</v>
      </c>
      <c r="J471">
        <v>0.0869103229258824</v>
      </c>
      <c r="K471">
        <v>0.079670843707977</v>
      </c>
      <c r="L471">
        <v>423.407933827692</v>
      </c>
      <c r="M471">
        <v>8.64869259679868</v>
      </c>
      <c r="N471">
        <v>48.9562859290653</v>
      </c>
      <c r="O471">
        <v>46.5500431722725</v>
      </c>
      <c r="P471">
        <v>-0.0464875673101046</v>
      </c>
      <c r="Q471">
        <v>0</v>
      </c>
      <c r="R471">
        <v>0.987758181265457</v>
      </c>
      <c r="S471" t="s">
        <v>2664</v>
      </c>
      <c r="T471" t="s">
        <v>4362</v>
      </c>
      <c r="U471" t="s">
        <v>4362</v>
      </c>
      <c r="V471" t="s">
        <v>4362</v>
      </c>
      <c r="W471" t="s">
        <v>4831</v>
      </c>
      <c r="X471">
        <v>10</v>
      </c>
      <c r="Y471" t="s">
        <v>6992</v>
      </c>
      <c r="Z471" t="s">
        <v>9159</v>
      </c>
      <c r="AA471">
        <v>0.4419240523701777</v>
      </c>
      <c r="AB471">
        <f>HYPERLINK("Melting_Curves/meltCurve_P0A988_dnaN.pdf", "Melting_Curves/meltCurve_P0A988_dnaN.pdf")</f>
        <v>0</v>
      </c>
    </row>
    <row r="472" spans="1:28">
      <c r="A472" t="s">
        <v>498</v>
      </c>
      <c r="B472">
        <v>0.999739202189716</v>
      </c>
      <c r="C472">
        <v>1.3518581954364</v>
      </c>
      <c r="D472">
        <v>1.35586021184367</v>
      </c>
      <c r="E472">
        <v>1.53270989539718</v>
      </c>
      <c r="F472">
        <v>0.9192364069034979</v>
      </c>
      <c r="G472">
        <v>1.21044391406882</v>
      </c>
      <c r="H472">
        <v>0.5792076625581341</v>
      </c>
      <c r="I472">
        <v>0.5707803406023571</v>
      </c>
      <c r="J472">
        <v>0.495311643373987</v>
      </c>
      <c r="K472">
        <v>0.506649124148974</v>
      </c>
      <c r="L472">
        <v>14233.1629595536</v>
      </c>
      <c r="M472">
        <v>250</v>
      </c>
      <c r="O472">
        <v>56.9290085396785</v>
      </c>
      <c r="P472">
        <v>-0.522309873426011</v>
      </c>
      <c r="Q472">
        <v>0.524246668756888</v>
      </c>
      <c r="R472">
        <v>0.586130015898593</v>
      </c>
      <c r="S472" t="s">
        <v>2665</v>
      </c>
      <c r="T472" t="s">
        <v>4362</v>
      </c>
      <c r="U472" t="s">
        <v>4362</v>
      </c>
      <c r="V472" t="s">
        <v>4362</v>
      </c>
      <c r="W472" t="s">
        <v>4832</v>
      </c>
      <c r="X472">
        <v>14</v>
      </c>
      <c r="Y472" t="s">
        <v>6993</v>
      </c>
      <c r="Z472" t="s">
        <v>9160</v>
      </c>
      <c r="AA472">
        <v>0.8403950545056651</v>
      </c>
      <c r="AB472">
        <f>HYPERLINK("Melting_Curves/meltCurve_P0A991_fbaB.pdf", "Melting_Curves/meltCurve_P0A991_fbaB.pdf")</f>
        <v>0</v>
      </c>
    </row>
    <row r="473" spans="1:28">
      <c r="A473" t="s">
        <v>499</v>
      </c>
      <c r="B473">
        <v>0.999739202189716</v>
      </c>
      <c r="C473">
        <v>0.703212649007097</v>
      </c>
      <c r="D473">
        <v>0.250585575913541</v>
      </c>
      <c r="E473">
        <v>0.0802351626294847</v>
      </c>
      <c r="F473">
        <v>0.0556974750258915</v>
      </c>
      <c r="G473">
        <v>0.0370795974998522</v>
      </c>
      <c r="H473">
        <v>0.0245551933383576</v>
      </c>
      <c r="I473">
        <v>0.0170699422533089</v>
      </c>
      <c r="J473">
        <v>0.0285584884144396</v>
      </c>
      <c r="K473">
        <v>0.0222006524348256</v>
      </c>
      <c r="L473">
        <v>1171.33899433748</v>
      </c>
      <c r="M473">
        <v>28.4837028163191</v>
      </c>
      <c r="N473">
        <v>41.2189518849481</v>
      </c>
      <c r="O473">
        <v>40.9220324846303</v>
      </c>
      <c r="P473">
        <v>-0.168438725281984</v>
      </c>
      <c r="Q473">
        <v>0.0320359731755383</v>
      </c>
      <c r="R473">
        <v>0.9975851288793161</v>
      </c>
      <c r="S473" t="s">
        <v>2666</v>
      </c>
      <c r="T473" t="s">
        <v>4362</v>
      </c>
      <c r="U473" t="s">
        <v>4362</v>
      </c>
      <c r="V473" t="s">
        <v>4362</v>
      </c>
      <c r="W473" t="s">
        <v>4833</v>
      </c>
      <c r="X473">
        <v>6</v>
      </c>
      <c r="Y473" t="s">
        <v>6994</v>
      </c>
      <c r="Z473" t="s">
        <v>9161</v>
      </c>
      <c r="AA473">
        <v>0.1719991904577175</v>
      </c>
      <c r="AB473">
        <f>HYPERLINK("Melting_Curves/meltCurve_P0A993_fbp.pdf", "Melting_Curves/meltCurve_P0A993_fbp.pdf")</f>
        <v>0</v>
      </c>
    </row>
    <row r="474" spans="1:28">
      <c r="A474" t="s">
        <v>500</v>
      </c>
      <c r="B474">
        <v>0.999739202189716</v>
      </c>
      <c r="C474">
        <v>1.22162490790628</v>
      </c>
      <c r="D474">
        <v>1.60336618972532</v>
      </c>
      <c r="E474">
        <v>1.25727496223849</v>
      </c>
      <c r="F474">
        <v>1.07681329198439</v>
      </c>
      <c r="G474">
        <v>1.08650235549288</v>
      </c>
      <c r="H474">
        <v>0.576049633218702</v>
      </c>
      <c r="I474">
        <v>0.54801374121239</v>
      </c>
      <c r="J474">
        <v>0.432464854710762</v>
      </c>
      <c r="K474">
        <v>0.392985629449927</v>
      </c>
      <c r="L474">
        <v>14276.700366662</v>
      </c>
      <c r="M474">
        <v>250</v>
      </c>
      <c r="N474">
        <v>57.6772798008774</v>
      </c>
      <c r="O474">
        <v>57.1031470285141</v>
      </c>
      <c r="P474">
        <v>-0.593420290602045</v>
      </c>
      <c r="Q474">
        <v>0.457821343146777</v>
      </c>
      <c r="R474">
        <v>0.663412432952209</v>
      </c>
      <c r="S474" t="s">
        <v>2667</v>
      </c>
      <c r="T474" t="s">
        <v>4362</v>
      </c>
      <c r="U474" t="s">
        <v>4362</v>
      </c>
      <c r="V474" t="s">
        <v>4362</v>
      </c>
      <c r="W474" t="s">
        <v>4834</v>
      </c>
      <c r="X474">
        <v>5</v>
      </c>
      <c r="Y474" t="s">
        <v>6995</v>
      </c>
      <c r="Z474" t="s">
        <v>9162</v>
      </c>
      <c r="AA474">
        <v>0.8212583015576694</v>
      </c>
      <c r="AB474">
        <f>HYPERLINK("Melting_Curves/meltCurve_P0A998_ftnA.pdf", "Melting_Curves/meltCurve_P0A998_ftnA.pdf")</f>
        <v>0</v>
      </c>
    </row>
    <row r="475" spans="1:28">
      <c r="A475" t="s">
        <v>501</v>
      </c>
      <c r="B475">
        <v>0.999739202189716</v>
      </c>
      <c r="C475">
        <v>1.00564168925658</v>
      </c>
      <c r="D475">
        <v>1.30028682974391</v>
      </c>
      <c r="E475">
        <v>1.04587284144953</v>
      </c>
      <c r="F475">
        <v>1.3430134229193</v>
      </c>
      <c r="G475">
        <v>0.320508444319801</v>
      </c>
      <c r="H475">
        <v>0.243738853662442</v>
      </c>
      <c r="I475">
        <v>0.17472631187912</v>
      </c>
      <c r="J475">
        <v>0.170328046945674</v>
      </c>
      <c r="K475">
        <v>0.10704032097871</v>
      </c>
      <c r="L475">
        <v>13367.4721200739</v>
      </c>
      <c r="M475">
        <v>250</v>
      </c>
      <c r="N475">
        <v>53.5614961097644</v>
      </c>
      <c r="O475">
        <v>53.4664669127766</v>
      </c>
      <c r="P475">
        <v>-0.965607182812207</v>
      </c>
      <c r="Q475">
        <v>0.173958331447103</v>
      </c>
      <c r="R475">
        <v>0.905811117723715</v>
      </c>
      <c r="S475" t="s">
        <v>2668</v>
      </c>
      <c r="T475" t="s">
        <v>4362</v>
      </c>
      <c r="U475" t="s">
        <v>4362</v>
      </c>
      <c r="V475" t="s">
        <v>4362</v>
      </c>
      <c r="W475" t="s">
        <v>4835</v>
      </c>
      <c r="X475">
        <v>1</v>
      </c>
      <c r="Y475" t="s">
        <v>6996</v>
      </c>
      <c r="Z475" t="s">
        <v>9163</v>
      </c>
      <c r="AA475">
        <v>0.6275296515957518</v>
      </c>
      <c r="AB475">
        <f>HYPERLINK("Melting_Curves/meltCurve_P0A9A2_ftnB.pdf", "Melting_Curves/meltCurve_P0A9A2_ftnB.pdf")</f>
        <v>0</v>
      </c>
    </row>
    <row r="476" spans="1:28">
      <c r="A476" t="s">
        <v>502</v>
      </c>
      <c r="B476">
        <v>0.999739202189716</v>
      </c>
      <c r="C476">
        <v>0.9830332600824651</v>
      </c>
      <c r="D476">
        <v>0.797436875807942</v>
      </c>
      <c r="E476">
        <v>0.880879667002282</v>
      </c>
      <c r="F476">
        <v>0.730959839102105</v>
      </c>
      <c r="G476">
        <v>0.588349020933726</v>
      </c>
      <c r="H476">
        <v>0.530563959855981</v>
      </c>
      <c r="I476">
        <v>0.490831000289425</v>
      </c>
      <c r="J476">
        <v>0.401311530530436</v>
      </c>
      <c r="K476">
        <v>0.446610175103179</v>
      </c>
      <c r="L476">
        <v>443.055962899865</v>
      </c>
      <c r="M476">
        <v>8.538976496711861</v>
      </c>
      <c r="N476">
        <v>59.4155520776822</v>
      </c>
      <c r="O476">
        <v>49.2754799211246</v>
      </c>
      <c r="P476">
        <v>-0.0290278350322529</v>
      </c>
      <c r="Q476">
        <v>0.330554528727065</v>
      </c>
      <c r="R476">
        <v>0.954787763411273</v>
      </c>
      <c r="S476" t="s">
        <v>2669</v>
      </c>
      <c r="T476" t="s">
        <v>4362</v>
      </c>
      <c r="U476" t="s">
        <v>4362</v>
      </c>
      <c r="V476" t="s">
        <v>4362</v>
      </c>
      <c r="W476" t="s">
        <v>4836</v>
      </c>
      <c r="X476">
        <v>8</v>
      </c>
      <c r="Y476" t="s">
        <v>6997</v>
      </c>
      <c r="Z476" t="s">
        <v>9164</v>
      </c>
      <c r="AA476">
        <v>0.6820574909559259</v>
      </c>
      <c r="AB476">
        <f>HYPERLINK("Melting_Curves/meltCurve_P0A9A6_ftsZ.pdf", "Melting_Curves/meltCurve_P0A9A6_ftsZ.pdf")</f>
        <v>0</v>
      </c>
    </row>
    <row r="477" spans="1:28">
      <c r="A477" t="s">
        <v>503</v>
      </c>
      <c r="B477">
        <v>0.999739202189716</v>
      </c>
      <c r="C477">
        <v>1.06367444516259</v>
      </c>
      <c r="D477">
        <v>1.05730299175513</v>
      </c>
      <c r="E477">
        <v>1.191859784622</v>
      </c>
      <c r="F477">
        <v>1.01025664385655</v>
      </c>
      <c r="G477">
        <v>0.878033316662847</v>
      </c>
      <c r="H477">
        <v>0.831246996890726</v>
      </c>
      <c r="I477">
        <v>0.73818227754791</v>
      </c>
      <c r="J477">
        <v>0.603126059335918</v>
      </c>
      <c r="K477">
        <v>0.679024915539193</v>
      </c>
      <c r="L477">
        <v>1247.87292232466</v>
      </c>
      <c r="M477">
        <v>21.7627340454587</v>
      </c>
      <c r="O477">
        <v>56.8623325693141</v>
      </c>
      <c r="P477">
        <v>-0.0353273606771431</v>
      </c>
      <c r="Q477">
        <v>0.6307910031478891</v>
      </c>
      <c r="R477">
        <v>0.8336142330181729</v>
      </c>
      <c r="S477" t="s">
        <v>2670</v>
      </c>
      <c r="T477" t="s">
        <v>4362</v>
      </c>
      <c r="U477" t="s">
        <v>4362</v>
      </c>
      <c r="V477" t="s">
        <v>4362</v>
      </c>
      <c r="W477" t="s">
        <v>4837</v>
      </c>
      <c r="X477">
        <v>4</v>
      </c>
      <c r="Y477" t="s">
        <v>6998</v>
      </c>
      <c r="Z477" t="s">
        <v>9165</v>
      </c>
      <c r="AA477">
        <v>0.8840420481039076</v>
      </c>
      <c r="AB477">
        <f>HYPERLINK("Melting_Curves/meltCurve_P0A9A9_fur.pdf", "Melting_Curves/meltCurve_P0A9A9_fur.pdf")</f>
        <v>0</v>
      </c>
    </row>
    <row r="478" spans="1:28">
      <c r="A478" t="s">
        <v>504</v>
      </c>
      <c r="B478">
        <v>0.999739202189716</v>
      </c>
      <c r="C478">
        <v>0.9788165226412</v>
      </c>
      <c r="D478">
        <v>1.11773110479477</v>
      </c>
      <c r="E478">
        <v>1.01675713311424</v>
      </c>
      <c r="F478">
        <v>1.02131772260516</v>
      </c>
      <c r="G478">
        <v>0.98079465520193</v>
      </c>
      <c r="H478">
        <v>0.811339255966197</v>
      </c>
      <c r="I478">
        <v>0.647061706028721</v>
      </c>
      <c r="J478">
        <v>0.303976569255576</v>
      </c>
      <c r="K478">
        <v>0.0731210261246039</v>
      </c>
      <c r="L478">
        <v>1589.79211716943</v>
      </c>
      <c r="M478">
        <v>25.6640229186117</v>
      </c>
      <c r="N478">
        <v>61.9463309533249</v>
      </c>
      <c r="O478">
        <v>61.5738910730284</v>
      </c>
      <c r="P478">
        <v>-0.104201364791588</v>
      </c>
      <c r="Q478">
        <v>0</v>
      </c>
      <c r="R478">
        <v>0.976604053156136</v>
      </c>
      <c r="S478" t="s">
        <v>2671</v>
      </c>
      <c r="T478" t="s">
        <v>4362</v>
      </c>
      <c r="U478" t="s">
        <v>4362</v>
      </c>
      <c r="V478" t="s">
        <v>4362</v>
      </c>
      <c r="W478" t="s">
        <v>4838</v>
      </c>
      <c r="X478">
        <v>26</v>
      </c>
      <c r="Y478" t="s">
        <v>6999</v>
      </c>
      <c r="Z478" t="s">
        <v>9166</v>
      </c>
      <c r="AA478">
        <v>0.8281187285038982</v>
      </c>
      <c r="AB478">
        <f>HYPERLINK("Melting_Curves/meltCurve_P0A9B2_gapA.pdf", "Melting_Curves/meltCurve_P0A9B2_gapA.pdf")</f>
        <v>0</v>
      </c>
    </row>
    <row r="479" spans="1:28">
      <c r="A479" t="s">
        <v>505</v>
      </c>
      <c r="B479">
        <v>0.999739202189716</v>
      </c>
      <c r="C479">
        <v>0.92530083490063</v>
      </c>
      <c r="D479">
        <v>0.677379590452159</v>
      </c>
      <c r="E479">
        <v>0.457813342121083</v>
      </c>
      <c r="F479">
        <v>0.259717856624421</v>
      </c>
      <c r="G479">
        <v>0.223221996431707</v>
      </c>
      <c r="H479">
        <v>0.143797628763888</v>
      </c>
      <c r="I479">
        <v>0.117728304861155</v>
      </c>
      <c r="J479">
        <v>0.091304484765328</v>
      </c>
      <c r="K479">
        <v>0.0794515222663232</v>
      </c>
      <c r="L479">
        <v>656.5803188026219</v>
      </c>
      <c r="M479">
        <v>14.4991320251557</v>
      </c>
      <c r="N479">
        <v>45.9482527360058</v>
      </c>
      <c r="O479">
        <v>44.4488433739639</v>
      </c>
      <c r="P479">
        <v>-0.0738488342961421</v>
      </c>
      <c r="Q479">
        <v>0.0945343423960794</v>
      </c>
      <c r="R479">
        <v>0.993752195849449</v>
      </c>
      <c r="S479" t="s">
        <v>2672</v>
      </c>
      <c r="T479" t="s">
        <v>4362</v>
      </c>
      <c r="U479" t="s">
        <v>4362</v>
      </c>
      <c r="V479" t="s">
        <v>4362</v>
      </c>
      <c r="W479" t="s">
        <v>4839</v>
      </c>
      <c r="X479">
        <v>7</v>
      </c>
      <c r="Y479" t="s">
        <v>7000</v>
      </c>
      <c r="Z479" t="s">
        <v>9167</v>
      </c>
      <c r="AA479">
        <v>0.3673585981692931</v>
      </c>
      <c r="AB479">
        <f>HYPERLINK("Melting_Curves/meltCurve_P0A9B6_epd.pdf", "Melting_Curves/meltCurve_P0A9B6_epd.pdf")</f>
        <v>0</v>
      </c>
    </row>
    <row r="480" spans="1:28">
      <c r="A480" t="s">
        <v>506</v>
      </c>
      <c r="B480">
        <v>0.999739202189716</v>
      </c>
      <c r="C480">
        <v>0.898976332463329</v>
      </c>
      <c r="D480">
        <v>1.14853245283495</v>
      </c>
      <c r="E480">
        <v>0.87736824237432</v>
      </c>
      <c r="F480">
        <v>0.66117746986501</v>
      </c>
      <c r="G480">
        <v>0.280282695366028</v>
      </c>
      <c r="H480">
        <v>0.133133714070013</v>
      </c>
      <c r="I480">
        <v>0.08544010514039389</v>
      </c>
      <c r="J480">
        <v>0.08394418630097911</v>
      </c>
      <c r="K480">
        <v>0.0841874930006988</v>
      </c>
      <c r="L480">
        <v>1279.56872839688</v>
      </c>
      <c r="M480">
        <v>25.0091218835208</v>
      </c>
      <c r="N480">
        <v>51.5032290814029</v>
      </c>
      <c r="O480">
        <v>50.8403091652321</v>
      </c>
      <c r="P480">
        <v>-0.113643815883947</v>
      </c>
      <c r="Q480">
        <v>0.0759196070163678</v>
      </c>
      <c r="R480">
        <v>0.977978804621501</v>
      </c>
      <c r="S480" t="s">
        <v>2673</v>
      </c>
      <c r="T480" t="s">
        <v>4362</v>
      </c>
      <c r="U480" t="s">
        <v>4362</v>
      </c>
      <c r="V480" t="s">
        <v>4362</v>
      </c>
      <c r="W480" t="s">
        <v>4840</v>
      </c>
      <c r="X480">
        <v>6</v>
      </c>
      <c r="Y480" t="s">
        <v>7001</v>
      </c>
      <c r="Z480" t="s">
        <v>9168</v>
      </c>
      <c r="AA480">
        <v>0.5203670678693979</v>
      </c>
      <c r="AB480">
        <f>HYPERLINK("Melting_Curves/meltCurve_P0A9C3_galM.pdf", "Melting_Curves/meltCurve_P0A9C3_galM.pdf")</f>
        <v>0</v>
      </c>
    </row>
    <row r="481" spans="1:28">
      <c r="A481" t="s">
        <v>507</v>
      </c>
      <c r="B481">
        <v>0.999739202189716</v>
      </c>
      <c r="C481">
        <v>1.92687102317377</v>
      </c>
      <c r="D481">
        <v>1.80294149017986</v>
      </c>
      <c r="E481">
        <v>1.88909873982249</v>
      </c>
      <c r="F481">
        <v>1.05156605162052</v>
      </c>
      <c r="G481">
        <v>1.50395858568146</v>
      </c>
      <c r="H481">
        <v>0.71752038866655</v>
      </c>
      <c r="I481">
        <v>0.642450058026521</v>
      </c>
      <c r="J481">
        <v>0.134150676359365</v>
      </c>
      <c r="K481">
        <v>0.07678602016194699</v>
      </c>
      <c r="L481">
        <v>2073.93071752457</v>
      </c>
      <c r="M481">
        <v>33.7553567097327</v>
      </c>
      <c r="N481">
        <v>61.4400674112759</v>
      </c>
      <c r="O481">
        <v>61.2255907859502</v>
      </c>
      <c r="P481">
        <v>-0.137832406331623</v>
      </c>
      <c r="Q481">
        <v>0</v>
      </c>
      <c r="R481">
        <v>0.393859008834836</v>
      </c>
      <c r="S481" t="s">
        <v>2674</v>
      </c>
      <c r="T481" t="s">
        <v>4362</v>
      </c>
      <c r="U481" t="s">
        <v>4362</v>
      </c>
      <c r="V481" t="s">
        <v>4362</v>
      </c>
      <c r="W481" t="s">
        <v>4841</v>
      </c>
      <c r="X481">
        <v>11</v>
      </c>
      <c r="Y481" t="s">
        <v>7002</v>
      </c>
      <c r="Z481" t="s">
        <v>9169</v>
      </c>
      <c r="AA481">
        <v>0.8160904169881406</v>
      </c>
      <c r="AB481">
        <f>HYPERLINK("Melting_Curves/meltCurve_P0A9C5_glnA.pdf", "Melting_Curves/meltCurve_P0A9C5_glnA.pdf")</f>
        <v>0</v>
      </c>
    </row>
    <row r="482" spans="1:28">
      <c r="A482" t="s">
        <v>508</v>
      </c>
      <c r="B482">
        <v>0.999739202189716</v>
      </c>
      <c r="C482">
        <v>0.785373292609143</v>
      </c>
      <c r="D482">
        <v>0.493082962703555</v>
      </c>
      <c r="E482">
        <v>0.27407211257759</v>
      </c>
      <c r="F482">
        <v>0.187415975298738</v>
      </c>
      <c r="G482">
        <v>0.123395998710801</v>
      </c>
      <c r="H482">
        <v>0.107827357414586</v>
      </c>
      <c r="I482">
        <v>0.0898913928674136</v>
      </c>
      <c r="J482">
        <v>0.0887055318579287</v>
      </c>
      <c r="K482">
        <v>0.07670105613197641</v>
      </c>
      <c r="L482">
        <v>751.270486575949</v>
      </c>
      <c r="M482">
        <v>17.6085811463251</v>
      </c>
      <c r="N482">
        <v>43.1812638360309</v>
      </c>
      <c r="O482">
        <v>42.1261639765185</v>
      </c>
      <c r="P482">
        <v>-0.0945858878644989</v>
      </c>
      <c r="Q482">
        <v>0.09491260259857939</v>
      </c>
      <c r="R482">
        <v>0.994215042905773</v>
      </c>
      <c r="S482" t="s">
        <v>2675</v>
      </c>
      <c r="T482" t="s">
        <v>4362</v>
      </c>
      <c r="U482" t="s">
        <v>4362</v>
      </c>
      <c r="V482" t="s">
        <v>4362</v>
      </c>
      <c r="W482" t="s">
        <v>4842</v>
      </c>
      <c r="X482">
        <v>10</v>
      </c>
      <c r="Y482" t="s">
        <v>7003</v>
      </c>
      <c r="Z482" t="s">
        <v>9170</v>
      </c>
      <c r="AA482">
        <v>0.2830644425184199</v>
      </c>
      <c r="AB482">
        <f>HYPERLINK("Melting_Curves/meltCurve_P0A9C9_glpX.pdf", "Melting_Curves/meltCurve_P0A9C9_glpX.pdf")</f>
        <v>0</v>
      </c>
    </row>
    <row r="483" spans="1:28">
      <c r="A483" t="s">
        <v>509</v>
      </c>
      <c r="B483">
        <v>0.999739202189716</v>
      </c>
      <c r="C483">
        <v>0.856462080622598</v>
      </c>
      <c r="D483">
        <v>0.82207233395205</v>
      </c>
      <c r="E483">
        <v>0.640974023467296</v>
      </c>
      <c r="F483">
        <v>0.46779233787901</v>
      </c>
      <c r="G483">
        <v>0.247892728495623</v>
      </c>
      <c r="H483">
        <v>0.145246879758053</v>
      </c>
      <c r="I483">
        <v>0.0988330912349715</v>
      </c>
      <c r="J483">
        <v>0.07494983541221779</v>
      </c>
      <c r="K483">
        <v>0.0556987629716437</v>
      </c>
      <c r="L483">
        <v>532.3873126455391</v>
      </c>
      <c r="M483">
        <v>10.8816073553546</v>
      </c>
      <c r="N483">
        <v>48.925426680558</v>
      </c>
      <c r="O483">
        <v>47.360093114195</v>
      </c>
      <c r="P483">
        <v>-0.0574610213849857</v>
      </c>
      <c r="Q483">
        <v>0</v>
      </c>
      <c r="R483">
        <v>0.9936540633594469</v>
      </c>
      <c r="S483" t="s">
        <v>2676</v>
      </c>
      <c r="T483" t="s">
        <v>4362</v>
      </c>
      <c r="U483" t="s">
        <v>4362</v>
      </c>
      <c r="V483" t="s">
        <v>4362</v>
      </c>
      <c r="W483" t="s">
        <v>4843</v>
      </c>
      <c r="X483">
        <v>6</v>
      </c>
      <c r="Y483" t="s">
        <v>7004</v>
      </c>
      <c r="Z483" t="s">
        <v>9171</v>
      </c>
      <c r="AA483">
        <v>0.4313360161580942</v>
      </c>
      <c r="AB483">
        <f>HYPERLINK("Melting_Curves/meltCurve_P0A9D2_gstA.pdf", "Melting_Curves/meltCurve_P0A9D2_gstA.pdf")</f>
        <v>0</v>
      </c>
    </row>
    <row r="484" spans="1:28">
      <c r="A484" t="s">
        <v>510</v>
      </c>
      <c r="B484">
        <v>0.999739202189716</v>
      </c>
      <c r="C484">
        <v>1.05586018729076</v>
      </c>
      <c r="D484">
        <v>0.999729856800186</v>
      </c>
      <c r="E484">
        <v>0.9168580879635581</v>
      </c>
      <c r="F484">
        <v>0.860910092324494</v>
      </c>
      <c r="G484">
        <v>0.757656900307293</v>
      </c>
      <c r="H484">
        <v>0.536073245327946</v>
      </c>
      <c r="I484">
        <v>0.399135185240632</v>
      </c>
      <c r="J484">
        <v>0.192467967060102</v>
      </c>
      <c r="K484">
        <v>0.106129920202227</v>
      </c>
      <c r="L484">
        <v>774.160241335866</v>
      </c>
      <c r="M484">
        <v>13.3299832856411</v>
      </c>
      <c r="N484">
        <v>58.0766101580266</v>
      </c>
      <c r="O484">
        <v>56.8162320621109</v>
      </c>
      <c r="P484">
        <v>-0.0586633147484997</v>
      </c>
      <c r="Q484">
        <v>0</v>
      </c>
      <c r="R484">
        <v>0.989142245845418</v>
      </c>
      <c r="S484" t="s">
        <v>2677</v>
      </c>
      <c r="T484" t="s">
        <v>4362</v>
      </c>
      <c r="U484" t="s">
        <v>4362</v>
      </c>
      <c r="V484" t="s">
        <v>4362</v>
      </c>
      <c r="W484" t="s">
        <v>4844</v>
      </c>
      <c r="X484">
        <v>8</v>
      </c>
      <c r="Y484" t="s">
        <v>7005</v>
      </c>
      <c r="Z484" t="s">
        <v>9172</v>
      </c>
      <c r="AA484">
        <v>0.7038107750828145</v>
      </c>
      <c r="AB484">
        <f>HYPERLINK("Melting_Curves/meltCurve_P0A9D4_cysE.pdf", "Melting_Curves/meltCurve_P0A9D4_cysE.pdf")</f>
        <v>0</v>
      </c>
    </row>
    <row r="485" spans="1:28">
      <c r="A485" t="s">
        <v>511</v>
      </c>
      <c r="B485">
        <v>0.999739202189716</v>
      </c>
      <c r="C485">
        <v>0.948784283348745</v>
      </c>
      <c r="D485">
        <v>1.22546698536276</v>
      </c>
      <c r="E485">
        <v>0.959906842901586</v>
      </c>
      <c r="F485">
        <v>1.091674904252</v>
      </c>
      <c r="G485">
        <v>0.946762938247678</v>
      </c>
      <c r="H485">
        <v>0.681142448670359</v>
      </c>
      <c r="I485">
        <v>0.305383775366772</v>
      </c>
      <c r="J485">
        <v>0.103919235179421</v>
      </c>
      <c r="K485">
        <v>0.08725931168054279</v>
      </c>
      <c r="L485">
        <v>1796.173602865</v>
      </c>
      <c r="M485">
        <v>30.5647640597</v>
      </c>
      <c r="N485">
        <v>58.9950189537717</v>
      </c>
      <c r="O485">
        <v>58.5163033570274</v>
      </c>
      <c r="P485">
        <v>-0.12328276019402</v>
      </c>
      <c r="Q485">
        <v>0.0559051514445874</v>
      </c>
      <c r="R485">
        <v>0.958745245407808</v>
      </c>
      <c r="S485" t="s">
        <v>2678</v>
      </c>
      <c r="T485" t="s">
        <v>4362</v>
      </c>
      <c r="U485" t="s">
        <v>4362</v>
      </c>
      <c r="V485" t="s">
        <v>4362</v>
      </c>
      <c r="W485" t="s">
        <v>4845</v>
      </c>
      <c r="X485">
        <v>11</v>
      </c>
      <c r="Y485" t="s">
        <v>7006</v>
      </c>
      <c r="Z485" t="s">
        <v>9173</v>
      </c>
      <c r="AA485">
        <v>0.7455231097173681</v>
      </c>
      <c r="AB485">
        <f>HYPERLINK("Melting_Curves/meltCurve_P0A9D8_dapD.pdf", "Melting_Curves/meltCurve_P0A9D8_dapD.pdf")</f>
        <v>0</v>
      </c>
    </row>
    <row r="486" spans="1:28">
      <c r="A486" t="s">
        <v>512</v>
      </c>
      <c r="B486">
        <v>0.999739202189716</v>
      </c>
      <c r="C486">
        <v>1.12703323398707</v>
      </c>
      <c r="D486">
        <v>0.8779140905953881</v>
      </c>
      <c r="E486">
        <v>0.6031601561020909</v>
      </c>
      <c r="F486">
        <v>0.285632162640737</v>
      </c>
      <c r="G486">
        <v>0.180976600861931</v>
      </c>
      <c r="H486">
        <v>0.167502825599839</v>
      </c>
      <c r="I486">
        <v>0.136968781923498</v>
      </c>
      <c r="J486">
        <v>0.132871959855376</v>
      </c>
      <c r="K486">
        <v>0.0745870339019238</v>
      </c>
      <c r="L486">
        <v>1087.70922669558</v>
      </c>
      <c r="M486">
        <v>23.1514453723888</v>
      </c>
      <c r="N486">
        <v>47.5741703581372</v>
      </c>
      <c r="O486">
        <v>46.6360244517819</v>
      </c>
      <c r="P486">
        <v>-0.108580336522958</v>
      </c>
      <c r="Q486">
        <v>0.125123671250334</v>
      </c>
      <c r="R486">
        <v>0.983441320702737</v>
      </c>
      <c r="S486" t="s">
        <v>2679</v>
      </c>
      <c r="T486" t="s">
        <v>4362</v>
      </c>
      <c r="U486" t="s">
        <v>4362</v>
      </c>
      <c r="V486" t="s">
        <v>4362</v>
      </c>
      <c r="W486" t="s">
        <v>4846</v>
      </c>
      <c r="X486">
        <v>3</v>
      </c>
      <c r="Y486" t="s">
        <v>7007</v>
      </c>
      <c r="Z486" t="s">
        <v>9174</v>
      </c>
      <c r="AA486">
        <v>0.4248041477226704</v>
      </c>
      <c r="AB486">
        <f>HYPERLINK("Melting_Curves/meltCurve_P0A9E5_fnr.pdf", "Melting_Curves/meltCurve_P0A9E5_fnr.pdf")</f>
        <v>0</v>
      </c>
    </row>
    <row r="487" spans="1:28">
      <c r="A487" t="s">
        <v>513</v>
      </c>
      <c r="B487">
        <v>0.999739202189716</v>
      </c>
      <c r="C487">
        <v>0.987423295269193</v>
      </c>
      <c r="D487">
        <v>1.09631810656993</v>
      </c>
      <c r="E487">
        <v>1.15294643467423</v>
      </c>
      <c r="F487">
        <v>1.03176167207922</v>
      </c>
      <c r="G487">
        <v>0.863911125646511</v>
      </c>
      <c r="H487">
        <v>0.776224658067763</v>
      </c>
      <c r="I487">
        <v>0.626775243999509</v>
      </c>
      <c r="J487">
        <v>0.564909119164984</v>
      </c>
      <c r="K487">
        <v>0.5474453026436999</v>
      </c>
      <c r="L487">
        <v>1310.94589690006</v>
      </c>
      <c r="M487">
        <v>22.9087520863657</v>
      </c>
      <c r="O487">
        <v>56.793995602272</v>
      </c>
      <c r="P487">
        <v>-0.047122838558451</v>
      </c>
      <c r="Q487">
        <v>0.532712614471084</v>
      </c>
      <c r="R487">
        <v>0.914343108509775</v>
      </c>
      <c r="S487" t="s">
        <v>2680</v>
      </c>
      <c r="T487" t="s">
        <v>4362</v>
      </c>
      <c r="U487" t="s">
        <v>4362</v>
      </c>
      <c r="V487" t="s">
        <v>4362</v>
      </c>
      <c r="W487" t="s">
        <v>4847</v>
      </c>
      <c r="X487">
        <v>3</v>
      </c>
      <c r="Y487" t="s">
        <v>7008</v>
      </c>
      <c r="Z487" t="s">
        <v>9175</v>
      </c>
      <c r="AA487">
        <v>0.8513999337420999</v>
      </c>
      <c r="AB487">
        <f>HYPERLINK("Melting_Curves/meltCurve_P0A9F1_mntR.pdf", "Melting_Curves/meltCurve_P0A9F1_mntR.pdf")</f>
        <v>0</v>
      </c>
    </row>
    <row r="488" spans="1:28">
      <c r="A488" t="s">
        <v>514</v>
      </c>
      <c r="B488">
        <v>0.999739202189716</v>
      </c>
      <c r="C488">
        <v>1.07082781763286</v>
      </c>
      <c r="D488">
        <v>0.837943373026269</v>
      </c>
      <c r="E488">
        <v>0.647462456619164</v>
      </c>
      <c r="F488">
        <v>0.314424885223112</v>
      </c>
      <c r="G488">
        <v>0.195010411399794</v>
      </c>
      <c r="H488">
        <v>0.120379519490479</v>
      </c>
      <c r="I488">
        <v>0.0732487644500229</v>
      </c>
      <c r="J488">
        <v>0.0509448906233479</v>
      </c>
      <c r="K488">
        <v>0.0484805802794488</v>
      </c>
      <c r="L488">
        <v>839.229574405094</v>
      </c>
      <c r="M488">
        <v>17.5594124042122</v>
      </c>
      <c r="N488">
        <v>48.10569394528</v>
      </c>
      <c r="O488">
        <v>47.1867575318195</v>
      </c>
      <c r="P488">
        <v>-0.0880296239935211</v>
      </c>
      <c r="Q488">
        <v>0.0538162597909955</v>
      </c>
      <c r="R488">
        <v>0.990828359753849</v>
      </c>
      <c r="S488" t="s">
        <v>2681</v>
      </c>
      <c r="T488" t="s">
        <v>4362</v>
      </c>
      <c r="U488" t="s">
        <v>4362</v>
      </c>
      <c r="V488" t="s">
        <v>4362</v>
      </c>
      <c r="W488" t="s">
        <v>4848</v>
      </c>
      <c r="X488">
        <v>7</v>
      </c>
      <c r="Y488" t="s">
        <v>7009</v>
      </c>
      <c r="Z488" t="s">
        <v>9176</v>
      </c>
      <c r="AA488">
        <v>0.4100858492645893</v>
      </c>
      <c r="AB488">
        <f>HYPERLINK("Melting_Curves/meltCurve_P0A9F3_cysB.pdf", "Melting_Curves/meltCurve_P0A9F3_cysB.pdf")</f>
        <v>0</v>
      </c>
    </row>
    <row r="489" spans="1:28">
      <c r="A489" t="s">
        <v>515</v>
      </c>
      <c r="B489">
        <v>0.999739202189716</v>
      </c>
      <c r="C489">
        <v>0.871790219132606</v>
      </c>
      <c r="D489">
        <v>0.680998815377954</v>
      </c>
      <c r="E489">
        <v>0.443309259072817</v>
      </c>
      <c r="F489">
        <v>0.28607130206217</v>
      </c>
      <c r="G489">
        <v>0.250526778666461</v>
      </c>
      <c r="H489">
        <v>0.173468267410912</v>
      </c>
      <c r="I489">
        <v>0.156041465098139</v>
      </c>
      <c r="J489">
        <v>0.136123069057281</v>
      </c>
      <c r="K489">
        <v>0.113145815413134</v>
      </c>
      <c r="L489">
        <v>627.655834548136</v>
      </c>
      <c r="M489">
        <v>13.997667942465</v>
      </c>
      <c r="N489">
        <v>45.837633107536</v>
      </c>
      <c r="O489">
        <v>43.9545961617883</v>
      </c>
      <c r="P489">
        <v>-0.0691695374352467</v>
      </c>
      <c r="Q489">
        <v>0.13130771244619</v>
      </c>
      <c r="R489">
        <v>0.9951880020867691</v>
      </c>
      <c r="S489" t="s">
        <v>2682</v>
      </c>
      <c r="T489" t="s">
        <v>4362</v>
      </c>
      <c r="U489" t="s">
        <v>4362</v>
      </c>
      <c r="V489" t="s">
        <v>4362</v>
      </c>
      <c r="W489" t="s">
        <v>4849</v>
      </c>
      <c r="X489">
        <v>4</v>
      </c>
      <c r="Y489" t="s">
        <v>7010</v>
      </c>
      <c r="Z489" t="s">
        <v>9177</v>
      </c>
      <c r="AA489">
        <v>0.3821672780681282</v>
      </c>
      <c r="AB489">
        <f>HYPERLINK("Melting_Curves/meltCurve_P0A9F6_gcvA.pdf", "Melting_Curves/meltCurve_P0A9F6_gcvA.pdf")</f>
        <v>0</v>
      </c>
    </row>
    <row r="490" spans="1:28">
      <c r="A490" t="s">
        <v>516</v>
      </c>
      <c r="B490">
        <v>0.999739202189716</v>
      </c>
      <c r="C490">
        <v>0.568434833150621</v>
      </c>
      <c r="D490">
        <v>0.281656912111446</v>
      </c>
      <c r="E490">
        <v>0.137220830375076</v>
      </c>
      <c r="F490">
        <v>0.0651987147689856</v>
      </c>
      <c r="G490">
        <v>0.0346174530824524</v>
      </c>
      <c r="H490">
        <v>0.0280471822499065</v>
      </c>
      <c r="I490">
        <v>0.0207451732094615</v>
      </c>
      <c r="J490">
        <v>0.0192102772087927</v>
      </c>
      <c r="K490">
        <v>0.0159306112947488</v>
      </c>
      <c r="L490">
        <v>902.014949455327</v>
      </c>
      <c r="M490">
        <v>22.1407448495754</v>
      </c>
      <c r="N490">
        <v>40.8709507041415</v>
      </c>
      <c r="O490">
        <v>40.412069157681</v>
      </c>
      <c r="P490">
        <v>-0.132283384368647</v>
      </c>
      <c r="Q490">
        <v>0.0342278129293691</v>
      </c>
      <c r="R490">
        <v>0.98354842553013</v>
      </c>
      <c r="S490" t="s">
        <v>2683</v>
      </c>
      <c r="T490" t="s">
        <v>4362</v>
      </c>
      <c r="U490" t="s">
        <v>4362</v>
      </c>
      <c r="V490" t="s">
        <v>4362</v>
      </c>
      <c r="W490" t="s">
        <v>4850</v>
      </c>
      <c r="X490">
        <v>16</v>
      </c>
      <c r="Y490" t="s">
        <v>7011</v>
      </c>
      <c r="Z490" t="s">
        <v>9178</v>
      </c>
      <c r="AA490">
        <v>0.1682442406430662</v>
      </c>
      <c r="AB490">
        <f>HYPERLINK("Melting_Curves/meltCurve_P0A9G6_aceA.pdf", "Melting_Curves/meltCurve_P0A9G6_aceA.pdf")</f>
        <v>0</v>
      </c>
    </row>
    <row r="491" spans="1:28">
      <c r="A491" t="s">
        <v>517</v>
      </c>
      <c r="B491">
        <v>0.999739202189716</v>
      </c>
      <c r="C491">
        <v>0.79932792303221</v>
      </c>
      <c r="D491">
        <v>0.674995329231684</v>
      </c>
      <c r="E491">
        <v>0.31233343706505</v>
      </c>
      <c r="F491">
        <v>0.249617932986495</v>
      </c>
      <c r="G491">
        <v>0.174731611196127</v>
      </c>
      <c r="H491">
        <v>0.128698169902711</v>
      </c>
      <c r="I491">
        <v>0.107365272681306</v>
      </c>
      <c r="J491">
        <v>0.0898817665089596</v>
      </c>
      <c r="K491">
        <v>0.0706065536695976</v>
      </c>
      <c r="L491">
        <v>662.952651773438</v>
      </c>
      <c r="M491">
        <v>15.042420139442</v>
      </c>
      <c r="N491">
        <v>44.676857797249</v>
      </c>
      <c r="O491">
        <v>43.3153310615635</v>
      </c>
      <c r="P491">
        <v>-0.0788313418671558</v>
      </c>
      <c r="Q491">
        <v>0.09209733053577859</v>
      </c>
      <c r="R491">
        <v>0.987891858829216</v>
      </c>
      <c r="S491" t="s">
        <v>2684</v>
      </c>
      <c r="T491" t="s">
        <v>4362</v>
      </c>
      <c r="U491" t="s">
        <v>4362</v>
      </c>
      <c r="V491" t="s">
        <v>4362</v>
      </c>
      <c r="W491" t="s">
        <v>4851</v>
      </c>
      <c r="X491">
        <v>3</v>
      </c>
      <c r="Y491" t="s">
        <v>7012</v>
      </c>
      <c r="Z491" t="s">
        <v>9179</v>
      </c>
      <c r="AA491">
        <v>0.3284636153696839</v>
      </c>
      <c r="AB491">
        <f>HYPERLINK("Melting_Curves/meltCurve_P0A9G8_modE.pdf", "Melting_Curves/meltCurve_P0A9G8_modE.pdf")</f>
        <v>0</v>
      </c>
    </row>
    <row r="492" spans="1:28">
      <c r="A492" t="s">
        <v>518</v>
      </c>
      <c r="B492">
        <v>0.999739202189716</v>
      </c>
      <c r="C492">
        <v>0.588453551860104</v>
      </c>
      <c r="D492">
        <v>0.271003181526566</v>
      </c>
      <c r="E492">
        <v>0.174836468881032</v>
      </c>
      <c r="F492">
        <v>0.111685576010552</v>
      </c>
      <c r="G492">
        <v>0.0725585663215839</v>
      </c>
      <c r="H492">
        <v>0.0559664165533021</v>
      </c>
      <c r="I492">
        <v>0.0472673397985359</v>
      </c>
      <c r="J492">
        <v>0.0442243186318187</v>
      </c>
      <c r="K492">
        <v>0.0376309772052407</v>
      </c>
      <c r="L492">
        <v>964.659087243684</v>
      </c>
      <c r="M492">
        <v>23.7456996267991</v>
      </c>
      <c r="N492">
        <v>40.8774417361974</v>
      </c>
      <c r="O492">
        <v>40.3397558113939</v>
      </c>
      <c r="P492">
        <v>-0.137111420402665</v>
      </c>
      <c r="Q492">
        <v>0.0683029642095416</v>
      </c>
      <c r="R492">
        <v>0.981915352094315</v>
      </c>
      <c r="S492" t="s">
        <v>2685</v>
      </c>
      <c r="T492" t="s">
        <v>4362</v>
      </c>
      <c r="U492" t="s">
        <v>4362</v>
      </c>
      <c r="V492" t="s">
        <v>4362</v>
      </c>
      <c r="W492" t="s">
        <v>4852</v>
      </c>
      <c r="X492">
        <v>6</v>
      </c>
      <c r="Y492" t="s">
        <v>7013</v>
      </c>
      <c r="Z492" t="s">
        <v>9180</v>
      </c>
      <c r="AA492">
        <v>0.1922253564800576</v>
      </c>
      <c r="AB492">
        <f>HYPERLINK("Melting_Curves/meltCurve_P0A9H1_mug.pdf", "Melting_Curves/meltCurve_P0A9H1_mug.pdf")</f>
        <v>0</v>
      </c>
    </row>
    <row r="493" spans="1:28">
      <c r="A493" t="s">
        <v>519</v>
      </c>
      <c r="B493">
        <v>0.999739202189716</v>
      </c>
      <c r="C493">
        <v>1.16697897552943</v>
      </c>
      <c r="D493">
        <v>0.764836384139909</v>
      </c>
      <c r="E493">
        <v>0.451793145352826</v>
      </c>
      <c r="F493">
        <v>0.184987624956235</v>
      </c>
      <c r="G493">
        <v>0.137203492838378</v>
      </c>
      <c r="H493">
        <v>0.100971966337986</v>
      </c>
      <c r="I493">
        <v>0.08528195662103651</v>
      </c>
      <c r="J493">
        <v>0.104500973703864</v>
      </c>
      <c r="K493">
        <v>0.0984903431697878</v>
      </c>
      <c r="L493">
        <v>1126.75543913357</v>
      </c>
      <c r="M493">
        <v>24.7197033649701</v>
      </c>
      <c r="N493">
        <v>45.9998311672092</v>
      </c>
      <c r="O493">
        <v>45.2861102122491</v>
      </c>
      <c r="P493">
        <v>-0.122721929371828</v>
      </c>
      <c r="Q493">
        <v>0.100714019425458</v>
      </c>
      <c r="R493">
        <v>0.972549951699903</v>
      </c>
      <c r="S493" t="s">
        <v>2686</v>
      </c>
      <c r="T493" t="s">
        <v>4362</v>
      </c>
      <c r="U493" t="s">
        <v>4362</v>
      </c>
      <c r="V493" t="s">
        <v>4362</v>
      </c>
      <c r="W493" t="s">
        <v>4853</v>
      </c>
      <c r="X493">
        <v>2</v>
      </c>
      <c r="Y493" t="s">
        <v>7014</v>
      </c>
      <c r="Z493" t="s">
        <v>9181</v>
      </c>
      <c r="AA493">
        <v>0.3655397995591033</v>
      </c>
      <c r="AB493">
        <f>HYPERLINK("Melting_Curves/meltCurve_P0A9H3_cadA.pdf", "Melting_Curves/meltCurve_P0A9H3_cadA.pdf")</f>
        <v>0</v>
      </c>
    </row>
    <row r="494" spans="1:28">
      <c r="A494" t="s">
        <v>520</v>
      </c>
      <c r="B494">
        <v>0.999739202189716</v>
      </c>
      <c r="C494">
        <v>0.821428069460439</v>
      </c>
      <c r="D494">
        <v>0.577848542770804</v>
      </c>
      <c r="E494">
        <v>0.537597799847968</v>
      </c>
      <c r="F494">
        <v>0.456789620174783</v>
      </c>
      <c r="G494">
        <v>0.305658734855716</v>
      </c>
      <c r="H494">
        <v>0.302841224400168</v>
      </c>
      <c r="I494">
        <v>0.30027163248553</v>
      </c>
      <c r="J494">
        <v>0.231649978626621</v>
      </c>
      <c r="K494">
        <v>0.286273027228797</v>
      </c>
      <c r="L494">
        <v>509.997963134446</v>
      </c>
      <c r="M494">
        <v>11.6591028743101</v>
      </c>
      <c r="N494">
        <v>46.6729582327419</v>
      </c>
      <c r="O494">
        <v>42.5150717292783</v>
      </c>
      <c r="P494">
        <v>-0.050778717926784</v>
      </c>
      <c r="Q494">
        <v>0.25953852073357</v>
      </c>
      <c r="R494">
        <v>0.961981492583171</v>
      </c>
      <c r="S494" t="s">
        <v>2687</v>
      </c>
      <c r="T494" t="s">
        <v>4362</v>
      </c>
      <c r="U494" t="s">
        <v>4362</v>
      </c>
      <c r="V494" t="s">
        <v>4362</v>
      </c>
      <c r="W494" t="s">
        <v>4854</v>
      </c>
      <c r="X494">
        <v>4</v>
      </c>
      <c r="Y494" t="s">
        <v>7015</v>
      </c>
      <c r="Z494" t="s">
        <v>9182</v>
      </c>
      <c r="AA494">
        <v>0.456690931303146</v>
      </c>
      <c r="AB494">
        <f>HYPERLINK("Melting_Curves/meltCurve_P0A9H7_cfa.pdf", "Melting_Curves/meltCurve_P0A9H7_cfa.pdf")</f>
        <v>0</v>
      </c>
    </row>
    <row r="495" spans="1:28">
      <c r="A495" t="s">
        <v>521</v>
      </c>
      <c r="B495">
        <v>0.999739202189716</v>
      </c>
      <c r="C495">
        <v>1.05087928002196</v>
      </c>
      <c r="D495">
        <v>0.635540835595659</v>
      </c>
      <c r="E495">
        <v>0.953365905458157</v>
      </c>
      <c r="F495">
        <v>0.799570867916049</v>
      </c>
      <c r="G495">
        <v>0.699697193746309</v>
      </c>
      <c r="H495">
        <v>0.612000163853692</v>
      </c>
      <c r="I495">
        <v>0.584324198763304</v>
      </c>
      <c r="J495">
        <v>0.425651153561074</v>
      </c>
      <c r="K495">
        <v>0.488735206289158</v>
      </c>
      <c r="L495">
        <v>284.512702340744</v>
      </c>
      <c r="M495">
        <v>4.44589124315391</v>
      </c>
      <c r="N495">
        <v>63.9945324608429</v>
      </c>
      <c r="O495">
        <v>54.2084347486243</v>
      </c>
      <c r="P495">
        <v>-0.0206903630723123</v>
      </c>
      <c r="Q495">
        <v>0</v>
      </c>
      <c r="R495">
        <v>0.754510531708196</v>
      </c>
      <c r="S495" t="s">
        <v>2688</v>
      </c>
      <c r="T495" t="s">
        <v>4362</v>
      </c>
      <c r="U495" t="s">
        <v>4362</v>
      </c>
      <c r="V495" t="s">
        <v>4362</v>
      </c>
      <c r="W495" t="s">
        <v>4855</v>
      </c>
      <c r="X495">
        <v>5</v>
      </c>
      <c r="Y495" t="s">
        <v>7016</v>
      </c>
      <c r="Z495" t="s">
        <v>9183</v>
      </c>
      <c r="AA495">
        <v>0.7264827399904068</v>
      </c>
      <c r="AB495">
        <f>HYPERLINK("Melting_Curves/meltCurve_P0A9H9_cheZ.pdf", "Melting_Curves/meltCurve_P0A9H9_cheZ.pdf")</f>
        <v>0</v>
      </c>
    </row>
    <row r="496" spans="1:28">
      <c r="A496" t="s">
        <v>522</v>
      </c>
      <c r="B496">
        <v>0.999739202189716</v>
      </c>
      <c r="C496">
        <v>1.05555894824878</v>
      </c>
      <c r="D496">
        <v>0.742419289003541</v>
      </c>
      <c r="E496">
        <v>0.679673465955736</v>
      </c>
      <c r="F496">
        <v>0.663655153769383</v>
      </c>
      <c r="G496">
        <v>0.44842435151954</v>
      </c>
      <c r="H496">
        <v>0.336456119485596</v>
      </c>
      <c r="I496">
        <v>0.300109662917819</v>
      </c>
      <c r="J496">
        <v>0.277087502841584</v>
      </c>
      <c r="K496">
        <v>0.225121798306537</v>
      </c>
      <c r="L496">
        <v>460.106190920545</v>
      </c>
      <c r="M496">
        <v>9.15074891918505</v>
      </c>
      <c r="N496">
        <v>52.4526833686187</v>
      </c>
      <c r="O496">
        <v>48.0541156576377</v>
      </c>
      <c r="P496">
        <v>-0.0401263787833993</v>
      </c>
      <c r="Q496">
        <v>0.157698258733379</v>
      </c>
      <c r="R496">
        <v>0.95236852303469</v>
      </c>
      <c r="S496" t="s">
        <v>2689</v>
      </c>
      <c r="T496" t="s">
        <v>4362</v>
      </c>
      <c r="U496" t="s">
        <v>4362</v>
      </c>
      <c r="V496" t="s">
        <v>4362</v>
      </c>
      <c r="W496" t="s">
        <v>4856</v>
      </c>
      <c r="X496">
        <v>1</v>
      </c>
      <c r="Y496" t="s">
        <v>7017</v>
      </c>
      <c r="Z496" t="s">
        <v>9184</v>
      </c>
      <c r="AA496">
        <v>0.5605172651230732</v>
      </c>
      <c r="AB496">
        <f>HYPERLINK("Melting_Curves/meltCurve_P0A9I3_gcvR.pdf", "Melting_Curves/meltCurve_P0A9I3_gcvR.pdf")</f>
        <v>0</v>
      </c>
    </row>
    <row r="497" spans="1:28">
      <c r="A497" t="s">
        <v>523</v>
      </c>
      <c r="B497">
        <v>0.999739202189716</v>
      </c>
      <c r="C497">
        <v>1.13225381212064</v>
      </c>
      <c r="D497">
        <v>0.843384378999422</v>
      </c>
      <c r="E497">
        <v>0.389512284023403</v>
      </c>
      <c r="F497">
        <v>0.125067706581368</v>
      </c>
      <c r="G497">
        <v>0.0757021350702031</v>
      </c>
      <c r="H497">
        <v>0.0657223267180929</v>
      </c>
      <c r="I497">
        <v>0.0599989248478656</v>
      </c>
      <c r="J497">
        <v>0.0518511875905434</v>
      </c>
      <c r="K497">
        <v>0.0455868235309948</v>
      </c>
      <c r="L497">
        <v>1371.60600683535</v>
      </c>
      <c r="M497">
        <v>30.0626243405616</v>
      </c>
      <c r="N497">
        <v>45.8164333484092</v>
      </c>
      <c r="O497">
        <v>45.4245138263109</v>
      </c>
      <c r="P497">
        <v>-0.155687646592426</v>
      </c>
      <c r="Q497">
        <v>0.0590324887722526</v>
      </c>
      <c r="R497">
        <v>0.987339258647294</v>
      </c>
      <c r="S497" t="s">
        <v>2690</v>
      </c>
      <c r="T497" t="s">
        <v>4362</v>
      </c>
      <c r="U497" t="s">
        <v>4362</v>
      </c>
      <c r="V497" t="s">
        <v>4362</v>
      </c>
      <c r="W497" t="s">
        <v>4857</v>
      </c>
      <c r="X497">
        <v>3</v>
      </c>
      <c r="Y497" t="s">
        <v>7018</v>
      </c>
      <c r="Z497" t="s">
        <v>9185</v>
      </c>
      <c r="AA497">
        <v>0.3348703371098021</v>
      </c>
      <c r="AB497">
        <f>HYPERLINK("Melting_Curves/meltCurve_P0A9J0_rng.pdf", "Melting_Curves/meltCurve_P0A9J0_rng.pdf")</f>
        <v>0</v>
      </c>
    </row>
    <row r="498" spans="1:28">
      <c r="A498" t="s">
        <v>524</v>
      </c>
      <c r="B498">
        <v>0.999739202189716</v>
      </c>
      <c r="C498">
        <v>0.897562222558415</v>
      </c>
      <c r="D498">
        <v>0.996138079816977</v>
      </c>
      <c r="E498">
        <v>0.859370533162184</v>
      </c>
      <c r="F498">
        <v>0.882341453272118</v>
      </c>
      <c r="G498">
        <v>0.673436707187381</v>
      </c>
      <c r="H498">
        <v>0.5651807324956269</v>
      </c>
      <c r="I498">
        <v>0.433829429883238</v>
      </c>
      <c r="J498">
        <v>0.404423447307817</v>
      </c>
      <c r="K498">
        <v>0.304212213072105</v>
      </c>
      <c r="L498">
        <v>503.827844702064</v>
      </c>
      <c r="M498">
        <v>8.68674473071921</v>
      </c>
      <c r="N498">
        <v>59.5281164122133</v>
      </c>
      <c r="O498">
        <v>55.1718325508176</v>
      </c>
      <c r="P498">
        <v>-0.0354569063239433</v>
      </c>
      <c r="Q498">
        <v>0.09996237618758839</v>
      </c>
      <c r="R498">
        <v>0.9714942481589059</v>
      </c>
      <c r="S498" t="s">
        <v>2691</v>
      </c>
      <c r="T498" t="s">
        <v>4362</v>
      </c>
      <c r="U498" t="s">
        <v>4362</v>
      </c>
      <c r="V498" t="s">
        <v>4362</v>
      </c>
      <c r="W498" t="s">
        <v>4858</v>
      </c>
      <c r="X498">
        <v>5</v>
      </c>
      <c r="Y498" t="s">
        <v>7019</v>
      </c>
      <c r="Z498" t="s">
        <v>9186</v>
      </c>
      <c r="AA498">
        <v>0.7156502877886688</v>
      </c>
      <c r="AB498">
        <f>HYPERLINK("Melting_Curves/meltCurve_P0A9J6_rbsK.pdf", "Melting_Curves/meltCurve_P0A9J6_rbsK.pdf")</f>
        <v>0</v>
      </c>
    </row>
    <row r="499" spans="1:28">
      <c r="A499" t="s">
        <v>525</v>
      </c>
      <c r="B499">
        <v>0.999739202189716</v>
      </c>
      <c r="C499">
        <v>0.92188604273524</v>
      </c>
      <c r="D499">
        <v>0.755034674154742</v>
      </c>
      <c r="E499">
        <v>0.390392886209525</v>
      </c>
      <c r="F499">
        <v>0.165746151833086</v>
      </c>
      <c r="G499">
        <v>0.087447373313167</v>
      </c>
      <c r="H499">
        <v>0.06837398720582651</v>
      </c>
      <c r="I499">
        <v>0.0542832712547077</v>
      </c>
      <c r="J499">
        <v>0.04843108248198</v>
      </c>
      <c r="K499">
        <v>0.0477556658738844</v>
      </c>
      <c r="L499">
        <v>887.488062153184</v>
      </c>
      <c r="M499">
        <v>19.6141554515613</v>
      </c>
      <c r="N499">
        <v>45.4799763133926</v>
      </c>
      <c r="O499">
        <v>44.7848671145299</v>
      </c>
      <c r="P499">
        <v>-0.10426829586003</v>
      </c>
      <c r="Q499">
        <v>0.0477331182674455</v>
      </c>
      <c r="R499">
        <v>0.999690468782843</v>
      </c>
      <c r="S499" t="s">
        <v>2692</v>
      </c>
      <c r="T499" t="s">
        <v>4362</v>
      </c>
      <c r="U499" t="s">
        <v>4362</v>
      </c>
      <c r="V499" t="s">
        <v>4362</v>
      </c>
      <c r="W499" t="s">
        <v>4859</v>
      </c>
      <c r="X499">
        <v>10</v>
      </c>
      <c r="Y499" t="s">
        <v>7020</v>
      </c>
      <c r="Z499" t="s">
        <v>9187</v>
      </c>
      <c r="AA499">
        <v>0.3225250712055807</v>
      </c>
      <c r="AB499">
        <f>HYPERLINK("Melting_Curves/meltCurve_P0A9J8_pheA.pdf", "Melting_Curves/meltCurve_P0A9J8_pheA.pdf")</f>
        <v>0</v>
      </c>
    </row>
    <row r="500" spans="1:28">
      <c r="A500" t="s">
        <v>526</v>
      </c>
      <c r="B500">
        <v>0.999739202189716</v>
      </c>
      <c r="C500">
        <v>1.14754116627881</v>
      </c>
      <c r="D500">
        <v>1.07714449989228</v>
      </c>
      <c r="E500">
        <v>0.971588420337859</v>
      </c>
      <c r="F500">
        <v>0.822891806918821</v>
      </c>
      <c r="G500">
        <v>0.725989788178887</v>
      </c>
      <c r="H500">
        <v>0.476674139639221</v>
      </c>
      <c r="I500">
        <v>0.312847317020264</v>
      </c>
      <c r="J500">
        <v>0.186738462221745</v>
      </c>
      <c r="K500">
        <v>0.107321707090694</v>
      </c>
      <c r="L500">
        <v>789.780259216495</v>
      </c>
      <c r="M500">
        <v>13.8057973923862</v>
      </c>
      <c r="N500">
        <v>57.2064213205554</v>
      </c>
      <c r="O500">
        <v>56.0462356176653</v>
      </c>
      <c r="P500">
        <v>-0.061590784496747</v>
      </c>
      <c r="Q500">
        <v>0</v>
      </c>
      <c r="R500">
        <v>0.974708796607334</v>
      </c>
      <c r="S500" t="s">
        <v>2693</v>
      </c>
      <c r="T500" t="s">
        <v>4362</v>
      </c>
      <c r="U500" t="s">
        <v>4362</v>
      </c>
      <c r="V500" t="s">
        <v>4362</v>
      </c>
      <c r="W500" t="s">
        <v>4860</v>
      </c>
      <c r="X500">
        <v>11</v>
      </c>
      <c r="Y500" t="s">
        <v>7021</v>
      </c>
      <c r="Z500" t="s">
        <v>9188</v>
      </c>
      <c r="AA500">
        <v>0.6798874916526219</v>
      </c>
      <c r="AB500">
        <f>HYPERLINK("Melting_Curves/meltCurve_P0A9K3_ybeZ.pdf", "Melting_Curves/meltCurve_P0A9K3_ybeZ.pdf")</f>
        <v>0</v>
      </c>
    </row>
    <row r="501" spans="1:28">
      <c r="A501" t="s">
        <v>527</v>
      </c>
      <c r="B501">
        <v>0.999739202189716</v>
      </c>
      <c r="C501">
        <v>0.9233431983222991</v>
      </c>
      <c r="D501">
        <v>0.707598086441947</v>
      </c>
      <c r="E501">
        <v>0.73376672670378</v>
      </c>
      <c r="F501">
        <v>0.620799449275563</v>
      </c>
      <c r="G501">
        <v>0.406064042949781</v>
      </c>
      <c r="H501">
        <v>0.3375906118998</v>
      </c>
      <c r="I501">
        <v>0.226431248586532</v>
      </c>
      <c r="J501">
        <v>0.197586776782205</v>
      </c>
      <c r="K501">
        <v>0.14470499711764</v>
      </c>
      <c r="L501">
        <v>387.312448695615</v>
      </c>
      <c r="M501">
        <v>7.46836683447665</v>
      </c>
      <c r="N501">
        <v>51.8603942294325</v>
      </c>
      <c r="O501">
        <v>48.5323770508263</v>
      </c>
      <c r="P501">
        <v>-0.0385272396560648</v>
      </c>
      <c r="Q501">
        <v>0</v>
      </c>
      <c r="R501">
        <v>0.97430819278606</v>
      </c>
      <c r="S501" t="s">
        <v>2694</v>
      </c>
      <c r="T501" t="s">
        <v>4362</v>
      </c>
      <c r="U501" t="s">
        <v>4362</v>
      </c>
      <c r="V501" t="s">
        <v>4362</v>
      </c>
      <c r="W501" t="s">
        <v>4861</v>
      </c>
      <c r="X501">
        <v>8</v>
      </c>
      <c r="Y501" t="s">
        <v>7022</v>
      </c>
      <c r="Z501" t="s">
        <v>9189</v>
      </c>
      <c r="AA501">
        <v>0.5250960776625629</v>
      </c>
      <c r="AB501">
        <f>HYPERLINK("Melting_Curves/meltCurve_P0A9K7_phoU.pdf", "Melting_Curves/meltCurve_P0A9K7_phoU.pdf")</f>
        <v>0</v>
      </c>
    </row>
    <row r="502" spans="1:28">
      <c r="A502" t="s">
        <v>528</v>
      </c>
      <c r="B502">
        <v>0.999739202189716</v>
      </c>
      <c r="C502">
        <v>0.7960096859603391</v>
      </c>
      <c r="D502">
        <v>0.9067216632751069</v>
      </c>
      <c r="E502">
        <v>1.01266032053358</v>
      </c>
      <c r="F502">
        <v>0.962970947921945</v>
      </c>
      <c r="G502">
        <v>0.920492893260761</v>
      </c>
      <c r="H502">
        <v>0.74844471160685</v>
      </c>
      <c r="I502">
        <v>0.726151676698787</v>
      </c>
      <c r="J502">
        <v>0.565454608073633</v>
      </c>
      <c r="K502">
        <v>0.751754227884263</v>
      </c>
      <c r="L502">
        <v>1748.90118291128</v>
      </c>
      <c r="M502">
        <v>31.5090052320537</v>
      </c>
      <c r="O502">
        <v>55.2826710452632</v>
      </c>
      <c r="P502">
        <v>-0.0468596641865906</v>
      </c>
      <c r="Q502">
        <v>0.67113992682762</v>
      </c>
      <c r="R502">
        <v>0.621354355065279</v>
      </c>
      <c r="S502" t="s">
        <v>2695</v>
      </c>
      <c r="T502" t="s">
        <v>4362</v>
      </c>
      <c r="U502" t="s">
        <v>4362</v>
      </c>
      <c r="V502" t="s">
        <v>4362</v>
      </c>
      <c r="W502" t="s">
        <v>4862</v>
      </c>
      <c r="X502">
        <v>3</v>
      </c>
      <c r="Y502" t="s">
        <v>7023</v>
      </c>
      <c r="Z502" t="s">
        <v>9190</v>
      </c>
      <c r="AA502">
        <v>0.8758977901155736</v>
      </c>
      <c r="AB502">
        <f>HYPERLINK("Melting_Curves/meltCurve_P0A9K9_slyD.pdf", "Melting_Curves/meltCurve_P0A9K9_slyD.pdf")</f>
        <v>0</v>
      </c>
    </row>
    <row r="503" spans="1:28">
      <c r="A503" t="s">
        <v>529</v>
      </c>
      <c r="B503">
        <v>0.999739202189716</v>
      </c>
      <c r="C503">
        <v>0.920448881315463</v>
      </c>
      <c r="D503">
        <v>0.94871810432337</v>
      </c>
      <c r="E503">
        <v>1.04550863588476</v>
      </c>
      <c r="F503">
        <v>1.06954223922642</v>
      </c>
      <c r="G503">
        <v>0.828957122064031</v>
      </c>
      <c r="H503">
        <v>0.750232059562515</v>
      </c>
      <c r="I503">
        <v>0.607525953328879</v>
      </c>
      <c r="J503">
        <v>0.45158188109072</v>
      </c>
      <c r="K503">
        <v>0.378188346102387</v>
      </c>
      <c r="L503">
        <v>953.432718036623</v>
      </c>
      <c r="M503">
        <v>15.9240774358698</v>
      </c>
      <c r="N503">
        <v>62.9260053591629</v>
      </c>
      <c r="O503">
        <v>58.9533094441646</v>
      </c>
      <c r="P503">
        <v>-0.0493634631248209</v>
      </c>
      <c r="Q503">
        <v>0.269055053421019</v>
      </c>
      <c r="R503">
        <v>0.95025794599064</v>
      </c>
      <c r="S503" t="s">
        <v>2696</v>
      </c>
      <c r="T503" t="s">
        <v>4362</v>
      </c>
      <c r="U503" t="s">
        <v>4362</v>
      </c>
      <c r="V503" t="s">
        <v>4362</v>
      </c>
      <c r="W503" t="s">
        <v>4863</v>
      </c>
      <c r="X503">
        <v>9</v>
      </c>
      <c r="Y503" t="s">
        <v>7024</v>
      </c>
      <c r="Z503" t="s">
        <v>9191</v>
      </c>
      <c r="AA503">
        <v>0.823399013568441</v>
      </c>
      <c r="AB503">
        <f>HYPERLINK("Melting_Curves/meltCurve_P0A9L3_fklB.pdf", "Melting_Curves/meltCurve_P0A9L3_fklB.pdf")</f>
        <v>0</v>
      </c>
    </row>
    <row r="504" spans="1:28">
      <c r="A504" t="s">
        <v>530</v>
      </c>
      <c r="B504">
        <v>0.999739202189716</v>
      </c>
      <c r="C504">
        <v>1.02724383159766</v>
      </c>
      <c r="D504">
        <v>0.545523243451846</v>
      </c>
      <c r="E504">
        <v>0.927563377776115</v>
      </c>
      <c r="F504">
        <v>0.565181799759673</v>
      </c>
      <c r="G504">
        <v>0.279593535945271</v>
      </c>
      <c r="H504">
        <v>0.15854964454953</v>
      </c>
      <c r="I504">
        <v>0.0772329616001861</v>
      </c>
      <c r="J504">
        <v>0.0618552197204777</v>
      </c>
      <c r="K504">
        <v>0.0476917319178931</v>
      </c>
      <c r="L504">
        <v>611.00579321541</v>
      </c>
      <c r="M504">
        <v>12.0951223454262</v>
      </c>
      <c r="N504">
        <v>50.5167131578753</v>
      </c>
      <c r="O504">
        <v>49.1952732746783</v>
      </c>
      <c r="P504">
        <v>-0.0614792357505253</v>
      </c>
      <c r="Q504">
        <v>0</v>
      </c>
      <c r="R504">
        <v>0.883728237554081</v>
      </c>
      <c r="S504" t="s">
        <v>2697</v>
      </c>
      <c r="T504" t="s">
        <v>4362</v>
      </c>
      <c r="U504" t="s">
        <v>4362</v>
      </c>
      <c r="V504" t="s">
        <v>4362</v>
      </c>
      <c r="W504" t="s">
        <v>4864</v>
      </c>
      <c r="X504">
        <v>3</v>
      </c>
      <c r="Y504" t="s">
        <v>7025</v>
      </c>
      <c r="Z504" t="s">
        <v>9192</v>
      </c>
      <c r="AA504">
        <v>0.4773405934547419</v>
      </c>
      <c r="AB504">
        <f>HYPERLINK("Melting_Curves/meltCurve_P0A9L5_ppiC.pdf", "Melting_Curves/meltCurve_P0A9L5_ppiC.pdf")</f>
        <v>0</v>
      </c>
    </row>
    <row r="505" spans="1:28">
      <c r="A505" t="s">
        <v>531</v>
      </c>
      <c r="B505">
        <v>0.999739202189716</v>
      </c>
      <c r="C505">
        <v>0.7793641521158881</v>
      </c>
      <c r="D505">
        <v>0.562951600575715</v>
      </c>
      <c r="E505">
        <v>0.380689142516489</v>
      </c>
      <c r="F505">
        <v>0.211126257748365</v>
      </c>
      <c r="G505">
        <v>0.113311275424092</v>
      </c>
      <c r="H505">
        <v>0.0759498274240136</v>
      </c>
      <c r="I505">
        <v>0.0557056202953877</v>
      </c>
      <c r="J505">
        <v>0.0493336583050353</v>
      </c>
      <c r="K505">
        <v>0.0433844009240252</v>
      </c>
      <c r="L505">
        <v>573.275932875331</v>
      </c>
      <c r="M505">
        <v>13.0013959074613</v>
      </c>
      <c r="N505">
        <v>44.3335297224816</v>
      </c>
      <c r="O505">
        <v>43.0893764849456</v>
      </c>
      <c r="P505">
        <v>-0.0728810685720145</v>
      </c>
      <c r="Q505">
        <v>0.033997504815961</v>
      </c>
      <c r="R505">
        <v>0.992530763947804</v>
      </c>
      <c r="S505" t="s">
        <v>2698</v>
      </c>
      <c r="T505" t="s">
        <v>4362</v>
      </c>
      <c r="U505" t="s">
        <v>4362</v>
      </c>
      <c r="V505" t="s">
        <v>4362</v>
      </c>
      <c r="W505" t="s">
        <v>4865</v>
      </c>
      <c r="X505">
        <v>7</v>
      </c>
      <c r="Y505" t="s">
        <v>7026</v>
      </c>
      <c r="Z505" t="s">
        <v>9193</v>
      </c>
      <c r="AA505">
        <v>0.2942494575691468</v>
      </c>
      <c r="AB505">
        <f>HYPERLINK("Melting_Curves/meltCurve_P0A9L8_proC.pdf", "Melting_Curves/meltCurve_P0A9L8_proC.pdf")</f>
        <v>0</v>
      </c>
    </row>
    <row r="506" spans="1:28">
      <c r="A506" t="s">
        <v>532</v>
      </c>
      <c r="B506">
        <v>0.999739202189716</v>
      </c>
      <c r="C506">
        <v>0.854507212195567</v>
      </c>
      <c r="D506">
        <v>0.453982115452642</v>
      </c>
      <c r="E506">
        <v>0.320578137839859</v>
      </c>
      <c r="F506">
        <v>0.289493957758838</v>
      </c>
      <c r="G506">
        <v>0.23115590589759</v>
      </c>
      <c r="H506">
        <v>0.198979106026725</v>
      </c>
      <c r="I506">
        <v>0.179256346795231</v>
      </c>
      <c r="J506">
        <v>0.154261829130255</v>
      </c>
      <c r="K506">
        <v>0.116957116318878</v>
      </c>
      <c r="L506">
        <v>945.112594570429</v>
      </c>
      <c r="M506">
        <v>22.4165587814747</v>
      </c>
      <c r="N506">
        <v>43.0908488854833</v>
      </c>
      <c r="O506">
        <v>41.8301172963227</v>
      </c>
      <c r="P506">
        <v>-0.108293252934891</v>
      </c>
      <c r="Q506">
        <v>0.191699776079082</v>
      </c>
      <c r="R506">
        <v>0.974846558262296</v>
      </c>
      <c r="S506" t="s">
        <v>2699</v>
      </c>
      <c r="T506" t="s">
        <v>4362</v>
      </c>
      <c r="U506" t="s">
        <v>4362</v>
      </c>
      <c r="V506" t="s">
        <v>4362</v>
      </c>
      <c r="W506" t="s">
        <v>4866</v>
      </c>
      <c r="X506">
        <v>32</v>
      </c>
      <c r="Y506" t="s">
        <v>7027</v>
      </c>
      <c r="Z506" t="s">
        <v>9194</v>
      </c>
      <c r="AA506">
        <v>0.3399387335986512</v>
      </c>
      <c r="AB506">
        <f>HYPERLINK("Melting_Curves/meltCurve_P0A9M0_lon.pdf", "Melting_Curves/meltCurve_P0A9M0_lon.pdf")</f>
        <v>0</v>
      </c>
    </row>
    <row r="507" spans="1:28">
      <c r="A507" t="s">
        <v>533</v>
      </c>
      <c r="B507">
        <v>0.999739202189716</v>
      </c>
      <c r="C507">
        <v>0.830337408065268</v>
      </c>
      <c r="D507">
        <v>0.730783650149436</v>
      </c>
      <c r="E507">
        <v>0.569761039050439</v>
      </c>
      <c r="F507">
        <v>0.320150943413069</v>
      </c>
      <c r="G507">
        <v>0.164939024842822</v>
      </c>
      <c r="H507">
        <v>0.121422365824266</v>
      </c>
      <c r="I507">
        <v>0.0784632842870913</v>
      </c>
      <c r="J507">
        <v>0.0652959205874592</v>
      </c>
      <c r="K507">
        <v>0.06464446522142631</v>
      </c>
      <c r="L507">
        <v>542.528519730132</v>
      </c>
      <c r="M507">
        <v>11.5908640567688</v>
      </c>
      <c r="N507">
        <v>46.9691681283355</v>
      </c>
      <c r="O507">
        <v>45.4783990296645</v>
      </c>
      <c r="P507">
        <v>-0.0624804768186559</v>
      </c>
      <c r="Q507">
        <v>0.0196661930435413</v>
      </c>
      <c r="R507">
        <v>0.992633724726922</v>
      </c>
      <c r="S507" t="s">
        <v>2700</v>
      </c>
      <c r="T507" t="s">
        <v>4362</v>
      </c>
      <c r="U507" t="s">
        <v>4362</v>
      </c>
      <c r="V507" t="s">
        <v>4362</v>
      </c>
      <c r="W507" t="s">
        <v>4867</v>
      </c>
      <c r="X507">
        <v>4</v>
      </c>
      <c r="Y507" t="s">
        <v>7028</v>
      </c>
      <c r="Z507" t="s">
        <v>9195</v>
      </c>
      <c r="AA507">
        <v>0.3744863042060204</v>
      </c>
      <c r="AB507">
        <f>HYPERLINK("Melting_Curves/meltCurve_P0A9M2_hpt.pdf", "Melting_Curves/meltCurve_P0A9M2_hpt.pdf")</f>
        <v>0</v>
      </c>
    </row>
    <row r="508" spans="1:28">
      <c r="A508" t="s">
        <v>534</v>
      </c>
      <c r="B508">
        <v>0.999739202189716</v>
      </c>
      <c r="C508">
        <v>0.880867984865666</v>
      </c>
      <c r="D508">
        <v>1.06048963728896</v>
      </c>
      <c r="E508">
        <v>0.960466330653746</v>
      </c>
      <c r="F508">
        <v>1.04862429759733</v>
      </c>
      <c r="G508">
        <v>0.904175168937616</v>
      </c>
      <c r="H508">
        <v>0.687332584763468</v>
      </c>
      <c r="I508">
        <v>0.371144312292419</v>
      </c>
      <c r="J508">
        <v>0.158716835961707</v>
      </c>
      <c r="K508">
        <v>0.103243030859134</v>
      </c>
      <c r="L508">
        <v>1408.75269306486</v>
      </c>
      <c r="M508">
        <v>23.7929320537562</v>
      </c>
      <c r="N508">
        <v>59.4142491989647</v>
      </c>
      <c r="O508">
        <v>58.7953734234972</v>
      </c>
      <c r="P508">
        <v>-0.0971761835795992</v>
      </c>
      <c r="Q508">
        <v>0.0394766855108543</v>
      </c>
      <c r="R508">
        <v>0.98074895351282</v>
      </c>
      <c r="S508" t="s">
        <v>2701</v>
      </c>
      <c r="T508" t="s">
        <v>4362</v>
      </c>
      <c r="U508" t="s">
        <v>4362</v>
      </c>
      <c r="V508" t="s">
        <v>4362</v>
      </c>
      <c r="W508" t="s">
        <v>4868</v>
      </c>
      <c r="X508">
        <v>4</v>
      </c>
      <c r="Y508" t="s">
        <v>7029</v>
      </c>
      <c r="Z508" t="s">
        <v>9196</v>
      </c>
      <c r="AA508">
        <v>0.7549209370372447</v>
      </c>
      <c r="AB508">
        <f>HYPERLINK("Melting_Curves/meltCurve_P0A9M5_gpt.pdf", "Melting_Curves/meltCurve_P0A9M5_gpt.pdf")</f>
        <v>0</v>
      </c>
    </row>
    <row r="509" spans="1:28">
      <c r="A509" t="s">
        <v>535</v>
      </c>
      <c r="B509">
        <v>0.999739202189716</v>
      </c>
      <c r="C509">
        <v>1.41137242238523</v>
      </c>
      <c r="D509">
        <v>1.23435776795153</v>
      </c>
      <c r="E509">
        <v>1.37984971035241</v>
      </c>
      <c r="F509">
        <v>0.369895799098472</v>
      </c>
      <c r="G509">
        <v>0.113688333316593</v>
      </c>
      <c r="H509">
        <v>0.0642645398866354</v>
      </c>
      <c r="I509">
        <v>0.0468562514761675</v>
      </c>
      <c r="J509">
        <v>0.0443460709912469</v>
      </c>
      <c r="K509">
        <v>0.0358627952420997</v>
      </c>
      <c r="L509">
        <v>12514.2127856573</v>
      </c>
      <c r="M509">
        <v>250</v>
      </c>
      <c r="N509">
        <v>50.082917687892</v>
      </c>
      <c r="O509">
        <v>50.0536450731796</v>
      </c>
      <c r="P509">
        <v>-1.17248748589798</v>
      </c>
      <c r="Q509">
        <v>0.0610035896722298</v>
      </c>
      <c r="R509">
        <v>0.888159342545858</v>
      </c>
      <c r="S509" t="s">
        <v>2702</v>
      </c>
      <c r="T509" t="s">
        <v>4362</v>
      </c>
      <c r="U509" t="s">
        <v>4362</v>
      </c>
      <c r="V509" t="s">
        <v>4362</v>
      </c>
      <c r="W509" t="s">
        <v>4869</v>
      </c>
      <c r="X509">
        <v>22</v>
      </c>
      <c r="Y509" t="s">
        <v>7030</v>
      </c>
      <c r="Z509" t="s">
        <v>9197</v>
      </c>
      <c r="AA509">
        <v>0.4697639579999974</v>
      </c>
      <c r="AB509">
        <f>HYPERLINK("Melting_Curves/meltCurve_P0A9M8_pta.pdf", "Melting_Curves/meltCurve_P0A9M8_pta.pdf")</f>
        <v>0</v>
      </c>
    </row>
    <row r="510" spans="1:28">
      <c r="A510" t="s">
        <v>536</v>
      </c>
      <c r="B510">
        <v>0.999739202189716</v>
      </c>
      <c r="C510">
        <v>0.895768790170295</v>
      </c>
      <c r="D510">
        <v>0.815597306919969</v>
      </c>
      <c r="E510">
        <v>0.912115757546392</v>
      </c>
      <c r="F510">
        <v>0.728416091674941</v>
      </c>
      <c r="G510">
        <v>0.578094730154955</v>
      </c>
      <c r="H510">
        <v>0.424188701929849</v>
      </c>
      <c r="I510">
        <v>0.34720534943634</v>
      </c>
      <c r="J510">
        <v>0.252926681996653</v>
      </c>
      <c r="K510">
        <v>0.307088606625858</v>
      </c>
      <c r="L510">
        <v>453.409567769697</v>
      </c>
      <c r="M510">
        <v>8.30482007749942</v>
      </c>
      <c r="N510">
        <v>55.954765487708</v>
      </c>
      <c r="O510">
        <v>51.7051871977342</v>
      </c>
      <c r="P510">
        <v>-0.0365236327138272</v>
      </c>
      <c r="Q510">
        <v>0.0913198443118596</v>
      </c>
      <c r="R510">
        <v>0.959929188573539</v>
      </c>
      <c r="S510" t="s">
        <v>2703</v>
      </c>
      <c r="T510" t="s">
        <v>4362</v>
      </c>
      <c r="U510" t="s">
        <v>4362</v>
      </c>
      <c r="V510" t="s">
        <v>4362</v>
      </c>
      <c r="W510" t="s">
        <v>4870</v>
      </c>
      <c r="X510">
        <v>1</v>
      </c>
      <c r="Y510" t="s">
        <v>7031</v>
      </c>
      <c r="Z510" t="s">
        <v>9198</v>
      </c>
      <c r="AA510">
        <v>0.6342569409817247</v>
      </c>
      <c r="AB510">
        <f>HYPERLINK("Melting_Curves/meltCurve_P0A9N0_ptsO.pdf", "Melting_Curves/meltCurve_P0A9N0_ptsO.pdf")</f>
        <v>0</v>
      </c>
    </row>
    <row r="511" spans="1:28">
      <c r="A511" t="s">
        <v>537</v>
      </c>
      <c r="B511">
        <v>0.999739202189716</v>
      </c>
      <c r="C511">
        <v>0.777446915767523</v>
      </c>
      <c r="D511">
        <v>0.618263994474584</v>
      </c>
      <c r="E511">
        <v>0.367754419895879</v>
      </c>
      <c r="F511">
        <v>0.264616597157221</v>
      </c>
      <c r="G511">
        <v>0.15538412391818</v>
      </c>
      <c r="H511">
        <v>0.11283355240259</v>
      </c>
      <c r="I511">
        <v>0.0866032110811433</v>
      </c>
      <c r="J511">
        <v>0.08538770958945011</v>
      </c>
      <c r="K511">
        <v>0.06727571337402841</v>
      </c>
      <c r="L511">
        <v>569.3913559828879</v>
      </c>
      <c r="M511">
        <v>12.8783864504556</v>
      </c>
      <c r="N511">
        <v>44.7125336718501</v>
      </c>
      <c r="O511">
        <v>43.1875861654441</v>
      </c>
      <c r="P511">
        <v>-0.0695662499136256</v>
      </c>
      <c r="Q511">
        <v>0.06701087872566321</v>
      </c>
      <c r="R511">
        <v>0.992225548309732</v>
      </c>
      <c r="S511" t="s">
        <v>2704</v>
      </c>
      <c r="T511" t="s">
        <v>4362</v>
      </c>
      <c r="U511" t="s">
        <v>4362</v>
      </c>
      <c r="V511" t="s">
        <v>4362</v>
      </c>
      <c r="W511" t="s">
        <v>4871</v>
      </c>
      <c r="X511">
        <v>5</v>
      </c>
      <c r="Y511" t="s">
        <v>7032</v>
      </c>
      <c r="Z511" t="s">
        <v>9199</v>
      </c>
      <c r="AA511">
        <v>0.3224366318407463</v>
      </c>
      <c r="AB511">
        <f>HYPERLINK("Melting_Curves/meltCurve_P0A9N4_pflA.pdf", "Melting_Curves/meltCurve_P0A9N4_pflA.pdf")</f>
        <v>0</v>
      </c>
    </row>
    <row r="512" spans="1:28">
      <c r="A512" t="s">
        <v>538</v>
      </c>
      <c r="B512">
        <v>0.999739202189716</v>
      </c>
      <c r="C512">
        <v>1.09285096833958</v>
      </c>
      <c r="D512">
        <v>1.43524118689787</v>
      </c>
      <c r="E512">
        <v>0.64446577073218</v>
      </c>
      <c r="F512">
        <v>0.293251676149558</v>
      </c>
      <c r="G512">
        <v>0.162162734320334</v>
      </c>
      <c r="H512">
        <v>0.07809521368223871</v>
      </c>
      <c r="I512">
        <v>0.0464464809884228</v>
      </c>
      <c r="J512">
        <v>0.0359782818432304</v>
      </c>
      <c r="K512">
        <v>0.028661254894894</v>
      </c>
      <c r="L512">
        <v>1601.56425522034</v>
      </c>
      <c r="M512">
        <v>33.4147456758942</v>
      </c>
      <c r="N512">
        <v>48.1467250585633</v>
      </c>
      <c r="O512">
        <v>47.7591760431706</v>
      </c>
      <c r="P512">
        <v>-0.162693393331966</v>
      </c>
      <c r="Q512">
        <v>0.0698634105742626</v>
      </c>
      <c r="R512">
        <v>0.904330381035406</v>
      </c>
      <c r="S512" t="s">
        <v>2705</v>
      </c>
      <c r="T512" t="s">
        <v>4362</v>
      </c>
      <c r="U512" t="s">
        <v>4362</v>
      </c>
      <c r="V512" t="s">
        <v>4362</v>
      </c>
      <c r="W512" t="s">
        <v>4872</v>
      </c>
      <c r="X512">
        <v>20</v>
      </c>
      <c r="Y512" t="s">
        <v>7033</v>
      </c>
      <c r="Z512" t="s">
        <v>9200</v>
      </c>
      <c r="AA512">
        <v>0.4131676198023351</v>
      </c>
      <c r="AB512">
        <f>HYPERLINK("Melting_Curves/meltCurve_P0A9P0_lpdA.pdf", "Melting_Curves/meltCurve_P0A9P0_lpdA.pdf")</f>
        <v>0</v>
      </c>
    </row>
    <row r="513" spans="1:28">
      <c r="A513" t="s">
        <v>539</v>
      </c>
      <c r="B513">
        <v>0.999739202189716</v>
      </c>
      <c r="C513">
        <v>0.98471148322865</v>
      </c>
      <c r="D513">
        <v>1.04012866661683</v>
      </c>
      <c r="E513">
        <v>1.00880947634852</v>
      </c>
      <c r="F513">
        <v>0.99716451911531</v>
      </c>
      <c r="G513">
        <v>0.82481519592689</v>
      </c>
      <c r="H513">
        <v>0.749386671672588</v>
      </c>
      <c r="I513">
        <v>0.611103236388962</v>
      </c>
      <c r="J513">
        <v>0.564062683139702</v>
      </c>
      <c r="K513">
        <v>0.380991070050697</v>
      </c>
      <c r="L513">
        <v>687.9138390409109</v>
      </c>
      <c r="M513">
        <v>11.0321087331041</v>
      </c>
      <c r="N513">
        <v>64.27864151029171</v>
      </c>
      <c r="O513">
        <v>60.4118654947231</v>
      </c>
      <c r="P513">
        <v>-0.0392499104166954</v>
      </c>
      <c r="Q513">
        <v>0.140556145291834</v>
      </c>
      <c r="R513">
        <v>0.973139787878747</v>
      </c>
      <c r="S513" t="s">
        <v>2706</v>
      </c>
      <c r="T513" t="s">
        <v>4362</v>
      </c>
      <c r="U513" t="s">
        <v>4362</v>
      </c>
      <c r="V513" t="s">
        <v>4362</v>
      </c>
      <c r="W513" t="s">
        <v>4873</v>
      </c>
      <c r="X513">
        <v>8</v>
      </c>
      <c r="Y513" t="s">
        <v>7034</v>
      </c>
      <c r="Z513" t="s">
        <v>9201</v>
      </c>
      <c r="AA513">
        <v>0.8274009610035665</v>
      </c>
      <c r="AB513">
        <f>HYPERLINK("Melting_Curves/meltCurve_P0A9P4_trxB.pdf", "Melting_Curves/meltCurve_P0A9P4_trxB.pdf")</f>
        <v>0</v>
      </c>
    </row>
    <row r="514" spans="1:28">
      <c r="A514" t="s">
        <v>540</v>
      </c>
      <c r="B514">
        <v>0.999739202189716</v>
      </c>
      <c r="C514">
        <v>1.65135454697247</v>
      </c>
      <c r="D514">
        <v>0.164386674627386</v>
      </c>
      <c r="E514">
        <v>0.531434127099024</v>
      </c>
      <c r="F514">
        <v>0.7822801074128281</v>
      </c>
      <c r="G514">
        <v>0.251940956824948</v>
      </c>
      <c r="H514">
        <v>0.390002367111326</v>
      </c>
      <c r="I514">
        <v>0.149362529587488</v>
      </c>
      <c r="J514">
        <v>0.16227118031837</v>
      </c>
      <c r="K514">
        <v>0.169943548695623</v>
      </c>
      <c r="L514">
        <v>495.509364330054</v>
      </c>
      <c r="M514">
        <v>10.3546513953466</v>
      </c>
      <c r="N514">
        <v>49.4376773371346</v>
      </c>
      <c r="O514">
        <v>46.1721194473044</v>
      </c>
      <c r="P514">
        <v>-0.0481715666277467</v>
      </c>
      <c r="Q514">
        <v>0.141163597618548</v>
      </c>
      <c r="R514">
        <v>0.496175241519761</v>
      </c>
      <c r="S514" t="s">
        <v>2707</v>
      </c>
      <c r="T514" t="s">
        <v>4362</v>
      </c>
      <c r="U514" t="s">
        <v>4362</v>
      </c>
      <c r="V514" t="s">
        <v>4362</v>
      </c>
      <c r="W514" t="s">
        <v>4874</v>
      </c>
      <c r="X514">
        <v>1</v>
      </c>
      <c r="Y514" t="s">
        <v>7035</v>
      </c>
      <c r="Z514" t="s">
        <v>9202</v>
      </c>
      <c r="AA514">
        <v>0.4852004282655401</v>
      </c>
      <c r="AB514">
        <f>HYPERLINK("Melting_Curves/meltCurve_P0A9P9_idnO.pdf", "Melting_Curves/meltCurve_P0A9P9_idnO.pdf")</f>
        <v>0</v>
      </c>
    </row>
    <row r="515" spans="1:28">
      <c r="A515" t="s">
        <v>541</v>
      </c>
      <c r="B515">
        <v>0.999739202189716</v>
      </c>
      <c r="C515">
        <v>0.9051950907176149</v>
      </c>
      <c r="D515">
        <v>0.952523322050674</v>
      </c>
      <c r="E515">
        <v>0.940415397600787</v>
      </c>
      <c r="F515">
        <v>0.8082348355803241</v>
      </c>
      <c r="G515">
        <v>0.5932480152820681</v>
      </c>
      <c r="H515">
        <v>0.510436655459077</v>
      </c>
      <c r="I515">
        <v>0.274939406862561</v>
      </c>
      <c r="J515">
        <v>0.191200345957745</v>
      </c>
      <c r="K515">
        <v>0.131433682406507</v>
      </c>
      <c r="L515">
        <v>644.053750246703</v>
      </c>
      <c r="M515">
        <v>11.4242037792184</v>
      </c>
      <c r="N515">
        <v>56.3762484671919</v>
      </c>
      <c r="O515">
        <v>54.7317883949137</v>
      </c>
      <c r="P515">
        <v>-0.0521978966257285</v>
      </c>
      <c r="Q515">
        <v>0</v>
      </c>
      <c r="R515">
        <v>0.98601161628692</v>
      </c>
      <c r="S515" t="s">
        <v>2708</v>
      </c>
      <c r="T515" t="s">
        <v>4362</v>
      </c>
      <c r="U515" t="s">
        <v>4362</v>
      </c>
      <c r="V515" t="s">
        <v>4362</v>
      </c>
      <c r="W515" t="s">
        <v>4875</v>
      </c>
      <c r="X515">
        <v>10</v>
      </c>
      <c r="Y515" t="s">
        <v>7036</v>
      </c>
      <c r="Z515" t="s">
        <v>9203</v>
      </c>
      <c r="AA515">
        <v>0.6528735814115479</v>
      </c>
      <c r="AB515">
        <f>HYPERLINK("Melting_Curves/meltCurve_P0A9Q1_arcA.pdf", "Melting_Curves/meltCurve_P0A9Q1_arcA.pdf")</f>
        <v>0</v>
      </c>
    </row>
    <row r="516" spans="1:28">
      <c r="A516" t="s">
        <v>542</v>
      </c>
      <c r="B516">
        <v>0.999739202189716</v>
      </c>
      <c r="C516">
        <v>0.864183102061875</v>
      </c>
      <c r="D516">
        <v>0.774560310377049</v>
      </c>
      <c r="E516">
        <v>0.622842679823263</v>
      </c>
      <c r="F516">
        <v>0.452452336539554</v>
      </c>
      <c r="G516">
        <v>0.335684762352614</v>
      </c>
      <c r="H516">
        <v>0.11110132907229</v>
      </c>
      <c r="I516">
        <v>0.08107396833743009</v>
      </c>
      <c r="J516">
        <v>0.0763328215083883</v>
      </c>
      <c r="K516">
        <v>0.0702921141088356</v>
      </c>
      <c r="L516">
        <v>497.542885830009</v>
      </c>
      <c r="M516">
        <v>10.1998373315099</v>
      </c>
      <c r="N516">
        <v>48.7794747464906</v>
      </c>
      <c r="O516">
        <v>47.0159751788118</v>
      </c>
      <c r="P516">
        <v>-0.0542604753856917</v>
      </c>
      <c r="Q516">
        <v>0</v>
      </c>
      <c r="R516">
        <v>0.988499064484089</v>
      </c>
      <c r="S516" t="s">
        <v>2709</v>
      </c>
      <c r="T516" t="s">
        <v>4362</v>
      </c>
      <c r="U516" t="s">
        <v>4362</v>
      </c>
      <c r="V516" t="s">
        <v>4362</v>
      </c>
      <c r="W516" t="s">
        <v>4876</v>
      </c>
      <c r="X516">
        <v>14</v>
      </c>
      <c r="Y516" t="s">
        <v>7037</v>
      </c>
      <c r="Z516" t="s">
        <v>9204</v>
      </c>
      <c r="AA516">
        <v>0.4295962341041529</v>
      </c>
      <c r="AB516">
        <f>HYPERLINK("Melting_Curves/meltCurve_P0A9Q5_accD.pdf", "Melting_Curves/meltCurve_P0A9Q5_accD.pdf")</f>
        <v>0</v>
      </c>
    </row>
    <row r="517" spans="1:28">
      <c r="A517" t="s">
        <v>543</v>
      </c>
      <c r="B517">
        <v>0.999739202189716</v>
      </c>
      <c r="C517">
        <v>0.80936498214641</v>
      </c>
      <c r="D517">
        <v>0.397720480026768</v>
      </c>
      <c r="E517">
        <v>0.332365629356707</v>
      </c>
      <c r="F517">
        <v>0.287472725991597</v>
      </c>
      <c r="G517">
        <v>0.204619840157394</v>
      </c>
      <c r="H517">
        <v>0.18632143805078</v>
      </c>
      <c r="I517">
        <v>0.154387034439683</v>
      </c>
      <c r="J517">
        <v>0.139095867905414</v>
      </c>
      <c r="K517">
        <v>0.0977743118562006</v>
      </c>
      <c r="L517">
        <v>878.938688263972</v>
      </c>
      <c r="M517">
        <v>21.0107977796877</v>
      </c>
      <c r="N517">
        <v>42.7143242216002</v>
      </c>
      <c r="O517">
        <v>41.4593035190915</v>
      </c>
      <c r="P517">
        <v>-0.104408317580424</v>
      </c>
      <c r="Q517">
        <v>0.175932423548949</v>
      </c>
      <c r="R517">
        <v>0.963775815102264</v>
      </c>
      <c r="S517" t="s">
        <v>2710</v>
      </c>
      <c r="T517" t="s">
        <v>4362</v>
      </c>
      <c r="U517" t="s">
        <v>4362</v>
      </c>
      <c r="V517" t="s">
        <v>4362</v>
      </c>
      <c r="W517" t="s">
        <v>4877</v>
      </c>
      <c r="X517">
        <v>22</v>
      </c>
      <c r="Y517" t="s">
        <v>7038</v>
      </c>
      <c r="Z517" t="s">
        <v>9205</v>
      </c>
      <c r="AA517">
        <v>0.3199352147412453</v>
      </c>
      <c r="AB517">
        <f>HYPERLINK("Melting_Curves/meltCurve_P0A9Q7_adhE.pdf", "Melting_Curves/meltCurve_P0A9Q7_adhE.pdf")</f>
        <v>0</v>
      </c>
    </row>
    <row r="518" spans="1:28">
      <c r="A518" t="s">
        <v>544</v>
      </c>
      <c r="B518">
        <v>0.999739202189716</v>
      </c>
      <c r="C518">
        <v>0.821844851308221</v>
      </c>
      <c r="D518">
        <v>1.01202490191978</v>
      </c>
      <c r="E518">
        <v>0.837545271190234</v>
      </c>
      <c r="F518">
        <v>1.13601889117847</v>
      </c>
      <c r="G518">
        <v>0.913486120909232</v>
      </c>
      <c r="H518">
        <v>0.926394562584977</v>
      </c>
      <c r="I518">
        <v>0.469730002275746</v>
      </c>
      <c r="J518">
        <v>0.130515607158257</v>
      </c>
      <c r="K518">
        <v>0.08702444758144</v>
      </c>
      <c r="L518">
        <v>2648.56739172341</v>
      </c>
      <c r="M518">
        <v>43.7038056511311</v>
      </c>
      <c r="N518">
        <v>60.7921892102362</v>
      </c>
      <c r="O518">
        <v>60.4761989376487</v>
      </c>
      <c r="P518">
        <v>-0.169159889673658</v>
      </c>
      <c r="Q518">
        <v>0.0636850095517285</v>
      </c>
      <c r="R518">
        <v>0.932860206248649</v>
      </c>
      <c r="S518" t="s">
        <v>2711</v>
      </c>
      <c r="T518" t="s">
        <v>4362</v>
      </c>
      <c r="U518" t="s">
        <v>4362</v>
      </c>
      <c r="V518" t="s">
        <v>4362</v>
      </c>
      <c r="W518" t="s">
        <v>4878</v>
      </c>
      <c r="X518">
        <v>10</v>
      </c>
      <c r="Y518" t="s">
        <v>7039</v>
      </c>
      <c r="Z518" t="s">
        <v>9206</v>
      </c>
      <c r="AA518">
        <v>0.8027646823360512</v>
      </c>
      <c r="AB518">
        <f>HYPERLINK("Melting_Curves/meltCurve_P0A9Q9_asd.pdf", "Melting_Curves/meltCurve_P0A9Q9_asd.pdf")</f>
        <v>0</v>
      </c>
    </row>
    <row r="519" spans="1:28">
      <c r="A519" t="s">
        <v>545</v>
      </c>
      <c r="B519">
        <v>0.999739202189716</v>
      </c>
      <c r="C519">
        <v>0.997448786125431</v>
      </c>
      <c r="D519">
        <v>1.05252008524973</v>
      </c>
      <c r="E519">
        <v>1.24923300373489</v>
      </c>
      <c r="F519">
        <v>1.07451922788084</v>
      </c>
      <c r="G519">
        <v>0.960771766803426</v>
      </c>
      <c r="H519">
        <v>0.875334823077288</v>
      </c>
      <c r="I519">
        <v>0.796044533716898</v>
      </c>
      <c r="J519">
        <v>0.550217697603134</v>
      </c>
      <c r="K519">
        <v>0.692664010152741</v>
      </c>
      <c r="L519">
        <v>1724.73092237602</v>
      </c>
      <c r="M519">
        <v>29.0370868703549</v>
      </c>
      <c r="O519">
        <v>59.1179506053715</v>
      </c>
      <c r="P519">
        <v>-0.0472349161346709</v>
      </c>
      <c r="Q519">
        <v>0.615331909589873</v>
      </c>
      <c r="R519">
        <v>0.7552691785690669</v>
      </c>
      <c r="S519" t="s">
        <v>2712</v>
      </c>
      <c r="T519" t="s">
        <v>4362</v>
      </c>
      <c r="U519" t="s">
        <v>4362</v>
      </c>
      <c r="V519" t="s">
        <v>4362</v>
      </c>
      <c r="W519" t="s">
        <v>4879</v>
      </c>
      <c r="X519">
        <v>2</v>
      </c>
      <c r="Y519" t="s">
        <v>7040</v>
      </c>
      <c r="Z519" t="s">
        <v>9207</v>
      </c>
      <c r="AA519">
        <v>0.9042178094612018</v>
      </c>
      <c r="AB519">
        <f>HYPERLINK("Melting_Curves/meltCurve_P0A9R4_fdx.pdf", "Melting_Curves/meltCurve_P0A9R4_fdx.pdf")</f>
        <v>0</v>
      </c>
    </row>
    <row r="520" spans="1:28">
      <c r="A520" t="s">
        <v>546</v>
      </c>
      <c r="B520">
        <v>0.999739202189716</v>
      </c>
      <c r="C520">
        <v>1.34349802147802</v>
      </c>
      <c r="D520">
        <v>0.902356439732528</v>
      </c>
      <c r="E520">
        <v>0.5752905467896851</v>
      </c>
      <c r="F520">
        <v>0.306991479627444</v>
      </c>
      <c r="G520">
        <v>0.17120385756372</v>
      </c>
      <c r="H520">
        <v>0.160087114859354</v>
      </c>
      <c r="I520">
        <v>0.152416191236364</v>
      </c>
      <c r="J520">
        <v>0.102813940415768</v>
      </c>
      <c r="K520">
        <v>0.08079598913939449</v>
      </c>
      <c r="L520">
        <v>1207.05887658832</v>
      </c>
      <c r="M520">
        <v>25.7081526582769</v>
      </c>
      <c r="N520">
        <v>47.5027255527879</v>
      </c>
      <c r="O520">
        <v>46.6710606039376</v>
      </c>
      <c r="P520">
        <v>-0.11997495325258</v>
      </c>
      <c r="Q520">
        <v>0.128791743784669</v>
      </c>
      <c r="R520">
        <v>0.928476431791432</v>
      </c>
      <c r="S520" t="s">
        <v>2713</v>
      </c>
      <c r="T520" t="s">
        <v>4362</v>
      </c>
      <c r="U520" t="s">
        <v>4362</v>
      </c>
      <c r="V520" t="s">
        <v>4362</v>
      </c>
      <c r="W520" t="s">
        <v>4880</v>
      </c>
      <c r="X520">
        <v>2</v>
      </c>
      <c r="Y520" t="s">
        <v>7041</v>
      </c>
      <c r="Z520" t="s">
        <v>9208</v>
      </c>
      <c r="AA520">
        <v>0.4247229578728161</v>
      </c>
      <c r="AB520">
        <f>HYPERLINK("Melting_Curves/meltCurve_P0A9R7_ftsE.pdf", "Melting_Curves/meltCurve_P0A9R7_ftsE.pdf")</f>
        <v>0</v>
      </c>
    </row>
    <row r="521" spans="1:28">
      <c r="A521" t="s">
        <v>547</v>
      </c>
      <c r="B521">
        <v>0.999739202189716</v>
      </c>
      <c r="C521">
        <v>0.817026961623569</v>
      </c>
      <c r="D521">
        <v>0.833390755442363</v>
      </c>
      <c r="E521">
        <v>0.542945242024961</v>
      </c>
      <c r="F521">
        <v>0.481225721296685</v>
      </c>
      <c r="G521">
        <v>0.390236501536897</v>
      </c>
      <c r="H521">
        <v>0.335335508328631</v>
      </c>
      <c r="I521">
        <v>0.206271509652744</v>
      </c>
      <c r="J521">
        <v>0.106335249781244</v>
      </c>
      <c r="K521">
        <v>0.08666159972603051</v>
      </c>
      <c r="L521">
        <v>382.351773082156</v>
      </c>
      <c r="M521">
        <v>7.67731517296199</v>
      </c>
      <c r="N521">
        <v>49.8027960982417</v>
      </c>
      <c r="O521">
        <v>46.7615017524471</v>
      </c>
      <c r="P521">
        <v>-0.0410991781812464</v>
      </c>
      <c r="Q521">
        <v>0</v>
      </c>
      <c r="R521">
        <v>0.969661574922427</v>
      </c>
      <c r="S521" t="s">
        <v>2714</v>
      </c>
      <c r="T521" t="s">
        <v>4362</v>
      </c>
      <c r="U521" t="s">
        <v>4362</v>
      </c>
      <c r="V521" t="s">
        <v>4362</v>
      </c>
      <c r="W521" t="s">
        <v>4881</v>
      </c>
      <c r="X521">
        <v>12</v>
      </c>
      <c r="Y521" t="s">
        <v>7042</v>
      </c>
      <c r="Z521" t="s">
        <v>9209</v>
      </c>
      <c r="AA521">
        <v>0.469899198828354</v>
      </c>
      <c r="AB521">
        <f>HYPERLINK("Melting_Curves/meltCurve_P0A9S1_fucO.pdf", "Melting_Curves/meltCurve_P0A9S1_fucO.pdf")</f>
        <v>0</v>
      </c>
    </row>
    <row r="522" spans="1:28">
      <c r="A522" t="s">
        <v>548</v>
      </c>
      <c r="B522">
        <v>0.999739202189716</v>
      </c>
      <c r="C522">
        <v>0.7768455691596819</v>
      </c>
      <c r="D522">
        <v>0.633050192464359</v>
      </c>
      <c r="E522">
        <v>0.44370270643222</v>
      </c>
      <c r="F522">
        <v>0.182550879536399</v>
      </c>
      <c r="G522">
        <v>0.117087548997947</v>
      </c>
      <c r="H522">
        <v>0.0874350447245036</v>
      </c>
      <c r="I522">
        <v>0.0688773237930026</v>
      </c>
      <c r="J522">
        <v>0.0617297549415171</v>
      </c>
      <c r="K522">
        <v>0.0541501640488405</v>
      </c>
      <c r="L522">
        <v>582.328333241849</v>
      </c>
      <c r="M522">
        <v>13.0368509640717</v>
      </c>
      <c r="N522">
        <v>44.9257675339792</v>
      </c>
      <c r="O522">
        <v>43.6560683629619</v>
      </c>
      <c r="P522">
        <v>-0.07197771361343711</v>
      </c>
      <c r="Q522">
        <v>0.0360509891925412</v>
      </c>
      <c r="R522">
        <v>0.989641325485268</v>
      </c>
      <c r="S522" t="s">
        <v>2715</v>
      </c>
      <c r="T522" t="s">
        <v>4362</v>
      </c>
      <c r="U522" t="s">
        <v>4362</v>
      </c>
      <c r="V522" t="s">
        <v>4362</v>
      </c>
      <c r="W522" t="s">
        <v>4882</v>
      </c>
      <c r="X522">
        <v>14</v>
      </c>
      <c r="Y522" t="s">
        <v>7043</v>
      </c>
      <c r="Z522" t="s">
        <v>9210</v>
      </c>
      <c r="AA522">
        <v>0.3130392587899739</v>
      </c>
      <c r="AB522">
        <f>HYPERLINK("Melting_Curves/meltCurve_P0A9S3_gatD.pdf", "Melting_Curves/meltCurve_P0A9S3_gatD.pdf")</f>
        <v>0</v>
      </c>
    </row>
    <row r="523" spans="1:28">
      <c r="A523" t="s">
        <v>549</v>
      </c>
      <c r="B523">
        <v>0.999739202189716</v>
      </c>
      <c r="C523">
        <v>1.09223115161354</v>
      </c>
      <c r="D523">
        <v>1.28898087116343</v>
      </c>
      <c r="E523">
        <v>1.03790835320719</v>
      </c>
      <c r="F523">
        <v>0.9093223587888279</v>
      </c>
      <c r="G523">
        <v>0.964479699513216</v>
      </c>
      <c r="H523">
        <v>0.512404264287213</v>
      </c>
      <c r="I523">
        <v>0.439163894132534</v>
      </c>
      <c r="J523">
        <v>0.403904489918569</v>
      </c>
      <c r="K523">
        <v>0.342213024274901</v>
      </c>
      <c r="L523">
        <v>3383.02566478818</v>
      </c>
      <c r="M523">
        <v>60.2936097825639</v>
      </c>
      <c r="N523">
        <v>57.5747076565775</v>
      </c>
      <c r="O523">
        <v>56.0475668433018</v>
      </c>
      <c r="P523">
        <v>-0.16345050237264</v>
      </c>
      <c r="Q523">
        <v>0.392240790945399</v>
      </c>
      <c r="R523">
        <v>0.897954764838547</v>
      </c>
      <c r="S523" t="s">
        <v>2716</v>
      </c>
      <c r="T523" t="s">
        <v>4362</v>
      </c>
      <c r="U523" t="s">
        <v>4362</v>
      </c>
      <c r="V523" t="s">
        <v>4362</v>
      </c>
      <c r="W523" t="s">
        <v>4883</v>
      </c>
      <c r="X523">
        <v>10</v>
      </c>
      <c r="Y523" t="s">
        <v>7044</v>
      </c>
      <c r="Z523" t="s">
        <v>9211</v>
      </c>
      <c r="AA523">
        <v>0.7803980884622477</v>
      </c>
      <c r="AB523">
        <f>HYPERLINK("Melting_Curves/meltCurve_P0A9S5_gldA.pdf", "Melting_Curves/meltCurve_P0A9S5_gldA.pdf")</f>
        <v>0</v>
      </c>
    </row>
    <row r="524" spans="1:28">
      <c r="A524" t="s">
        <v>550</v>
      </c>
      <c r="B524">
        <v>0.999739202189716</v>
      </c>
      <c r="C524">
        <v>0.978157304498259</v>
      </c>
      <c r="D524">
        <v>0.715425392517829</v>
      </c>
      <c r="E524">
        <v>0.469804428690602</v>
      </c>
      <c r="F524">
        <v>0.395152439388785</v>
      </c>
      <c r="G524">
        <v>0.18624933629958</v>
      </c>
      <c r="H524">
        <v>0.102077570409293</v>
      </c>
      <c r="I524">
        <v>0.0818203839132291</v>
      </c>
      <c r="J524">
        <v>0.07867922151720221</v>
      </c>
      <c r="K524">
        <v>0.0599991813524047</v>
      </c>
      <c r="L524">
        <v>602.496012196175</v>
      </c>
      <c r="M524">
        <v>12.9257949213346</v>
      </c>
      <c r="N524">
        <v>46.9594824403929</v>
      </c>
      <c r="O524">
        <v>45.5385441521207</v>
      </c>
      <c r="P524">
        <v>-0.0677358706270661</v>
      </c>
      <c r="Q524">
        <v>0.0456181940925829</v>
      </c>
      <c r="R524">
        <v>0.985463952523386</v>
      </c>
      <c r="S524" t="s">
        <v>2717</v>
      </c>
      <c r="T524" t="s">
        <v>4362</v>
      </c>
      <c r="U524" t="s">
        <v>4362</v>
      </c>
      <c r="V524" t="s">
        <v>4362</v>
      </c>
      <c r="W524" t="s">
        <v>4884</v>
      </c>
      <c r="X524">
        <v>10</v>
      </c>
      <c r="Y524" t="s">
        <v>7045</v>
      </c>
      <c r="Z524" t="s">
        <v>9212</v>
      </c>
      <c r="AA524">
        <v>0.3796166534210518</v>
      </c>
      <c r="AB524">
        <f>HYPERLINK("Melting_Curves/meltCurve_P0A9T0_serA.pdf", "Melting_Curves/meltCurve_P0A9T0_serA.pdf")</f>
        <v>0</v>
      </c>
    </row>
    <row r="525" spans="1:28">
      <c r="A525" t="s">
        <v>551</v>
      </c>
      <c r="B525">
        <v>0.999739202189716</v>
      </c>
      <c r="C525">
        <v>0.971564555701644</v>
      </c>
      <c r="D525">
        <v>0.913479367945803</v>
      </c>
      <c r="E525">
        <v>0.906186778608521</v>
      </c>
      <c r="F525">
        <v>0.358646598989569</v>
      </c>
      <c r="G525">
        <v>0.137294638307301</v>
      </c>
      <c r="H525">
        <v>0.11612180260951</v>
      </c>
      <c r="I525">
        <v>0.0897483598414681</v>
      </c>
      <c r="J525">
        <v>0.074390182568413</v>
      </c>
      <c r="K525">
        <v>0.0643438225141665</v>
      </c>
      <c r="L525">
        <v>1830.12553245908</v>
      </c>
      <c r="M525">
        <v>37.2730167930991</v>
      </c>
      <c r="N525">
        <v>49.3554418648289</v>
      </c>
      <c r="O525">
        <v>48.9598299668212</v>
      </c>
      <c r="P525">
        <v>-0.173661812437428</v>
      </c>
      <c r="Q525">
        <v>0.08755082715709921</v>
      </c>
      <c r="R525">
        <v>0.99425554854631</v>
      </c>
      <c r="S525" t="s">
        <v>2718</v>
      </c>
      <c r="T525" t="s">
        <v>4362</v>
      </c>
      <c r="U525" t="s">
        <v>4362</v>
      </c>
      <c r="V525" t="s">
        <v>4362</v>
      </c>
      <c r="W525" t="s">
        <v>4885</v>
      </c>
      <c r="X525">
        <v>8</v>
      </c>
      <c r="Y525" t="s">
        <v>7046</v>
      </c>
      <c r="Z525" t="s">
        <v>9213</v>
      </c>
      <c r="AA525">
        <v>0.4591573440735681</v>
      </c>
      <c r="AB525">
        <f>HYPERLINK("Melting_Curves/meltCurve_P0A9T4_tas.pdf", "Melting_Curves/meltCurve_P0A9T4_tas.pdf")</f>
        <v>0</v>
      </c>
    </row>
    <row r="526" spans="1:28">
      <c r="A526" t="s">
        <v>552</v>
      </c>
      <c r="B526">
        <v>0.999739202189716</v>
      </c>
      <c r="C526">
        <v>0.702964343358771</v>
      </c>
      <c r="D526">
        <v>0.630414978685185</v>
      </c>
      <c r="E526">
        <v>0.429480043374936</v>
      </c>
      <c r="F526">
        <v>0.266534099786472</v>
      </c>
      <c r="G526">
        <v>0.176803018345531</v>
      </c>
      <c r="H526">
        <v>0.135969561013855</v>
      </c>
      <c r="I526">
        <v>0.100325503547667</v>
      </c>
      <c r="J526">
        <v>0.09252771916127669</v>
      </c>
      <c r="K526">
        <v>0.0794893285237723</v>
      </c>
      <c r="L526">
        <v>486.895971899423</v>
      </c>
      <c r="M526">
        <v>10.9533959923541</v>
      </c>
      <c r="N526">
        <v>44.9665051070865</v>
      </c>
      <c r="O526">
        <v>43.0470135427511</v>
      </c>
      <c r="P526">
        <v>-0.0598841594355029</v>
      </c>
      <c r="Q526">
        <v>0.0589401874546079</v>
      </c>
      <c r="R526">
        <v>0.9815752806599281</v>
      </c>
      <c r="S526" t="s">
        <v>2719</v>
      </c>
      <c r="T526" t="s">
        <v>4362</v>
      </c>
      <c r="U526" t="s">
        <v>4362</v>
      </c>
      <c r="V526" t="s">
        <v>4362</v>
      </c>
      <c r="W526" t="s">
        <v>4886</v>
      </c>
      <c r="X526">
        <v>1</v>
      </c>
      <c r="Y526" t="s">
        <v>7047</v>
      </c>
      <c r="Z526" t="s">
        <v>9214</v>
      </c>
      <c r="AA526">
        <v>0.3343101823788094</v>
      </c>
      <c r="AB526">
        <f>HYPERLINK("Melting_Curves/meltCurve_P0A9T8_ybbA.pdf", "Melting_Curves/meltCurve_P0A9T8_ybbA.pdf")</f>
        <v>0</v>
      </c>
    </row>
    <row r="527" spans="1:28">
      <c r="A527" t="s">
        <v>553</v>
      </c>
      <c r="B527">
        <v>0.999739202189716</v>
      </c>
      <c r="C527">
        <v>0.920992095561407</v>
      </c>
      <c r="D527">
        <v>0.440220820024049</v>
      </c>
      <c r="E527">
        <v>0.189850935246526</v>
      </c>
      <c r="F527">
        <v>0.143625650021018</v>
      </c>
      <c r="G527">
        <v>0.0892809633973476</v>
      </c>
      <c r="H527">
        <v>0.0754879409951747</v>
      </c>
      <c r="I527">
        <v>0.0618354715694592</v>
      </c>
      <c r="J527">
        <v>0.0601193935931904</v>
      </c>
      <c r="K527">
        <v>0.0584166342931126</v>
      </c>
      <c r="L527">
        <v>1276.17983023064</v>
      </c>
      <c r="M527">
        <v>30.004637533311</v>
      </c>
      <c r="N527">
        <v>42.7956793915585</v>
      </c>
      <c r="O527">
        <v>42.345164855755</v>
      </c>
      <c r="P527">
        <v>-0.162232960525931</v>
      </c>
      <c r="Q527">
        <v>0.08417668649027669</v>
      </c>
      <c r="R527">
        <v>0.993196569139201</v>
      </c>
      <c r="S527" t="s">
        <v>2720</v>
      </c>
      <c r="T527" t="s">
        <v>4362</v>
      </c>
      <c r="U527" t="s">
        <v>4362</v>
      </c>
      <c r="V527" t="s">
        <v>4362</v>
      </c>
      <c r="W527" t="s">
        <v>4887</v>
      </c>
      <c r="X527">
        <v>10</v>
      </c>
      <c r="Y527" t="s">
        <v>7048</v>
      </c>
      <c r="Z527" t="s">
        <v>9215</v>
      </c>
      <c r="AA527">
        <v>0.2582426318291013</v>
      </c>
      <c r="AB527">
        <f>HYPERLINK("Melting_Curves/meltCurve_P0A9U3_ybiT.pdf", "Melting_Curves/meltCurve_P0A9U3_ybiT.pdf")</f>
        <v>0</v>
      </c>
    </row>
    <row r="528" spans="1:28">
      <c r="A528" t="s">
        <v>554</v>
      </c>
      <c r="B528">
        <v>0.999739202189716</v>
      </c>
      <c r="C528">
        <v>1.63459507082807</v>
      </c>
      <c r="D528">
        <v>0.485321359599105</v>
      </c>
      <c r="E528">
        <v>0.71476720545537</v>
      </c>
      <c r="F528">
        <v>0.7139178106030279</v>
      </c>
      <c r="G528">
        <v>0.358362629120798</v>
      </c>
      <c r="H528">
        <v>0.334008358557575</v>
      </c>
      <c r="I528">
        <v>0.207506384911612</v>
      </c>
      <c r="J528">
        <v>0.138079264877714</v>
      </c>
      <c r="K528">
        <v>0.156519997466664</v>
      </c>
      <c r="L528">
        <v>571.724631387345</v>
      </c>
      <c r="M528">
        <v>11.1985550659495</v>
      </c>
      <c r="N528">
        <v>51.928131926844</v>
      </c>
      <c r="O528">
        <v>49.5066186691005</v>
      </c>
      <c r="P528">
        <v>-0.0517061936217994</v>
      </c>
      <c r="Q528">
        <v>0.08595601845749171</v>
      </c>
      <c r="R528">
        <v>0.667603946589432</v>
      </c>
      <c r="S528" t="s">
        <v>2721</v>
      </c>
      <c r="T528" t="s">
        <v>4362</v>
      </c>
      <c r="U528" t="s">
        <v>4362</v>
      </c>
      <c r="V528" t="s">
        <v>4362</v>
      </c>
      <c r="W528" t="s">
        <v>4888</v>
      </c>
      <c r="X528">
        <v>3</v>
      </c>
      <c r="Y528" t="s">
        <v>7049</v>
      </c>
      <c r="Z528" t="s">
        <v>9216</v>
      </c>
      <c r="AA528">
        <v>0.5394085134181069</v>
      </c>
      <c r="AB528">
        <f>HYPERLINK("Melting_Curves/meltCurve_P0A9U6_puuR.pdf", "Melting_Curves/meltCurve_P0A9U6_puuR.pdf")</f>
        <v>0</v>
      </c>
    </row>
    <row r="529" spans="1:28">
      <c r="A529" t="s">
        <v>555</v>
      </c>
      <c r="B529">
        <v>0.999739202189716</v>
      </c>
      <c r="C529">
        <v>0.650956898363761</v>
      </c>
      <c r="D529">
        <v>0.391033136725508</v>
      </c>
      <c r="E529">
        <v>0.361987054112158</v>
      </c>
      <c r="F529">
        <v>0.288136673300625</v>
      </c>
      <c r="G529">
        <v>0.185340387394812</v>
      </c>
      <c r="H529">
        <v>0.162088758731692</v>
      </c>
      <c r="I529">
        <v>0.116600778556522</v>
      </c>
      <c r="J529">
        <v>0.113451702659475</v>
      </c>
      <c r="K529">
        <v>0.09302948807535991</v>
      </c>
      <c r="L529">
        <v>587.319547122008</v>
      </c>
      <c r="M529">
        <v>14.0857115205176</v>
      </c>
      <c r="N529">
        <v>42.6479669052919</v>
      </c>
      <c r="O529">
        <v>40.8826999429784</v>
      </c>
      <c r="P529">
        <v>-0.0745267586453878</v>
      </c>
      <c r="Q529">
        <v>0.134878908232427</v>
      </c>
      <c r="R529">
        <v>0.947062261852996</v>
      </c>
      <c r="S529" t="s">
        <v>2722</v>
      </c>
      <c r="T529" t="s">
        <v>4362</v>
      </c>
      <c r="U529" t="s">
        <v>4362</v>
      </c>
      <c r="V529" t="s">
        <v>4362</v>
      </c>
      <c r="W529" t="s">
        <v>4889</v>
      </c>
      <c r="X529">
        <v>4</v>
      </c>
      <c r="Y529" t="s">
        <v>7050</v>
      </c>
      <c r="Z529" t="s">
        <v>9217</v>
      </c>
      <c r="AA529">
        <v>0.2997100143068847</v>
      </c>
      <c r="AB529">
        <f>HYPERLINK("Melting_Curves/meltCurve_P0A9V1_lptB.pdf", "Melting_Curves/meltCurve_P0A9V1_lptB.pdf")</f>
        <v>0</v>
      </c>
    </row>
    <row r="530" spans="1:28">
      <c r="A530" t="s">
        <v>556</v>
      </c>
      <c r="B530">
        <v>0.999739202189716</v>
      </c>
      <c r="C530">
        <v>1.04912460805497</v>
      </c>
      <c r="D530">
        <v>0.7787100911604961</v>
      </c>
      <c r="E530">
        <v>0.832774172448822</v>
      </c>
      <c r="F530">
        <v>0.552448304273634</v>
      </c>
      <c r="G530">
        <v>0.404270363919858</v>
      </c>
      <c r="H530">
        <v>0.272975077139242</v>
      </c>
      <c r="I530">
        <v>0.203292415446985</v>
      </c>
      <c r="J530">
        <v>0.177110002747857</v>
      </c>
      <c r="K530">
        <v>0.22017640735689</v>
      </c>
      <c r="L530">
        <v>643.829585955849</v>
      </c>
      <c r="M530">
        <v>12.8616365581901</v>
      </c>
      <c r="N530">
        <v>51.457543837967</v>
      </c>
      <c r="O530">
        <v>48.8943257247765</v>
      </c>
      <c r="P530">
        <v>-0.0560677318982495</v>
      </c>
      <c r="Q530">
        <v>0.147576868484122</v>
      </c>
      <c r="R530">
        <v>0.970495811435313</v>
      </c>
      <c r="S530" t="s">
        <v>2723</v>
      </c>
      <c r="T530" t="s">
        <v>4362</v>
      </c>
      <c r="U530" t="s">
        <v>4362</v>
      </c>
      <c r="V530" t="s">
        <v>4362</v>
      </c>
      <c r="W530" t="s">
        <v>4890</v>
      </c>
      <c r="X530">
        <v>3</v>
      </c>
      <c r="Y530" t="s">
        <v>7051</v>
      </c>
      <c r="Z530" t="s">
        <v>9218</v>
      </c>
      <c r="AA530">
        <v>0.5404793335559196</v>
      </c>
      <c r="AB530">
        <f>HYPERLINK("Melting_Curves/meltCurve_P0A9V5_yiaG.pdf", "Melting_Curves/meltCurve_P0A9V5_yiaG.pdf")</f>
        <v>0</v>
      </c>
    </row>
    <row r="531" spans="1:28">
      <c r="A531" t="s">
        <v>557</v>
      </c>
      <c r="B531">
        <v>0.999739202189716</v>
      </c>
      <c r="C531">
        <v>1.0918908002604</v>
      </c>
      <c r="D531">
        <v>0.737605058102907</v>
      </c>
      <c r="E531">
        <v>0.869869254331604</v>
      </c>
      <c r="F531">
        <v>0.697087270834048</v>
      </c>
      <c r="G531">
        <v>0.547937638812602</v>
      </c>
      <c r="H531">
        <v>0.235332407732961</v>
      </c>
      <c r="I531">
        <v>0.06614501854019091</v>
      </c>
      <c r="J531">
        <v>0.0604707699428858</v>
      </c>
      <c r="K531">
        <v>0.0542797186996784</v>
      </c>
      <c r="L531">
        <v>741.7407802676451</v>
      </c>
      <c r="M531">
        <v>13.9609656066968</v>
      </c>
      <c r="N531">
        <v>53.129617401651</v>
      </c>
      <c r="O531">
        <v>52.0751284215721</v>
      </c>
      <c r="P531">
        <v>-0.0670321278065277</v>
      </c>
      <c r="Q531">
        <v>0</v>
      </c>
      <c r="R531">
        <v>0.9477239589088849</v>
      </c>
      <c r="S531" t="s">
        <v>2724</v>
      </c>
      <c r="T531" t="s">
        <v>4362</v>
      </c>
      <c r="U531" t="s">
        <v>4362</v>
      </c>
      <c r="V531" t="s">
        <v>4362</v>
      </c>
      <c r="W531" t="s">
        <v>4891</v>
      </c>
      <c r="X531">
        <v>4</v>
      </c>
      <c r="Y531" t="s">
        <v>7052</v>
      </c>
      <c r="Z531" t="s">
        <v>9219</v>
      </c>
      <c r="AA531">
        <v>0.5564397761953295</v>
      </c>
      <c r="AB531">
        <f>HYPERLINK("Melting_Curves/meltCurve_P0A9W0_ulaR.pdf", "Melting_Curves/meltCurve_P0A9W0_ulaR.pdf")</f>
        <v>0</v>
      </c>
    </row>
    <row r="532" spans="1:28">
      <c r="A532" t="s">
        <v>558</v>
      </c>
      <c r="B532">
        <v>0.999739202189716</v>
      </c>
      <c r="C532">
        <v>1.02259716404104</v>
      </c>
      <c r="D532">
        <v>0.701168870133923</v>
      </c>
      <c r="E532">
        <v>0.242159880851058</v>
      </c>
      <c r="F532">
        <v>0.147837105176087</v>
      </c>
      <c r="G532">
        <v>0.0739690630810081</v>
      </c>
      <c r="H532">
        <v>0.0695875777728075</v>
      </c>
      <c r="I532">
        <v>0.0566157791437519</v>
      </c>
      <c r="J532">
        <v>0.06466626264754551</v>
      </c>
      <c r="K532">
        <v>0.056962866322153</v>
      </c>
      <c r="L532">
        <v>1288.7500799863</v>
      </c>
      <c r="M532">
        <v>29.1402646344165</v>
      </c>
      <c r="N532">
        <v>44.4617116762674</v>
      </c>
      <c r="O532">
        <v>44.0190434130567</v>
      </c>
      <c r="P532">
        <v>-0.153642565360523</v>
      </c>
      <c r="Q532">
        <v>0.0716420224551059</v>
      </c>
      <c r="R532">
        <v>0.9953460408963311</v>
      </c>
      <c r="S532" t="s">
        <v>2725</v>
      </c>
      <c r="T532" t="s">
        <v>4362</v>
      </c>
      <c r="U532" t="s">
        <v>4362</v>
      </c>
      <c r="V532" t="s">
        <v>4362</v>
      </c>
      <c r="W532" t="s">
        <v>4892</v>
      </c>
      <c r="X532">
        <v>20</v>
      </c>
      <c r="Y532" t="s">
        <v>7053</v>
      </c>
      <c r="Z532" t="s">
        <v>9220</v>
      </c>
      <c r="AA532">
        <v>0.3007356379757338</v>
      </c>
      <c r="AB532">
        <f>HYPERLINK("Melting_Curves/meltCurve_P0A9W3_ettA.pdf", "Melting_Curves/meltCurve_P0A9W3_ettA.pdf")</f>
        <v>0</v>
      </c>
    </row>
    <row r="533" spans="1:28">
      <c r="A533" t="s">
        <v>559</v>
      </c>
      <c r="B533">
        <v>0.999739202189716</v>
      </c>
      <c r="C533">
        <v>1.19975395556847</v>
      </c>
      <c r="D533">
        <v>0.8750409339076149</v>
      </c>
      <c r="E533">
        <v>1.03558711081465</v>
      </c>
      <c r="F533">
        <v>0.903436790132314</v>
      </c>
      <c r="G533">
        <v>0.755694963763514</v>
      </c>
      <c r="H533">
        <v>0.690922045482955</v>
      </c>
      <c r="I533">
        <v>0.496342578612533</v>
      </c>
      <c r="J533">
        <v>0.39410207866874</v>
      </c>
      <c r="K533">
        <v>0.320539326199827</v>
      </c>
      <c r="L533">
        <v>693.225374273175</v>
      </c>
      <c r="M533">
        <v>11.6855218580018</v>
      </c>
      <c r="N533">
        <v>61.0847128492227</v>
      </c>
      <c r="O533">
        <v>57.6660147043792</v>
      </c>
      <c r="P533">
        <v>-0.0434264424982504</v>
      </c>
      <c r="Q533">
        <v>0.143021175220996</v>
      </c>
      <c r="R533">
        <v>0.917760908237611</v>
      </c>
      <c r="S533" t="s">
        <v>2726</v>
      </c>
      <c r="T533" t="s">
        <v>4362</v>
      </c>
      <c r="U533" t="s">
        <v>4362</v>
      </c>
      <c r="V533" t="s">
        <v>4362</v>
      </c>
      <c r="W533" t="s">
        <v>4893</v>
      </c>
      <c r="X533">
        <v>2</v>
      </c>
      <c r="Y533" t="s">
        <v>7054</v>
      </c>
      <c r="Z533" t="s">
        <v>9221</v>
      </c>
      <c r="AA533">
        <v>0.7704512049449137</v>
      </c>
      <c r="AB533">
        <f>HYPERLINK("Melting_Curves/meltCurve_P0A9W6_ibaG.pdf", "Melting_Curves/meltCurve_P0A9W6_ibaG.pdf")</f>
        <v>0</v>
      </c>
    </row>
    <row r="534" spans="1:28">
      <c r="A534" t="s">
        <v>560</v>
      </c>
      <c r="B534">
        <v>0.999739202189716</v>
      </c>
      <c r="C534">
        <v>1.66027358765212</v>
      </c>
      <c r="D534">
        <v>1.42176647134674</v>
      </c>
      <c r="E534">
        <v>1.37597446273332</v>
      </c>
      <c r="F534">
        <v>0.91829331408284</v>
      </c>
      <c r="G534">
        <v>0.7980715251952</v>
      </c>
      <c r="H534">
        <v>0.495383599150633</v>
      </c>
      <c r="I534">
        <v>0.378630967944063</v>
      </c>
      <c r="J534">
        <v>0.214628501220543</v>
      </c>
      <c r="K534">
        <v>0.0570191120877774</v>
      </c>
      <c r="L534">
        <v>1108.82686325925</v>
      </c>
      <c r="M534">
        <v>19.2011424646193</v>
      </c>
      <c r="N534">
        <v>58.1057506686971</v>
      </c>
      <c r="O534">
        <v>57.1325302838499</v>
      </c>
      <c r="P534">
        <v>-0.0793386941419327</v>
      </c>
      <c r="Q534">
        <v>0.0557547232820035</v>
      </c>
      <c r="R534">
        <v>0.7079133527381311</v>
      </c>
      <c r="S534" t="s">
        <v>2727</v>
      </c>
      <c r="T534" t="s">
        <v>4362</v>
      </c>
      <c r="U534" t="s">
        <v>4362</v>
      </c>
      <c r="V534" t="s">
        <v>4362</v>
      </c>
      <c r="W534" t="s">
        <v>4894</v>
      </c>
      <c r="X534">
        <v>3</v>
      </c>
      <c r="Y534" t="s">
        <v>7055</v>
      </c>
      <c r="Z534" t="s">
        <v>9222</v>
      </c>
      <c r="AA534">
        <v>0.7156627122754121</v>
      </c>
      <c r="AB534">
        <f>HYPERLINK("Melting_Curves/meltCurve_P0A9X1_znuC.pdf", "Melting_Curves/meltCurve_P0A9X1_znuC.pdf")</f>
        <v>0</v>
      </c>
    </row>
    <row r="535" spans="1:28">
      <c r="A535" t="s">
        <v>561</v>
      </c>
      <c r="B535">
        <v>0.999739202189716</v>
      </c>
      <c r="C535">
        <v>0.835158416414395</v>
      </c>
      <c r="D535">
        <v>0.505084279256408</v>
      </c>
      <c r="E535">
        <v>0.467453388126043</v>
      </c>
      <c r="F535">
        <v>0.386264169017456</v>
      </c>
      <c r="G535">
        <v>0.260902775511632</v>
      </c>
      <c r="H535">
        <v>0.233664391340493</v>
      </c>
      <c r="I535">
        <v>0.212737752653961</v>
      </c>
      <c r="J535">
        <v>0.209020054445147</v>
      </c>
      <c r="K535">
        <v>0.19643099452656</v>
      </c>
      <c r="L535">
        <v>576.722461345123</v>
      </c>
      <c r="M535">
        <v>13.3511682862569</v>
      </c>
      <c r="N535">
        <v>45.0368246395477</v>
      </c>
      <c r="O535">
        <v>42.2618421836841</v>
      </c>
      <c r="P535">
        <v>-0.0623834168428528</v>
      </c>
      <c r="Q535">
        <v>0.21025093719664</v>
      </c>
      <c r="R535">
        <v>0.962721139153459</v>
      </c>
      <c r="S535" t="s">
        <v>2728</v>
      </c>
      <c r="T535" t="s">
        <v>4362</v>
      </c>
      <c r="U535" t="s">
        <v>4362</v>
      </c>
      <c r="V535" t="s">
        <v>4362</v>
      </c>
      <c r="W535" t="s">
        <v>4895</v>
      </c>
      <c r="X535">
        <v>8</v>
      </c>
      <c r="Y535" t="s">
        <v>7056</v>
      </c>
      <c r="Z535" t="s">
        <v>9223</v>
      </c>
      <c r="AA535">
        <v>0.399578101043192</v>
      </c>
      <c r="AB535">
        <f>HYPERLINK("Melting_Curves/meltCurve_P0A9X4_mreB.pdf", "Melting_Curves/meltCurve_P0A9X4_mreB.pdf")</f>
        <v>0</v>
      </c>
    </row>
    <row r="536" spans="1:28">
      <c r="A536" t="s">
        <v>562</v>
      </c>
      <c r="B536">
        <v>0.999739202189716</v>
      </c>
      <c r="C536">
        <v>1.00987818658952</v>
      </c>
      <c r="D536">
        <v>1.0086940956583</v>
      </c>
      <c r="E536">
        <v>1.16583333359607</v>
      </c>
      <c r="F536">
        <v>1.58845620028422</v>
      </c>
      <c r="G536">
        <v>1.17699604082053</v>
      </c>
      <c r="H536">
        <v>1.25774030020184</v>
      </c>
      <c r="I536">
        <v>1.28568162598708</v>
      </c>
      <c r="J536">
        <v>1.01908409724772</v>
      </c>
      <c r="K536">
        <v>0.9448653493196399</v>
      </c>
      <c r="L536">
        <v>11590.5497377756</v>
      </c>
      <c r="M536">
        <v>250</v>
      </c>
      <c r="O536">
        <v>46.3592424666242</v>
      </c>
      <c r="P536">
        <v>0.285996522873311</v>
      </c>
      <c r="Q536">
        <v>1.21213726675516</v>
      </c>
      <c r="R536">
        <v>0.247458779897764</v>
      </c>
      <c r="S536" t="s">
        <v>2729</v>
      </c>
      <c r="T536" t="s">
        <v>4362</v>
      </c>
      <c r="U536" t="s">
        <v>4362</v>
      </c>
      <c r="V536" t="s">
        <v>4362</v>
      </c>
      <c r="W536" t="s">
        <v>4896</v>
      </c>
      <c r="X536">
        <v>3</v>
      </c>
      <c r="Y536" t="s">
        <v>7057</v>
      </c>
      <c r="Z536" t="s">
        <v>9224</v>
      </c>
      <c r="AA536">
        <v>1.145917629676191</v>
      </c>
      <c r="AB536">
        <f>HYPERLINK("Melting_Curves/meltCurve_P0A9X9_cspA.pdf", "Melting_Curves/meltCurve_P0A9X9_cspA.pdf")</f>
        <v>0</v>
      </c>
    </row>
    <row r="537" spans="1:28">
      <c r="A537" t="s">
        <v>563</v>
      </c>
      <c r="B537">
        <v>0.999739202189716</v>
      </c>
      <c r="C537">
        <v>1.03921929905908</v>
      </c>
      <c r="D537">
        <v>0.99020850451012</v>
      </c>
      <c r="E537">
        <v>1.1097779370464</v>
      </c>
      <c r="F537">
        <v>1.11910721157376</v>
      </c>
      <c r="G537">
        <v>0.88786506750061</v>
      </c>
      <c r="H537">
        <v>0.871640433504983</v>
      </c>
      <c r="I537">
        <v>0.729072445572729</v>
      </c>
      <c r="J537">
        <v>0.761206449573016</v>
      </c>
      <c r="K537">
        <v>0.5811798677293259</v>
      </c>
      <c r="L537">
        <v>1004.82454713193</v>
      </c>
      <c r="M537">
        <v>16.5600919848301</v>
      </c>
      <c r="O537">
        <v>59.8133661094029</v>
      </c>
      <c r="P537">
        <v>-0.0313218397719992</v>
      </c>
      <c r="Q537">
        <v>0.547505820065479</v>
      </c>
      <c r="R537">
        <v>0.835911380345249</v>
      </c>
      <c r="S537" t="s">
        <v>2730</v>
      </c>
      <c r="T537" t="s">
        <v>4362</v>
      </c>
      <c r="U537" t="s">
        <v>4362</v>
      </c>
      <c r="V537" t="s">
        <v>4362</v>
      </c>
      <c r="W537" t="s">
        <v>4897</v>
      </c>
      <c r="X537">
        <v>2</v>
      </c>
      <c r="Y537" t="s">
        <v>7058</v>
      </c>
      <c r="Z537" t="s">
        <v>9225</v>
      </c>
      <c r="AA537">
        <v>0.9011112353704266</v>
      </c>
      <c r="AB537">
        <f>HYPERLINK("Melting_Curves/meltCurve_P0A9Y6_cspC.pdf", "Melting_Curves/meltCurve_P0A9Y6_cspC.pdf")</f>
        <v>0</v>
      </c>
    </row>
    <row r="538" spans="1:28">
      <c r="A538" t="s">
        <v>564</v>
      </c>
      <c r="B538">
        <v>0.999739202189716</v>
      </c>
      <c r="C538">
        <v>1.23510468095601</v>
      </c>
      <c r="D538">
        <v>0.815499149804418</v>
      </c>
      <c r="E538">
        <v>1.14174956357067</v>
      </c>
      <c r="F538">
        <v>0.893766328981219</v>
      </c>
      <c r="G538">
        <v>0.756163480682142</v>
      </c>
      <c r="H538">
        <v>0.724980920262128</v>
      </c>
      <c r="I538">
        <v>0.705400331045137</v>
      </c>
      <c r="J538">
        <v>0.62425149165812</v>
      </c>
      <c r="K538">
        <v>0.646389526453054</v>
      </c>
      <c r="L538">
        <v>1608.97998401379</v>
      </c>
      <c r="M538">
        <v>30.8696704384948</v>
      </c>
      <c r="O538">
        <v>51.904444117097</v>
      </c>
      <c r="P538">
        <v>-0.0494448282334843</v>
      </c>
      <c r="Q538">
        <v>0.667454643023484</v>
      </c>
      <c r="R538">
        <v>0.703399652717141</v>
      </c>
      <c r="S538" t="s">
        <v>2731</v>
      </c>
      <c r="T538" t="s">
        <v>4362</v>
      </c>
      <c r="U538" t="s">
        <v>4362</v>
      </c>
      <c r="V538" t="s">
        <v>4362</v>
      </c>
      <c r="W538" t="s">
        <v>4898</v>
      </c>
      <c r="X538">
        <v>3</v>
      </c>
      <c r="Y538" t="s">
        <v>7059</v>
      </c>
      <c r="Z538" t="s">
        <v>9226</v>
      </c>
      <c r="AA538">
        <v>0.8370653334425604</v>
      </c>
      <c r="AB538">
        <f>HYPERLINK("Melting_Curves/meltCurve_P0A9Z1_glnB.pdf", "Melting_Curves/meltCurve_P0A9Z1_glnB.pdf")</f>
        <v>0</v>
      </c>
    </row>
    <row r="539" spans="1:28">
      <c r="A539" t="s">
        <v>565</v>
      </c>
      <c r="B539">
        <v>0.999739202189716</v>
      </c>
      <c r="C539">
        <v>1.31045187656291</v>
      </c>
      <c r="D539">
        <v>0.79387198854221</v>
      </c>
      <c r="E539">
        <v>1.08174150171189</v>
      </c>
      <c r="F539">
        <v>0.873052046964415</v>
      </c>
      <c r="G539">
        <v>0.708591193074993</v>
      </c>
      <c r="H539">
        <v>0.743491437710878</v>
      </c>
      <c r="I539">
        <v>0.687765847758984</v>
      </c>
      <c r="J539">
        <v>0.667703367650077</v>
      </c>
      <c r="K539">
        <v>0.654510313960449</v>
      </c>
      <c r="L539">
        <v>5155.69917277659</v>
      </c>
      <c r="M539">
        <v>102.347417131832</v>
      </c>
      <c r="O539">
        <v>50.3552697551475</v>
      </c>
      <c r="P539">
        <v>-0.156347655574933</v>
      </c>
      <c r="Q539">
        <v>0.692305756242364</v>
      </c>
      <c r="R539">
        <v>0.642450769693562</v>
      </c>
      <c r="S539" t="s">
        <v>2732</v>
      </c>
      <c r="T539" t="s">
        <v>4362</v>
      </c>
      <c r="U539" t="s">
        <v>4362</v>
      </c>
      <c r="V539" t="s">
        <v>4362</v>
      </c>
      <c r="W539" t="s">
        <v>4899</v>
      </c>
      <c r="X539">
        <v>6</v>
      </c>
      <c r="Y539" t="s">
        <v>7060</v>
      </c>
      <c r="Z539" t="s">
        <v>9227</v>
      </c>
      <c r="AA539">
        <v>0.8296433819493426</v>
      </c>
      <c r="AB539">
        <f>HYPERLINK("Melting_Curves/meltCurve_P0AA04_ptsH.pdf", "Melting_Curves/meltCurve_P0AA04_ptsH.pdf")</f>
        <v>0</v>
      </c>
    </row>
    <row r="540" spans="1:28">
      <c r="A540" t="s">
        <v>566</v>
      </c>
      <c r="B540">
        <v>0.999739202189716</v>
      </c>
      <c r="C540">
        <v>0.6471922306619869</v>
      </c>
      <c r="D540">
        <v>0.45201040896797</v>
      </c>
      <c r="E540">
        <v>0.34948774916266</v>
      </c>
      <c r="F540">
        <v>0.251691042053073</v>
      </c>
      <c r="G540">
        <v>0.183837865071336</v>
      </c>
      <c r="H540">
        <v>0.17152862490144</v>
      </c>
      <c r="I540">
        <v>0.159750225225002</v>
      </c>
      <c r="J540">
        <v>0.200278259664462</v>
      </c>
      <c r="K540">
        <v>0.263686793765526</v>
      </c>
      <c r="L540">
        <v>745.246379274234</v>
      </c>
      <c r="M540">
        <v>18.1127797480496</v>
      </c>
      <c r="N540">
        <v>42.368411400361</v>
      </c>
      <c r="O540">
        <v>40.6530886709398</v>
      </c>
      <c r="P540">
        <v>-0.08870529939194639</v>
      </c>
      <c r="Q540">
        <v>0.203662629739526</v>
      </c>
      <c r="R540">
        <v>0.962274947205219</v>
      </c>
      <c r="S540" t="s">
        <v>2733</v>
      </c>
      <c r="T540" t="s">
        <v>4362</v>
      </c>
      <c r="U540" t="s">
        <v>4362</v>
      </c>
      <c r="V540" t="s">
        <v>4362</v>
      </c>
      <c r="W540" t="s">
        <v>4900</v>
      </c>
      <c r="X540">
        <v>8</v>
      </c>
      <c r="Y540" t="s">
        <v>7061</v>
      </c>
      <c r="Z540" t="s">
        <v>9228</v>
      </c>
      <c r="AA540">
        <v>0.3304507200076567</v>
      </c>
      <c r="AB540">
        <f>HYPERLINK("Melting_Curves/meltCurve_P0AA10_rplM.pdf", "Melting_Curves/meltCurve_P0AA10_rplM.pdf")</f>
        <v>0</v>
      </c>
    </row>
    <row r="541" spans="1:28">
      <c r="A541" t="s">
        <v>567</v>
      </c>
      <c r="B541">
        <v>0.999739202189716</v>
      </c>
      <c r="C541">
        <v>0.796716467825477</v>
      </c>
      <c r="D541">
        <v>1.08977375902251</v>
      </c>
      <c r="E541">
        <v>0.732429285000693</v>
      </c>
      <c r="F541">
        <v>0.466284483023051</v>
      </c>
      <c r="G541">
        <v>0.20875978427604</v>
      </c>
      <c r="H541">
        <v>0.157520856213397</v>
      </c>
      <c r="I541">
        <v>0.111514180426274</v>
      </c>
      <c r="J541">
        <v>0.111269754586942</v>
      </c>
      <c r="K541">
        <v>0.0938016382883065</v>
      </c>
      <c r="L541">
        <v>1037.84539343322</v>
      </c>
      <c r="M541">
        <v>21.15163348528</v>
      </c>
      <c r="N541">
        <v>49.5973482657437</v>
      </c>
      <c r="O541">
        <v>48.6346258964473</v>
      </c>
      <c r="P541">
        <v>-0.0977241921718123</v>
      </c>
      <c r="Q541">
        <v>0.101221616928171</v>
      </c>
      <c r="R541">
        <v>0.957675580120262</v>
      </c>
      <c r="S541" t="s">
        <v>2734</v>
      </c>
      <c r="T541" t="s">
        <v>4362</v>
      </c>
      <c r="U541" t="s">
        <v>4362</v>
      </c>
      <c r="V541" t="s">
        <v>4362</v>
      </c>
      <c r="W541" t="s">
        <v>4901</v>
      </c>
      <c r="X541">
        <v>9</v>
      </c>
      <c r="Y541" t="s">
        <v>7062</v>
      </c>
      <c r="Z541" t="s">
        <v>9229</v>
      </c>
      <c r="AA541">
        <v>0.4734217556395936</v>
      </c>
      <c r="AB541">
        <f>HYPERLINK("Melting_Curves/meltCurve_P0AA16_ompR.pdf", "Melting_Curves/meltCurve_P0AA16_ompR.pdf")</f>
        <v>0</v>
      </c>
    </row>
    <row r="542" spans="1:28">
      <c r="A542" t="s">
        <v>568</v>
      </c>
      <c r="B542">
        <v>0.999739202189716</v>
      </c>
      <c r="C542">
        <v>1.00377854270048</v>
      </c>
      <c r="D542">
        <v>0.886673365748336</v>
      </c>
      <c r="E542">
        <v>1.11720520144496</v>
      </c>
      <c r="F542">
        <v>1.01299115510502</v>
      </c>
      <c r="G542">
        <v>0.823950473843593</v>
      </c>
      <c r="H542">
        <v>0.783414340151264</v>
      </c>
      <c r="I542">
        <v>0.732807976854619</v>
      </c>
      <c r="J542">
        <v>0.555899584113824</v>
      </c>
      <c r="K542">
        <v>0.682846032939767</v>
      </c>
      <c r="L542">
        <v>1203.49619209075</v>
      </c>
      <c r="M542">
        <v>21.6029411408984</v>
      </c>
      <c r="O542">
        <v>55.2390541811454</v>
      </c>
      <c r="P542">
        <v>-0.0360956568631932</v>
      </c>
      <c r="Q542">
        <v>0.63082028147686</v>
      </c>
      <c r="R542">
        <v>0.828794415275932</v>
      </c>
      <c r="S542" t="s">
        <v>2735</v>
      </c>
      <c r="T542" t="s">
        <v>4362</v>
      </c>
      <c r="U542" t="s">
        <v>4362</v>
      </c>
      <c r="V542" t="s">
        <v>4362</v>
      </c>
      <c r="W542" t="s">
        <v>4902</v>
      </c>
      <c r="X542">
        <v>3</v>
      </c>
      <c r="Y542" t="s">
        <v>7063</v>
      </c>
      <c r="Z542" t="s">
        <v>9230</v>
      </c>
      <c r="AA542">
        <v>0.8646986261509707</v>
      </c>
      <c r="AB542">
        <f>HYPERLINK("Melting_Curves/meltCurve_P0AA25_trxA.pdf", "Melting_Curves/meltCurve_P0AA25_trxA.pdf")</f>
        <v>0</v>
      </c>
    </row>
    <row r="543" spans="1:28">
      <c r="A543" t="s">
        <v>569</v>
      </c>
      <c r="B543">
        <v>0.999739202189716</v>
      </c>
      <c r="C543">
        <v>1.13450867350183</v>
      </c>
      <c r="D543">
        <v>0.627598794164965</v>
      </c>
      <c r="E543">
        <v>0.90574726926075</v>
      </c>
      <c r="F543">
        <v>0.553549819235582</v>
      </c>
      <c r="G543">
        <v>0.37815744600179</v>
      </c>
      <c r="H543">
        <v>0.323688351540378</v>
      </c>
      <c r="I543">
        <v>0.256965780167344</v>
      </c>
      <c r="J543">
        <v>0.256095633537291</v>
      </c>
      <c r="K543">
        <v>0.221931572702602</v>
      </c>
      <c r="L543">
        <v>601.100188937254</v>
      </c>
      <c r="M543">
        <v>12.0892148705979</v>
      </c>
      <c r="N543">
        <v>51.7106073223744</v>
      </c>
      <c r="O543">
        <v>48.4201505083142</v>
      </c>
      <c r="P543">
        <v>-0.0508265984160155</v>
      </c>
      <c r="Q543">
        <v>0.185900750130643</v>
      </c>
      <c r="R543">
        <v>0.876535803407797</v>
      </c>
      <c r="S543" t="s">
        <v>2736</v>
      </c>
      <c r="T543" t="s">
        <v>4362</v>
      </c>
      <c r="U543" t="s">
        <v>4362</v>
      </c>
      <c r="V543" t="s">
        <v>4362</v>
      </c>
      <c r="W543" t="s">
        <v>4903</v>
      </c>
      <c r="X543">
        <v>2</v>
      </c>
      <c r="Y543" t="s">
        <v>7064</v>
      </c>
      <c r="Z543" t="s">
        <v>9231</v>
      </c>
      <c r="AA543">
        <v>0.5541204800051128</v>
      </c>
      <c r="AB543">
        <f>HYPERLINK("Melting_Curves/meltCurve_P0AA37_rluA.pdf", "Melting_Curves/meltCurve_P0AA37_rluA.pdf")</f>
        <v>0</v>
      </c>
    </row>
    <row r="544" spans="1:28">
      <c r="A544" t="s">
        <v>570</v>
      </c>
      <c r="B544">
        <v>0.999739202189716</v>
      </c>
      <c r="C544">
        <v>1.0270417514998</v>
      </c>
      <c r="D544">
        <v>1.06466145829376</v>
      </c>
      <c r="E544">
        <v>1.0450843765055</v>
      </c>
      <c r="F544">
        <v>1.06872871804481</v>
      </c>
      <c r="G544">
        <v>0.84527698852538</v>
      </c>
      <c r="H544">
        <v>0.557186636921141</v>
      </c>
      <c r="I544">
        <v>0.212092509217283</v>
      </c>
      <c r="J544">
        <v>0.161196444281647</v>
      </c>
      <c r="K544">
        <v>0.116995954981666</v>
      </c>
      <c r="L544">
        <v>1690.06656306358</v>
      </c>
      <c r="M544">
        <v>29.5211133156894</v>
      </c>
      <c r="N544">
        <v>57.7290340747294</v>
      </c>
      <c r="O544">
        <v>56.9886460557931</v>
      </c>
      <c r="P544">
        <v>-0.115421508994186</v>
      </c>
      <c r="Q544">
        <v>0.108750423400471</v>
      </c>
      <c r="R544">
        <v>0.988984968723795</v>
      </c>
      <c r="S544" t="s">
        <v>2737</v>
      </c>
      <c r="T544" t="s">
        <v>4362</v>
      </c>
      <c r="U544" t="s">
        <v>4362</v>
      </c>
      <c r="V544" t="s">
        <v>4362</v>
      </c>
      <c r="W544" t="s">
        <v>4904</v>
      </c>
      <c r="X544">
        <v>14</v>
      </c>
      <c r="Y544" t="s">
        <v>7065</v>
      </c>
      <c r="Z544" t="s">
        <v>9232</v>
      </c>
      <c r="AA544">
        <v>0.7156881889949838</v>
      </c>
      <c r="AB544">
        <f>HYPERLINK("Melting_Curves/meltCurve_P0AA39_rluC.pdf", "Melting_Curves/meltCurve_P0AA39_rluC.pdf")</f>
        <v>0</v>
      </c>
    </row>
    <row r="545" spans="1:28">
      <c r="A545" t="s">
        <v>571</v>
      </c>
      <c r="B545">
        <v>0.999739202189716</v>
      </c>
      <c r="C545">
        <v>0.869821940505187</v>
      </c>
      <c r="D545">
        <v>0.769362781224508</v>
      </c>
      <c r="E545">
        <v>0.347700849672602</v>
      </c>
      <c r="F545">
        <v>0.225268941643339</v>
      </c>
      <c r="G545">
        <v>0.144502687229441</v>
      </c>
      <c r="H545">
        <v>0.117355373332808</v>
      </c>
      <c r="I545">
        <v>0.095037847632311</v>
      </c>
      <c r="J545">
        <v>0.0915756279726378</v>
      </c>
      <c r="K545">
        <v>0.0854803239089278</v>
      </c>
      <c r="L545">
        <v>850.160062163764</v>
      </c>
      <c r="M545">
        <v>18.9633420168046</v>
      </c>
      <c r="N545">
        <v>45.3359627537317</v>
      </c>
      <c r="O545">
        <v>44.3421373654885</v>
      </c>
      <c r="P545">
        <v>-0.09675428627760339</v>
      </c>
      <c r="Q545">
        <v>0.0950709092417556</v>
      </c>
      <c r="R545">
        <v>0.993063963182079</v>
      </c>
      <c r="S545" t="s">
        <v>2738</v>
      </c>
      <c r="T545" t="s">
        <v>4362</v>
      </c>
      <c r="U545" t="s">
        <v>4362</v>
      </c>
      <c r="V545" t="s">
        <v>4362</v>
      </c>
      <c r="W545" t="s">
        <v>4905</v>
      </c>
      <c r="X545">
        <v>6</v>
      </c>
      <c r="Y545" t="s">
        <v>7066</v>
      </c>
      <c r="Z545" t="s">
        <v>9233</v>
      </c>
      <c r="AA545">
        <v>0.3446453640493161</v>
      </c>
      <c r="AB545">
        <f>HYPERLINK("Melting_Curves/meltCurve_P0AA43_rsuA.pdf", "Melting_Curves/meltCurve_P0AA43_rsuA.pdf")</f>
        <v>0</v>
      </c>
    </row>
    <row r="546" spans="1:28">
      <c r="A546" t="s">
        <v>572</v>
      </c>
      <c r="B546">
        <v>0.999739202189716</v>
      </c>
      <c r="C546">
        <v>0.850254156414503</v>
      </c>
      <c r="D546">
        <v>0.76696160090018</v>
      </c>
      <c r="E546">
        <v>0.5385566862725329</v>
      </c>
      <c r="F546">
        <v>0.436685051611219</v>
      </c>
      <c r="G546">
        <v>0.309063708793516</v>
      </c>
      <c r="H546">
        <v>0.283094852347155</v>
      </c>
      <c r="I546">
        <v>0.230852475571709</v>
      </c>
      <c r="J546">
        <v>0.215553267892372</v>
      </c>
      <c r="K546">
        <v>0.235535090482228</v>
      </c>
      <c r="L546">
        <v>546.866580128879</v>
      </c>
      <c r="M546">
        <v>11.9396568620291</v>
      </c>
      <c r="N546">
        <v>47.9107415431152</v>
      </c>
      <c r="O546">
        <v>44.5743920362681</v>
      </c>
      <c r="P546">
        <v>-0.0532947043040202</v>
      </c>
      <c r="Q546">
        <v>0.204333843121829</v>
      </c>
      <c r="R546">
        <v>0.992924279916031</v>
      </c>
      <c r="S546" t="s">
        <v>2739</v>
      </c>
      <c r="T546" t="s">
        <v>4362</v>
      </c>
      <c r="U546" t="s">
        <v>4362</v>
      </c>
      <c r="V546" t="s">
        <v>4362</v>
      </c>
      <c r="W546" t="s">
        <v>4906</v>
      </c>
      <c r="X546">
        <v>8</v>
      </c>
      <c r="Y546" t="s">
        <v>7067</v>
      </c>
      <c r="Z546" t="s">
        <v>9234</v>
      </c>
      <c r="AA546">
        <v>0.4657614121537507</v>
      </c>
      <c r="AB546">
        <f>HYPERLINK("Melting_Curves/meltCurve_P0AA53_qmcA.pdf", "Melting_Curves/meltCurve_P0AA53_qmcA.pdf")</f>
        <v>0</v>
      </c>
    </row>
    <row r="547" spans="1:28">
      <c r="A547" t="s">
        <v>573</v>
      </c>
      <c r="B547">
        <v>0.999739202189716</v>
      </c>
      <c r="C547">
        <v>0.96945111280509</v>
      </c>
      <c r="D547">
        <v>1.32319075320479</v>
      </c>
      <c r="E547">
        <v>0.674908522320246</v>
      </c>
      <c r="F547">
        <v>0.838051562879509</v>
      </c>
      <c r="G547">
        <v>0.444170751014444</v>
      </c>
      <c r="H547">
        <v>0.576109948413443</v>
      </c>
      <c r="I547">
        <v>0.296296378699721</v>
      </c>
      <c r="J547">
        <v>0.38305334877374</v>
      </c>
      <c r="K547">
        <v>0.0751669282020936</v>
      </c>
      <c r="L547">
        <v>565.1617266609341</v>
      </c>
      <c r="M547">
        <v>10.1597452758065</v>
      </c>
      <c r="N547">
        <v>56.2240355502563</v>
      </c>
      <c r="O547">
        <v>53.6014992574727</v>
      </c>
      <c r="P547">
        <v>-0.0449851872550472</v>
      </c>
      <c r="Q547">
        <v>0.0510903130881007</v>
      </c>
      <c r="R547">
        <v>0.7973139297502519</v>
      </c>
      <c r="S547" t="s">
        <v>2740</v>
      </c>
      <c r="T547" t="s">
        <v>4362</v>
      </c>
      <c r="U547" t="s">
        <v>4362</v>
      </c>
      <c r="V547" t="s">
        <v>4362</v>
      </c>
      <c r="W547" t="s">
        <v>4907</v>
      </c>
      <c r="X547">
        <v>1</v>
      </c>
      <c r="Y547" t="s">
        <v>7068</v>
      </c>
      <c r="Z547" t="s">
        <v>9235</v>
      </c>
      <c r="AA547">
        <v>0.6486142129709477</v>
      </c>
      <c r="AB547">
        <f>HYPERLINK("Melting_Curves/meltCurve_P0AA63_yqjA.pdf", "Melting_Curves/meltCurve_P0AA63_yqjA.pdf")</f>
        <v>0</v>
      </c>
    </row>
    <row r="548" spans="1:28">
      <c r="A548" t="s">
        <v>574</v>
      </c>
      <c r="B548">
        <v>0.999739202189716</v>
      </c>
      <c r="C548">
        <v>0.9038915282700229</v>
      </c>
      <c r="D548">
        <v>0.550609521158253</v>
      </c>
      <c r="E548">
        <v>0.406262285249381</v>
      </c>
      <c r="F548">
        <v>0.269421352970915</v>
      </c>
      <c r="G548">
        <v>0.170779298672204</v>
      </c>
      <c r="H548">
        <v>0.150850018827944</v>
      </c>
      <c r="I548">
        <v>0.11674737009638</v>
      </c>
      <c r="J548">
        <v>0.120003016398168</v>
      </c>
      <c r="K548">
        <v>0.109990233940584</v>
      </c>
      <c r="L548">
        <v>678.860755857196</v>
      </c>
      <c r="M548">
        <v>15.4511453521134</v>
      </c>
      <c r="N548">
        <v>44.7367128629495</v>
      </c>
      <c r="O548">
        <v>43.2197411841603</v>
      </c>
      <c r="P548">
        <v>-0.07858526711225509</v>
      </c>
      <c r="Q548">
        <v>0.120808586413204</v>
      </c>
      <c r="R548">
        <v>0.985204903003034</v>
      </c>
      <c r="S548" t="s">
        <v>2741</v>
      </c>
      <c r="T548" t="s">
        <v>4362</v>
      </c>
      <c r="U548" t="s">
        <v>4362</v>
      </c>
      <c r="V548" t="s">
        <v>4362</v>
      </c>
      <c r="W548" t="s">
        <v>4908</v>
      </c>
      <c r="X548">
        <v>1</v>
      </c>
      <c r="Y548" t="s">
        <v>7069</v>
      </c>
      <c r="Z548" t="s">
        <v>9236</v>
      </c>
      <c r="AA548">
        <v>0.3446699737793973</v>
      </c>
      <c r="AB548">
        <f>HYPERLINK("Melting_Curves/meltCurve_P0AA84_clsB.pdf", "Melting_Curves/meltCurve_P0AA84_clsB.pdf")</f>
        <v>0</v>
      </c>
    </row>
    <row r="549" spans="1:28">
      <c r="A549" t="s">
        <v>575</v>
      </c>
      <c r="B549">
        <v>0.999739202189716</v>
      </c>
      <c r="C549">
        <v>1.1612764921701</v>
      </c>
      <c r="D549">
        <v>0.75471354073454</v>
      </c>
      <c r="E549">
        <v>0.819504496293879</v>
      </c>
      <c r="F549">
        <v>0.671915069880556</v>
      </c>
      <c r="G549">
        <v>0.525855150616673</v>
      </c>
      <c r="H549">
        <v>0.482754766617977</v>
      </c>
      <c r="I549">
        <v>0.431891891635108</v>
      </c>
      <c r="J549">
        <v>0.400570904749125</v>
      </c>
      <c r="K549">
        <v>0.369776820916265</v>
      </c>
      <c r="L549">
        <v>575.665477200448</v>
      </c>
      <c r="M549">
        <v>11.596856110916</v>
      </c>
      <c r="N549">
        <v>55.6033711120447</v>
      </c>
      <c r="O549">
        <v>48.232639003765</v>
      </c>
      <c r="P549">
        <v>-0.0387295618278692</v>
      </c>
      <c r="Q549">
        <v>0.355854971348339</v>
      </c>
      <c r="R549">
        <v>0.901847400716139</v>
      </c>
      <c r="S549" t="s">
        <v>2742</v>
      </c>
      <c r="T549" t="s">
        <v>4362</v>
      </c>
      <c r="U549" t="s">
        <v>4362</v>
      </c>
      <c r="V549" t="s">
        <v>4362</v>
      </c>
      <c r="W549" t="s">
        <v>4909</v>
      </c>
      <c r="X549">
        <v>2</v>
      </c>
      <c r="Y549" t="s">
        <v>7070</v>
      </c>
      <c r="Z549" t="s">
        <v>9237</v>
      </c>
      <c r="AA549">
        <v>0.6464726107403446</v>
      </c>
      <c r="AB549">
        <f>HYPERLINK("Melting_Curves/meltCurve_P0AA86_dsbE.pdf", "Melting_Curves/meltCurve_P0AA86_dsbE.pdf")</f>
        <v>0</v>
      </c>
    </row>
    <row r="550" spans="1:28">
      <c r="A550" t="s">
        <v>576</v>
      </c>
      <c r="B550">
        <v>0.999739202189716</v>
      </c>
      <c r="C550">
        <v>0.820708169676191</v>
      </c>
      <c r="D550">
        <v>1.00474576874428</v>
      </c>
      <c r="E550">
        <v>0.990229770824666</v>
      </c>
      <c r="F550">
        <v>0.963337254448389</v>
      </c>
      <c r="G550">
        <v>0.784605397623484</v>
      </c>
      <c r="H550">
        <v>0.473541315505983</v>
      </c>
      <c r="I550">
        <v>0.234932979866207</v>
      </c>
      <c r="J550">
        <v>0.146899583458679</v>
      </c>
      <c r="K550">
        <v>0.089266240987908</v>
      </c>
      <c r="L550">
        <v>1257.00060878995</v>
      </c>
      <c r="M550">
        <v>22.1467271685816</v>
      </c>
      <c r="N550">
        <v>57.1374138028985</v>
      </c>
      <c r="O550">
        <v>56.301186464162</v>
      </c>
      <c r="P550">
        <v>-0.0916151542707755</v>
      </c>
      <c r="Q550">
        <v>0.0684081113274352</v>
      </c>
      <c r="R550">
        <v>0.974598465923477</v>
      </c>
      <c r="S550" t="s">
        <v>2743</v>
      </c>
      <c r="T550" t="s">
        <v>4362</v>
      </c>
      <c r="U550" t="s">
        <v>4362</v>
      </c>
      <c r="V550" t="s">
        <v>4362</v>
      </c>
      <c r="W550" t="s">
        <v>4910</v>
      </c>
      <c r="X550">
        <v>6</v>
      </c>
      <c r="Y550" t="s">
        <v>7071</v>
      </c>
      <c r="Z550" t="s">
        <v>9238</v>
      </c>
      <c r="AA550">
        <v>0.6899566842866577</v>
      </c>
      <c r="AB550">
        <f>HYPERLINK("Melting_Curves/meltCurve_P0AA91_yeaY.pdf", "Melting_Curves/meltCurve_P0AA91_yeaY.pdf")</f>
        <v>0</v>
      </c>
    </row>
    <row r="551" spans="1:28">
      <c r="A551" t="s">
        <v>577</v>
      </c>
      <c r="B551">
        <v>0.999739202189716</v>
      </c>
      <c r="C551">
        <v>1.09905047030959</v>
      </c>
      <c r="D551">
        <v>0.730942511218029</v>
      </c>
      <c r="E551">
        <v>0.603946213752434</v>
      </c>
      <c r="F551">
        <v>0.496299878217018</v>
      </c>
      <c r="G551">
        <v>0.405352417605804</v>
      </c>
      <c r="H551">
        <v>0.418310822124686</v>
      </c>
      <c r="I551">
        <v>0.296053543329192</v>
      </c>
      <c r="J551">
        <v>0.273137606191239</v>
      </c>
      <c r="K551">
        <v>0.201524391233844</v>
      </c>
      <c r="L551">
        <v>589.572845703157</v>
      </c>
      <c r="M551">
        <v>12.5645130526487</v>
      </c>
      <c r="N551">
        <v>49.8204443764997</v>
      </c>
      <c r="O551">
        <v>45.7825970199565</v>
      </c>
      <c r="P551">
        <v>-0.0508376444743514</v>
      </c>
      <c r="Q551">
        <v>0.25918017789947</v>
      </c>
      <c r="R551">
        <v>0.9350581424057119</v>
      </c>
      <c r="S551" t="s">
        <v>2744</v>
      </c>
      <c r="T551" t="s">
        <v>4362</v>
      </c>
      <c r="U551" t="s">
        <v>4362</v>
      </c>
      <c r="V551" t="s">
        <v>4362</v>
      </c>
      <c r="W551" t="s">
        <v>4911</v>
      </c>
      <c r="X551">
        <v>2</v>
      </c>
      <c r="Y551" t="s">
        <v>7072</v>
      </c>
      <c r="Z551" t="s">
        <v>9239</v>
      </c>
      <c r="AA551">
        <v>0.5269115866568757</v>
      </c>
      <c r="AB551">
        <f>HYPERLINK("Melting_Curves/meltCurve_P0AA93_ypdA.pdf", "Melting_Curves/meltCurve_P0AA93_ypdA.pdf")</f>
        <v>0</v>
      </c>
    </row>
    <row r="552" spans="1:28">
      <c r="A552" t="s">
        <v>578</v>
      </c>
      <c r="B552">
        <v>0.999739202189716</v>
      </c>
      <c r="C552">
        <v>1.06409102749965</v>
      </c>
      <c r="D552">
        <v>0.59524270627162</v>
      </c>
      <c r="E552">
        <v>0.566362855533219</v>
      </c>
      <c r="F552">
        <v>0.400154087548172</v>
      </c>
      <c r="G552">
        <v>0.269712748437864</v>
      </c>
      <c r="H552">
        <v>0.210210061636252</v>
      </c>
      <c r="I552">
        <v>0.156037379911365</v>
      </c>
      <c r="J552">
        <v>0.133557452923989</v>
      </c>
      <c r="K552">
        <v>0.108860377422355</v>
      </c>
      <c r="L552">
        <v>563.612979669922</v>
      </c>
      <c r="M552">
        <v>12.1248975732359</v>
      </c>
      <c r="N552">
        <v>47.4794302591688</v>
      </c>
      <c r="O552">
        <v>45.2736969179817</v>
      </c>
      <c r="P552">
        <v>-0.0594522735175054</v>
      </c>
      <c r="Q552">
        <v>0.112239591212505</v>
      </c>
      <c r="R552">
        <v>0.946582241509203</v>
      </c>
      <c r="S552" t="s">
        <v>2745</v>
      </c>
      <c r="T552" t="s">
        <v>4362</v>
      </c>
      <c r="U552" t="s">
        <v>4362</v>
      </c>
      <c r="V552" t="s">
        <v>4362</v>
      </c>
      <c r="W552" t="s">
        <v>4912</v>
      </c>
      <c r="X552">
        <v>5</v>
      </c>
      <c r="Y552" t="s">
        <v>7073</v>
      </c>
      <c r="Z552" t="s">
        <v>9240</v>
      </c>
      <c r="AA552">
        <v>0.422284748847544</v>
      </c>
      <c r="AB552">
        <f>HYPERLINK("Melting_Curves/meltCurve_P0AAA1_yagU.pdf", "Melting_Curves/meltCurve_P0AAA1_yagU.pdf")</f>
        <v>0</v>
      </c>
    </row>
    <row r="553" spans="1:28">
      <c r="A553" t="s">
        <v>579</v>
      </c>
      <c r="B553">
        <v>0.999739202189716</v>
      </c>
      <c r="C553">
        <v>1.19228228747393</v>
      </c>
      <c r="D553">
        <v>0.900121715283337</v>
      </c>
      <c r="E553">
        <v>0.648034267061521</v>
      </c>
      <c r="F553">
        <v>0.237600854128451</v>
      </c>
      <c r="G553">
        <v>0.123447751036435</v>
      </c>
      <c r="H553">
        <v>0.0900736665281241</v>
      </c>
      <c r="I553">
        <v>0.071847628166824</v>
      </c>
      <c r="J553">
        <v>0.07579238075449241</v>
      </c>
      <c r="K553">
        <v>0.0627885439682704</v>
      </c>
      <c r="L553">
        <v>1268.83830481922</v>
      </c>
      <c r="M553">
        <v>26.7702054169487</v>
      </c>
      <c r="N553">
        <v>47.6832150086384</v>
      </c>
      <c r="O553">
        <v>47.1352897383035</v>
      </c>
      <c r="P553">
        <v>-0.131462896799761</v>
      </c>
      <c r="Q553">
        <v>0.0741231793158872</v>
      </c>
      <c r="R553">
        <v>0.976953087526594</v>
      </c>
      <c r="S553" t="s">
        <v>2746</v>
      </c>
      <c r="T553" t="s">
        <v>4362</v>
      </c>
      <c r="U553" t="s">
        <v>4362</v>
      </c>
      <c r="V553" t="s">
        <v>4362</v>
      </c>
      <c r="W553" t="s">
        <v>4913</v>
      </c>
      <c r="X553">
        <v>10</v>
      </c>
      <c r="Y553" t="s">
        <v>7074</v>
      </c>
      <c r="Z553" t="s">
        <v>9241</v>
      </c>
      <c r="AA553">
        <v>0.4018328479129456</v>
      </c>
      <c r="AB553">
        <f>HYPERLINK("Melting_Curves/meltCurve_P0AAB4_ubiD.pdf", "Melting_Curves/meltCurve_P0AAB4_ubiD.pdf")</f>
        <v>0</v>
      </c>
    </row>
    <row r="554" spans="1:28">
      <c r="A554" t="s">
        <v>580</v>
      </c>
      <c r="B554">
        <v>0.999739202189716</v>
      </c>
      <c r="C554">
        <v>0.820829294343885</v>
      </c>
      <c r="D554">
        <v>0.341313395985364</v>
      </c>
      <c r="E554">
        <v>0.198088806934355</v>
      </c>
      <c r="F554">
        <v>0.141918593646097</v>
      </c>
      <c r="G554">
        <v>0.08858134192511111</v>
      </c>
      <c r="H554">
        <v>0.0874830777512754</v>
      </c>
      <c r="I554">
        <v>0.0579298906971042</v>
      </c>
      <c r="J554">
        <v>0.0543093654755884</v>
      </c>
      <c r="K554">
        <v>0.0403995859072157</v>
      </c>
      <c r="L554">
        <v>1141.03664003724</v>
      </c>
      <c r="M554">
        <v>27.2948674969845</v>
      </c>
      <c r="N554">
        <v>42.0840826307058</v>
      </c>
      <c r="O554">
        <v>41.5816128354679</v>
      </c>
      <c r="P554">
        <v>-0.150479057076297</v>
      </c>
      <c r="Q554">
        <v>0.0830360287466768</v>
      </c>
      <c r="R554">
        <v>0.98897123716852</v>
      </c>
      <c r="S554" t="s">
        <v>2747</v>
      </c>
      <c r="T554" t="s">
        <v>4362</v>
      </c>
      <c r="U554" t="s">
        <v>4362</v>
      </c>
      <c r="V554" t="s">
        <v>4362</v>
      </c>
      <c r="W554" t="s">
        <v>4914</v>
      </c>
      <c r="X554">
        <v>11</v>
      </c>
      <c r="Y554" t="s">
        <v>7075</v>
      </c>
      <c r="Z554" t="s">
        <v>9242</v>
      </c>
      <c r="AA554">
        <v>0.2366042341245599</v>
      </c>
      <c r="AB554">
        <f>HYPERLINK("Melting_Curves/meltCurve_P0AAB6_galF.pdf", "Melting_Curves/meltCurve_P0AAB6_galF.pdf")</f>
        <v>0</v>
      </c>
    </row>
    <row r="555" spans="1:28">
      <c r="A555" t="s">
        <v>581</v>
      </c>
      <c r="B555">
        <v>0.999739202189716</v>
      </c>
      <c r="C555">
        <v>0.970425286517048</v>
      </c>
      <c r="D555">
        <v>0.98717100613194</v>
      </c>
      <c r="E555">
        <v>1.07637562222512</v>
      </c>
      <c r="F555">
        <v>0.8439270233146901</v>
      </c>
      <c r="G555">
        <v>0.783453174676397</v>
      </c>
      <c r="H555">
        <v>0.614191264766102</v>
      </c>
      <c r="I555">
        <v>0.448284299730256</v>
      </c>
      <c r="J555">
        <v>0.288388880793692</v>
      </c>
      <c r="K555">
        <v>0.469802396680849</v>
      </c>
      <c r="L555">
        <v>1025.80859263086</v>
      </c>
      <c r="M555">
        <v>18.4728270337386</v>
      </c>
      <c r="N555">
        <v>59.4142622923869</v>
      </c>
      <c r="O555">
        <v>54.8921867955425</v>
      </c>
      <c r="P555">
        <v>-0.0546444025198451</v>
      </c>
      <c r="Q555">
        <v>0.350523306533417</v>
      </c>
      <c r="R555">
        <v>0.943873743191925</v>
      </c>
      <c r="S555" t="s">
        <v>2748</v>
      </c>
      <c r="T555" t="s">
        <v>4362</v>
      </c>
      <c r="U555" t="s">
        <v>4362</v>
      </c>
      <c r="V555" t="s">
        <v>4362</v>
      </c>
      <c r="W555" t="s">
        <v>4915</v>
      </c>
      <c r="X555">
        <v>1</v>
      </c>
      <c r="Y555" t="s">
        <v>7076</v>
      </c>
      <c r="Z555" t="s">
        <v>9243</v>
      </c>
      <c r="AA555">
        <v>0.7592223916396892</v>
      </c>
      <c r="AB555">
        <f>HYPERLINK("Melting_Curves/meltCurve_P0AAB8_uspD.pdf", "Melting_Curves/meltCurve_P0AAB8_uspD.pdf")</f>
        <v>0</v>
      </c>
    </row>
    <row r="556" spans="1:28">
      <c r="A556" t="s">
        <v>582</v>
      </c>
      <c r="B556">
        <v>0.999739202189716</v>
      </c>
      <c r="C556">
        <v>0.767526677146017</v>
      </c>
      <c r="D556">
        <v>1.14079698290741</v>
      </c>
      <c r="E556">
        <v>0.857267318181189</v>
      </c>
      <c r="F556">
        <v>0.88989264267012</v>
      </c>
      <c r="G556">
        <v>0.480194276388934</v>
      </c>
      <c r="H556">
        <v>0.112089741971311</v>
      </c>
      <c r="I556">
        <v>0.0725885809788035</v>
      </c>
      <c r="J556">
        <v>0.06598347535415459</v>
      </c>
      <c r="K556">
        <v>0.0583773963036503</v>
      </c>
      <c r="L556">
        <v>1679.37851587624</v>
      </c>
      <c r="M556">
        <v>31.4661109116587</v>
      </c>
      <c r="N556">
        <v>53.5510069189253</v>
      </c>
      <c r="O556">
        <v>53.1568484025419</v>
      </c>
      <c r="P556">
        <v>-0.140562013000291</v>
      </c>
      <c r="Q556">
        <v>0.0501789915198625</v>
      </c>
      <c r="R556">
        <v>0.9455036627818</v>
      </c>
      <c r="S556" t="s">
        <v>2749</v>
      </c>
      <c r="T556" t="s">
        <v>4362</v>
      </c>
      <c r="U556" t="s">
        <v>4362</v>
      </c>
      <c r="V556" t="s">
        <v>4362</v>
      </c>
      <c r="W556" t="s">
        <v>4916</v>
      </c>
      <c r="X556">
        <v>7</v>
      </c>
      <c r="Y556" t="s">
        <v>7077</v>
      </c>
      <c r="Z556" t="s">
        <v>9244</v>
      </c>
      <c r="AA556">
        <v>0.5740394148799186</v>
      </c>
      <c r="AB556">
        <f>HYPERLINK("Melting_Curves/meltCurve_P0AAC0_uspE.pdf", "Melting_Curves/meltCurve_P0AAC0_uspE.pdf")</f>
        <v>0</v>
      </c>
    </row>
    <row r="557" spans="1:28">
      <c r="A557" t="s">
        <v>583</v>
      </c>
      <c r="B557">
        <v>0.999739202189716</v>
      </c>
      <c r="C557">
        <v>1.14102766142045</v>
      </c>
      <c r="D557">
        <v>0.704492718555127</v>
      </c>
      <c r="E557">
        <v>1.03190177809916</v>
      </c>
      <c r="F557">
        <v>0.722458744130646</v>
      </c>
      <c r="G557">
        <v>0.6365317892019</v>
      </c>
      <c r="H557">
        <v>0.630240844970151</v>
      </c>
      <c r="I557">
        <v>0.471881503046874</v>
      </c>
      <c r="J557">
        <v>0.556437800782703</v>
      </c>
      <c r="K557">
        <v>0.417960600074998</v>
      </c>
      <c r="L557">
        <v>521.935874346867</v>
      </c>
      <c r="M557">
        <v>9.883859647548149</v>
      </c>
      <c r="N557">
        <v>62.5918320876213</v>
      </c>
      <c r="O557">
        <v>50.7815341707248</v>
      </c>
      <c r="P557">
        <v>-0.0295334052916214</v>
      </c>
      <c r="Q557">
        <v>0.393358765636973</v>
      </c>
      <c r="R557">
        <v>0.771672942099741</v>
      </c>
      <c r="S557" t="s">
        <v>2750</v>
      </c>
      <c r="T557" t="s">
        <v>4362</v>
      </c>
      <c r="U557" t="s">
        <v>4362</v>
      </c>
      <c r="V557" t="s">
        <v>4362</v>
      </c>
      <c r="W557" t="s">
        <v>4917</v>
      </c>
      <c r="X557">
        <v>2</v>
      </c>
      <c r="Y557" t="s">
        <v>7078</v>
      </c>
      <c r="Z557" t="s">
        <v>9245</v>
      </c>
      <c r="AA557">
        <v>0.7271372520650825</v>
      </c>
      <c r="AB557">
        <f>HYPERLINK("Melting_Curves/meltCurve_P0AAC4_ybhL.pdf", "Melting_Curves/meltCurve_P0AAC4_ybhL.pdf")</f>
        <v>0</v>
      </c>
    </row>
    <row r="558" spans="1:28">
      <c r="A558" t="s">
        <v>584</v>
      </c>
      <c r="B558">
        <v>0.999739202189716</v>
      </c>
      <c r="C558">
        <v>1.05198386365923</v>
      </c>
      <c r="D558">
        <v>0.795246197280055</v>
      </c>
      <c r="E558">
        <v>1.20897716793583</v>
      </c>
      <c r="F558">
        <v>1.09483673787434</v>
      </c>
      <c r="G558">
        <v>0.97109344415659</v>
      </c>
      <c r="H558">
        <v>0.918067817860744</v>
      </c>
      <c r="I558">
        <v>0.886690497406925</v>
      </c>
      <c r="J558">
        <v>0.630049047645872</v>
      </c>
      <c r="K558">
        <v>0.71591396326616</v>
      </c>
      <c r="L558">
        <v>15000</v>
      </c>
      <c r="M558">
        <v>245.267174119415</v>
      </c>
      <c r="O558">
        <v>61.1537307271548</v>
      </c>
      <c r="P558">
        <v>-0.327891882029581</v>
      </c>
      <c r="Q558">
        <v>0.67298009807248</v>
      </c>
      <c r="R558">
        <v>0.615610740652035</v>
      </c>
      <c r="S558" t="s">
        <v>2751</v>
      </c>
      <c r="T558" t="s">
        <v>4362</v>
      </c>
      <c r="U558" t="s">
        <v>4362</v>
      </c>
      <c r="V558" t="s">
        <v>4362</v>
      </c>
      <c r="W558" t="s">
        <v>4918</v>
      </c>
      <c r="X558">
        <v>3</v>
      </c>
      <c r="Y558" t="s">
        <v>7079</v>
      </c>
      <c r="Z558" t="s">
        <v>9246</v>
      </c>
      <c r="AA558">
        <v>0.9363525769190184</v>
      </c>
      <c r="AB558">
        <f>HYPERLINK("Melting_Curves/meltCurve_P0AAC8_iscA.pdf", "Melting_Curves/meltCurve_P0AAC8_iscA.pdf")</f>
        <v>0</v>
      </c>
    </row>
    <row r="559" spans="1:28">
      <c r="A559" t="s">
        <v>585</v>
      </c>
      <c r="B559">
        <v>0.999739202189716</v>
      </c>
      <c r="C559">
        <v>0.92741836234971</v>
      </c>
      <c r="D559">
        <v>0.685180960868208</v>
      </c>
      <c r="E559">
        <v>0.410621016564989</v>
      </c>
      <c r="F559">
        <v>0.27760908757404</v>
      </c>
      <c r="G559">
        <v>0.173221130058466</v>
      </c>
      <c r="H559">
        <v>0.119818460508462</v>
      </c>
      <c r="I559">
        <v>0.07929425234597851</v>
      </c>
      <c r="J559">
        <v>0.0629656945783334</v>
      </c>
      <c r="K559">
        <v>0.0455427128365101</v>
      </c>
      <c r="L559">
        <v>659.09982084602</v>
      </c>
      <c r="M559">
        <v>14.5304211518455</v>
      </c>
      <c r="N559">
        <v>45.7766825708546</v>
      </c>
      <c r="O559">
        <v>44.5268157367375</v>
      </c>
      <c r="P559">
        <v>-0.0765375060887015</v>
      </c>
      <c r="Q559">
        <v>0.0619455504137974</v>
      </c>
      <c r="R559">
        <v>0.994347394101439</v>
      </c>
      <c r="S559" t="s">
        <v>2752</v>
      </c>
      <c r="T559" t="s">
        <v>4362</v>
      </c>
      <c r="U559" t="s">
        <v>4362</v>
      </c>
      <c r="V559" t="s">
        <v>4362</v>
      </c>
      <c r="W559" t="s">
        <v>4919</v>
      </c>
      <c r="X559">
        <v>1</v>
      </c>
      <c r="Y559" t="s">
        <v>7080</v>
      </c>
      <c r="Z559" t="s">
        <v>9247</v>
      </c>
      <c r="AA559">
        <v>0.3467998220746277</v>
      </c>
      <c r="AB559">
        <f>HYPERLINK("Melting_Curves/meltCurve_P0AAD2_mtr.pdf", "Melting_Curves/meltCurve_P0AAD2_mtr.pdf")</f>
        <v>0</v>
      </c>
    </row>
    <row r="560" spans="1:28">
      <c r="A560" t="s">
        <v>586</v>
      </c>
      <c r="B560">
        <v>0.999739202189716</v>
      </c>
      <c r="C560">
        <v>1.13673334031301</v>
      </c>
      <c r="D560">
        <v>0.505590729287033</v>
      </c>
      <c r="E560">
        <v>0.459523414517817</v>
      </c>
      <c r="F560">
        <v>0.253283623062409</v>
      </c>
      <c r="G560">
        <v>0.205361724070947</v>
      </c>
      <c r="H560">
        <v>0.171149373614185</v>
      </c>
      <c r="I560">
        <v>0.0930958477494296</v>
      </c>
      <c r="J560">
        <v>0.0814680609166659</v>
      </c>
      <c r="K560">
        <v>0.06506869401821259</v>
      </c>
      <c r="L560">
        <v>778.3176541405051</v>
      </c>
      <c r="M560">
        <v>17.4432312482798</v>
      </c>
      <c r="N560">
        <v>45.2854535475995</v>
      </c>
      <c r="O560">
        <v>44.0460020028704</v>
      </c>
      <c r="P560">
        <v>-0.0878184312086538</v>
      </c>
      <c r="Q560">
        <v>0.113046630762233</v>
      </c>
      <c r="R560">
        <v>0.920375555984095</v>
      </c>
      <c r="S560" t="s">
        <v>2753</v>
      </c>
      <c r="T560" t="s">
        <v>4362</v>
      </c>
      <c r="U560" t="s">
        <v>4362</v>
      </c>
      <c r="V560" t="s">
        <v>4362</v>
      </c>
      <c r="W560" t="s">
        <v>4920</v>
      </c>
      <c r="X560">
        <v>2</v>
      </c>
      <c r="Y560" t="s">
        <v>7081</v>
      </c>
      <c r="Z560" t="s">
        <v>9248</v>
      </c>
      <c r="AA560">
        <v>0.3539982300240544</v>
      </c>
      <c r="AB560">
        <f>HYPERLINK("Melting_Curves/meltCurve_P0AAD6_sdaC.pdf", "Melting_Curves/meltCurve_P0AAD6_sdaC.pdf")</f>
        <v>0</v>
      </c>
    </row>
    <row r="561" spans="1:28">
      <c r="A561" t="s">
        <v>587</v>
      </c>
      <c r="B561">
        <v>0.999739202189716</v>
      </c>
      <c r="C561">
        <v>0.747165542990299</v>
      </c>
      <c r="D561">
        <v>0.84773063123412</v>
      </c>
      <c r="E561">
        <v>0.339621539487935</v>
      </c>
      <c r="F561">
        <v>0.232249393478574</v>
      </c>
      <c r="G561">
        <v>0.0963442294292071</v>
      </c>
      <c r="H561">
        <v>0.0885759593422852</v>
      </c>
      <c r="I561">
        <v>0.0560763294512367</v>
      </c>
      <c r="J561">
        <v>0.0640119820893372</v>
      </c>
      <c r="K561">
        <v>0.0515884032139061</v>
      </c>
      <c r="L561">
        <v>728.095728398598</v>
      </c>
      <c r="M561">
        <v>16.0927031520761</v>
      </c>
      <c r="N561">
        <v>45.5177899829676</v>
      </c>
      <c r="O561">
        <v>44.5625009417689</v>
      </c>
      <c r="P561">
        <v>-0.0861214567426237</v>
      </c>
      <c r="Q561">
        <v>0.0461532220046154</v>
      </c>
      <c r="R561">
        <v>0.960000116200084</v>
      </c>
      <c r="S561" t="s">
        <v>2754</v>
      </c>
      <c r="T561" t="s">
        <v>4362</v>
      </c>
      <c r="U561" t="s">
        <v>4362</v>
      </c>
      <c r="V561" t="s">
        <v>4362</v>
      </c>
      <c r="W561" t="s">
        <v>4921</v>
      </c>
      <c r="X561">
        <v>1</v>
      </c>
      <c r="Y561" t="s">
        <v>7082</v>
      </c>
      <c r="Z561" t="s">
        <v>9249</v>
      </c>
      <c r="AA561">
        <v>0.3278228044592855</v>
      </c>
      <c r="AB561">
        <f>HYPERLINK("Melting_Curves/meltCurve_P0AAE0_cycA.pdf", "Melting_Curves/meltCurve_P0AAE0_cycA.pdf")</f>
        <v>0</v>
      </c>
    </row>
    <row r="562" spans="1:28">
      <c r="A562" t="s">
        <v>588</v>
      </c>
      <c r="B562">
        <v>0.999739202189716</v>
      </c>
      <c r="C562">
        <v>1.60155216821079</v>
      </c>
      <c r="D562">
        <v>0.688001180278762</v>
      </c>
      <c r="E562">
        <v>0.728674858032892</v>
      </c>
      <c r="F562">
        <v>0.578037723963944</v>
      </c>
      <c r="G562">
        <v>0.430503529390812</v>
      </c>
      <c r="H562">
        <v>0.408189121509738</v>
      </c>
      <c r="I562">
        <v>0.343684048338757</v>
      </c>
      <c r="J562">
        <v>0.387228739243179</v>
      </c>
      <c r="K562">
        <v>0.327802327560581</v>
      </c>
      <c r="L562">
        <v>884.247158655519</v>
      </c>
      <c r="M562">
        <v>18.6349931076173</v>
      </c>
      <c r="N562">
        <v>50.9770454920506</v>
      </c>
      <c r="O562">
        <v>46.9145939005546</v>
      </c>
      <c r="P562">
        <v>-0.0633352625252413</v>
      </c>
      <c r="Q562">
        <v>0.36222777234664</v>
      </c>
      <c r="R562">
        <v>0.686795193902619</v>
      </c>
      <c r="S562" t="s">
        <v>2755</v>
      </c>
      <c r="T562" t="s">
        <v>4362</v>
      </c>
      <c r="U562" t="s">
        <v>4362</v>
      </c>
      <c r="V562" t="s">
        <v>4362</v>
      </c>
      <c r="W562" t="s">
        <v>4922</v>
      </c>
      <c r="X562">
        <v>1</v>
      </c>
      <c r="Y562" t="s">
        <v>7083</v>
      </c>
      <c r="Z562" t="s">
        <v>9250</v>
      </c>
      <c r="AA562">
        <v>0.5939760188621332</v>
      </c>
      <c r="AB562">
        <f>HYPERLINK("Melting_Curves/meltCurve_P0AAE2_proY.pdf", "Melting_Curves/meltCurve_P0AAE2_proY.pdf")</f>
        <v>0</v>
      </c>
    </row>
    <row r="563" spans="1:28">
      <c r="A563" t="s">
        <v>589</v>
      </c>
      <c r="B563">
        <v>0.999739202189716</v>
      </c>
      <c r="C563">
        <v>0.393488058929934</v>
      </c>
      <c r="D563">
        <v>0.516120809444327</v>
      </c>
      <c r="E563">
        <v>0.181704779951692</v>
      </c>
      <c r="F563">
        <v>0.108173395738881</v>
      </c>
      <c r="G563">
        <v>0.0758208223373955</v>
      </c>
      <c r="H563">
        <v>0.0451302054938404</v>
      </c>
      <c r="I563">
        <v>0.040975168509686</v>
      </c>
      <c r="J563">
        <v>0.0428390199186855</v>
      </c>
      <c r="K563">
        <v>0.0237518287766058</v>
      </c>
      <c r="L563">
        <v>563.071357394553</v>
      </c>
      <c r="M563">
        <v>13.6765938242102</v>
      </c>
      <c r="N563">
        <v>41.3755294050567</v>
      </c>
      <c r="O563">
        <v>40.3201635245381</v>
      </c>
      <c r="P563">
        <v>-0.0820327203078879</v>
      </c>
      <c r="Q563">
        <v>0.0327728379275201</v>
      </c>
      <c r="R563">
        <v>0.887944800951268</v>
      </c>
      <c r="S563" t="s">
        <v>2756</v>
      </c>
      <c r="T563" t="s">
        <v>4362</v>
      </c>
      <c r="U563" t="s">
        <v>4362</v>
      </c>
      <c r="V563" t="s">
        <v>4362</v>
      </c>
      <c r="W563" t="s">
        <v>4923</v>
      </c>
      <c r="X563">
        <v>1</v>
      </c>
      <c r="Y563" t="s">
        <v>7084</v>
      </c>
      <c r="Z563" t="s">
        <v>9251</v>
      </c>
      <c r="AA563">
        <v>0.2043232021495333</v>
      </c>
      <c r="AB563">
        <f>HYPERLINK("Melting_Curves/meltCurve_P0AAF6_artP.pdf", "Melting_Curves/meltCurve_P0AAF6_artP.pdf")</f>
        <v>0</v>
      </c>
    </row>
    <row r="564" spans="1:28">
      <c r="A564" t="s">
        <v>590</v>
      </c>
      <c r="B564">
        <v>0.999739202189716</v>
      </c>
      <c r="C564">
        <v>0.628844867861888</v>
      </c>
      <c r="D564">
        <v>0.263890647478591</v>
      </c>
      <c r="E564">
        <v>0.177385857913474</v>
      </c>
      <c r="F564">
        <v>0.0951139211306621</v>
      </c>
      <c r="G564">
        <v>0.071187309843895</v>
      </c>
      <c r="H564">
        <v>0.0586973011494114</v>
      </c>
      <c r="I564">
        <v>0.0458096558745446</v>
      </c>
      <c r="J564">
        <v>0.0401539886857584</v>
      </c>
      <c r="K564">
        <v>0.0381232602197825</v>
      </c>
      <c r="L564">
        <v>1002.56440260415</v>
      </c>
      <c r="M564">
        <v>24.5784260349761</v>
      </c>
      <c r="N564">
        <v>41.0241313678376</v>
      </c>
      <c r="O564">
        <v>40.5232756562332</v>
      </c>
      <c r="P564">
        <v>-0.141727523666439</v>
      </c>
      <c r="Q564">
        <v>0.06532975281847581</v>
      </c>
      <c r="R564">
        <v>0.98614958536972</v>
      </c>
      <c r="S564" t="s">
        <v>2757</v>
      </c>
      <c r="T564" t="s">
        <v>4362</v>
      </c>
      <c r="U564" t="s">
        <v>4362</v>
      </c>
      <c r="V564" t="s">
        <v>4362</v>
      </c>
      <c r="W564" t="s">
        <v>4924</v>
      </c>
      <c r="X564">
        <v>7</v>
      </c>
      <c r="Y564" t="s">
        <v>7085</v>
      </c>
      <c r="Z564" t="s">
        <v>9252</v>
      </c>
      <c r="AA564">
        <v>0.1935752883378989</v>
      </c>
      <c r="AB564">
        <f>HYPERLINK("Melting_Curves/meltCurve_P0AAG0_dppD.pdf", "Melting_Curves/meltCurve_P0AAG0_dppD.pdf")</f>
        <v>0</v>
      </c>
    </row>
    <row r="565" spans="1:28">
      <c r="A565" t="s">
        <v>591</v>
      </c>
      <c r="B565">
        <v>0.999739202189716</v>
      </c>
      <c r="C565">
        <v>0.466339553916378</v>
      </c>
      <c r="D565">
        <v>0.29134701236627</v>
      </c>
      <c r="E565">
        <v>0.194142432488428</v>
      </c>
      <c r="F565">
        <v>0.128201579670924</v>
      </c>
      <c r="G565">
        <v>0.09263286272532301</v>
      </c>
      <c r="H565">
        <v>0.0663549990347873</v>
      </c>
      <c r="I565">
        <v>0.05356010341242</v>
      </c>
      <c r="J565">
        <v>0.0416180905888619</v>
      </c>
      <c r="K565">
        <v>0.0359126813009135</v>
      </c>
      <c r="L565">
        <v>940.462059367046</v>
      </c>
      <c r="M565">
        <v>23.4866704648283</v>
      </c>
      <c r="N565">
        <v>40.3547363909814</v>
      </c>
      <c r="O565">
        <v>39.7554824143903</v>
      </c>
      <c r="P565">
        <v>-0.135420700560185</v>
      </c>
      <c r="Q565">
        <v>0.0831188053692842</v>
      </c>
      <c r="R565">
        <v>0.952944185654072</v>
      </c>
      <c r="S565" t="s">
        <v>2758</v>
      </c>
      <c r="T565" t="s">
        <v>4362</v>
      </c>
      <c r="U565" t="s">
        <v>4362</v>
      </c>
      <c r="V565" t="s">
        <v>4362</v>
      </c>
      <c r="W565" t="s">
        <v>4925</v>
      </c>
      <c r="X565">
        <v>7</v>
      </c>
      <c r="Y565" t="s">
        <v>7086</v>
      </c>
      <c r="Z565" t="s">
        <v>9253</v>
      </c>
      <c r="AA565">
        <v>0.1891653020229243</v>
      </c>
      <c r="AB565">
        <f>HYPERLINK("Melting_Curves/meltCurve_P0AAG8_mglA.pdf", "Melting_Curves/meltCurve_P0AAG8_mglA.pdf")</f>
        <v>0</v>
      </c>
    </row>
    <row r="566" spans="1:28">
      <c r="A566" t="s">
        <v>592</v>
      </c>
      <c r="B566">
        <v>0.999739202189716</v>
      </c>
      <c r="C566">
        <v>0.659647632435354</v>
      </c>
      <c r="D566">
        <v>0.613609539893914</v>
      </c>
      <c r="E566">
        <v>0.418659658118845</v>
      </c>
      <c r="F566">
        <v>0.273143514061737</v>
      </c>
      <c r="G566">
        <v>0.164318287887313</v>
      </c>
      <c r="H566">
        <v>0.112911678741752</v>
      </c>
      <c r="I566">
        <v>0.0830645773650787</v>
      </c>
      <c r="J566">
        <v>0.07695194450039849</v>
      </c>
      <c r="K566">
        <v>0.0619117312594876</v>
      </c>
      <c r="L566">
        <v>453.523525573017</v>
      </c>
      <c r="M566">
        <v>10.2098532734419</v>
      </c>
      <c r="N566">
        <v>44.7096030623567</v>
      </c>
      <c r="O566">
        <v>42.8172445112452</v>
      </c>
      <c r="P566">
        <v>-0.0577326985143447</v>
      </c>
      <c r="Q566">
        <v>0.0319766253819646</v>
      </c>
      <c r="R566">
        <v>0.9729011029122761</v>
      </c>
      <c r="S566" t="s">
        <v>2759</v>
      </c>
      <c r="T566" t="s">
        <v>4362</v>
      </c>
      <c r="U566" t="s">
        <v>4362</v>
      </c>
      <c r="V566" t="s">
        <v>4362</v>
      </c>
      <c r="W566" t="s">
        <v>4926</v>
      </c>
      <c r="X566">
        <v>2</v>
      </c>
      <c r="Y566" t="s">
        <v>7087</v>
      </c>
      <c r="Z566" t="s">
        <v>9254</v>
      </c>
      <c r="AA566">
        <v>0.3197688389502685</v>
      </c>
      <c r="AB566">
        <f>HYPERLINK("Melting_Curves/meltCurve_P0AAH0_pstB.pdf", "Melting_Curves/meltCurve_P0AAH0_pstB.pdf")</f>
        <v>0</v>
      </c>
    </row>
    <row r="567" spans="1:28">
      <c r="A567" t="s">
        <v>593</v>
      </c>
      <c r="B567">
        <v>0.999739202189716</v>
      </c>
      <c r="C567">
        <v>1.17789820335436</v>
      </c>
      <c r="D567">
        <v>0.57648418531969</v>
      </c>
      <c r="E567">
        <v>0.826925557676965</v>
      </c>
      <c r="F567">
        <v>0.537300758138671</v>
      </c>
      <c r="G567">
        <v>0.470367745187617</v>
      </c>
      <c r="H567">
        <v>0.348331836639722</v>
      </c>
      <c r="I567">
        <v>0.243758758173986</v>
      </c>
      <c r="J567">
        <v>0.216852141217579</v>
      </c>
      <c r="K567">
        <v>0.158445346762044</v>
      </c>
      <c r="L567">
        <v>444.920841459942</v>
      </c>
      <c r="M567">
        <v>8.661744627810631</v>
      </c>
      <c r="N567">
        <v>52.2066261727458</v>
      </c>
      <c r="O567">
        <v>48.8484835441561</v>
      </c>
      <c r="P567">
        <v>-0.0414795943688682</v>
      </c>
      <c r="Q567">
        <v>0.065076878284015</v>
      </c>
      <c r="R567">
        <v>0.857838635149503</v>
      </c>
      <c r="S567" t="s">
        <v>2760</v>
      </c>
      <c r="T567" t="s">
        <v>4362</v>
      </c>
      <c r="U567" t="s">
        <v>4362</v>
      </c>
      <c r="V567" t="s">
        <v>4362</v>
      </c>
      <c r="W567" t="s">
        <v>4927</v>
      </c>
      <c r="X567">
        <v>2</v>
      </c>
      <c r="Y567" t="s">
        <v>7088</v>
      </c>
      <c r="Z567" t="s">
        <v>9255</v>
      </c>
      <c r="AA567">
        <v>0.5422727075009177</v>
      </c>
      <c r="AB567">
        <f>HYPERLINK("Melting_Curves/meltCurve_P0AAH4_sapD.pdf", "Melting_Curves/meltCurve_P0AAH4_sapD.pdf")</f>
        <v>0</v>
      </c>
    </row>
    <row r="568" spans="1:28">
      <c r="A568" t="s">
        <v>594</v>
      </c>
      <c r="B568">
        <v>0.999739202189716</v>
      </c>
      <c r="C568">
        <v>1.34277490900937</v>
      </c>
      <c r="D568">
        <v>0.713362379620285</v>
      </c>
      <c r="E568">
        <v>1.25613587157573</v>
      </c>
      <c r="F568">
        <v>0.837885062691375</v>
      </c>
      <c r="G568">
        <v>0.657546134960541</v>
      </c>
      <c r="H568">
        <v>0.525197387102519</v>
      </c>
      <c r="I568">
        <v>0.343973264415442</v>
      </c>
      <c r="J568">
        <v>0.193019548540521</v>
      </c>
      <c r="K568">
        <v>0.107325925714296</v>
      </c>
      <c r="L568">
        <v>834.240609455062</v>
      </c>
      <c r="M568">
        <v>14.5712512547005</v>
      </c>
      <c r="N568">
        <v>57.4515683476986</v>
      </c>
      <c r="O568">
        <v>56.2065945480156</v>
      </c>
      <c r="P568">
        <v>-0.063222809368088</v>
      </c>
      <c r="Q568">
        <v>0.0246173601772814</v>
      </c>
      <c r="R568">
        <v>0.8187016672121</v>
      </c>
      <c r="S568" t="s">
        <v>2761</v>
      </c>
      <c r="T568" t="s">
        <v>4362</v>
      </c>
      <c r="U568" t="s">
        <v>4362</v>
      </c>
      <c r="V568" t="s">
        <v>4362</v>
      </c>
      <c r="W568" t="s">
        <v>4928</v>
      </c>
      <c r="X568">
        <v>1</v>
      </c>
      <c r="Y568" t="s">
        <v>7089</v>
      </c>
      <c r="Z568" t="s">
        <v>9256</v>
      </c>
      <c r="AA568">
        <v>0.6898182350955691</v>
      </c>
      <c r="AB568">
        <f>HYPERLINK("Melting_Curves/meltCurve_P0AAH8_sapF.pdf", "Melting_Curves/meltCurve_P0AAH8_sapF.pdf")</f>
        <v>0</v>
      </c>
    </row>
    <row r="569" spans="1:28">
      <c r="A569" t="s">
        <v>595</v>
      </c>
      <c r="B569">
        <v>0.999739202189716</v>
      </c>
      <c r="C569">
        <v>1.45925884603324</v>
      </c>
      <c r="D569">
        <v>1.09679144681585</v>
      </c>
      <c r="E569">
        <v>1.08043629901661</v>
      </c>
      <c r="F569">
        <v>0.624371788445213</v>
      </c>
      <c r="G569">
        <v>0.444519610413825</v>
      </c>
      <c r="H569">
        <v>0.41252795472673</v>
      </c>
      <c r="I569">
        <v>0.432898652842099</v>
      </c>
      <c r="J569">
        <v>0.50423019380033</v>
      </c>
      <c r="K569">
        <v>0.391533475193548</v>
      </c>
      <c r="L569">
        <v>12515.0475972851</v>
      </c>
      <c r="M569">
        <v>250</v>
      </c>
      <c r="N569">
        <v>50.4789224816112</v>
      </c>
      <c r="O569">
        <v>50.0569744174357</v>
      </c>
      <c r="P569">
        <v>-0.702771558134282</v>
      </c>
      <c r="Q569">
        <v>0.43714197359574</v>
      </c>
      <c r="R569">
        <v>0.820954684324516</v>
      </c>
      <c r="S569" t="s">
        <v>2762</v>
      </c>
      <c r="T569" t="s">
        <v>4362</v>
      </c>
      <c r="U569" t="s">
        <v>4362</v>
      </c>
      <c r="V569" t="s">
        <v>4362</v>
      </c>
      <c r="W569" t="s">
        <v>4929</v>
      </c>
      <c r="X569">
        <v>22</v>
      </c>
      <c r="Y569" t="s">
        <v>7090</v>
      </c>
      <c r="Z569" t="s">
        <v>9257</v>
      </c>
      <c r="AA569">
        <v>0.6822258563025636</v>
      </c>
      <c r="AB569">
        <f>HYPERLINK("Melting_Curves/meltCurve_P0AAI3_ftsH.pdf", "Melting_Curves/meltCurve_P0AAI3_ftsH.pdf")</f>
        <v>0</v>
      </c>
    </row>
    <row r="570" spans="1:28">
      <c r="A570" t="s">
        <v>596</v>
      </c>
      <c r="B570">
        <v>0.999739202189716</v>
      </c>
      <c r="C570">
        <v>0.880335350784384</v>
      </c>
      <c r="D570">
        <v>0.583140867084201</v>
      </c>
      <c r="E570">
        <v>0.474404746400984</v>
      </c>
      <c r="F570">
        <v>0.409932860529419</v>
      </c>
      <c r="G570">
        <v>0.315676263217569</v>
      </c>
      <c r="H570">
        <v>0.285955526470948</v>
      </c>
      <c r="I570">
        <v>0.226869673517144</v>
      </c>
      <c r="J570">
        <v>0.222912020760376</v>
      </c>
      <c r="K570">
        <v>0.212949278360666</v>
      </c>
      <c r="L570">
        <v>576.417400576858</v>
      </c>
      <c r="M570">
        <v>13.1325062348092</v>
      </c>
      <c r="N570">
        <v>46.0562637351397</v>
      </c>
      <c r="O570">
        <v>42.9120942662692</v>
      </c>
      <c r="P570">
        <v>-0.0589044985563331</v>
      </c>
      <c r="Q570">
        <v>0.230219977260104</v>
      </c>
      <c r="R570">
        <v>0.974158218204651</v>
      </c>
      <c r="S570" t="s">
        <v>2763</v>
      </c>
      <c r="T570" t="s">
        <v>4362</v>
      </c>
      <c r="U570" t="s">
        <v>4362</v>
      </c>
      <c r="V570" t="s">
        <v>4362</v>
      </c>
      <c r="W570" t="s">
        <v>4930</v>
      </c>
      <c r="X570">
        <v>5</v>
      </c>
      <c r="Y570" t="s">
        <v>7091</v>
      </c>
      <c r="Z570" t="s">
        <v>9258</v>
      </c>
      <c r="AA570">
        <v>0.4322629962132891</v>
      </c>
      <c r="AB570">
        <f>HYPERLINK("Melting_Curves/meltCurve_P0AAI5_fabF.pdf", "Melting_Curves/meltCurve_P0AAI5_fabF.pdf")</f>
        <v>0</v>
      </c>
    </row>
    <row r="571" spans="1:28">
      <c r="A571" t="s">
        <v>597</v>
      </c>
      <c r="B571">
        <v>0.999739202189716</v>
      </c>
      <c r="C571">
        <v>0.8618604330319179</v>
      </c>
      <c r="D571">
        <v>1.02752550842738</v>
      </c>
      <c r="E571">
        <v>0.943279098059324</v>
      </c>
      <c r="F571">
        <v>0.947409968551659</v>
      </c>
      <c r="G571">
        <v>0.814895573580068</v>
      </c>
      <c r="H571">
        <v>0.455084529955012</v>
      </c>
      <c r="I571">
        <v>0.132955779229393</v>
      </c>
      <c r="J571">
        <v>0.0923915602734152</v>
      </c>
      <c r="K571">
        <v>0.07337928527679009</v>
      </c>
      <c r="L571">
        <v>1543.64112776153</v>
      </c>
      <c r="M571">
        <v>27.2568442971167</v>
      </c>
      <c r="N571">
        <v>56.8385722567417</v>
      </c>
      <c r="O571">
        <v>56.3309490491668</v>
      </c>
      <c r="P571">
        <v>-0.115294652434487</v>
      </c>
      <c r="Q571">
        <v>0.0469043053550701</v>
      </c>
      <c r="R571">
        <v>0.982890257413761</v>
      </c>
      <c r="S571" t="s">
        <v>2764</v>
      </c>
      <c r="T571" t="s">
        <v>4362</v>
      </c>
      <c r="U571" t="s">
        <v>4362</v>
      </c>
      <c r="V571" t="s">
        <v>4362</v>
      </c>
      <c r="W571" t="s">
        <v>4931</v>
      </c>
      <c r="X571">
        <v>10</v>
      </c>
      <c r="Y571" t="s">
        <v>7092</v>
      </c>
      <c r="Z571" t="s">
        <v>9259</v>
      </c>
      <c r="AA571">
        <v>0.6772810308911746</v>
      </c>
      <c r="AB571">
        <f>HYPERLINK("Melting_Curves/meltCurve_P0AAI9_fabD.pdf", "Melting_Curves/meltCurve_P0AAI9_fabD.pdf")</f>
        <v>0</v>
      </c>
    </row>
    <row r="572" spans="1:28">
      <c r="A572" t="s">
        <v>598</v>
      </c>
      <c r="B572">
        <v>0.999739202189716</v>
      </c>
      <c r="C572">
        <v>0.837315483074913</v>
      </c>
      <c r="D572">
        <v>0.9205934574100469</v>
      </c>
      <c r="E572">
        <v>0.9870767299587631</v>
      </c>
      <c r="F572">
        <v>0.591789153960094</v>
      </c>
      <c r="G572">
        <v>0.5720403653206479</v>
      </c>
      <c r="H572">
        <v>0.435531569350473</v>
      </c>
      <c r="I572">
        <v>0.365560036715474</v>
      </c>
      <c r="J572">
        <v>0.295174319120452</v>
      </c>
      <c r="K572">
        <v>0.549427266584028</v>
      </c>
      <c r="L572">
        <v>1391.02576059886</v>
      </c>
      <c r="M572">
        <v>28.0868664512973</v>
      </c>
      <c r="N572">
        <v>53.0200762312338</v>
      </c>
      <c r="O572">
        <v>49.2768297733285</v>
      </c>
      <c r="P572">
        <v>-0.0824395585728019</v>
      </c>
      <c r="Q572">
        <v>0.421462672939999</v>
      </c>
      <c r="R572">
        <v>0.861137850383613</v>
      </c>
      <c r="S572" t="s">
        <v>2765</v>
      </c>
      <c r="T572" t="s">
        <v>4362</v>
      </c>
      <c r="U572" t="s">
        <v>4362</v>
      </c>
      <c r="V572" t="s">
        <v>4362</v>
      </c>
      <c r="W572" t="s">
        <v>4932</v>
      </c>
      <c r="X572">
        <v>6</v>
      </c>
      <c r="Y572" t="s">
        <v>7093</v>
      </c>
      <c r="Z572" t="s">
        <v>9260</v>
      </c>
      <c r="AA572">
        <v>0.6670297579941243</v>
      </c>
      <c r="AB572">
        <f>HYPERLINK("Melting_Curves/meltCurve_P0AAJ1_ynfG.pdf", "Melting_Curves/meltCurve_P0AAJ1_ynfG.pdf")</f>
        <v>0</v>
      </c>
    </row>
    <row r="573" spans="1:28">
      <c r="A573" t="s">
        <v>599</v>
      </c>
      <c r="B573">
        <v>0.999739202189716</v>
      </c>
      <c r="C573">
        <v>1.03052722337079</v>
      </c>
      <c r="D573">
        <v>1.07972321467284</v>
      </c>
      <c r="E573">
        <v>1.15971541047714</v>
      </c>
      <c r="F573">
        <v>1.00830788622771</v>
      </c>
      <c r="G573">
        <v>0.964379188996721</v>
      </c>
      <c r="H573">
        <v>0.755067560379187</v>
      </c>
      <c r="I573">
        <v>0.643485663924774</v>
      </c>
      <c r="J573">
        <v>0.615668783650135</v>
      </c>
      <c r="K573">
        <v>0.461882412637582</v>
      </c>
      <c r="L573">
        <v>1276.16790031499</v>
      </c>
      <c r="M573">
        <v>21.7804763079751</v>
      </c>
      <c r="O573">
        <v>58.1050768207235</v>
      </c>
      <c r="P573">
        <v>-0.0485210246550242</v>
      </c>
      <c r="Q573">
        <v>0.482242311938838</v>
      </c>
      <c r="R573">
        <v>0.911854166889246</v>
      </c>
      <c r="S573" t="s">
        <v>2766</v>
      </c>
      <c r="T573" t="s">
        <v>4362</v>
      </c>
      <c r="U573" t="s">
        <v>4362</v>
      </c>
      <c r="V573" t="s">
        <v>4362</v>
      </c>
      <c r="W573" t="s">
        <v>4933</v>
      </c>
      <c r="X573">
        <v>7</v>
      </c>
      <c r="Y573" t="s">
        <v>7094</v>
      </c>
      <c r="Z573" t="s">
        <v>9261</v>
      </c>
      <c r="AA573">
        <v>0.8578117872343611</v>
      </c>
      <c r="AB573">
        <f>HYPERLINK("Melting_Curves/meltCurve_P0AAJ3_fdnH.pdf", "Melting_Curves/meltCurve_P0AAJ3_fdnH.pdf")</f>
        <v>0</v>
      </c>
    </row>
    <row r="574" spans="1:28">
      <c r="A574" t="s">
        <v>600</v>
      </c>
      <c r="B574">
        <v>0.999739202189716</v>
      </c>
      <c r="C574">
        <v>1.32078112772537</v>
      </c>
      <c r="D574">
        <v>1.37342180056531</v>
      </c>
      <c r="E574">
        <v>1.55451354756356</v>
      </c>
      <c r="F574">
        <v>0.907397885268786</v>
      </c>
      <c r="G574">
        <v>1.19407132167321</v>
      </c>
      <c r="H574">
        <v>0.690821028399258</v>
      </c>
      <c r="I574">
        <v>0.701980205198326</v>
      </c>
      <c r="J574">
        <v>0.734379708396275</v>
      </c>
      <c r="K574">
        <v>0.785737579149378</v>
      </c>
      <c r="L574">
        <v>8393.324686042721</v>
      </c>
      <c r="M574">
        <v>150.310217079825</v>
      </c>
      <c r="O574">
        <v>55.8301312443879</v>
      </c>
      <c r="P574">
        <v>-0.183511166593325</v>
      </c>
      <c r="Q574">
        <v>0.727351803816886</v>
      </c>
      <c r="R574">
        <v>0.323383474882967</v>
      </c>
      <c r="S574" t="s">
        <v>2767</v>
      </c>
      <c r="T574" t="s">
        <v>4362</v>
      </c>
      <c r="U574" t="s">
        <v>4362</v>
      </c>
      <c r="V574" t="s">
        <v>4362</v>
      </c>
      <c r="W574" t="s">
        <v>4934</v>
      </c>
      <c r="X574">
        <v>9</v>
      </c>
      <c r="Y574" t="s">
        <v>7095</v>
      </c>
      <c r="Z574" t="s">
        <v>9262</v>
      </c>
      <c r="AA574">
        <v>0.898648944405532</v>
      </c>
      <c r="AB574">
        <f>HYPERLINK("Melting_Curves/meltCurve_P0AAJ5_fdoH.pdf", "Melting_Curves/meltCurve_P0AAJ5_fdoH.pdf")</f>
        <v>0</v>
      </c>
    </row>
    <row r="575" spans="1:28">
      <c r="A575" t="s">
        <v>601</v>
      </c>
      <c r="B575">
        <v>0.999739202189716</v>
      </c>
      <c r="C575">
        <v>0.890374172567224</v>
      </c>
      <c r="D575">
        <v>0.824156952392071</v>
      </c>
      <c r="E575">
        <v>0.738907150218137</v>
      </c>
      <c r="F575">
        <v>0.617264919277514</v>
      </c>
      <c r="G575">
        <v>0.479050577795148</v>
      </c>
      <c r="H575">
        <v>0.396162562399854</v>
      </c>
      <c r="I575">
        <v>0.345137861295106</v>
      </c>
      <c r="J575">
        <v>0.313346548867401</v>
      </c>
      <c r="K575">
        <v>0.295679745433313</v>
      </c>
      <c r="L575">
        <v>423.64450073382</v>
      </c>
      <c r="M575">
        <v>8.45311763268514</v>
      </c>
      <c r="N575">
        <v>53.4222059339294</v>
      </c>
      <c r="O575">
        <v>47.5479548259319</v>
      </c>
      <c r="P575">
        <v>-0.0354274362450414</v>
      </c>
      <c r="Q575">
        <v>0.203629288632086</v>
      </c>
      <c r="R575">
        <v>0.994527676726208</v>
      </c>
      <c r="S575" t="s">
        <v>2768</v>
      </c>
      <c r="T575" t="s">
        <v>4362</v>
      </c>
      <c r="U575" t="s">
        <v>4362</v>
      </c>
      <c r="V575" t="s">
        <v>4362</v>
      </c>
      <c r="W575" t="s">
        <v>4935</v>
      </c>
      <c r="X575">
        <v>7</v>
      </c>
      <c r="Y575" t="s">
        <v>7096</v>
      </c>
      <c r="Z575" t="s">
        <v>9263</v>
      </c>
      <c r="AA575">
        <v>0.5825231138567308</v>
      </c>
      <c r="AB575">
        <f>HYPERLINK("Melting_Curves/meltCurve_P0AAJ8_hybA.pdf", "Melting_Curves/meltCurve_P0AAJ8_hybA.pdf")</f>
        <v>0</v>
      </c>
    </row>
    <row r="576" spans="1:28">
      <c r="A576" t="s">
        <v>602</v>
      </c>
      <c r="B576">
        <v>0.999739202189716</v>
      </c>
      <c r="C576">
        <v>0.917314621449796</v>
      </c>
      <c r="D576">
        <v>0.819508673338624</v>
      </c>
      <c r="E576">
        <v>0.910993551079832</v>
      </c>
      <c r="F576">
        <v>0.544473115450972</v>
      </c>
      <c r="G576">
        <v>0.312829920109812</v>
      </c>
      <c r="H576">
        <v>0.219648690738118</v>
      </c>
      <c r="I576">
        <v>0.189738914878669</v>
      </c>
      <c r="J576">
        <v>0.164343937543404</v>
      </c>
      <c r="K576">
        <v>0.143125615833794</v>
      </c>
      <c r="L576">
        <v>895.071861094278</v>
      </c>
      <c r="M576">
        <v>17.8698146508513</v>
      </c>
      <c r="N576">
        <v>51.0298881686274</v>
      </c>
      <c r="O576">
        <v>49.4738497488802</v>
      </c>
      <c r="P576">
        <v>-0.07762370537063711</v>
      </c>
      <c r="Q576">
        <v>0.140416647374223</v>
      </c>
      <c r="R576">
        <v>0.970648571047301</v>
      </c>
      <c r="S576" t="s">
        <v>2769</v>
      </c>
      <c r="T576" t="s">
        <v>4362</v>
      </c>
      <c r="U576" t="s">
        <v>4362</v>
      </c>
      <c r="V576" t="s">
        <v>4362</v>
      </c>
      <c r="W576" t="s">
        <v>4936</v>
      </c>
      <c r="X576">
        <v>3</v>
      </c>
      <c r="Y576" t="s">
        <v>7097</v>
      </c>
      <c r="Z576" t="s">
        <v>9264</v>
      </c>
      <c r="AA576">
        <v>0.5291274546223861</v>
      </c>
      <c r="AB576">
        <f>HYPERLINK("Melting_Curves/meltCurve_P0AAN1_hybE.pdf", "Melting_Curves/meltCurve_P0AAN1_hybE.pdf")</f>
        <v>0</v>
      </c>
    </row>
    <row r="577" spans="1:28">
      <c r="A577" t="s">
        <v>603</v>
      </c>
      <c r="B577">
        <v>0.999739202189716</v>
      </c>
      <c r="C577">
        <v>0.8058928519952659</v>
      </c>
      <c r="D577">
        <v>1.0477545745431</v>
      </c>
      <c r="E577">
        <v>0.616524353081891</v>
      </c>
      <c r="F577">
        <v>0.579515156685896</v>
      </c>
      <c r="G577">
        <v>0.406355225638471</v>
      </c>
      <c r="H577">
        <v>0.298164788476268</v>
      </c>
      <c r="I577">
        <v>0.252144262268979</v>
      </c>
      <c r="J577">
        <v>0.251268914806497</v>
      </c>
      <c r="K577">
        <v>0.202659424939285</v>
      </c>
      <c r="L577">
        <v>583.418310981466</v>
      </c>
      <c r="M577">
        <v>11.8577905731498</v>
      </c>
      <c r="N577">
        <v>51.1562005844779</v>
      </c>
      <c r="O577">
        <v>47.8645247080516</v>
      </c>
      <c r="P577">
        <v>-0.0506632030969094</v>
      </c>
      <c r="Q577">
        <v>0.182188934551614</v>
      </c>
      <c r="R577">
        <v>0.928548771681064</v>
      </c>
      <c r="S577" t="s">
        <v>2770</v>
      </c>
      <c r="T577" t="s">
        <v>4362</v>
      </c>
      <c r="U577" t="s">
        <v>4362</v>
      </c>
      <c r="V577" t="s">
        <v>4362</v>
      </c>
      <c r="W577" t="s">
        <v>4937</v>
      </c>
      <c r="X577">
        <v>4</v>
      </c>
      <c r="Y577" t="s">
        <v>7098</v>
      </c>
      <c r="Z577" t="s">
        <v>9265</v>
      </c>
      <c r="AA577">
        <v>0.5392040385238805</v>
      </c>
      <c r="AB577">
        <f>HYPERLINK("Melting_Curves/meltCurve_P0AAN3_hypB.pdf", "Melting_Curves/meltCurve_P0AAN3_hypB.pdf")</f>
        <v>0</v>
      </c>
    </row>
    <row r="578" spans="1:28">
      <c r="A578" t="s">
        <v>604</v>
      </c>
      <c r="B578">
        <v>0.999739202189716</v>
      </c>
      <c r="C578">
        <v>1.11085379257279</v>
      </c>
      <c r="D578">
        <v>0.804047155360528</v>
      </c>
      <c r="E578">
        <v>0.995863017349655</v>
      </c>
      <c r="F578">
        <v>0.8030909985958</v>
      </c>
      <c r="G578">
        <v>0.66523061543166</v>
      </c>
      <c r="H578">
        <v>0.616166248373746</v>
      </c>
      <c r="I578">
        <v>0.512562787981713</v>
      </c>
      <c r="J578">
        <v>0.428836995517358</v>
      </c>
      <c r="K578">
        <v>0.425374784228365</v>
      </c>
      <c r="L578">
        <v>568.284632065065</v>
      </c>
      <c r="M578">
        <v>10.3552271205745</v>
      </c>
      <c r="N578">
        <v>61.173593179731</v>
      </c>
      <c r="O578">
        <v>52.9506724736435</v>
      </c>
      <c r="P578">
        <v>-0.032882070641896</v>
      </c>
      <c r="Q578">
        <v>0.327726053139865</v>
      </c>
      <c r="R578">
        <v>0.906099267880321</v>
      </c>
      <c r="S578" t="s">
        <v>2771</v>
      </c>
      <c r="T578" t="s">
        <v>4362</v>
      </c>
      <c r="U578" t="s">
        <v>4362</v>
      </c>
      <c r="V578" t="s">
        <v>4362</v>
      </c>
      <c r="W578" t="s">
        <v>4938</v>
      </c>
      <c r="X578">
        <v>5</v>
      </c>
      <c r="Y578" t="s">
        <v>7099</v>
      </c>
      <c r="Z578" t="s">
        <v>9266</v>
      </c>
      <c r="AA578">
        <v>0.7373664548859266</v>
      </c>
      <c r="AB578">
        <f>HYPERLINK("Melting_Curves/meltCurve_P0AAP3_frmR.pdf", "Melting_Curves/meltCurve_P0AAP3_frmR.pdf")</f>
        <v>0</v>
      </c>
    </row>
    <row r="579" spans="1:28">
      <c r="A579" t="s">
        <v>605</v>
      </c>
      <c r="B579">
        <v>0.999739202189716</v>
      </c>
      <c r="C579">
        <v>1.04977986566165</v>
      </c>
      <c r="D579">
        <v>0.802166803029861</v>
      </c>
      <c r="E579">
        <v>1.05187196529393</v>
      </c>
      <c r="F579">
        <v>0.82282465322897</v>
      </c>
      <c r="G579">
        <v>0.644293883469942</v>
      </c>
      <c r="H579">
        <v>0.627357432023482</v>
      </c>
      <c r="I579">
        <v>0.565092335547791</v>
      </c>
      <c r="J579">
        <v>0.480683953248634</v>
      </c>
      <c r="K579">
        <v>0.574783407796288</v>
      </c>
      <c r="L579">
        <v>1341.073398263</v>
      </c>
      <c r="M579">
        <v>26.0968222008068</v>
      </c>
      <c r="O579">
        <v>51.0894866475702</v>
      </c>
      <c r="P579">
        <v>-0.0576185506304598</v>
      </c>
      <c r="Q579">
        <v>0.548808145982408</v>
      </c>
      <c r="R579">
        <v>0.864909822087047</v>
      </c>
      <c r="S579" t="s">
        <v>2772</v>
      </c>
      <c r="T579" t="s">
        <v>4362</v>
      </c>
      <c r="U579" t="s">
        <v>4362</v>
      </c>
      <c r="V579" t="s">
        <v>4362</v>
      </c>
      <c r="W579" t="s">
        <v>4939</v>
      </c>
      <c r="X579">
        <v>4</v>
      </c>
      <c r="Y579" t="s">
        <v>7100</v>
      </c>
      <c r="Z579" t="s">
        <v>9267</v>
      </c>
      <c r="AA579">
        <v>0.7688903619104184</v>
      </c>
      <c r="AB579">
        <f>HYPERLINK("Melting_Curves/meltCurve_P0AAQ2_yajD.pdf", "Melting_Curves/meltCurve_P0AAQ2_yajD.pdf")</f>
        <v>0</v>
      </c>
    </row>
    <row r="580" spans="1:28">
      <c r="A580" t="s">
        <v>606</v>
      </c>
      <c r="B580">
        <v>0.999739202189716</v>
      </c>
      <c r="C580">
        <v>1.18962608680604</v>
      </c>
      <c r="D580">
        <v>0.9168245728048861</v>
      </c>
      <c r="E580">
        <v>1.01415163657898</v>
      </c>
      <c r="F580">
        <v>1.11695676888853</v>
      </c>
      <c r="G580">
        <v>0.827550394679522</v>
      </c>
      <c r="H580">
        <v>0.9531991919471819</v>
      </c>
      <c r="I580">
        <v>0.847792594237188</v>
      </c>
      <c r="J580">
        <v>0.821457265968602</v>
      </c>
      <c r="K580">
        <v>0.736186900068595</v>
      </c>
      <c r="L580">
        <v>697.355142898688</v>
      </c>
      <c r="M580">
        <v>10.6762978791658</v>
      </c>
      <c r="O580">
        <v>63.1515086923964</v>
      </c>
      <c r="P580">
        <v>-0.0188271141120198</v>
      </c>
      <c r="Q580">
        <v>0.554710497754708</v>
      </c>
      <c r="R580">
        <v>0.553322630841813</v>
      </c>
      <c r="S580" t="s">
        <v>2773</v>
      </c>
      <c r="T580" t="s">
        <v>4362</v>
      </c>
      <c r="U580" t="s">
        <v>4362</v>
      </c>
      <c r="V580" t="s">
        <v>4362</v>
      </c>
      <c r="W580" t="s">
        <v>4940</v>
      </c>
      <c r="X580">
        <v>4</v>
      </c>
      <c r="Y580" t="s">
        <v>7101</v>
      </c>
      <c r="Z580" t="s">
        <v>9268</v>
      </c>
      <c r="AA580">
        <v>0.9345876527573291</v>
      </c>
      <c r="AB580">
        <f>HYPERLINK("Melting_Curves/meltCurve_P0AAQ6_ybaA.pdf", "Melting_Curves/meltCurve_P0AAQ6_ybaA.pdf")</f>
        <v>0</v>
      </c>
    </row>
    <row r="581" spans="1:28">
      <c r="A581" t="s">
        <v>607</v>
      </c>
      <c r="B581">
        <v>0.999739202189716</v>
      </c>
      <c r="C581">
        <v>1.27302843210739</v>
      </c>
      <c r="D581">
        <v>0.477767684966741</v>
      </c>
      <c r="E581">
        <v>0.949262044417196</v>
      </c>
      <c r="F581">
        <v>0.674902875022</v>
      </c>
      <c r="G581">
        <v>0.490850473990959</v>
      </c>
      <c r="H581">
        <v>0.5023161102581321</v>
      </c>
      <c r="I581">
        <v>0.329951024062216</v>
      </c>
      <c r="J581">
        <v>0.342755713464325</v>
      </c>
      <c r="K581">
        <v>0.287277134816603</v>
      </c>
      <c r="L581">
        <v>442.437056517508</v>
      </c>
      <c r="M581">
        <v>8.44660122952277</v>
      </c>
      <c r="N581">
        <v>55.3131296241036</v>
      </c>
      <c r="O581">
        <v>49.6916573133463</v>
      </c>
      <c r="P581">
        <v>-0.0348571158702757</v>
      </c>
      <c r="Q581">
        <v>0.180493490669256</v>
      </c>
      <c r="R581">
        <v>0.690279572434559</v>
      </c>
      <c r="S581" t="s">
        <v>2774</v>
      </c>
      <c r="T581" t="s">
        <v>4362</v>
      </c>
      <c r="U581" t="s">
        <v>4362</v>
      </c>
      <c r="V581" t="s">
        <v>4362</v>
      </c>
      <c r="W581" t="s">
        <v>4941</v>
      </c>
      <c r="X581">
        <v>1</v>
      </c>
      <c r="Y581" t="s">
        <v>7102</v>
      </c>
      <c r="Z581" t="s">
        <v>9269</v>
      </c>
      <c r="AA581">
        <v>0.6219679859730312</v>
      </c>
      <c r="AB581">
        <f>HYPERLINK("Melting_Curves/meltCurve_P0AAR0_tomB.pdf", "Melting_Curves/meltCurve_P0AAR0_tomB.pdf")</f>
        <v>0</v>
      </c>
    </row>
    <row r="582" spans="1:28">
      <c r="A582" t="s">
        <v>608</v>
      </c>
      <c r="B582">
        <v>0.999739202189716</v>
      </c>
      <c r="C582">
        <v>0.954022925897837</v>
      </c>
      <c r="D582">
        <v>1.10982568212282</v>
      </c>
      <c r="E582">
        <v>1.00454595987696</v>
      </c>
      <c r="F582">
        <v>0.87539223676832</v>
      </c>
      <c r="G582">
        <v>0.558429818257682</v>
      </c>
      <c r="H582">
        <v>0.24557581627586</v>
      </c>
      <c r="I582">
        <v>0.135873134565436</v>
      </c>
      <c r="J582">
        <v>0.115855944338498</v>
      </c>
      <c r="K582">
        <v>0.0894439969543521</v>
      </c>
      <c r="L582">
        <v>1409.2576635699</v>
      </c>
      <c r="M582">
        <v>26.1509782023864</v>
      </c>
      <c r="N582">
        <v>54.3196337446226</v>
      </c>
      <c r="O582">
        <v>53.5771291980136</v>
      </c>
      <c r="P582">
        <v>-0.110609124499769</v>
      </c>
      <c r="Q582">
        <v>0.0935631341792359</v>
      </c>
      <c r="R582">
        <v>0.990714216149595</v>
      </c>
      <c r="S582" t="s">
        <v>2775</v>
      </c>
      <c r="T582" t="s">
        <v>4362</v>
      </c>
      <c r="U582" t="s">
        <v>4362</v>
      </c>
      <c r="V582" t="s">
        <v>4362</v>
      </c>
      <c r="W582" t="s">
        <v>4942</v>
      </c>
      <c r="X582">
        <v>5</v>
      </c>
      <c r="Y582" t="s">
        <v>7103</v>
      </c>
      <c r="Z582" t="s">
        <v>9270</v>
      </c>
      <c r="AA582">
        <v>0.6112253265916735</v>
      </c>
      <c r="AB582">
        <f>HYPERLINK("Melting_Curves/meltCurve_P0AAR3_ybaK.pdf", "Melting_Curves/meltCurve_P0AAR3_ybaK.pdf")</f>
        <v>0</v>
      </c>
    </row>
    <row r="583" spans="1:28">
      <c r="A583" t="s">
        <v>609</v>
      </c>
      <c r="B583">
        <v>0.999739202189716</v>
      </c>
      <c r="C583">
        <v>1.10247449870686</v>
      </c>
      <c r="D583">
        <v>0.943301727666681</v>
      </c>
      <c r="E583">
        <v>0.999339767554652</v>
      </c>
      <c r="F583">
        <v>0.793367880794528</v>
      </c>
      <c r="G583">
        <v>0.57823348902302</v>
      </c>
      <c r="H583">
        <v>0.672195202872949</v>
      </c>
      <c r="I583">
        <v>0.478303062489146</v>
      </c>
      <c r="J583">
        <v>0.573265321079457</v>
      </c>
      <c r="K583">
        <v>0.237027702410234</v>
      </c>
      <c r="L583">
        <v>482.852200973718</v>
      </c>
      <c r="M583">
        <v>8.2294519282037</v>
      </c>
      <c r="N583">
        <v>60.7947163635836</v>
      </c>
      <c r="O583">
        <v>55.5148403661098</v>
      </c>
      <c r="P583">
        <v>-0.0324681396191705</v>
      </c>
      <c r="Q583">
        <v>0.124786803624412</v>
      </c>
      <c r="R583">
        <v>0.872443963461996</v>
      </c>
      <c r="S583" t="s">
        <v>2776</v>
      </c>
      <c r="T583" t="s">
        <v>4362</v>
      </c>
      <c r="U583" t="s">
        <v>4362</v>
      </c>
      <c r="V583" t="s">
        <v>4362</v>
      </c>
      <c r="W583" t="s">
        <v>4943</v>
      </c>
      <c r="X583">
        <v>1</v>
      </c>
      <c r="Y583" t="s">
        <v>7104</v>
      </c>
      <c r="Z583" t="s">
        <v>9271</v>
      </c>
      <c r="AA583">
        <v>0.7342120569523478</v>
      </c>
      <c r="AB583">
        <f>HYPERLINK("Melting_Curves/meltCurve_P0AAS0_ylaC.pdf", "Melting_Curves/meltCurve_P0AAS0_ylaC.pdf")</f>
        <v>0</v>
      </c>
    </row>
    <row r="584" spans="1:28">
      <c r="A584" t="s">
        <v>610</v>
      </c>
      <c r="B584">
        <v>0.999739202189716</v>
      </c>
      <c r="C584">
        <v>1.05784278819683</v>
      </c>
      <c r="D584">
        <v>1.18094943821973</v>
      </c>
      <c r="E584">
        <v>1.09211764701099</v>
      </c>
      <c r="F584">
        <v>1.11590133240566</v>
      </c>
      <c r="G584">
        <v>0.928027986967207</v>
      </c>
      <c r="H584">
        <v>1.02194014776441</v>
      </c>
      <c r="I584">
        <v>1.01015423495964</v>
      </c>
      <c r="J584">
        <v>0.936769893320253</v>
      </c>
      <c r="K584">
        <v>0.825717271870121</v>
      </c>
      <c r="L584">
        <v>15000</v>
      </c>
      <c r="M584">
        <v>233.446022302706</v>
      </c>
      <c r="O584">
        <v>64.249973373236</v>
      </c>
      <c r="P584">
        <v>-0.158320967221853</v>
      </c>
      <c r="Q584">
        <v>0.8257050301616961</v>
      </c>
      <c r="R584">
        <v>0.330710224040927</v>
      </c>
      <c r="S584" t="s">
        <v>2777</v>
      </c>
      <c r="T584" t="s">
        <v>4362</v>
      </c>
      <c r="U584" t="s">
        <v>4362</v>
      </c>
      <c r="V584" t="s">
        <v>4362</v>
      </c>
      <c r="W584" t="s">
        <v>4944</v>
      </c>
      <c r="X584">
        <v>2</v>
      </c>
      <c r="Y584" t="s">
        <v>7105</v>
      </c>
      <c r="Z584" t="s">
        <v>9272</v>
      </c>
      <c r="AA584">
        <v>0.9840725831083829</v>
      </c>
      <c r="AB584">
        <f>HYPERLINK("Melting_Curves/meltCurve_P0AAS3_ybbJ.pdf", "Melting_Curves/meltCurve_P0AAS3_ybbJ.pdf")</f>
        <v>0</v>
      </c>
    </row>
    <row r="585" spans="1:28">
      <c r="A585" t="s">
        <v>611</v>
      </c>
      <c r="B585">
        <v>0.999739202189716</v>
      </c>
      <c r="C585">
        <v>0.924095962613169</v>
      </c>
      <c r="D585">
        <v>1.12658166102061</v>
      </c>
      <c r="E585">
        <v>1.10446552478209</v>
      </c>
      <c r="F585">
        <v>1.23694431804257</v>
      </c>
      <c r="G585">
        <v>0.997805504344987</v>
      </c>
      <c r="H585">
        <v>1.07501986074329</v>
      </c>
      <c r="I585">
        <v>1.00167727704383</v>
      </c>
      <c r="J585">
        <v>1.00260400213221</v>
      </c>
      <c r="K585">
        <v>0.811479695679812</v>
      </c>
      <c r="L585">
        <v>15000</v>
      </c>
      <c r="M585">
        <v>222.42094232989</v>
      </c>
      <c r="Q585">
        <v>0</v>
      </c>
      <c r="R585">
        <v>0.226562619781221</v>
      </c>
      <c r="S585" t="s">
        <v>2778</v>
      </c>
      <c r="T585" t="s">
        <v>4362</v>
      </c>
      <c r="U585" t="s">
        <v>4362</v>
      </c>
      <c r="V585" t="s">
        <v>4362</v>
      </c>
      <c r="W585" t="s">
        <v>4945</v>
      </c>
      <c r="X585">
        <v>4</v>
      </c>
      <c r="Y585" t="s">
        <v>7106</v>
      </c>
      <c r="Z585" t="s">
        <v>9273</v>
      </c>
      <c r="AA585">
        <v>0.997935494549581</v>
      </c>
      <c r="AB585">
        <f>HYPERLINK("Melting_Curves/meltCurve_P0AAS7_ybcJ.pdf", "Melting_Curves/meltCurve_P0AAS7_ybcJ.pdf")</f>
        <v>0</v>
      </c>
    </row>
    <row r="586" spans="1:28">
      <c r="A586" t="s">
        <v>612</v>
      </c>
      <c r="B586">
        <v>0.999739202189716</v>
      </c>
      <c r="C586">
        <v>1.28637393512327</v>
      </c>
      <c r="D586">
        <v>0.880489113870167</v>
      </c>
      <c r="E586">
        <v>1.08605595802378</v>
      </c>
      <c r="F586">
        <v>0.746735501990769</v>
      </c>
      <c r="G586">
        <v>0.485606451012302</v>
      </c>
      <c r="H586">
        <v>0.298304774280143</v>
      </c>
      <c r="I586">
        <v>0.25689483063258</v>
      </c>
      <c r="J586">
        <v>0.232700957394823</v>
      </c>
      <c r="K586">
        <v>0.160660698405716</v>
      </c>
      <c r="L586">
        <v>1279.96129878296</v>
      </c>
      <c r="M586">
        <v>24.4593254191409</v>
      </c>
      <c r="N586">
        <v>53.5000495137447</v>
      </c>
      <c r="O586">
        <v>51.9841622967052</v>
      </c>
      <c r="P586">
        <v>-0.0932671127584718</v>
      </c>
      <c r="Q586">
        <v>0.207117687711108</v>
      </c>
      <c r="R586">
        <v>0.922190463625298</v>
      </c>
      <c r="S586" t="s">
        <v>2779</v>
      </c>
      <c r="T586" t="s">
        <v>4362</v>
      </c>
      <c r="U586" t="s">
        <v>4362</v>
      </c>
      <c r="V586" t="s">
        <v>4362</v>
      </c>
      <c r="W586" t="s">
        <v>4946</v>
      </c>
      <c r="X586">
        <v>2</v>
      </c>
      <c r="Y586" t="s">
        <v>7107</v>
      </c>
      <c r="Z586" t="s">
        <v>9274</v>
      </c>
      <c r="AA586">
        <v>0.619586416756449</v>
      </c>
      <c r="AB586">
        <f>HYPERLINK("Melting_Curves/meltCurve_P0AAT2_ybdF.pdf", "Melting_Curves/meltCurve_P0AAT2_ybdF.pdf")</f>
        <v>0</v>
      </c>
    </row>
    <row r="587" spans="1:28">
      <c r="A587" t="s">
        <v>613</v>
      </c>
      <c r="B587">
        <v>0.999739202189716</v>
      </c>
      <c r="C587">
        <v>1.32711861812901</v>
      </c>
      <c r="D587">
        <v>0.623790471527331</v>
      </c>
      <c r="E587">
        <v>0.428062388721682</v>
      </c>
      <c r="F587">
        <v>0.216938762643045</v>
      </c>
      <c r="G587">
        <v>0.131407422685918</v>
      </c>
      <c r="H587">
        <v>0.0982677596713514</v>
      </c>
      <c r="I587">
        <v>0.0816345488404504</v>
      </c>
      <c r="J587">
        <v>0.06512768236926041</v>
      </c>
      <c r="K587">
        <v>0.0509790548918092</v>
      </c>
      <c r="L587">
        <v>1034.44418944341</v>
      </c>
      <c r="M587">
        <v>22.896693031222</v>
      </c>
      <c r="N587">
        <v>45.5626912017341</v>
      </c>
      <c r="O587">
        <v>44.8383753407795</v>
      </c>
      <c r="P587">
        <v>-0.116464343690631</v>
      </c>
      <c r="Q587">
        <v>0.0877333658054887</v>
      </c>
      <c r="R587">
        <v>0.907117072248353</v>
      </c>
      <c r="S587" t="s">
        <v>2780</v>
      </c>
      <c r="T587" t="s">
        <v>4362</v>
      </c>
      <c r="U587" t="s">
        <v>4362</v>
      </c>
      <c r="V587" t="s">
        <v>4362</v>
      </c>
      <c r="W587" t="s">
        <v>4947</v>
      </c>
      <c r="X587">
        <v>2</v>
      </c>
      <c r="Y587" t="s">
        <v>7108</v>
      </c>
      <c r="Z587" t="s">
        <v>9275</v>
      </c>
      <c r="AA587">
        <v>0.3454531414986182</v>
      </c>
      <c r="AB587">
        <f>HYPERLINK("Melting_Curves/meltCurve_P0AAT4_ybdG.pdf", "Melting_Curves/meltCurve_P0AAT4_ybdG.pdf")</f>
        <v>0</v>
      </c>
    </row>
    <row r="588" spans="1:28">
      <c r="A588" t="s">
        <v>614</v>
      </c>
      <c r="B588">
        <v>0.999739202189716</v>
      </c>
      <c r="C588">
        <v>1.01974346827602</v>
      </c>
      <c r="D588">
        <v>0.7575246469438141</v>
      </c>
      <c r="E588">
        <v>0.937527312790522</v>
      </c>
      <c r="F588">
        <v>0.894913394940989</v>
      </c>
      <c r="G588">
        <v>0.700533796424522</v>
      </c>
      <c r="H588">
        <v>0.7616170378655051</v>
      </c>
      <c r="I588">
        <v>0.643114965220739</v>
      </c>
      <c r="J588">
        <v>0.616587184182006</v>
      </c>
      <c r="K588">
        <v>0.611643083348391</v>
      </c>
      <c r="L588">
        <v>291.140099082902</v>
      </c>
      <c r="M588">
        <v>4.73502612676335</v>
      </c>
      <c r="O588">
        <v>52.9582422288352</v>
      </c>
      <c r="P588">
        <v>-0.0152484432001816</v>
      </c>
      <c r="Q588">
        <v>0.32281731120825</v>
      </c>
      <c r="R588">
        <v>0.78140859487878</v>
      </c>
      <c r="S588" t="s">
        <v>2781</v>
      </c>
      <c r="T588" t="s">
        <v>4362</v>
      </c>
      <c r="U588" t="s">
        <v>4362</v>
      </c>
      <c r="V588" t="s">
        <v>4362</v>
      </c>
      <c r="W588" t="s">
        <v>4948</v>
      </c>
      <c r="X588">
        <v>1</v>
      </c>
      <c r="Y588" t="s">
        <v>7109</v>
      </c>
      <c r="Z588" t="s">
        <v>9276</v>
      </c>
      <c r="AA588">
        <v>0.7947213844046758</v>
      </c>
      <c r="AB588">
        <f>HYPERLINK("Melting_Curves/meltCurve_P0AAT9_ybeL.pdf", "Melting_Curves/meltCurve_P0AAT9_ybeL.pdf")</f>
        <v>0</v>
      </c>
    </row>
    <row r="589" spans="1:28">
      <c r="A589" t="s">
        <v>615</v>
      </c>
      <c r="B589">
        <v>0.999739202189716</v>
      </c>
      <c r="C589">
        <v>1.27086344869998</v>
      </c>
      <c r="D589">
        <v>0.7885545004600309</v>
      </c>
      <c r="E589">
        <v>1.08580159952217</v>
      </c>
      <c r="F589">
        <v>0.791437873958899</v>
      </c>
      <c r="G589">
        <v>0.71548821897048</v>
      </c>
      <c r="H589">
        <v>0.51437280487133</v>
      </c>
      <c r="I589">
        <v>0.350423362998678</v>
      </c>
      <c r="J589">
        <v>0.290027563890142</v>
      </c>
      <c r="K589">
        <v>0.477813507388739</v>
      </c>
      <c r="L589">
        <v>1073.04457389738</v>
      </c>
      <c r="M589">
        <v>19.9770061389436</v>
      </c>
      <c r="N589">
        <v>57.2271060044424</v>
      </c>
      <c r="O589">
        <v>53.1844208131152</v>
      </c>
      <c r="P589">
        <v>-0.0607278760502117</v>
      </c>
      <c r="Q589">
        <v>0.353322142887096</v>
      </c>
      <c r="R589">
        <v>0.828649199973403</v>
      </c>
      <c r="S589" t="s">
        <v>2782</v>
      </c>
      <c r="T589" t="s">
        <v>4362</v>
      </c>
      <c r="U589" t="s">
        <v>4362</v>
      </c>
      <c r="V589" t="s">
        <v>4362</v>
      </c>
      <c r="W589" t="s">
        <v>4949</v>
      </c>
      <c r="X589">
        <v>1</v>
      </c>
      <c r="Y589" t="s">
        <v>7110</v>
      </c>
      <c r="Z589" t="s">
        <v>9277</v>
      </c>
      <c r="AA589">
        <v>0.7215475086576817</v>
      </c>
      <c r="AB589">
        <f>HYPERLINK("Melting_Curves/meltCurve_P0AAU7_ybfE.pdf", "Melting_Curves/meltCurve_P0AAU7_ybfE.pdf")</f>
        <v>0</v>
      </c>
    </row>
    <row r="590" spans="1:28">
      <c r="A590" t="s">
        <v>616</v>
      </c>
      <c r="B590">
        <v>0.999739202189716</v>
      </c>
      <c r="C590">
        <v>1.26999549595074</v>
      </c>
      <c r="D590">
        <v>0.847160782170667</v>
      </c>
      <c r="E590">
        <v>0.829621132495158</v>
      </c>
      <c r="F590">
        <v>0.7741928264939411</v>
      </c>
      <c r="G590">
        <v>0.705907517647177</v>
      </c>
      <c r="H590">
        <v>0.634502976606464</v>
      </c>
      <c r="I590">
        <v>0.271616649469039</v>
      </c>
      <c r="J590">
        <v>0.157596746826637</v>
      </c>
      <c r="K590">
        <v>0</v>
      </c>
      <c r="L590">
        <v>756.1405542403199</v>
      </c>
      <c r="M590">
        <v>13.2453893760985</v>
      </c>
      <c r="N590">
        <v>57.0870765380215</v>
      </c>
      <c r="O590">
        <v>55.8328990191545</v>
      </c>
      <c r="P590">
        <v>-0.0593179215205126</v>
      </c>
      <c r="Q590">
        <v>0</v>
      </c>
      <c r="R590">
        <v>0.888132212288106</v>
      </c>
      <c r="S590" t="s">
        <v>2783</v>
      </c>
      <c r="T590" t="s">
        <v>4362</v>
      </c>
      <c r="U590" t="s">
        <v>4362</v>
      </c>
      <c r="V590" t="s">
        <v>4362</v>
      </c>
      <c r="W590" t="s">
        <v>4950</v>
      </c>
      <c r="X590">
        <v>1</v>
      </c>
      <c r="Y590" t="s">
        <v>7111</v>
      </c>
      <c r="Z590" t="s">
        <v>9278</v>
      </c>
      <c r="AA590">
        <v>0.675776284913759</v>
      </c>
      <c r="AB590">
        <f>HYPERLINK("Melting_Curves/meltCurve_P0AAV0_ybgE.pdf", "Melting_Curves/meltCurve_P0AAV0_ybgE.pdf")</f>
        <v>0</v>
      </c>
    </row>
    <row r="591" spans="1:28">
      <c r="A591" t="s">
        <v>617</v>
      </c>
      <c r="B591">
        <v>0.999739202189716</v>
      </c>
      <c r="C591">
        <v>0.9343996063432159</v>
      </c>
      <c r="D591">
        <v>0.976650054848149</v>
      </c>
      <c r="E591">
        <v>1.06735068778349</v>
      </c>
      <c r="F591">
        <v>0.454491580361745</v>
      </c>
      <c r="G591">
        <v>0.207428387743523</v>
      </c>
      <c r="H591">
        <v>0.0873118253280515</v>
      </c>
      <c r="I591">
        <v>0.07414031801569899</v>
      </c>
      <c r="J591">
        <v>0.0812879596789437</v>
      </c>
      <c r="K591">
        <v>0.0533330294296139</v>
      </c>
      <c r="L591">
        <v>3196.84918430545</v>
      </c>
      <c r="M591">
        <v>64.0741360866855</v>
      </c>
      <c r="N591">
        <v>50.0635499066018</v>
      </c>
      <c r="O591">
        <v>49.8444416154164</v>
      </c>
      <c r="P591">
        <v>-0.289857395869744</v>
      </c>
      <c r="Q591">
        <v>0.0980588211062622</v>
      </c>
      <c r="R591">
        <v>0.986690777907801</v>
      </c>
      <c r="S591" t="s">
        <v>2784</v>
      </c>
      <c r="T591" t="s">
        <v>4362</v>
      </c>
      <c r="U591" t="s">
        <v>4362</v>
      </c>
      <c r="V591" t="s">
        <v>4362</v>
      </c>
      <c r="W591" t="s">
        <v>4951</v>
      </c>
      <c r="X591">
        <v>2</v>
      </c>
      <c r="Y591" t="s">
        <v>7112</v>
      </c>
      <c r="Z591" t="s">
        <v>9279</v>
      </c>
      <c r="AA591">
        <v>0.486888369965886</v>
      </c>
      <c r="AB591">
        <f>HYPERLINK("Melting_Curves/meltCurve_P0AAV4_ybgJ.pdf", "Melting_Curves/meltCurve_P0AAV4_ybgJ.pdf")</f>
        <v>0</v>
      </c>
    </row>
    <row r="592" spans="1:28">
      <c r="A592" t="s">
        <v>618</v>
      </c>
      <c r="B592">
        <v>0.999739202189716</v>
      </c>
      <c r="C592">
        <v>0.825638696039649</v>
      </c>
      <c r="D592">
        <v>1.15609889767855</v>
      </c>
      <c r="E592">
        <v>1.24880957275328</v>
      </c>
      <c r="F592">
        <v>1.05374912423112</v>
      </c>
      <c r="G592">
        <v>0.923575785350689</v>
      </c>
      <c r="H592">
        <v>0.860008023611447</v>
      </c>
      <c r="I592">
        <v>1.28400113823343</v>
      </c>
      <c r="J592">
        <v>2.64341528277751</v>
      </c>
      <c r="K592">
        <v>1.08440335863308</v>
      </c>
      <c r="L592">
        <v>15000</v>
      </c>
      <c r="M592">
        <v>246.17554086561</v>
      </c>
      <c r="O592">
        <v>60.9281127569861</v>
      </c>
      <c r="P592">
        <v>0.5050533068988839</v>
      </c>
      <c r="Q592">
        <v>1.5</v>
      </c>
      <c r="R592">
        <v>0.350258313228378</v>
      </c>
      <c r="S592" t="s">
        <v>2785</v>
      </c>
      <c r="T592" t="s">
        <v>4362</v>
      </c>
      <c r="U592" t="s">
        <v>4362</v>
      </c>
      <c r="V592" t="s">
        <v>4362</v>
      </c>
      <c r="W592" t="s">
        <v>4952</v>
      </c>
      <c r="X592">
        <v>1</v>
      </c>
      <c r="Y592" t="s">
        <v>7113</v>
      </c>
      <c r="Z592" t="s">
        <v>9280</v>
      </c>
      <c r="AA592">
        <v>1.10107602860805</v>
      </c>
      <c r="AB592">
        <f>HYPERLINK("Melting_Curves/meltCurve_P0AAV6_ybgS.pdf", "Melting_Curves/meltCurve_P0AAV6_ybgS.pdf")</f>
        <v>0</v>
      </c>
    </row>
    <row r="593" spans="1:28">
      <c r="A593" t="s">
        <v>619</v>
      </c>
      <c r="B593">
        <v>0.999739202189716</v>
      </c>
      <c r="C593">
        <v>0.614538460815095</v>
      </c>
      <c r="D593">
        <v>0.229228301333028</v>
      </c>
      <c r="E593">
        <v>0.140838189440976</v>
      </c>
      <c r="F593">
        <v>0.104008023502308</v>
      </c>
      <c r="G593">
        <v>0.0785381170841908</v>
      </c>
      <c r="H593">
        <v>0.0660921157825972</v>
      </c>
      <c r="I593">
        <v>0.0499962890593202</v>
      </c>
      <c r="J593">
        <v>0.0553296855013591</v>
      </c>
      <c r="K593">
        <v>0.0405525210874671</v>
      </c>
      <c r="L593">
        <v>1165.03077123459</v>
      </c>
      <c r="M593">
        <v>28.7546660825006</v>
      </c>
      <c r="N593">
        <v>40.7392442142714</v>
      </c>
      <c r="O593">
        <v>40.3218034654245</v>
      </c>
      <c r="P593">
        <v>-0.165300948604983</v>
      </c>
      <c r="Q593">
        <v>0.072821213702502</v>
      </c>
      <c r="R593">
        <v>0.9904850241784739</v>
      </c>
      <c r="S593" t="s">
        <v>2786</v>
      </c>
      <c r="T593" t="s">
        <v>4362</v>
      </c>
      <c r="U593" t="s">
        <v>4362</v>
      </c>
      <c r="V593" t="s">
        <v>4362</v>
      </c>
      <c r="W593" t="s">
        <v>4953</v>
      </c>
      <c r="X593">
        <v>2</v>
      </c>
      <c r="Y593" t="s">
        <v>7114</v>
      </c>
      <c r="Z593" t="s">
        <v>9281</v>
      </c>
      <c r="AA593">
        <v>0.1887147778264353</v>
      </c>
      <c r="AB593">
        <f>HYPERLINK("Melting_Curves/meltCurve_P0AAW1_ybhP.pdf", "Melting_Curves/meltCurve_P0AAW1_ybhP.pdf")</f>
        <v>0</v>
      </c>
    </row>
    <row r="594" spans="1:28">
      <c r="A594" t="s">
        <v>620</v>
      </c>
      <c r="B594">
        <v>0.999739202189716</v>
      </c>
      <c r="C594">
        <v>0.935560470748795</v>
      </c>
      <c r="D594">
        <v>0.928564611824544</v>
      </c>
      <c r="E594">
        <v>0.525845041272803</v>
      </c>
      <c r="F594">
        <v>0.170919866864846</v>
      </c>
      <c r="G594">
        <v>0.0803020028580874</v>
      </c>
      <c r="H594">
        <v>0.0623748660764173</v>
      </c>
      <c r="I594">
        <v>0.0472747418739949</v>
      </c>
      <c r="J594">
        <v>0.0486147114523944</v>
      </c>
      <c r="K594">
        <v>0.041774155683643</v>
      </c>
      <c r="L594">
        <v>1257.21166804861</v>
      </c>
      <c r="M594">
        <v>26.9563822343413</v>
      </c>
      <c r="N594">
        <v>46.8175942301652</v>
      </c>
      <c r="O594">
        <v>46.3843355962595</v>
      </c>
      <c r="P594">
        <v>-0.138180980109873</v>
      </c>
      <c r="Q594">
        <v>0.0489274146326631</v>
      </c>
      <c r="R594">
        <v>0.997838638215889</v>
      </c>
      <c r="S594" t="s">
        <v>2787</v>
      </c>
      <c r="T594" t="s">
        <v>4362</v>
      </c>
      <c r="U594" t="s">
        <v>4362</v>
      </c>
      <c r="V594" t="s">
        <v>4362</v>
      </c>
      <c r="W594" t="s">
        <v>4954</v>
      </c>
      <c r="X594">
        <v>7</v>
      </c>
      <c r="Y594" t="s">
        <v>7115</v>
      </c>
      <c r="Z594" t="s">
        <v>9282</v>
      </c>
      <c r="AA594">
        <v>0.3613198752969636</v>
      </c>
      <c r="AB594">
        <f>HYPERLINK("Melting_Curves/meltCurve_P0AAX8_ybiS.pdf", "Melting_Curves/meltCurve_P0AAX8_ybiS.pdf")</f>
        <v>0</v>
      </c>
    </row>
    <row r="595" spans="1:28">
      <c r="A595" t="s">
        <v>621</v>
      </c>
      <c r="B595">
        <v>0.999739202189716</v>
      </c>
      <c r="C595">
        <v>0.714360331211619</v>
      </c>
      <c r="D595">
        <v>0.766834959706763</v>
      </c>
      <c r="E595">
        <v>0.514322257084059</v>
      </c>
      <c r="F595">
        <v>0.6528338293645189</v>
      </c>
      <c r="G595">
        <v>0.394055505548061</v>
      </c>
      <c r="H595">
        <v>0.332941510557485</v>
      </c>
      <c r="I595">
        <v>0.206883915729573</v>
      </c>
      <c r="J595">
        <v>0.161799557492291</v>
      </c>
      <c r="K595">
        <v>0.107482769989194</v>
      </c>
      <c r="L595">
        <v>326.892689515747</v>
      </c>
      <c r="M595">
        <v>6.5310197146616</v>
      </c>
      <c r="N595">
        <v>50.0523196331335</v>
      </c>
      <c r="O595">
        <v>45.9812746806374</v>
      </c>
      <c r="P595">
        <v>-0.0355938928133809</v>
      </c>
      <c r="Q595">
        <v>0</v>
      </c>
      <c r="R595">
        <v>0.915598247565128</v>
      </c>
      <c r="S595" t="s">
        <v>2788</v>
      </c>
      <c r="T595" t="s">
        <v>4362</v>
      </c>
      <c r="U595" t="s">
        <v>4362</v>
      </c>
      <c r="V595" t="s">
        <v>4362</v>
      </c>
      <c r="W595" t="s">
        <v>4955</v>
      </c>
      <c r="X595">
        <v>1</v>
      </c>
      <c r="Y595" t="s">
        <v>7116</v>
      </c>
      <c r="Z595" t="s">
        <v>9283</v>
      </c>
      <c r="AA595">
        <v>0.4807130034204669</v>
      </c>
      <c r="AB595">
        <f>HYPERLINK("Melting_Curves/meltCurve_P0AAY6_ybjN.pdf", "Melting_Curves/meltCurve_P0AAY6_ybjN.pdf")</f>
        <v>0</v>
      </c>
    </row>
    <row r="596" spans="1:28">
      <c r="A596" t="s">
        <v>622</v>
      </c>
      <c r="B596">
        <v>0.999739202189716</v>
      </c>
      <c r="C596">
        <v>1.117285004279</v>
      </c>
      <c r="D596">
        <v>0.662624139497981</v>
      </c>
      <c r="E596">
        <v>0.235699283677689</v>
      </c>
      <c r="F596">
        <v>0.193722382901512</v>
      </c>
      <c r="G596">
        <v>0.132477580210501</v>
      </c>
      <c r="H596">
        <v>0.104739219483538</v>
      </c>
      <c r="I596">
        <v>0.0877266616815872</v>
      </c>
      <c r="J596">
        <v>0.0929130407174804</v>
      </c>
      <c r="K596">
        <v>0.0753325008850462</v>
      </c>
      <c r="L596">
        <v>1584.29604818497</v>
      </c>
      <c r="M596">
        <v>36.1987109414348</v>
      </c>
      <c r="N596">
        <v>44.0889250541269</v>
      </c>
      <c r="O596">
        <v>43.6337184633224</v>
      </c>
      <c r="P596">
        <v>-0.183292166974175</v>
      </c>
      <c r="Q596">
        <v>0.116245485111412</v>
      </c>
      <c r="R596">
        <v>0.97896492499128</v>
      </c>
      <c r="S596" t="s">
        <v>2789</v>
      </c>
      <c r="T596" t="s">
        <v>4362</v>
      </c>
      <c r="U596" t="s">
        <v>4362</v>
      </c>
      <c r="V596" t="s">
        <v>4362</v>
      </c>
      <c r="W596" t="s">
        <v>4956</v>
      </c>
      <c r="X596">
        <v>9</v>
      </c>
      <c r="Y596" t="s">
        <v>7117</v>
      </c>
      <c r="Z596" t="s">
        <v>9284</v>
      </c>
      <c r="AA596">
        <v>0.3188846386956213</v>
      </c>
      <c r="AB596">
        <f>HYPERLINK("Melting_Curves/meltCurve_P0AAZ4_rarA.pdf", "Melting_Curves/meltCurve_P0AAZ4_rarA.pdf")</f>
        <v>0</v>
      </c>
    </row>
    <row r="597" spans="1:28">
      <c r="A597" t="s">
        <v>623</v>
      </c>
      <c r="B597">
        <v>0.999739202189716</v>
      </c>
      <c r="C597">
        <v>1.17611006910545</v>
      </c>
      <c r="D597">
        <v>0.813229327974361</v>
      </c>
      <c r="E597">
        <v>1.07207726929874</v>
      </c>
      <c r="F597">
        <v>1.04126016470489</v>
      </c>
      <c r="G597">
        <v>0.748229505959271</v>
      </c>
      <c r="H597">
        <v>0.745005759959565</v>
      </c>
      <c r="I597">
        <v>0.7813609646959579</v>
      </c>
      <c r="J597">
        <v>0.620238061562258</v>
      </c>
      <c r="K597">
        <v>0.729394386669456</v>
      </c>
      <c r="L597">
        <v>13334.1509341644</v>
      </c>
      <c r="M597">
        <v>250</v>
      </c>
      <c r="O597">
        <v>53.333191489722</v>
      </c>
      <c r="P597">
        <v>-0.329298021064084</v>
      </c>
      <c r="Q597">
        <v>0.718999774657284</v>
      </c>
      <c r="R597">
        <v>0.713377320721826</v>
      </c>
      <c r="S597" t="s">
        <v>2790</v>
      </c>
      <c r="T597" t="s">
        <v>4362</v>
      </c>
      <c r="U597" t="s">
        <v>4362</v>
      </c>
      <c r="V597" t="s">
        <v>4362</v>
      </c>
      <c r="W597" t="s">
        <v>4957</v>
      </c>
      <c r="X597">
        <v>4</v>
      </c>
      <c r="Y597" t="s">
        <v>7118</v>
      </c>
      <c r="Z597" t="s">
        <v>9285</v>
      </c>
      <c r="AA597">
        <v>0.8720457220357827</v>
      </c>
      <c r="AB597">
        <f>HYPERLINK("Melting_Curves/meltCurve_P0AAZ7_ycaR.pdf", "Melting_Curves/meltCurve_P0AAZ7_ycaR.pdf")</f>
        <v>0</v>
      </c>
    </row>
    <row r="598" spans="1:28">
      <c r="A598" t="s">
        <v>624</v>
      </c>
      <c r="B598">
        <v>0.999739202189716</v>
      </c>
      <c r="C598">
        <v>0.813348464089823</v>
      </c>
      <c r="D598">
        <v>0.626133168069254</v>
      </c>
      <c r="E598">
        <v>0.351837916245252</v>
      </c>
      <c r="F598">
        <v>0.284088087230907</v>
      </c>
      <c r="G598">
        <v>0.174347417969446</v>
      </c>
      <c r="H598">
        <v>0.127324940194052</v>
      </c>
      <c r="I598">
        <v>0.101718250388529</v>
      </c>
      <c r="J598">
        <v>0.0997761250224775</v>
      </c>
      <c r="K598">
        <v>0.080754856574839</v>
      </c>
      <c r="L598">
        <v>608.119707582969</v>
      </c>
      <c r="M598">
        <v>13.7749273278817</v>
      </c>
      <c r="N598">
        <v>44.7965933411428</v>
      </c>
      <c r="O598">
        <v>43.2476463956815</v>
      </c>
      <c r="P598">
        <v>-0.0724280345364519</v>
      </c>
      <c r="Q598">
        <v>0.0905504589216557</v>
      </c>
      <c r="R598">
        <v>0.992004400217198</v>
      </c>
      <c r="S598" t="s">
        <v>2791</v>
      </c>
      <c r="T598" t="s">
        <v>4362</v>
      </c>
      <c r="U598" t="s">
        <v>4362</v>
      </c>
      <c r="V598" t="s">
        <v>4362</v>
      </c>
      <c r="W598" t="s">
        <v>4958</v>
      </c>
      <c r="X598">
        <v>3</v>
      </c>
      <c r="Y598" t="s">
        <v>7119</v>
      </c>
      <c r="Z598" t="s">
        <v>9286</v>
      </c>
      <c r="AA598">
        <v>0.3338717318402105</v>
      </c>
      <c r="AB598">
        <f>HYPERLINK("Melting_Curves/meltCurve_P0AB01_elyC.pdf", "Melting_Curves/meltCurve_P0AB01_elyC.pdf")</f>
        <v>0</v>
      </c>
    </row>
    <row r="599" spans="1:28">
      <c r="A599" t="s">
        <v>625</v>
      </c>
      <c r="B599">
        <v>0.999739202189716</v>
      </c>
      <c r="C599">
        <v>0.653134650147624</v>
      </c>
      <c r="D599">
        <v>0.535106113129854</v>
      </c>
      <c r="E599">
        <v>0.441759561320727</v>
      </c>
      <c r="F599">
        <v>0.39451207734555</v>
      </c>
      <c r="G599">
        <v>0.267098048047375</v>
      </c>
      <c r="H599">
        <v>0.217689831982249</v>
      </c>
      <c r="I599">
        <v>0.197843485483867</v>
      </c>
      <c r="J599">
        <v>0.171257501057904</v>
      </c>
      <c r="K599">
        <v>0.159449765832944</v>
      </c>
      <c r="L599">
        <v>429.950359893725</v>
      </c>
      <c r="M599">
        <v>9.9625373519685</v>
      </c>
      <c r="N599">
        <v>44.8444617844275</v>
      </c>
      <c r="O599">
        <v>41.5259335637512</v>
      </c>
      <c r="P599">
        <v>-0.0506260570554596</v>
      </c>
      <c r="Q599">
        <v>0.15633686946534</v>
      </c>
      <c r="R599">
        <v>0.946739044517891</v>
      </c>
      <c r="S599" t="s">
        <v>2792</v>
      </c>
      <c r="T599" t="s">
        <v>4362</v>
      </c>
      <c r="U599" t="s">
        <v>4362</v>
      </c>
      <c r="V599" t="s">
        <v>4362</v>
      </c>
      <c r="W599" t="s">
        <v>4959</v>
      </c>
      <c r="X599">
        <v>2</v>
      </c>
      <c r="Y599" t="s">
        <v>7120</v>
      </c>
      <c r="Z599" t="s">
        <v>9287</v>
      </c>
      <c r="AA599">
        <v>0.3778776678280989</v>
      </c>
      <c r="AB599">
        <f>HYPERLINK("Melting_Curves/meltCurve_P0AB03_ycbJ.pdf", "Melting_Curves/meltCurve_P0AB03_ycbJ.pdf")</f>
        <v>0</v>
      </c>
    </row>
    <row r="600" spans="1:28">
      <c r="A600" t="s">
        <v>626</v>
      </c>
      <c r="B600">
        <v>0.999739202189716</v>
      </c>
      <c r="C600">
        <v>0.555869581543515</v>
      </c>
      <c r="D600">
        <v>1.29909050637931</v>
      </c>
      <c r="E600">
        <v>0.758541682164703</v>
      </c>
      <c r="F600">
        <v>0.971931201918634</v>
      </c>
      <c r="G600">
        <v>0.824467232868294</v>
      </c>
      <c r="H600">
        <v>0.826364443865695</v>
      </c>
      <c r="I600">
        <v>0.736348417342982</v>
      </c>
      <c r="J600">
        <v>0.766648870596462</v>
      </c>
      <c r="K600">
        <v>0.3746292197309</v>
      </c>
      <c r="L600">
        <v>530.472924999116</v>
      </c>
      <c r="M600">
        <v>7.81834275498813</v>
      </c>
      <c r="O600">
        <v>63.8403780979559</v>
      </c>
      <c r="P600">
        <v>-0.0306544745161238</v>
      </c>
      <c r="Q600">
        <v>0</v>
      </c>
      <c r="R600">
        <v>0.31492708294658</v>
      </c>
      <c r="S600" t="s">
        <v>2793</v>
      </c>
      <c r="T600" t="s">
        <v>4362</v>
      </c>
      <c r="U600" t="s">
        <v>4362</v>
      </c>
      <c r="V600" t="s">
        <v>4362</v>
      </c>
      <c r="W600" t="s">
        <v>4960</v>
      </c>
      <c r="X600">
        <v>1</v>
      </c>
      <c r="Y600" t="s">
        <v>7121</v>
      </c>
      <c r="Z600" t="s">
        <v>9288</v>
      </c>
      <c r="AA600">
        <v>0.8572096751177661</v>
      </c>
      <c r="AB600">
        <f>HYPERLINK("Melting_Curves/meltCurve_P0AB10_ymbA.pdf", "Melting_Curves/meltCurve_P0AB10_ymbA.pdf")</f>
        <v>0</v>
      </c>
    </row>
    <row r="601" spans="1:28">
      <c r="A601" t="s">
        <v>627</v>
      </c>
      <c r="B601">
        <v>0.999739202189716</v>
      </c>
      <c r="C601">
        <v>1.13369215079939</v>
      </c>
      <c r="D601">
        <v>0.818723783320177</v>
      </c>
      <c r="E601">
        <v>0.655198414143576</v>
      </c>
      <c r="F601">
        <v>0.346213384756564</v>
      </c>
      <c r="G601">
        <v>0.205909009823626</v>
      </c>
      <c r="H601">
        <v>0.150173544830933</v>
      </c>
      <c r="I601">
        <v>0.119670206027721</v>
      </c>
      <c r="J601">
        <v>0.136299170912141</v>
      </c>
      <c r="K601">
        <v>0.143748161577661</v>
      </c>
      <c r="L601">
        <v>926.610806344274</v>
      </c>
      <c r="M601">
        <v>19.5470395043225</v>
      </c>
      <c r="N601">
        <v>48.1229199603868</v>
      </c>
      <c r="O601">
        <v>46.9163732057298</v>
      </c>
      <c r="P601">
        <v>-0.0909759268407007</v>
      </c>
      <c r="Q601">
        <v>0.126597467253605</v>
      </c>
      <c r="R601">
        <v>0.977914987220753</v>
      </c>
      <c r="S601" t="s">
        <v>2794</v>
      </c>
      <c r="T601" t="s">
        <v>4362</v>
      </c>
      <c r="U601" t="s">
        <v>4362</v>
      </c>
      <c r="V601" t="s">
        <v>4362</v>
      </c>
      <c r="W601" t="s">
        <v>4961</v>
      </c>
      <c r="X601">
        <v>1</v>
      </c>
      <c r="Y601" t="s">
        <v>7122</v>
      </c>
      <c r="Z601" t="s">
        <v>9289</v>
      </c>
      <c r="AA601">
        <v>0.4414643175919259</v>
      </c>
      <c r="AB601">
        <f>HYPERLINK("Melting_Curves/meltCurve_P0AB12_yccF.pdf", "Melting_Curves/meltCurve_P0AB12_yccF.pdf")</f>
        <v>0</v>
      </c>
    </row>
    <row r="602" spans="1:28">
      <c r="A602" t="s">
        <v>628</v>
      </c>
      <c r="B602">
        <v>0.999739202189716</v>
      </c>
      <c r="C602">
        <v>0.631225909836412</v>
      </c>
      <c r="D602">
        <v>0.921835853244479</v>
      </c>
      <c r="E602">
        <v>1.22946788816976</v>
      </c>
      <c r="F602">
        <v>0.9807291375870369</v>
      </c>
      <c r="G602">
        <v>0.72316556507459</v>
      </c>
      <c r="H602">
        <v>0.576129845578658</v>
      </c>
      <c r="I602">
        <v>0.650608674341261</v>
      </c>
      <c r="J602">
        <v>0.410393095920245</v>
      </c>
      <c r="K602">
        <v>0.673770709829344</v>
      </c>
      <c r="L602">
        <v>3033.96583782973</v>
      </c>
      <c r="M602">
        <v>57.0335969140411</v>
      </c>
      <c r="O602">
        <v>53.1308349089137</v>
      </c>
      <c r="P602">
        <v>-0.113746987678398</v>
      </c>
      <c r="Q602">
        <v>0.576146715008515</v>
      </c>
      <c r="R602">
        <v>0.562202452631819</v>
      </c>
      <c r="S602" t="s">
        <v>2795</v>
      </c>
      <c r="T602" t="s">
        <v>4362</v>
      </c>
      <c r="U602" t="s">
        <v>4362</v>
      </c>
      <c r="V602" t="s">
        <v>4362</v>
      </c>
      <c r="W602" t="s">
        <v>4962</v>
      </c>
      <c r="X602">
        <v>1</v>
      </c>
      <c r="Y602" t="s">
        <v>7123</v>
      </c>
      <c r="Z602" t="s">
        <v>9290</v>
      </c>
      <c r="AA602">
        <v>0.8057358377831815</v>
      </c>
      <c r="AB602">
        <f>HYPERLINK("Melting_Curves/meltCurve_P0AB14_yccJ.pdf", "Melting_Curves/meltCurve_P0AB14_yccJ.pdf")</f>
        <v>0</v>
      </c>
    </row>
    <row r="603" spans="1:28">
      <c r="A603" t="s">
        <v>629</v>
      </c>
      <c r="B603">
        <v>0.999739202189716</v>
      </c>
      <c r="C603">
        <v>0.969926887464524</v>
      </c>
      <c r="D603">
        <v>0.979782475992046</v>
      </c>
      <c r="E603">
        <v>1.02429175330346</v>
      </c>
      <c r="F603">
        <v>1.14353098040194</v>
      </c>
      <c r="G603">
        <v>0.9224491189544231</v>
      </c>
      <c r="H603">
        <v>0.780724515058521</v>
      </c>
      <c r="I603">
        <v>0.515886831978086</v>
      </c>
      <c r="J603">
        <v>0.396782305046432</v>
      </c>
      <c r="K603">
        <v>0.298740641846207</v>
      </c>
      <c r="L603">
        <v>1492.36762154131</v>
      </c>
      <c r="M603">
        <v>25.1453863064217</v>
      </c>
      <c r="N603">
        <v>61.3155048010656</v>
      </c>
      <c r="O603">
        <v>58.9780274659589</v>
      </c>
      <c r="P603">
        <v>-0.0770927989041945</v>
      </c>
      <c r="Q603">
        <v>0.276730869043105</v>
      </c>
      <c r="R603">
        <v>0.966288462401109</v>
      </c>
      <c r="S603" t="s">
        <v>2796</v>
      </c>
      <c r="T603" t="s">
        <v>4362</v>
      </c>
      <c r="U603" t="s">
        <v>4362</v>
      </c>
      <c r="V603" t="s">
        <v>4362</v>
      </c>
      <c r="W603" t="s">
        <v>4963</v>
      </c>
      <c r="X603">
        <v>2</v>
      </c>
      <c r="Y603" t="s">
        <v>7124</v>
      </c>
      <c r="Z603" t="s">
        <v>9291</v>
      </c>
      <c r="AA603">
        <v>0.8187529936784662</v>
      </c>
      <c r="AB603">
        <f>HYPERLINK("Melting_Curves/meltCurve_P0AB18_tusE.pdf", "Melting_Curves/meltCurve_P0AB18_tusE.pdf")</f>
        <v>0</v>
      </c>
    </row>
    <row r="604" spans="1:28">
      <c r="A604" t="s">
        <v>630</v>
      </c>
      <c r="B604">
        <v>0.999739202189716</v>
      </c>
      <c r="C604">
        <v>1.18426213624616</v>
      </c>
      <c r="D604">
        <v>0.698704352736112</v>
      </c>
      <c r="E604">
        <v>0.925967394811442</v>
      </c>
      <c r="F604">
        <v>0.860421677229913</v>
      </c>
      <c r="G604">
        <v>0.596779540155249</v>
      </c>
      <c r="H604">
        <v>0.468628792073177</v>
      </c>
      <c r="I604">
        <v>0.44391280339747</v>
      </c>
      <c r="J604">
        <v>0.297801392967881</v>
      </c>
      <c r="K604">
        <v>0.424596803567477</v>
      </c>
      <c r="L604">
        <v>684.198688096988</v>
      </c>
      <c r="M604">
        <v>12.8953648341249</v>
      </c>
      <c r="N604">
        <v>57.3580008206794</v>
      </c>
      <c r="O604">
        <v>51.8303695286466</v>
      </c>
      <c r="P604">
        <v>-0.0429350029608836</v>
      </c>
      <c r="Q604">
        <v>0.30985078853994</v>
      </c>
      <c r="R604">
        <v>0.828839082794773</v>
      </c>
      <c r="S604" t="s">
        <v>2797</v>
      </c>
      <c r="T604" t="s">
        <v>4362</v>
      </c>
      <c r="U604" t="s">
        <v>4362</v>
      </c>
      <c r="V604" t="s">
        <v>4362</v>
      </c>
      <c r="W604" t="s">
        <v>4964</v>
      </c>
      <c r="X604">
        <v>1</v>
      </c>
      <c r="Y604" t="s">
        <v>7125</v>
      </c>
      <c r="Z604" t="s">
        <v>9292</v>
      </c>
      <c r="AA604">
        <v>0.6930995490159808</v>
      </c>
      <c r="AB604">
        <f>HYPERLINK("Melting_Curves/meltCurve_P0AB20_hspQ.pdf", "Melting_Curves/meltCurve_P0AB20_hspQ.pdf")</f>
        <v>0</v>
      </c>
    </row>
    <row r="605" spans="1:28">
      <c r="A605" t="s">
        <v>631</v>
      </c>
      <c r="B605">
        <v>0.999739202189716</v>
      </c>
      <c r="C605">
        <v>0.961579764764172</v>
      </c>
      <c r="D605">
        <v>0.827930698785485</v>
      </c>
      <c r="E605">
        <v>0.952200975049504</v>
      </c>
      <c r="F605">
        <v>0.904947548347265</v>
      </c>
      <c r="G605">
        <v>0.762654987849631</v>
      </c>
      <c r="H605">
        <v>0.749163535137893</v>
      </c>
      <c r="I605">
        <v>0.6249032609691511</v>
      </c>
      <c r="J605">
        <v>0.597162966206007</v>
      </c>
      <c r="K605">
        <v>0.514822185261429</v>
      </c>
      <c r="L605">
        <v>330.207842650039</v>
      </c>
      <c r="M605">
        <v>4.81011321368072</v>
      </c>
      <c r="O605">
        <v>59.3599511560952</v>
      </c>
      <c r="P605">
        <v>-0.0203998947066399</v>
      </c>
      <c r="Q605">
        <v>0</v>
      </c>
      <c r="R605">
        <v>0.916555315382495</v>
      </c>
      <c r="S605" t="s">
        <v>2798</v>
      </c>
      <c r="T605" t="s">
        <v>4362</v>
      </c>
      <c r="U605" t="s">
        <v>4362</v>
      </c>
      <c r="V605" t="s">
        <v>4362</v>
      </c>
      <c r="W605" t="s">
        <v>4965</v>
      </c>
      <c r="X605">
        <v>19</v>
      </c>
      <c r="Y605" t="s">
        <v>7126</v>
      </c>
      <c r="Z605" t="s">
        <v>9293</v>
      </c>
      <c r="AA605">
        <v>0.799443145452827</v>
      </c>
      <c r="AB605">
        <f>HYPERLINK("Melting_Curves/meltCurve_P0AB24_efeO.pdf", "Melting_Curves/meltCurve_P0AB24_efeO.pdf")</f>
        <v>0</v>
      </c>
    </row>
    <row r="606" spans="1:28">
      <c r="A606" t="s">
        <v>632</v>
      </c>
      <c r="B606">
        <v>0.999739202189716</v>
      </c>
      <c r="C606">
        <v>0.885487233714663</v>
      </c>
      <c r="D606">
        <v>0.965492750944232</v>
      </c>
      <c r="E606">
        <v>0.89755758491205</v>
      </c>
      <c r="F606">
        <v>0.994895296240718</v>
      </c>
      <c r="G606">
        <v>0.7663518932198951</v>
      </c>
      <c r="H606">
        <v>0.661531267544726</v>
      </c>
      <c r="I606">
        <v>0.655220027721318</v>
      </c>
      <c r="J606">
        <v>0.618106482705612</v>
      </c>
      <c r="K606">
        <v>0.555615869897561</v>
      </c>
      <c r="S606" t="s">
        <v>2799</v>
      </c>
      <c r="T606" t="s">
        <v>4362</v>
      </c>
      <c r="U606" t="s">
        <v>4363</v>
      </c>
      <c r="V606" t="s">
        <v>4362</v>
      </c>
      <c r="W606" t="s">
        <v>4966</v>
      </c>
      <c r="X606">
        <v>7</v>
      </c>
      <c r="Y606" t="s">
        <v>7127</v>
      </c>
      <c r="Z606" t="s">
        <v>9294</v>
      </c>
      <c r="AB606">
        <f>HYPERLINK("Melting_Curves/meltCurve_P0AB26_yceB.pdf", "Melting_Curves/meltCurve_P0AB26_yceB.pdf")</f>
        <v>0</v>
      </c>
    </row>
    <row r="607" spans="1:28">
      <c r="A607" t="s">
        <v>633</v>
      </c>
      <c r="B607">
        <v>0.999739202189716</v>
      </c>
      <c r="C607">
        <v>0.87558617597682</v>
      </c>
      <c r="D607">
        <v>1.0041382603858</v>
      </c>
      <c r="E607">
        <v>0.985802826488093</v>
      </c>
      <c r="F607">
        <v>1.00060895744824</v>
      </c>
      <c r="G607">
        <v>0.804641263139187</v>
      </c>
      <c r="H607">
        <v>0.793853855266075</v>
      </c>
      <c r="I607">
        <v>0.739510289782539</v>
      </c>
      <c r="J607">
        <v>0.64695409390195</v>
      </c>
      <c r="K607">
        <v>0.690691061092962</v>
      </c>
      <c r="L607">
        <v>1064.62853835167</v>
      </c>
      <c r="M607">
        <v>19.4989646674139</v>
      </c>
      <c r="O607">
        <v>54.0346999364291</v>
      </c>
      <c r="P607">
        <v>-0.0295289876002441</v>
      </c>
      <c r="Q607">
        <v>0.672693919547847</v>
      </c>
      <c r="R607">
        <v>0.855734216655345</v>
      </c>
      <c r="S607" t="s">
        <v>2800</v>
      </c>
      <c r="T607" t="s">
        <v>4362</v>
      </c>
      <c r="U607" t="s">
        <v>4362</v>
      </c>
      <c r="V607" t="s">
        <v>4362</v>
      </c>
      <c r="W607" t="s">
        <v>4967</v>
      </c>
      <c r="X607">
        <v>3</v>
      </c>
      <c r="Y607" t="s">
        <v>7128</v>
      </c>
      <c r="Z607" t="s">
        <v>9295</v>
      </c>
      <c r="AA607">
        <v>0.8686406395538915</v>
      </c>
      <c r="AB607">
        <f>HYPERLINK("Melting_Curves/meltCurve_P0AB28_yceD.pdf", "Melting_Curves/meltCurve_P0AB28_yceD.pdf")</f>
        <v>0</v>
      </c>
    </row>
    <row r="608" spans="1:28">
      <c r="A608" t="s">
        <v>634</v>
      </c>
      <c r="B608">
        <v>0.999739202189716</v>
      </c>
      <c r="C608">
        <v>0.95622709601324</v>
      </c>
      <c r="D608">
        <v>0.932239892328022</v>
      </c>
      <c r="E608">
        <v>1.01399396934255</v>
      </c>
      <c r="F608">
        <v>0.955131065303428</v>
      </c>
      <c r="G608">
        <v>0.758159909984557</v>
      </c>
      <c r="H608">
        <v>0.239416247602751</v>
      </c>
      <c r="I608">
        <v>0.0475562538801552</v>
      </c>
      <c r="J608">
        <v>0.0374020001770163</v>
      </c>
      <c r="K608">
        <v>0.0331994001045896</v>
      </c>
      <c r="L608">
        <v>2021.57774640829</v>
      </c>
      <c r="M608">
        <v>36.4906003158172</v>
      </c>
      <c r="N608">
        <v>55.4807264985733</v>
      </c>
      <c r="O608">
        <v>55.2343715437636</v>
      </c>
      <c r="P608">
        <v>-0.160890756512139</v>
      </c>
      <c r="Q608">
        <v>0.0258672247215063</v>
      </c>
      <c r="R608">
        <v>0.995836954157951</v>
      </c>
      <c r="S608" t="s">
        <v>2801</v>
      </c>
      <c r="T608" t="s">
        <v>4362</v>
      </c>
      <c r="U608" t="s">
        <v>4362</v>
      </c>
      <c r="V608" t="s">
        <v>4362</v>
      </c>
      <c r="W608" t="s">
        <v>4968</v>
      </c>
      <c r="X608">
        <v>6</v>
      </c>
      <c r="Y608" t="s">
        <v>7129</v>
      </c>
      <c r="Z608" t="s">
        <v>9296</v>
      </c>
      <c r="AA608">
        <v>0.6276861691242891</v>
      </c>
      <c r="AB608">
        <f>HYPERLINK("Melting_Curves/meltCurve_P0AB38_lpoB.pdf", "Melting_Curves/meltCurve_P0AB38_lpoB.pdf")</f>
        <v>0</v>
      </c>
    </row>
    <row r="609" spans="1:28">
      <c r="A609" t="s">
        <v>635</v>
      </c>
      <c r="B609">
        <v>0.999739202189716</v>
      </c>
      <c r="C609">
        <v>0.907649733289864</v>
      </c>
      <c r="D609">
        <v>1.13783832767495</v>
      </c>
      <c r="E609">
        <v>1.05231129374072</v>
      </c>
      <c r="F609">
        <v>1.17202466457287</v>
      </c>
      <c r="G609">
        <v>1.0039973185473</v>
      </c>
      <c r="H609">
        <v>1.07476579935899</v>
      </c>
      <c r="I609">
        <v>1.05055354493411</v>
      </c>
      <c r="J609">
        <v>1.06827921914092</v>
      </c>
      <c r="K609">
        <v>0.691889793037255</v>
      </c>
      <c r="L609">
        <v>15000</v>
      </c>
      <c r="M609">
        <v>223.071601152676</v>
      </c>
      <c r="Q609">
        <v>0</v>
      </c>
      <c r="R609">
        <v>0.55971780539366</v>
      </c>
      <c r="S609" t="s">
        <v>2802</v>
      </c>
      <c r="T609" t="s">
        <v>4362</v>
      </c>
      <c r="U609" t="s">
        <v>4362</v>
      </c>
      <c r="V609" t="s">
        <v>4362</v>
      </c>
      <c r="W609" t="s">
        <v>4969</v>
      </c>
      <c r="X609">
        <v>7</v>
      </c>
      <c r="Y609" t="s">
        <v>7130</v>
      </c>
      <c r="Z609" t="s">
        <v>9297</v>
      </c>
      <c r="AA609">
        <v>0.9963612720381286</v>
      </c>
      <c r="AB609">
        <f>HYPERLINK("Melting_Curves/meltCurve_P0AB43_ycgL.pdf", "Melting_Curves/meltCurve_P0AB43_ycgL.pdf")</f>
        <v>0</v>
      </c>
    </row>
    <row r="610" spans="1:28">
      <c r="A610" t="s">
        <v>636</v>
      </c>
      <c r="B610">
        <v>0.999739202189716</v>
      </c>
      <c r="C610">
        <v>1.08847446820277</v>
      </c>
      <c r="D610">
        <v>0.768102156656445</v>
      </c>
      <c r="E610">
        <v>0.970799734536854</v>
      </c>
      <c r="F610">
        <v>0.682413710495912</v>
      </c>
      <c r="G610">
        <v>0.584840112218199</v>
      </c>
      <c r="H610">
        <v>0.440844521213236</v>
      </c>
      <c r="I610">
        <v>0.395181498897084</v>
      </c>
      <c r="J610">
        <v>0.259662457044078</v>
      </c>
      <c r="K610">
        <v>0.350835220110188</v>
      </c>
      <c r="L610">
        <v>617.763345376335</v>
      </c>
      <c r="M610">
        <v>11.7755947833085</v>
      </c>
      <c r="N610">
        <v>55.736241899038</v>
      </c>
      <c r="O610">
        <v>51.0169611380785</v>
      </c>
      <c r="P610">
        <v>-0.0433074570306613</v>
      </c>
      <c r="Q610">
        <v>0.249688326400789</v>
      </c>
      <c r="R610">
        <v>0.917266332509911</v>
      </c>
      <c r="S610" t="s">
        <v>2803</v>
      </c>
      <c r="T610" t="s">
        <v>4362</v>
      </c>
      <c r="U610" t="s">
        <v>4362</v>
      </c>
      <c r="V610" t="s">
        <v>4362</v>
      </c>
      <c r="W610" t="s">
        <v>4970</v>
      </c>
      <c r="X610">
        <v>1</v>
      </c>
      <c r="Y610" t="s">
        <v>7131</v>
      </c>
      <c r="Z610" t="s">
        <v>9298</v>
      </c>
      <c r="AA610">
        <v>0.6535315313861109</v>
      </c>
      <c r="AB610">
        <f>HYPERLINK("Melting_Curves/meltCurve_P0AB46_ymgD.pdf", "Melting_Curves/meltCurve_P0AB46_ymgD.pdf")</f>
        <v>0</v>
      </c>
    </row>
    <row r="611" spans="1:28">
      <c r="A611" t="s">
        <v>637</v>
      </c>
      <c r="B611">
        <v>0.999739202189716</v>
      </c>
      <c r="C611">
        <v>0.9250654606752849</v>
      </c>
      <c r="D611">
        <v>0.871837986219933</v>
      </c>
      <c r="E611">
        <v>1.06224679925852</v>
      </c>
      <c r="F611">
        <v>1.08206979113913</v>
      </c>
      <c r="G611">
        <v>0.946722930513797</v>
      </c>
      <c r="H611">
        <v>1.08623265529764</v>
      </c>
      <c r="I611">
        <v>0.938997135121284</v>
      </c>
      <c r="J611">
        <v>0.813575985566823</v>
      </c>
      <c r="K611">
        <v>0.638173785905086</v>
      </c>
      <c r="L611">
        <v>2502.0964873165</v>
      </c>
      <c r="M611">
        <v>38.7249117864175</v>
      </c>
      <c r="O611">
        <v>64.44048522527</v>
      </c>
      <c r="P611">
        <v>-0.06783197203388031</v>
      </c>
      <c r="Q611">
        <v>0.548495829080332</v>
      </c>
      <c r="R611">
        <v>0.744574855511582</v>
      </c>
      <c r="S611" t="s">
        <v>2804</v>
      </c>
      <c r="T611" t="s">
        <v>4362</v>
      </c>
      <c r="U611" t="s">
        <v>4362</v>
      </c>
      <c r="V611" t="s">
        <v>4362</v>
      </c>
      <c r="W611" t="s">
        <v>4971</v>
      </c>
      <c r="X611">
        <v>1</v>
      </c>
      <c r="Y611" t="s">
        <v>7132</v>
      </c>
      <c r="Z611" t="s">
        <v>9299</v>
      </c>
      <c r="AA611">
        <v>0.9597813273446053</v>
      </c>
      <c r="AB611">
        <f>HYPERLINK("Melting_Curves/meltCurve_P0AB49_ychH.pdf", "Melting_Curves/meltCurve_P0AB49_ychH.pdf")</f>
        <v>0</v>
      </c>
    </row>
    <row r="612" spans="1:28">
      <c r="A612" t="s">
        <v>638</v>
      </c>
      <c r="B612">
        <v>0.999739202189716</v>
      </c>
      <c r="C612">
        <v>1.08710685205618</v>
      </c>
      <c r="D612">
        <v>0.677666074409306</v>
      </c>
      <c r="E612">
        <v>1.00472104510603</v>
      </c>
      <c r="F612">
        <v>0.937908137097878</v>
      </c>
      <c r="G612">
        <v>0.793863883281156</v>
      </c>
      <c r="H612">
        <v>0.990363061191426</v>
      </c>
      <c r="I612">
        <v>0.853159293529287</v>
      </c>
      <c r="J612">
        <v>0.937223824039661</v>
      </c>
      <c r="K612">
        <v>0.742827585067957</v>
      </c>
      <c r="L612">
        <v>138.162956697431</v>
      </c>
      <c r="M612">
        <v>0.430043634644723</v>
      </c>
      <c r="O612">
        <v>54.2387107990786</v>
      </c>
      <c r="P612">
        <v>-0.00450338978509723</v>
      </c>
      <c r="Q612">
        <v>0</v>
      </c>
      <c r="R612">
        <v>0.12663421318462</v>
      </c>
      <c r="S612" t="s">
        <v>2805</v>
      </c>
      <c r="T612" t="s">
        <v>4362</v>
      </c>
      <c r="U612" t="s">
        <v>4362</v>
      </c>
      <c r="V612" t="s">
        <v>4362</v>
      </c>
      <c r="W612" t="s">
        <v>4972</v>
      </c>
      <c r="X612">
        <v>2</v>
      </c>
      <c r="Y612" t="s">
        <v>7133</v>
      </c>
      <c r="Z612" t="s">
        <v>9300</v>
      </c>
      <c r="AA612">
        <v>0.9020328669156117</v>
      </c>
      <c r="AB612">
        <f>HYPERLINK("Melting_Curves/meltCurve_P0AB52_ychN.pdf", "Melting_Curves/meltCurve_P0AB52_ychN.pdf")</f>
        <v>0</v>
      </c>
    </row>
    <row r="613" spans="1:28">
      <c r="A613" t="s">
        <v>639</v>
      </c>
      <c r="B613">
        <v>0.999739202189716</v>
      </c>
      <c r="C613">
        <v>1.10092176693245</v>
      </c>
      <c r="D613">
        <v>0.928043557297528</v>
      </c>
      <c r="E613">
        <v>1.0999314257275</v>
      </c>
      <c r="F613">
        <v>1.00406259866782</v>
      </c>
      <c r="G613">
        <v>0.845468852977346</v>
      </c>
      <c r="H613">
        <v>0.832368020597107</v>
      </c>
      <c r="I613">
        <v>0.715647294682658</v>
      </c>
      <c r="J613">
        <v>0.617369751785804</v>
      </c>
      <c r="K613">
        <v>0.623301266622632</v>
      </c>
      <c r="L613">
        <v>985.685053518682</v>
      </c>
      <c r="M613">
        <v>17.0112234609356</v>
      </c>
      <c r="O613">
        <v>57.1602619685589</v>
      </c>
      <c r="P613">
        <v>-0.0316719650150162</v>
      </c>
      <c r="Q613">
        <v>0.574335967050608</v>
      </c>
      <c r="R613">
        <v>0.885958210730324</v>
      </c>
      <c r="S613" t="s">
        <v>2806</v>
      </c>
      <c r="T613" t="s">
        <v>4362</v>
      </c>
      <c r="U613" t="s">
        <v>4362</v>
      </c>
      <c r="V613" t="s">
        <v>4362</v>
      </c>
      <c r="W613" t="s">
        <v>4973</v>
      </c>
      <c r="X613">
        <v>4</v>
      </c>
      <c r="Y613" t="s">
        <v>7134</v>
      </c>
      <c r="Z613" t="s">
        <v>9301</v>
      </c>
      <c r="AA613">
        <v>0.874057795208234</v>
      </c>
      <c r="AB613">
        <f>HYPERLINK("Melting_Curves/meltCurve_P0AB55_yciI.pdf", "Melting_Curves/meltCurve_P0AB55_yciI.pdf")</f>
        <v>0</v>
      </c>
    </row>
    <row r="614" spans="1:28">
      <c r="A614" t="s">
        <v>640</v>
      </c>
      <c r="B614">
        <v>0.999739202189716</v>
      </c>
      <c r="C614">
        <v>0.9317868832428839</v>
      </c>
      <c r="D614">
        <v>0.851725127214895</v>
      </c>
      <c r="E614">
        <v>0.574556059057146</v>
      </c>
      <c r="F614">
        <v>0.247628982700974</v>
      </c>
      <c r="G614">
        <v>0.162744893992917</v>
      </c>
      <c r="H614">
        <v>0.16375475920048</v>
      </c>
      <c r="I614">
        <v>0.127154912841408</v>
      </c>
      <c r="J614">
        <v>0.129005026519977</v>
      </c>
      <c r="K614">
        <v>0.12675646889617</v>
      </c>
      <c r="L614">
        <v>963.439761167514</v>
      </c>
      <c r="M614">
        <v>20.7423736474222</v>
      </c>
      <c r="N614">
        <v>47.0960299990268</v>
      </c>
      <c r="O614">
        <v>46.0226697247902</v>
      </c>
      <c r="P614">
        <v>-0.0986877148903301</v>
      </c>
      <c r="Q614">
        <v>0.12416152412633</v>
      </c>
      <c r="R614">
        <v>0.996748206543545</v>
      </c>
      <c r="S614" t="s">
        <v>2807</v>
      </c>
      <c r="T614" t="s">
        <v>4362</v>
      </c>
      <c r="U614" t="s">
        <v>4362</v>
      </c>
      <c r="V614" t="s">
        <v>4362</v>
      </c>
      <c r="W614" t="s">
        <v>4974</v>
      </c>
      <c r="X614">
        <v>6</v>
      </c>
      <c r="Y614" t="s">
        <v>7135</v>
      </c>
      <c r="Z614" t="s">
        <v>9302</v>
      </c>
      <c r="AA614">
        <v>0.4106355849991067</v>
      </c>
      <c r="AB614">
        <f>HYPERLINK("Melting_Curves/meltCurve_P0AB58_lapB.pdf", "Melting_Curves/meltCurve_P0AB58_lapB.pdf")</f>
        <v>0</v>
      </c>
    </row>
    <row r="615" spans="1:28">
      <c r="A615" t="s">
        <v>641</v>
      </c>
      <c r="B615">
        <v>0.999739202189716</v>
      </c>
      <c r="C615">
        <v>0.970019244496287</v>
      </c>
      <c r="D615">
        <v>0.86998122905009</v>
      </c>
      <c r="E615">
        <v>1.03344953178518</v>
      </c>
      <c r="F615">
        <v>0.977881136362213</v>
      </c>
      <c r="G615">
        <v>0.775454180675162</v>
      </c>
      <c r="H615">
        <v>0.660802608673729</v>
      </c>
      <c r="I615">
        <v>0.674396468361158</v>
      </c>
      <c r="J615">
        <v>0.431978007367011</v>
      </c>
      <c r="K615">
        <v>0.520875433928938</v>
      </c>
      <c r="L615">
        <v>903.434580372597</v>
      </c>
      <c r="M615">
        <v>16.0935486353002</v>
      </c>
      <c r="N615">
        <v>66.420171710061</v>
      </c>
      <c r="O615">
        <v>55.2911348861605</v>
      </c>
      <c r="P615">
        <v>-0.0393979911212753</v>
      </c>
      <c r="Q615">
        <v>0.458617007130025</v>
      </c>
      <c r="R615">
        <v>0.894864703034021</v>
      </c>
      <c r="S615" t="s">
        <v>2808</v>
      </c>
      <c r="T615" t="s">
        <v>4362</v>
      </c>
      <c r="U615" t="s">
        <v>4362</v>
      </c>
      <c r="V615" t="s">
        <v>4362</v>
      </c>
      <c r="W615" t="s">
        <v>4975</v>
      </c>
      <c r="X615">
        <v>5</v>
      </c>
      <c r="Y615" t="s">
        <v>7136</v>
      </c>
      <c r="Z615" t="s">
        <v>9303</v>
      </c>
      <c r="AA615">
        <v>0.8099715836370242</v>
      </c>
      <c r="AB615">
        <f>HYPERLINK("Melting_Curves/meltCurve_P0AB61_yciN.pdf", "Melting_Curves/meltCurve_P0AB61_yciN.pdf")</f>
        <v>0</v>
      </c>
    </row>
    <row r="616" spans="1:28">
      <c r="A616" t="s">
        <v>642</v>
      </c>
      <c r="B616">
        <v>0.999739202189716</v>
      </c>
      <c r="C616">
        <v>1.1245508544337</v>
      </c>
      <c r="D616">
        <v>0.988112893142197</v>
      </c>
      <c r="E616">
        <v>1.10405116904948</v>
      </c>
      <c r="F616">
        <v>1.06454593158088</v>
      </c>
      <c r="G616">
        <v>0.880442604721061</v>
      </c>
      <c r="H616">
        <v>0.968323502361834</v>
      </c>
      <c r="I616">
        <v>0.964442869507618</v>
      </c>
      <c r="J616">
        <v>0.992978337412371</v>
      </c>
      <c r="K616">
        <v>0.780278663673343</v>
      </c>
      <c r="L616">
        <v>5208.17082931573</v>
      </c>
      <c r="M616">
        <v>76.46640978298311</v>
      </c>
      <c r="Q616">
        <v>0</v>
      </c>
      <c r="R616">
        <v>0.49668056251611</v>
      </c>
      <c r="S616" t="s">
        <v>2809</v>
      </c>
      <c r="T616" t="s">
        <v>4362</v>
      </c>
      <c r="U616" t="s">
        <v>4362</v>
      </c>
      <c r="V616" t="s">
        <v>4362</v>
      </c>
      <c r="W616" t="s">
        <v>4976</v>
      </c>
      <c r="X616">
        <v>4</v>
      </c>
      <c r="Y616" t="s">
        <v>7137</v>
      </c>
      <c r="Z616" t="s">
        <v>9304</v>
      </c>
      <c r="AA616">
        <v>0.9930607214856446</v>
      </c>
      <c r="AB616">
        <f>HYPERLINK("Melting_Curves/meltCurve_P0AB65_yccX.pdf", "Melting_Curves/meltCurve_P0AB65_yccX.pdf")</f>
        <v>0</v>
      </c>
    </row>
    <row r="617" spans="1:28">
      <c r="A617" t="s">
        <v>643</v>
      </c>
      <c r="B617">
        <v>0.999739202189716</v>
      </c>
      <c r="C617">
        <v>1.18706944467905</v>
      </c>
      <c r="D617">
        <v>0.708001277702369</v>
      </c>
      <c r="E617">
        <v>0.475025056281914</v>
      </c>
      <c r="F617">
        <v>0.240298979589541</v>
      </c>
      <c r="G617">
        <v>0.134387614698463</v>
      </c>
      <c r="H617">
        <v>0.106496653308225</v>
      </c>
      <c r="I617">
        <v>0.0884695308375596</v>
      </c>
      <c r="J617">
        <v>0.0875017208100476</v>
      </c>
      <c r="K617">
        <v>0.0866328985970736</v>
      </c>
      <c r="L617">
        <v>961.023680660168</v>
      </c>
      <c r="M617">
        <v>21.0199099532946</v>
      </c>
      <c r="N617">
        <v>46.1747890902601</v>
      </c>
      <c r="O617">
        <v>45.3119259487403</v>
      </c>
      <c r="P617">
        <v>-0.105125639589741</v>
      </c>
      <c r="Q617">
        <v>0.0935608977109673</v>
      </c>
      <c r="R617">
        <v>0.959147062420356</v>
      </c>
      <c r="S617" t="s">
        <v>2810</v>
      </c>
      <c r="T617" t="s">
        <v>4362</v>
      </c>
      <c r="U617" t="s">
        <v>4362</v>
      </c>
      <c r="V617" t="s">
        <v>4362</v>
      </c>
      <c r="W617" t="s">
        <v>4977</v>
      </c>
      <c r="X617">
        <v>5</v>
      </c>
      <c r="Y617" t="s">
        <v>7138</v>
      </c>
      <c r="Z617" t="s">
        <v>9305</v>
      </c>
      <c r="AA617">
        <v>0.3677285426357101</v>
      </c>
      <c r="AB617">
        <f>HYPERLINK("Melting_Curves/meltCurve_P0AB67_pntB.pdf", "Melting_Curves/meltCurve_P0AB67_pntB.pdf")</f>
        <v>0</v>
      </c>
    </row>
    <row r="618" spans="1:28">
      <c r="A618" t="s">
        <v>644</v>
      </c>
      <c r="B618">
        <v>0.999739202189716</v>
      </c>
      <c r="C618">
        <v>0.939176831651796</v>
      </c>
      <c r="D618">
        <v>1.19593128130385</v>
      </c>
      <c r="E618">
        <v>0.962914356675886</v>
      </c>
      <c r="F618">
        <v>0.456399171776954</v>
      </c>
      <c r="G618">
        <v>0.137758031410188</v>
      </c>
      <c r="H618">
        <v>0.0519228998758177</v>
      </c>
      <c r="I618">
        <v>0.0336887793232367</v>
      </c>
      <c r="J618">
        <v>0.0287763932615326</v>
      </c>
      <c r="K618">
        <v>0.0231020876008884</v>
      </c>
      <c r="L618">
        <v>1921.51816107131</v>
      </c>
      <c r="M618">
        <v>38.479260241739</v>
      </c>
      <c r="N618">
        <v>50.0457122914745</v>
      </c>
      <c r="O618">
        <v>49.8021637571797</v>
      </c>
      <c r="P618">
        <v>-0.185379061009705</v>
      </c>
      <c r="Q618">
        <v>0.0402875786335173</v>
      </c>
      <c r="R618">
        <v>0.978658781995928</v>
      </c>
      <c r="S618" t="s">
        <v>2811</v>
      </c>
      <c r="T618" t="s">
        <v>4362</v>
      </c>
      <c r="U618" t="s">
        <v>4362</v>
      </c>
      <c r="V618" t="s">
        <v>4362</v>
      </c>
      <c r="W618" t="s">
        <v>4978</v>
      </c>
      <c r="X618">
        <v>9</v>
      </c>
      <c r="Y618" t="s">
        <v>7139</v>
      </c>
      <c r="Z618" t="s">
        <v>9306</v>
      </c>
      <c r="AA618">
        <v>0.4577092675138257</v>
      </c>
      <c r="AB618">
        <f>HYPERLINK("Melting_Curves/meltCurve_P0AB71_fbaA.pdf", "Melting_Curves/meltCurve_P0AB71_fbaA.pdf")</f>
        <v>0</v>
      </c>
    </row>
    <row r="619" spans="1:28">
      <c r="A619" t="s">
        <v>645</v>
      </c>
      <c r="B619">
        <v>0.999739202189716</v>
      </c>
      <c r="C619">
        <v>0.726472555304768</v>
      </c>
      <c r="D619">
        <v>0.6241237008335691</v>
      </c>
      <c r="E619">
        <v>0.465320458487805</v>
      </c>
      <c r="F619">
        <v>0.27201921812263</v>
      </c>
      <c r="G619">
        <v>0.129754289465123</v>
      </c>
      <c r="H619">
        <v>0.0675656682208715</v>
      </c>
      <c r="I619">
        <v>0.0543998644140331</v>
      </c>
      <c r="J619">
        <v>0.06585462008358139</v>
      </c>
      <c r="K619">
        <v>0.0541689551128187</v>
      </c>
      <c r="L619">
        <v>484.440678984002</v>
      </c>
      <c r="M619">
        <v>10.7295164589158</v>
      </c>
      <c r="N619">
        <v>45.207509148049</v>
      </c>
      <c r="O619">
        <v>43.6666960280073</v>
      </c>
      <c r="P619">
        <v>-0.0610367917471398</v>
      </c>
      <c r="Q619">
        <v>0.00674526306731585</v>
      </c>
      <c r="R619">
        <v>0.982576457585902</v>
      </c>
      <c r="S619" t="s">
        <v>2812</v>
      </c>
      <c r="T619" t="s">
        <v>4362</v>
      </c>
      <c r="U619" t="s">
        <v>4362</v>
      </c>
      <c r="V619" t="s">
        <v>4362</v>
      </c>
      <c r="W619" t="s">
        <v>4979</v>
      </c>
      <c r="X619">
        <v>10</v>
      </c>
      <c r="Y619" t="s">
        <v>7140</v>
      </c>
      <c r="Z619" t="s">
        <v>9307</v>
      </c>
      <c r="AA619">
        <v>0.3200458864156387</v>
      </c>
      <c r="AB619">
        <f>HYPERLINK("Melting_Curves/meltCurve_P0AB77_kbl.pdf", "Melting_Curves/meltCurve_P0AB77_kbl.pdf")</f>
        <v>0</v>
      </c>
    </row>
    <row r="620" spans="1:28">
      <c r="A620" t="s">
        <v>646</v>
      </c>
      <c r="B620">
        <v>0.999739202189716</v>
      </c>
      <c r="C620">
        <v>0.583594761158828</v>
      </c>
      <c r="D620">
        <v>0.272537890869632</v>
      </c>
      <c r="E620">
        <v>0.206953689981431</v>
      </c>
      <c r="F620">
        <v>0.168677007206923</v>
      </c>
      <c r="G620">
        <v>0.131770149033477</v>
      </c>
      <c r="H620">
        <v>0.0958184020353248</v>
      </c>
      <c r="I620">
        <v>0.0849639060016139</v>
      </c>
      <c r="J620">
        <v>0.08314557313275669</v>
      </c>
      <c r="K620">
        <v>0.08477892167474139</v>
      </c>
      <c r="L620">
        <v>1081.68661703063</v>
      </c>
      <c r="M620">
        <v>26.8240536169794</v>
      </c>
      <c r="N620">
        <v>40.7345088565539</v>
      </c>
      <c r="O620">
        <v>40.1031319421886</v>
      </c>
      <c r="P620">
        <v>-0.147469461124935</v>
      </c>
      <c r="Q620">
        <v>0.118115912673922</v>
      </c>
      <c r="R620">
        <v>0.978139394821011</v>
      </c>
      <c r="S620" t="s">
        <v>2813</v>
      </c>
      <c r="T620" t="s">
        <v>4362</v>
      </c>
      <c r="U620" t="s">
        <v>4362</v>
      </c>
      <c r="V620" t="s">
        <v>4362</v>
      </c>
      <c r="W620" t="s">
        <v>4980</v>
      </c>
      <c r="X620">
        <v>5</v>
      </c>
      <c r="Y620" t="s">
        <v>7141</v>
      </c>
      <c r="Z620" t="s">
        <v>9308</v>
      </c>
      <c r="AA620">
        <v>0.2243857064638707</v>
      </c>
      <c r="AB620">
        <f>HYPERLINK("Melting_Curves/meltCurve_P0AB80_ilvE.pdf", "Melting_Curves/meltCurve_P0AB80_ilvE.pdf")</f>
        <v>0</v>
      </c>
    </row>
    <row r="621" spans="1:28">
      <c r="A621" t="s">
        <v>647</v>
      </c>
      <c r="B621">
        <v>0.999739202189716</v>
      </c>
      <c r="C621">
        <v>1.09364657977485</v>
      </c>
      <c r="D621">
        <v>0.778272884851903</v>
      </c>
      <c r="E621">
        <v>0.841833664576958</v>
      </c>
      <c r="F621">
        <v>0.638459326130777</v>
      </c>
      <c r="G621">
        <v>0.485696983168614</v>
      </c>
      <c r="H621">
        <v>0.444697796671525</v>
      </c>
      <c r="I621">
        <v>0.395568580034577</v>
      </c>
      <c r="J621">
        <v>0.413995387362033</v>
      </c>
      <c r="K621">
        <v>0.35320805306104</v>
      </c>
      <c r="L621">
        <v>634.718736832377</v>
      </c>
      <c r="M621">
        <v>12.9150738189111</v>
      </c>
      <c r="N621">
        <v>54.2734812375384</v>
      </c>
      <c r="O621">
        <v>48.0120560218624</v>
      </c>
      <c r="P621">
        <v>-0.0435569433701633</v>
      </c>
      <c r="Q621">
        <v>0.352421982124395</v>
      </c>
      <c r="R621">
        <v>0.940514801361399</v>
      </c>
      <c r="S621" t="s">
        <v>2814</v>
      </c>
      <c r="T621" t="s">
        <v>4362</v>
      </c>
      <c r="U621" t="s">
        <v>4362</v>
      </c>
      <c r="V621" t="s">
        <v>4362</v>
      </c>
      <c r="W621" t="s">
        <v>4981</v>
      </c>
      <c r="X621">
        <v>6</v>
      </c>
      <c r="Y621" t="s">
        <v>7142</v>
      </c>
      <c r="Z621" t="s">
        <v>9309</v>
      </c>
      <c r="AA621">
        <v>0.6318894315588968</v>
      </c>
      <c r="AB621">
        <f>HYPERLINK("Melting_Curves/meltCurve_P0AB85_apbE.pdf", "Melting_Curves/meltCurve_P0AB85_apbE.pdf")</f>
        <v>0</v>
      </c>
    </row>
    <row r="622" spans="1:28">
      <c r="A622" t="s">
        <v>648</v>
      </c>
      <c r="B622">
        <v>0.999739202189716</v>
      </c>
      <c r="C622">
        <v>0.86711767711316</v>
      </c>
      <c r="D622">
        <v>0.633935169084449</v>
      </c>
      <c r="E622">
        <v>0.496603447169966</v>
      </c>
      <c r="F622">
        <v>0.35283911443759</v>
      </c>
      <c r="G622">
        <v>0.224294293548687</v>
      </c>
      <c r="H622">
        <v>0.137560131240515</v>
      </c>
      <c r="I622">
        <v>0.0948870391730752</v>
      </c>
      <c r="J622">
        <v>0.0778519303091466</v>
      </c>
      <c r="K622">
        <v>0.0719011767286626</v>
      </c>
      <c r="L622">
        <v>490.414464377212</v>
      </c>
      <c r="M622">
        <v>10.6242112853155</v>
      </c>
      <c r="N622">
        <v>46.4960102405912</v>
      </c>
      <c r="O622">
        <v>44.6147573476797</v>
      </c>
      <c r="P622">
        <v>-0.0573558160962087</v>
      </c>
      <c r="Q622">
        <v>0.0369433392010358</v>
      </c>
      <c r="R622">
        <v>0.990699951690345</v>
      </c>
      <c r="S622" t="s">
        <v>2815</v>
      </c>
      <c r="T622" t="s">
        <v>4362</v>
      </c>
      <c r="U622" t="s">
        <v>4362</v>
      </c>
      <c r="V622" t="s">
        <v>4362</v>
      </c>
      <c r="W622" t="s">
        <v>4982</v>
      </c>
      <c r="X622">
        <v>11</v>
      </c>
      <c r="Y622" t="s">
        <v>7143</v>
      </c>
      <c r="Z622" t="s">
        <v>9310</v>
      </c>
      <c r="AA622">
        <v>0.3711606890405106</v>
      </c>
      <c r="AB622">
        <f>HYPERLINK("Melting_Curves/meltCurve_P0AB89_purB.pdf", "Melting_Curves/meltCurve_P0AB89_purB.pdf")</f>
        <v>0</v>
      </c>
    </row>
    <row r="623" spans="1:28">
      <c r="A623" t="s">
        <v>649</v>
      </c>
      <c r="B623">
        <v>0.999739202189716</v>
      </c>
      <c r="C623">
        <v>0.881963811707926</v>
      </c>
      <c r="D623">
        <v>0.800457000436806</v>
      </c>
      <c r="E623">
        <v>0.345436502352662</v>
      </c>
      <c r="F623">
        <v>0.159679468823672</v>
      </c>
      <c r="G623">
        <v>0.0869066359915168</v>
      </c>
      <c r="H623">
        <v>0.0644471443818686</v>
      </c>
      <c r="I623">
        <v>0.0508811205572682</v>
      </c>
      <c r="J623">
        <v>0.0503720905252187</v>
      </c>
      <c r="K623">
        <v>0.0396516450688075</v>
      </c>
      <c r="L623">
        <v>968.161167450588</v>
      </c>
      <c r="M623">
        <v>21.4402148151913</v>
      </c>
      <c r="N623">
        <v>45.3760120924404</v>
      </c>
      <c r="O623">
        <v>44.7689895107799</v>
      </c>
      <c r="P623">
        <v>-0.113827408255608</v>
      </c>
      <c r="Q623">
        <v>0.0492983314438625</v>
      </c>
      <c r="R623">
        <v>0.994802258848653</v>
      </c>
      <c r="S623" t="s">
        <v>2816</v>
      </c>
      <c r="T623" t="s">
        <v>4362</v>
      </c>
      <c r="U623" t="s">
        <v>4362</v>
      </c>
      <c r="V623" t="s">
        <v>4362</v>
      </c>
      <c r="W623" t="s">
        <v>4983</v>
      </c>
      <c r="X623">
        <v>10</v>
      </c>
      <c r="Y623" t="s">
        <v>7144</v>
      </c>
      <c r="Z623" t="s">
        <v>9311</v>
      </c>
      <c r="AA623">
        <v>0.3185543781428639</v>
      </c>
      <c r="AB623">
        <f>HYPERLINK("Melting_Curves/meltCurve_P0AB91_aroG.pdf", "Melting_Curves/meltCurve_P0AB91_aroG.pdf")</f>
        <v>0</v>
      </c>
    </row>
    <row r="624" spans="1:28">
      <c r="A624" t="s">
        <v>650</v>
      </c>
      <c r="B624">
        <v>0.999739202189716</v>
      </c>
      <c r="C624">
        <v>1.0263152682352</v>
      </c>
      <c r="D624">
        <v>0.640326488480975</v>
      </c>
      <c r="E624">
        <v>0.929457188627718</v>
      </c>
      <c r="F624">
        <v>1.0099924160897</v>
      </c>
      <c r="G624">
        <v>0.679900184690168</v>
      </c>
      <c r="H624">
        <v>0.601612507504335</v>
      </c>
      <c r="I624">
        <v>0.61207111666962</v>
      </c>
      <c r="J624">
        <v>0.485747779773736</v>
      </c>
      <c r="K624">
        <v>0.570961680282578</v>
      </c>
      <c r="L624">
        <v>301.682306504329</v>
      </c>
      <c r="M624">
        <v>4.79199246394768</v>
      </c>
      <c r="O624">
        <v>54.3862279440541</v>
      </c>
      <c r="P624">
        <v>-0.0191040746184753</v>
      </c>
      <c r="Q624">
        <v>0.138819933124382</v>
      </c>
      <c r="R624">
        <v>0.634650227600167</v>
      </c>
      <c r="S624" t="s">
        <v>2817</v>
      </c>
      <c r="T624" t="s">
        <v>4362</v>
      </c>
      <c r="U624" t="s">
        <v>4362</v>
      </c>
      <c r="V624" t="s">
        <v>4362</v>
      </c>
      <c r="W624" t="s">
        <v>4984</v>
      </c>
      <c r="X624">
        <v>2</v>
      </c>
      <c r="Y624" t="s">
        <v>7145</v>
      </c>
      <c r="Z624" t="s">
        <v>9312</v>
      </c>
      <c r="AA624">
        <v>0.7598886591824515</v>
      </c>
      <c r="AB624">
        <f>HYPERLINK("Melting_Curves/meltCurve_P0AB96_arsC.pdf", "Melting_Curves/meltCurve_P0AB96_arsC.pdf")</f>
        <v>0</v>
      </c>
    </row>
    <row r="625" spans="1:28">
      <c r="A625" t="s">
        <v>651</v>
      </c>
      <c r="B625">
        <v>0.999739202189716</v>
      </c>
      <c r="C625">
        <v>0.763367526682019</v>
      </c>
      <c r="D625">
        <v>1.10330472087061</v>
      </c>
      <c r="E625">
        <v>0.771480737373657</v>
      </c>
      <c r="F625">
        <v>0.848807405729842</v>
      </c>
      <c r="G625">
        <v>0.665779134577231</v>
      </c>
      <c r="H625">
        <v>0.7159194663233031</v>
      </c>
      <c r="I625">
        <v>0.638979942646076</v>
      </c>
      <c r="J625">
        <v>0.527329274197717</v>
      </c>
      <c r="K625">
        <v>0.24373746944496</v>
      </c>
      <c r="L625">
        <v>382.686750586144</v>
      </c>
      <c r="M625">
        <v>6.0996110179914</v>
      </c>
      <c r="N625">
        <v>62.7395336076504</v>
      </c>
      <c r="O625">
        <v>56.9982812166232</v>
      </c>
      <c r="P625">
        <v>-0.0268351718780839</v>
      </c>
      <c r="Q625">
        <v>0</v>
      </c>
      <c r="R625">
        <v>0.743208964447665</v>
      </c>
      <c r="S625" t="s">
        <v>2818</v>
      </c>
      <c r="T625" t="s">
        <v>4362</v>
      </c>
      <c r="U625" t="s">
        <v>4362</v>
      </c>
      <c r="V625" t="s">
        <v>4362</v>
      </c>
      <c r="W625" t="s">
        <v>4985</v>
      </c>
      <c r="X625">
        <v>3</v>
      </c>
      <c r="Y625" t="s">
        <v>7146</v>
      </c>
      <c r="Z625" t="s">
        <v>9313</v>
      </c>
      <c r="AA625">
        <v>0.7477275539851246</v>
      </c>
      <c r="AB625">
        <f>HYPERLINK("Melting_Curves/meltCurve_P0AB98_atpB.pdf", "Melting_Curves/meltCurve_P0AB98_atpB.pdf")</f>
        <v>0</v>
      </c>
    </row>
    <row r="626" spans="1:28">
      <c r="A626" t="s">
        <v>652</v>
      </c>
      <c r="B626">
        <v>0.999739202189716</v>
      </c>
      <c r="C626">
        <v>0.934431911827806</v>
      </c>
      <c r="D626">
        <v>0.9579606616441561</v>
      </c>
      <c r="E626">
        <v>1.0659970418428</v>
      </c>
      <c r="F626">
        <v>0.973401984870653</v>
      </c>
      <c r="G626">
        <v>0.837213623249821</v>
      </c>
      <c r="H626">
        <v>0.870122642960834</v>
      </c>
      <c r="I626">
        <v>0.775679808089226</v>
      </c>
      <c r="J626">
        <v>0.787103298585131</v>
      </c>
      <c r="K626">
        <v>0.686857235258586</v>
      </c>
      <c r="L626">
        <v>655.272263107894</v>
      </c>
      <c r="M626">
        <v>11.1717012161863</v>
      </c>
      <c r="O626">
        <v>56.8694177046792</v>
      </c>
      <c r="P626">
        <v>-0.0173909539224716</v>
      </c>
      <c r="Q626">
        <v>0.6459987128954</v>
      </c>
      <c r="R626">
        <v>0.8315374948776419</v>
      </c>
      <c r="S626" t="s">
        <v>2819</v>
      </c>
      <c r="T626" t="s">
        <v>4362</v>
      </c>
      <c r="U626" t="s">
        <v>4362</v>
      </c>
      <c r="V626" t="s">
        <v>4362</v>
      </c>
      <c r="W626" t="s">
        <v>4986</v>
      </c>
      <c r="X626">
        <v>11</v>
      </c>
      <c r="Y626" t="s">
        <v>7147</v>
      </c>
      <c r="Z626" t="s">
        <v>9314</v>
      </c>
      <c r="AA626">
        <v>0.8984283318681864</v>
      </c>
      <c r="AB626">
        <f>HYPERLINK("Melting_Curves/meltCurve_P0ABA0_atpF.pdf", "Melting_Curves/meltCurve_P0ABA0_atpF.pdf")</f>
        <v>0</v>
      </c>
    </row>
    <row r="627" spans="1:28">
      <c r="A627" t="s">
        <v>653</v>
      </c>
      <c r="B627">
        <v>0.999739202189716</v>
      </c>
      <c r="C627">
        <v>1.07045529750519</v>
      </c>
      <c r="D627">
        <v>1.02712624047537</v>
      </c>
      <c r="E627">
        <v>1.02183710736311</v>
      </c>
      <c r="F627">
        <v>0.914647183770573</v>
      </c>
      <c r="G627">
        <v>0.7272858051026611</v>
      </c>
      <c r="H627">
        <v>0.534532939114017</v>
      </c>
      <c r="I627">
        <v>0.402603080586486</v>
      </c>
      <c r="J627">
        <v>0.285902193992607</v>
      </c>
      <c r="K627">
        <v>0.291406565343074</v>
      </c>
      <c r="L627">
        <v>1032.12878451999</v>
      </c>
      <c r="M627">
        <v>18.5181863114829</v>
      </c>
      <c r="N627">
        <v>57.9369989738645</v>
      </c>
      <c r="O627">
        <v>55.0981936127963</v>
      </c>
      <c r="P627">
        <v>-0.0628038112463833</v>
      </c>
      <c r="Q627">
        <v>0.252578288971894</v>
      </c>
      <c r="R627">
        <v>0.989842444320807</v>
      </c>
      <c r="S627" t="s">
        <v>2820</v>
      </c>
      <c r="T627" t="s">
        <v>4362</v>
      </c>
      <c r="U627" t="s">
        <v>4362</v>
      </c>
      <c r="V627" t="s">
        <v>4362</v>
      </c>
      <c r="W627" t="s">
        <v>4987</v>
      </c>
      <c r="X627">
        <v>8</v>
      </c>
      <c r="Y627" t="s">
        <v>7148</v>
      </c>
      <c r="Z627" t="s">
        <v>9315</v>
      </c>
      <c r="AA627">
        <v>0.7277858028789207</v>
      </c>
      <c r="AB627">
        <f>HYPERLINK("Melting_Curves/meltCurve_P0ABA4_atpH.pdf", "Melting_Curves/meltCurve_P0ABA4_atpH.pdf")</f>
        <v>0</v>
      </c>
    </row>
    <row r="628" spans="1:28">
      <c r="A628" t="s">
        <v>654</v>
      </c>
      <c r="B628">
        <v>0.999739202189716</v>
      </c>
      <c r="C628">
        <v>0.599112031728125</v>
      </c>
      <c r="D628">
        <v>0.482044459465256</v>
      </c>
      <c r="E628">
        <v>0.25056974948461</v>
      </c>
      <c r="F628">
        <v>0.189278967375498</v>
      </c>
      <c r="G628">
        <v>0.126190743733255</v>
      </c>
      <c r="H628">
        <v>0.0997157859594629</v>
      </c>
      <c r="I628">
        <v>0.07091594505994001</v>
      </c>
      <c r="J628">
        <v>0.0699850026800382</v>
      </c>
      <c r="K628">
        <v>0.0542540320407334</v>
      </c>
      <c r="L628">
        <v>602.345940078887</v>
      </c>
      <c r="M628">
        <v>14.3592924253138</v>
      </c>
      <c r="N628">
        <v>42.422703411235</v>
      </c>
      <c r="O628">
        <v>41.1597282153102</v>
      </c>
      <c r="P628">
        <v>-0.0807555556650307</v>
      </c>
      <c r="Q628">
        <v>0.0741938373573888</v>
      </c>
      <c r="R628">
        <v>0.96844275892951</v>
      </c>
      <c r="S628" t="s">
        <v>2821</v>
      </c>
      <c r="T628" t="s">
        <v>4362</v>
      </c>
      <c r="U628" t="s">
        <v>4362</v>
      </c>
      <c r="V628" t="s">
        <v>4362</v>
      </c>
      <c r="W628" t="s">
        <v>4988</v>
      </c>
      <c r="X628">
        <v>9</v>
      </c>
      <c r="Y628" t="s">
        <v>7149</v>
      </c>
      <c r="Z628" t="s">
        <v>9316</v>
      </c>
      <c r="AA628">
        <v>0.2563335413469556</v>
      </c>
      <c r="AB628">
        <f>HYPERLINK("Melting_Curves/meltCurve_P0ABA6_atpG.pdf", "Melting_Curves/meltCurve_P0ABA6_atpG.pdf")</f>
        <v>0</v>
      </c>
    </row>
    <row r="629" spans="1:28">
      <c r="A629" t="s">
        <v>655</v>
      </c>
      <c r="B629">
        <v>0.999739202189716</v>
      </c>
      <c r="C629">
        <v>1.01047291437898</v>
      </c>
      <c r="D629">
        <v>0.843895070391335</v>
      </c>
      <c r="E629">
        <v>0.346259752322128</v>
      </c>
      <c r="F629">
        <v>0.148783446077028</v>
      </c>
      <c r="G629">
        <v>0.0993065402363575</v>
      </c>
      <c r="H629">
        <v>0.0810422706556735</v>
      </c>
      <c r="I629">
        <v>0.0618156347972344</v>
      </c>
      <c r="J629">
        <v>0.0557384734876122</v>
      </c>
      <c r="K629">
        <v>0.0460076561643566</v>
      </c>
      <c r="L629">
        <v>1319.79591384709</v>
      </c>
      <c r="M629">
        <v>29.1196277607412</v>
      </c>
      <c r="N629">
        <v>45.5589018754847</v>
      </c>
      <c r="O629">
        <v>45.1111190558224</v>
      </c>
      <c r="P629">
        <v>-0.150095624682515</v>
      </c>
      <c r="Q629">
        <v>0.0699153061476884</v>
      </c>
      <c r="R629">
        <v>0.998037164195537</v>
      </c>
      <c r="S629" t="s">
        <v>2822</v>
      </c>
      <c r="T629" t="s">
        <v>4362</v>
      </c>
      <c r="U629" t="s">
        <v>4362</v>
      </c>
      <c r="V629" t="s">
        <v>4362</v>
      </c>
      <c r="W629" t="s">
        <v>4989</v>
      </c>
      <c r="X629">
        <v>24</v>
      </c>
      <c r="Y629" t="s">
        <v>7150</v>
      </c>
      <c r="Z629" t="s">
        <v>9317</v>
      </c>
      <c r="AA629">
        <v>0.3335372742786362</v>
      </c>
      <c r="AB629">
        <f>HYPERLINK("Melting_Curves/meltCurve_P0ABB0_atpA.pdf", "Melting_Curves/meltCurve_P0ABB0_atpA.pdf")</f>
        <v>0</v>
      </c>
    </row>
    <row r="630" spans="1:28">
      <c r="A630" t="s">
        <v>656</v>
      </c>
      <c r="B630">
        <v>0.999739202189716</v>
      </c>
      <c r="C630">
        <v>0.798819959344982</v>
      </c>
      <c r="D630">
        <v>0.6116103482861071</v>
      </c>
      <c r="E630">
        <v>0.524914353824005</v>
      </c>
      <c r="F630">
        <v>0.459887243934103</v>
      </c>
      <c r="G630">
        <v>0.356365388085441</v>
      </c>
      <c r="H630">
        <v>0.302706061419188</v>
      </c>
      <c r="I630">
        <v>0.273793195328443</v>
      </c>
      <c r="J630">
        <v>0.225178408846452</v>
      </c>
      <c r="K630">
        <v>0.227833996608514</v>
      </c>
      <c r="L630">
        <v>434.0860190571</v>
      </c>
      <c r="M630">
        <v>9.71461603778906</v>
      </c>
      <c r="N630">
        <v>47.3821189307821</v>
      </c>
      <c r="O630">
        <v>42.9136752452786</v>
      </c>
      <c r="P630">
        <v>-0.0445945225958088</v>
      </c>
      <c r="Q630">
        <v>0.212454528386279</v>
      </c>
      <c r="R630">
        <v>0.972368118738444</v>
      </c>
      <c r="S630" t="s">
        <v>2823</v>
      </c>
      <c r="T630" t="s">
        <v>4362</v>
      </c>
      <c r="U630" t="s">
        <v>4362</v>
      </c>
      <c r="V630" t="s">
        <v>4362</v>
      </c>
      <c r="W630" t="s">
        <v>4990</v>
      </c>
      <c r="X630">
        <v>15</v>
      </c>
      <c r="Y630" t="s">
        <v>7151</v>
      </c>
      <c r="Z630" t="s">
        <v>9318</v>
      </c>
      <c r="AA630">
        <v>0.4560018297314101</v>
      </c>
      <c r="AB630">
        <f>HYPERLINK("Melting_Curves/meltCurve_P0ABB4_atpD.pdf", "Melting_Curves/meltCurve_P0ABB4_atpD.pdf")</f>
        <v>0</v>
      </c>
    </row>
    <row r="631" spans="1:28">
      <c r="A631" t="s">
        <v>657</v>
      </c>
      <c r="B631">
        <v>0.999739202189716</v>
      </c>
      <c r="C631">
        <v>1.06660108353728</v>
      </c>
      <c r="D631">
        <v>0.471494920291612</v>
      </c>
      <c r="E631">
        <v>0.393871830673123</v>
      </c>
      <c r="F631">
        <v>0.264910513692031</v>
      </c>
      <c r="G631">
        <v>0.176819189178108</v>
      </c>
      <c r="H631">
        <v>0.164551287516685</v>
      </c>
      <c r="I631">
        <v>0.134256887705683</v>
      </c>
      <c r="J631">
        <v>0.137452488044272</v>
      </c>
      <c r="K631">
        <v>0.136201753923254</v>
      </c>
      <c r="L631">
        <v>10721.1744711177</v>
      </c>
      <c r="M631">
        <v>250</v>
      </c>
      <c r="N631">
        <v>42.9731787616827</v>
      </c>
      <c r="O631">
        <v>42.8819325541439</v>
      </c>
      <c r="P631">
        <v>-1.16431263551067</v>
      </c>
      <c r="Q631">
        <v>0.201151992316007</v>
      </c>
      <c r="R631">
        <v>0.947154804281514</v>
      </c>
      <c r="S631" t="s">
        <v>2824</v>
      </c>
      <c r="T631" t="s">
        <v>4362</v>
      </c>
      <c r="U631" t="s">
        <v>4362</v>
      </c>
      <c r="V631" t="s">
        <v>4362</v>
      </c>
      <c r="W631" t="s">
        <v>4991</v>
      </c>
      <c r="X631">
        <v>9</v>
      </c>
      <c r="Y631" t="s">
        <v>7152</v>
      </c>
      <c r="Z631" t="s">
        <v>9319</v>
      </c>
      <c r="AA631">
        <v>0.3579114212243941</v>
      </c>
      <c r="AB631">
        <f>HYPERLINK("Melting_Curves/meltCurve_P0ABB8_mgtA.pdf", "Melting_Curves/meltCurve_P0ABB8_mgtA.pdf")</f>
        <v>0</v>
      </c>
    </row>
    <row r="632" spans="1:28">
      <c r="A632" t="s">
        <v>658</v>
      </c>
      <c r="B632">
        <v>0.999739202189716</v>
      </c>
      <c r="C632">
        <v>1.0070135342933</v>
      </c>
      <c r="D632">
        <v>0.834862924433842</v>
      </c>
      <c r="E632">
        <v>0.771858229250054</v>
      </c>
      <c r="F632">
        <v>0.322234453418286</v>
      </c>
      <c r="G632">
        <v>0.252475293552803</v>
      </c>
      <c r="H632">
        <v>0.144205662909611</v>
      </c>
      <c r="I632">
        <v>0.157554792321401</v>
      </c>
      <c r="J632">
        <v>0.0872243301858823</v>
      </c>
      <c r="K632">
        <v>0.0737389118592893</v>
      </c>
      <c r="L632">
        <v>886.8291244942141</v>
      </c>
      <c r="M632">
        <v>18.3669387807357</v>
      </c>
      <c r="N632">
        <v>48.8516695981142</v>
      </c>
      <c r="O632">
        <v>47.7225347259602</v>
      </c>
      <c r="P632">
        <v>-0.0869749248795106</v>
      </c>
      <c r="Q632">
        <v>0.09609871933428391</v>
      </c>
      <c r="R632">
        <v>0.98326022704014</v>
      </c>
      <c r="S632" t="s">
        <v>2825</v>
      </c>
      <c r="T632" t="s">
        <v>4362</v>
      </c>
      <c r="U632" t="s">
        <v>4362</v>
      </c>
      <c r="V632" t="s">
        <v>4362</v>
      </c>
      <c r="W632" t="s">
        <v>4992</v>
      </c>
      <c r="X632">
        <v>12</v>
      </c>
      <c r="Y632" t="s">
        <v>7153</v>
      </c>
      <c r="Z632" t="s">
        <v>9320</v>
      </c>
      <c r="AA632">
        <v>0.4499975324622113</v>
      </c>
      <c r="AB632">
        <f>HYPERLINK("Melting_Curves/meltCurve_P0ABC3_hflC.pdf", "Melting_Curves/meltCurve_P0ABC3_hflC.pdf")</f>
        <v>0</v>
      </c>
    </row>
    <row r="633" spans="1:28">
      <c r="A633" t="s">
        <v>659</v>
      </c>
      <c r="B633">
        <v>0.999739202189716</v>
      </c>
      <c r="C633">
        <v>1.82335162086326</v>
      </c>
      <c r="D633">
        <v>1.13007044297501</v>
      </c>
      <c r="E633">
        <v>1.36159008363481</v>
      </c>
      <c r="F633">
        <v>0.43963322467657</v>
      </c>
      <c r="G633">
        <v>0.355418348082351</v>
      </c>
      <c r="H633">
        <v>0.242326858798131</v>
      </c>
      <c r="I633">
        <v>0.257727292556435</v>
      </c>
      <c r="J633">
        <v>0.155602048494215</v>
      </c>
      <c r="K633">
        <v>0.113378763426408</v>
      </c>
      <c r="L633">
        <v>12501.8506029482</v>
      </c>
      <c r="M633">
        <v>250</v>
      </c>
      <c r="N633">
        <v>50.1271942551483</v>
      </c>
      <c r="O633">
        <v>50.0042022495153</v>
      </c>
      <c r="P633">
        <v>-0.968805258272483</v>
      </c>
      <c r="Q633">
        <v>0.224890655394366</v>
      </c>
      <c r="R633">
        <v>0.731289696470692</v>
      </c>
      <c r="S633" t="s">
        <v>2826</v>
      </c>
      <c r="T633" t="s">
        <v>4362</v>
      </c>
      <c r="U633" t="s">
        <v>4362</v>
      </c>
      <c r="V633" t="s">
        <v>4362</v>
      </c>
      <c r="W633" t="s">
        <v>4993</v>
      </c>
      <c r="X633">
        <v>12</v>
      </c>
      <c r="Y633" t="s">
        <v>7154</v>
      </c>
      <c r="Z633" t="s">
        <v>9321</v>
      </c>
      <c r="AA633">
        <v>0.561030652653271</v>
      </c>
      <c r="AB633">
        <f>HYPERLINK("Melting_Curves/meltCurve_P0ABC7_hflK.pdf", "Melting_Curves/meltCurve_P0ABC7_hflK.pdf")</f>
        <v>0</v>
      </c>
    </row>
    <row r="634" spans="1:28">
      <c r="A634" t="s">
        <v>660</v>
      </c>
      <c r="B634">
        <v>0.999739202189716</v>
      </c>
      <c r="C634">
        <v>2.25536485248148</v>
      </c>
      <c r="D634">
        <v>0.95485158668237</v>
      </c>
      <c r="E634">
        <v>2.5255950024025</v>
      </c>
      <c r="F634">
        <v>1.21111185157482</v>
      </c>
      <c r="G634">
        <v>1.46250874655655</v>
      </c>
      <c r="H634">
        <v>0.800422203898821</v>
      </c>
      <c r="I634">
        <v>0.732574237563868</v>
      </c>
      <c r="J634">
        <v>0.537265389885381</v>
      </c>
      <c r="K634">
        <v>0.520361365193029</v>
      </c>
      <c r="L634">
        <v>2192.97041640552</v>
      </c>
      <c r="M634">
        <v>36.5472037114779</v>
      </c>
      <c r="O634">
        <v>59.8249723958729</v>
      </c>
      <c r="P634">
        <v>-0.07454338937723221</v>
      </c>
      <c r="Q634">
        <v>0.511914114892179</v>
      </c>
      <c r="R634">
        <v>0.0304343896366569</v>
      </c>
      <c r="S634" t="s">
        <v>2827</v>
      </c>
      <c r="T634" t="s">
        <v>4362</v>
      </c>
      <c r="U634" t="s">
        <v>4362</v>
      </c>
      <c r="V634" t="s">
        <v>4362</v>
      </c>
      <c r="W634" t="s">
        <v>4994</v>
      </c>
      <c r="X634">
        <v>6</v>
      </c>
      <c r="Y634" t="s">
        <v>7155</v>
      </c>
      <c r="Z634" t="s">
        <v>9322</v>
      </c>
      <c r="AA634">
        <v>0.8878305231927006</v>
      </c>
      <c r="AB634">
        <f>HYPERLINK("Melting_Curves/meltCurve_P0ABD3_bfr.pdf", "Melting_Curves/meltCurve_P0ABD3_bfr.pdf")</f>
        <v>0</v>
      </c>
    </row>
    <row r="635" spans="1:28">
      <c r="A635" t="s">
        <v>661</v>
      </c>
      <c r="B635">
        <v>0.999739202189716</v>
      </c>
      <c r="C635">
        <v>0.832369478958721</v>
      </c>
      <c r="D635">
        <v>0.800242301888934</v>
      </c>
      <c r="E635">
        <v>0.652717692746153</v>
      </c>
      <c r="F635">
        <v>0.613419990650901</v>
      </c>
      <c r="G635">
        <v>0.448902013792629</v>
      </c>
      <c r="H635">
        <v>0.116519623963604</v>
      </c>
      <c r="I635">
        <v>0.0896272033564556</v>
      </c>
      <c r="J635">
        <v>0.0855267564912313</v>
      </c>
      <c r="K635">
        <v>0.07549897410864929</v>
      </c>
      <c r="L635">
        <v>496.181307918686</v>
      </c>
      <c r="M635">
        <v>9.85407883878886</v>
      </c>
      <c r="N635">
        <v>50.3528844939688</v>
      </c>
      <c r="O635">
        <v>48.4106966357909</v>
      </c>
      <c r="P635">
        <v>-0.0509141018218965</v>
      </c>
      <c r="Q635">
        <v>0</v>
      </c>
      <c r="R635">
        <v>0.9545870054421</v>
      </c>
      <c r="S635" t="s">
        <v>2828</v>
      </c>
      <c r="T635" t="s">
        <v>4362</v>
      </c>
      <c r="U635" t="s">
        <v>4362</v>
      </c>
      <c r="V635" t="s">
        <v>4362</v>
      </c>
      <c r="W635" t="s">
        <v>4995</v>
      </c>
      <c r="X635">
        <v>10</v>
      </c>
      <c r="Y635" t="s">
        <v>7156</v>
      </c>
      <c r="Z635" t="s">
        <v>9323</v>
      </c>
      <c r="AA635">
        <v>0.4782683756701183</v>
      </c>
      <c r="AB635">
        <f>HYPERLINK("Melting_Curves/meltCurve_P0ABD5_accA.pdf", "Melting_Curves/meltCurve_P0ABD5_accA.pdf")</f>
        <v>0</v>
      </c>
    </row>
    <row r="636" spans="1:28">
      <c r="A636" t="s">
        <v>662</v>
      </c>
      <c r="B636">
        <v>0.999739202189716</v>
      </c>
      <c r="C636">
        <v>1.0257122095106</v>
      </c>
      <c r="D636">
        <v>0.976270054270728</v>
      </c>
      <c r="E636">
        <v>1.00013487528174</v>
      </c>
      <c r="F636">
        <v>0.949199733067298</v>
      </c>
      <c r="G636">
        <v>0.7663200080468771</v>
      </c>
      <c r="H636">
        <v>0.619891286363338</v>
      </c>
      <c r="I636">
        <v>0.622178374449578</v>
      </c>
      <c r="J636">
        <v>0.477060661410124</v>
      </c>
      <c r="K636">
        <v>0.589355696298135</v>
      </c>
      <c r="L636">
        <v>1425.60207983725</v>
      </c>
      <c r="M636">
        <v>26.5169609817983</v>
      </c>
      <c r="O636">
        <v>53.4589290202513</v>
      </c>
      <c r="P636">
        <v>-0.0555635815133336</v>
      </c>
      <c r="Q636">
        <v>0.551933882994488</v>
      </c>
      <c r="R636">
        <v>0.970194676679407</v>
      </c>
      <c r="S636" t="s">
        <v>2829</v>
      </c>
      <c r="T636" t="s">
        <v>4362</v>
      </c>
      <c r="U636" t="s">
        <v>4362</v>
      </c>
      <c r="V636" t="s">
        <v>4362</v>
      </c>
      <c r="W636" t="s">
        <v>4996</v>
      </c>
      <c r="X636">
        <v>3</v>
      </c>
      <c r="Y636" t="s">
        <v>7157</v>
      </c>
      <c r="Z636" t="s">
        <v>9324</v>
      </c>
      <c r="AA636">
        <v>0.8058398288063771</v>
      </c>
      <c r="AB636">
        <f>HYPERLINK("Melting_Curves/meltCurve_P0ABD8_accB.pdf", "Melting_Curves/meltCurve_P0ABD8_accB.pdf")</f>
        <v>0</v>
      </c>
    </row>
    <row r="637" spans="1:28">
      <c r="A637" t="s">
        <v>663</v>
      </c>
      <c r="B637">
        <v>0.999739202189716</v>
      </c>
      <c r="C637">
        <v>0.948894584863059</v>
      </c>
      <c r="D637">
        <v>0.783453369765696</v>
      </c>
      <c r="E637">
        <v>1.03843091803233</v>
      </c>
      <c r="F637">
        <v>0.674528380355799</v>
      </c>
      <c r="G637">
        <v>0.607376064373148</v>
      </c>
      <c r="H637">
        <v>0.477237262766684</v>
      </c>
      <c r="I637">
        <v>0.380597520066945</v>
      </c>
      <c r="J637">
        <v>0.224938950139562</v>
      </c>
      <c r="K637">
        <v>0.211387952630434</v>
      </c>
      <c r="L637">
        <v>484.832842314919</v>
      </c>
      <c r="M637">
        <v>8.57550873150698</v>
      </c>
      <c r="N637">
        <v>56.5369175659795</v>
      </c>
      <c r="O637">
        <v>53.7143050398484</v>
      </c>
      <c r="P637">
        <v>-0.0399473786253518</v>
      </c>
      <c r="Q637">
        <v>0</v>
      </c>
      <c r="R637">
        <v>0.925607271246046</v>
      </c>
      <c r="S637" t="s">
        <v>2830</v>
      </c>
      <c r="T637" t="s">
        <v>4362</v>
      </c>
      <c r="U637" t="s">
        <v>4362</v>
      </c>
      <c r="V637" t="s">
        <v>4362</v>
      </c>
      <c r="W637" t="s">
        <v>4997</v>
      </c>
      <c r="X637">
        <v>2</v>
      </c>
      <c r="Y637" t="s">
        <v>7158</v>
      </c>
      <c r="Z637" t="s">
        <v>9325</v>
      </c>
      <c r="AA637">
        <v>0.6478544523001116</v>
      </c>
      <c r="AB637">
        <f>HYPERLINK("Melting_Curves/meltCurve_P0ABE2_bolA.pdf", "Melting_Curves/meltCurve_P0ABE2_bolA.pdf")</f>
        <v>0</v>
      </c>
    </row>
    <row r="638" spans="1:28">
      <c r="A638" t="s">
        <v>664</v>
      </c>
      <c r="B638">
        <v>0.999739202189716</v>
      </c>
      <c r="C638">
        <v>0.981924071446589</v>
      </c>
      <c r="D638">
        <v>1.00303813991884</v>
      </c>
      <c r="E638">
        <v>0.7006557547973949</v>
      </c>
      <c r="F638">
        <v>0.657241920147993</v>
      </c>
      <c r="G638">
        <v>0.459230672917523</v>
      </c>
      <c r="H638">
        <v>0.44318474302076</v>
      </c>
      <c r="I638">
        <v>0.400796110655259</v>
      </c>
      <c r="J638">
        <v>0.427175851009975</v>
      </c>
      <c r="K638">
        <v>0.244842847748621</v>
      </c>
      <c r="L638">
        <v>666.297615590736</v>
      </c>
      <c r="M638">
        <v>13.5413785297048</v>
      </c>
      <c r="N638">
        <v>53.4419035823059</v>
      </c>
      <c r="O638">
        <v>48.1686910770724</v>
      </c>
      <c r="P638">
        <v>-0.0471568642728022</v>
      </c>
      <c r="Q638">
        <v>0.329125478711338</v>
      </c>
      <c r="R638">
        <v>0.952077852433165</v>
      </c>
      <c r="S638" t="s">
        <v>2831</v>
      </c>
      <c r="T638" t="s">
        <v>4362</v>
      </c>
      <c r="U638" t="s">
        <v>4362</v>
      </c>
      <c r="V638" t="s">
        <v>4362</v>
      </c>
      <c r="W638" t="s">
        <v>4998</v>
      </c>
      <c r="X638">
        <v>1</v>
      </c>
      <c r="Y638" t="s">
        <v>7159</v>
      </c>
      <c r="Z638" t="s">
        <v>9326</v>
      </c>
      <c r="AA638">
        <v>0.6187669400806807</v>
      </c>
      <c r="AB638">
        <f>HYPERLINK("Melting_Curves/meltCurve_P0ABE5_cybB.pdf", "Melting_Curves/meltCurve_P0ABE5_cybB.pdf")</f>
        <v>0</v>
      </c>
    </row>
    <row r="639" spans="1:28">
      <c r="A639" t="s">
        <v>665</v>
      </c>
      <c r="B639">
        <v>0.999739202189716</v>
      </c>
      <c r="C639">
        <v>1.15513319217508</v>
      </c>
      <c r="D639">
        <v>0.827004813671489</v>
      </c>
      <c r="E639">
        <v>0.347424443382711</v>
      </c>
      <c r="F639">
        <v>0.263694777618992</v>
      </c>
      <c r="G639">
        <v>0.205958151998984</v>
      </c>
      <c r="H639">
        <v>0.140242926169388</v>
      </c>
      <c r="I639">
        <v>0.107335226648539</v>
      </c>
      <c r="J639">
        <v>0.0860843445977606</v>
      </c>
      <c r="K639">
        <v>0.07308259117663859</v>
      </c>
      <c r="L639">
        <v>1370.20376772271</v>
      </c>
      <c r="M639">
        <v>30.3675685834662</v>
      </c>
      <c r="N639">
        <v>45.5910873076937</v>
      </c>
      <c r="O639">
        <v>44.9263308180964</v>
      </c>
      <c r="P639">
        <v>-0.146256259139118</v>
      </c>
      <c r="Q639">
        <v>0.134508942557318</v>
      </c>
      <c r="R639">
        <v>0.967502117917411</v>
      </c>
      <c r="S639" t="s">
        <v>2832</v>
      </c>
      <c r="T639" t="s">
        <v>4362</v>
      </c>
      <c r="U639" t="s">
        <v>4362</v>
      </c>
      <c r="V639" t="s">
        <v>4362</v>
      </c>
      <c r="W639" t="s">
        <v>4999</v>
      </c>
      <c r="X639">
        <v>6</v>
      </c>
      <c r="Y639" t="s">
        <v>7160</v>
      </c>
      <c r="Z639" t="s">
        <v>9327</v>
      </c>
      <c r="AA639">
        <v>0.373532233028287</v>
      </c>
      <c r="AB639">
        <f>HYPERLINK("Melting_Curves/meltCurve_P0ABF1_pcnB.pdf", "Melting_Curves/meltCurve_P0ABF1_pcnB.pdf")</f>
        <v>0</v>
      </c>
    </row>
    <row r="640" spans="1:28">
      <c r="A640" t="s">
        <v>666</v>
      </c>
      <c r="B640">
        <v>0.999739202189716</v>
      </c>
      <c r="C640">
        <v>0.974297712151425</v>
      </c>
      <c r="D640">
        <v>0.817779912766861</v>
      </c>
      <c r="E640">
        <v>0.793256846853988</v>
      </c>
      <c r="F640">
        <v>0.593562985719383</v>
      </c>
      <c r="G640">
        <v>0.443041049518419</v>
      </c>
      <c r="H640">
        <v>0.374304550386588</v>
      </c>
      <c r="I640">
        <v>0.30072027687547</v>
      </c>
      <c r="J640">
        <v>0.2694359371472</v>
      </c>
      <c r="K640">
        <v>0.221605092812068</v>
      </c>
      <c r="L640">
        <v>505.432550746117</v>
      </c>
      <c r="M640">
        <v>9.99512393648571</v>
      </c>
      <c r="N640">
        <v>52.7426660458635</v>
      </c>
      <c r="O640">
        <v>48.6687514488741</v>
      </c>
      <c r="P640">
        <v>-0.0426926122238494</v>
      </c>
      <c r="Q640">
        <v>0.168881404876301</v>
      </c>
      <c r="R640">
        <v>0.99064082830898</v>
      </c>
      <c r="S640" t="s">
        <v>2833</v>
      </c>
      <c r="T640" t="s">
        <v>4362</v>
      </c>
      <c r="U640" t="s">
        <v>4362</v>
      </c>
      <c r="V640" t="s">
        <v>4362</v>
      </c>
      <c r="W640" t="s">
        <v>5000</v>
      </c>
      <c r="X640">
        <v>5</v>
      </c>
      <c r="Y640" t="s">
        <v>7161</v>
      </c>
      <c r="Z640" t="s">
        <v>9328</v>
      </c>
      <c r="AA640">
        <v>0.5713824900345644</v>
      </c>
      <c r="AB640">
        <f>HYPERLINK("Melting_Curves/meltCurve_P0ABF4_eutM.pdf", "Melting_Curves/meltCurve_P0ABF4_eutM.pdf")</f>
        <v>0</v>
      </c>
    </row>
    <row r="641" spans="1:28">
      <c r="A641" t="s">
        <v>667</v>
      </c>
      <c r="B641">
        <v>0.999739202189716</v>
      </c>
      <c r="C641">
        <v>0.844319112967849</v>
      </c>
      <c r="D641">
        <v>1.00352347330709</v>
      </c>
      <c r="E641">
        <v>0.925423290544698</v>
      </c>
      <c r="F641">
        <v>0.9887732625893469</v>
      </c>
      <c r="G641">
        <v>0.842300978976769</v>
      </c>
      <c r="H641">
        <v>0.6734736530336179</v>
      </c>
      <c r="I641">
        <v>0.409848997884439</v>
      </c>
      <c r="J641">
        <v>0.167929969575564</v>
      </c>
      <c r="K641">
        <v>0.0870155303670629</v>
      </c>
      <c r="L641">
        <v>1134.2849365575</v>
      </c>
      <c r="M641">
        <v>19.0920149626585</v>
      </c>
      <c r="N641">
        <v>59.4114881211591</v>
      </c>
      <c r="O641">
        <v>58.771193588585</v>
      </c>
      <c r="P641">
        <v>-0.0812164962463202</v>
      </c>
      <c r="Q641">
        <v>0</v>
      </c>
      <c r="R641">
        <v>0.969917229990401</v>
      </c>
      <c r="S641" t="s">
        <v>2834</v>
      </c>
      <c r="T641" t="s">
        <v>4362</v>
      </c>
      <c r="U641" t="s">
        <v>4362</v>
      </c>
      <c r="V641" t="s">
        <v>4362</v>
      </c>
      <c r="W641" t="s">
        <v>5001</v>
      </c>
      <c r="X641">
        <v>8</v>
      </c>
      <c r="Y641" t="s">
        <v>7162</v>
      </c>
      <c r="Z641" t="s">
        <v>9329</v>
      </c>
      <c r="AA641">
        <v>0.7491377523638488</v>
      </c>
      <c r="AB641">
        <f>HYPERLINK("Melting_Curves/meltCurve_P0ABF6_cdd.pdf", "Melting_Curves/meltCurve_P0ABF6_cdd.pdf")</f>
        <v>0</v>
      </c>
    </row>
    <row r="642" spans="1:28">
      <c r="A642" t="s">
        <v>668</v>
      </c>
      <c r="B642">
        <v>0.999739202189716</v>
      </c>
      <c r="C642">
        <v>1.06017181223133</v>
      </c>
      <c r="D642">
        <v>1.26084253638973</v>
      </c>
      <c r="E642">
        <v>1.03696890950632</v>
      </c>
      <c r="F642">
        <v>0.910787129412307</v>
      </c>
      <c r="G642">
        <v>0.533261320607971</v>
      </c>
      <c r="H642">
        <v>0.45391016464403</v>
      </c>
      <c r="I642">
        <v>0.348446632859793</v>
      </c>
      <c r="J642">
        <v>0.315885348451114</v>
      </c>
      <c r="K642">
        <v>0.176291587331481</v>
      </c>
      <c r="L642">
        <v>1325.27666103993</v>
      </c>
      <c r="M642">
        <v>24.8131598013249</v>
      </c>
      <c r="N642">
        <v>55.1701560930417</v>
      </c>
      <c r="O642">
        <v>53.0669612762918</v>
      </c>
      <c r="P642">
        <v>-0.0849343733207049</v>
      </c>
      <c r="Q642">
        <v>0.273426536845721</v>
      </c>
      <c r="R642">
        <v>0.924438085047946</v>
      </c>
      <c r="S642" t="s">
        <v>2835</v>
      </c>
      <c r="T642" t="s">
        <v>4362</v>
      </c>
      <c r="U642" t="s">
        <v>4362</v>
      </c>
      <c r="V642" t="s">
        <v>4362</v>
      </c>
      <c r="W642" t="s">
        <v>5002</v>
      </c>
      <c r="X642">
        <v>3</v>
      </c>
      <c r="Y642" t="s">
        <v>7163</v>
      </c>
      <c r="Z642" t="s">
        <v>9330</v>
      </c>
      <c r="AA642">
        <v>0.677346421700494</v>
      </c>
      <c r="AB642">
        <f>HYPERLINK("Melting_Curves/meltCurve_P0ABF8_pgsA.pdf", "Melting_Curves/meltCurve_P0ABF8_pgsA.pdf")</f>
        <v>0</v>
      </c>
    </row>
    <row r="643" spans="1:28">
      <c r="A643" t="s">
        <v>669</v>
      </c>
      <c r="B643">
        <v>0.999739202189716</v>
      </c>
      <c r="C643">
        <v>1.0500808825683</v>
      </c>
      <c r="D643">
        <v>0.635264821263764</v>
      </c>
      <c r="E643">
        <v>0.487287370414814</v>
      </c>
      <c r="F643">
        <v>0.371319978641401</v>
      </c>
      <c r="G643">
        <v>0.280349718154835</v>
      </c>
      <c r="H643">
        <v>0.23939886854806</v>
      </c>
      <c r="I643">
        <v>0.194486164905273</v>
      </c>
      <c r="J643">
        <v>0.191943857614874</v>
      </c>
      <c r="K643">
        <v>0.158526772978289</v>
      </c>
      <c r="L643">
        <v>724.92380836731</v>
      </c>
      <c r="M643">
        <v>16.120379936816</v>
      </c>
      <c r="N643">
        <v>46.4143227691505</v>
      </c>
      <c r="O643">
        <v>44.2944564137655</v>
      </c>
      <c r="P643">
        <v>-0.07303904701193779</v>
      </c>
      <c r="Q643">
        <v>0.197294717535946</v>
      </c>
      <c r="R643">
        <v>0.962307579771908</v>
      </c>
      <c r="S643" t="s">
        <v>2836</v>
      </c>
      <c r="T643" t="s">
        <v>4362</v>
      </c>
      <c r="U643" t="s">
        <v>4362</v>
      </c>
      <c r="V643" t="s">
        <v>4362</v>
      </c>
      <c r="W643" t="s">
        <v>5003</v>
      </c>
      <c r="X643">
        <v>2</v>
      </c>
      <c r="Y643" t="s">
        <v>7164</v>
      </c>
      <c r="Z643" t="s">
        <v>9331</v>
      </c>
      <c r="AA643">
        <v>0.4270594327792341</v>
      </c>
      <c r="AB643">
        <f>HYPERLINK("Melting_Curves/meltCurve_P0ABG7_mrdB.pdf", "Melting_Curves/meltCurve_P0ABG7_mrdB.pdf")</f>
        <v>0</v>
      </c>
    </row>
    <row r="644" spans="1:28">
      <c r="A644" t="s">
        <v>670</v>
      </c>
      <c r="B644">
        <v>0.999739202189716</v>
      </c>
      <c r="C644">
        <v>1.08368342153087</v>
      </c>
      <c r="D644">
        <v>0.6690134532116671</v>
      </c>
      <c r="E644">
        <v>0.696598323589395</v>
      </c>
      <c r="F644">
        <v>0.523563692169065</v>
      </c>
      <c r="G644">
        <v>0.356942744290098</v>
      </c>
      <c r="H644">
        <v>0.315046791863447</v>
      </c>
      <c r="I644">
        <v>0.261555232098909</v>
      </c>
      <c r="J644">
        <v>0.245115142315617</v>
      </c>
      <c r="K644">
        <v>0.199451619558217</v>
      </c>
      <c r="L644">
        <v>539.420165660204</v>
      </c>
      <c r="M644">
        <v>11.2345996913321</v>
      </c>
      <c r="N644">
        <v>50.1446540430531</v>
      </c>
      <c r="O644">
        <v>46.5683306196306</v>
      </c>
      <c r="P644">
        <v>-0.0488817717826209</v>
      </c>
      <c r="Q644">
        <v>0.189776520015569</v>
      </c>
      <c r="R644">
        <v>0.940757847000626</v>
      </c>
      <c r="S644" t="s">
        <v>2837</v>
      </c>
      <c r="T644" t="s">
        <v>4362</v>
      </c>
      <c r="U644" t="s">
        <v>4362</v>
      </c>
      <c r="V644" t="s">
        <v>4362</v>
      </c>
      <c r="W644" t="s">
        <v>5004</v>
      </c>
      <c r="X644">
        <v>6</v>
      </c>
      <c r="Y644" t="s">
        <v>7165</v>
      </c>
      <c r="Z644" t="s">
        <v>9332</v>
      </c>
      <c r="AA644">
        <v>0.5150888080569161</v>
      </c>
      <c r="AB644">
        <f>HYPERLINK("Melting_Curves/meltCurve_P0ABH0_ftsA.pdf", "Melting_Curves/meltCurve_P0ABH0_ftsA.pdf")</f>
        <v>0</v>
      </c>
    </row>
    <row r="645" spans="1:28">
      <c r="A645" t="s">
        <v>671</v>
      </c>
      <c r="B645">
        <v>0.999739202189716</v>
      </c>
      <c r="C645">
        <v>0.892315458941638</v>
      </c>
      <c r="D645">
        <v>1.04253730655595</v>
      </c>
      <c r="E645">
        <v>0.703068151435748</v>
      </c>
      <c r="F645">
        <v>0.587621248698102</v>
      </c>
      <c r="G645">
        <v>0.563865187703267</v>
      </c>
      <c r="H645">
        <v>0.280033811545668</v>
      </c>
      <c r="I645">
        <v>0.108476125730091</v>
      </c>
      <c r="J645">
        <v>0.08720002775341509</v>
      </c>
      <c r="K645">
        <v>0.0705193157616688</v>
      </c>
      <c r="L645">
        <v>589.014644121558</v>
      </c>
      <c r="M645">
        <v>11.2136961604786</v>
      </c>
      <c r="N645">
        <v>52.5263602368664</v>
      </c>
      <c r="O645">
        <v>50.9390048756181</v>
      </c>
      <c r="P645">
        <v>-0.0550521599735115</v>
      </c>
      <c r="Q645">
        <v>0</v>
      </c>
      <c r="R645">
        <v>0.957522473159624</v>
      </c>
      <c r="S645" t="s">
        <v>2838</v>
      </c>
      <c r="T645" t="s">
        <v>4362</v>
      </c>
      <c r="U645" t="s">
        <v>4362</v>
      </c>
      <c r="V645" t="s">
        <v>4362</v>
      </c>
      <c r="W645" t="s">
        <v>5005</v>
      </c>
      <c r="X645">
        <v>11</v>
      </c>
      <c r="Y645" t="s">
        <v>7166</v>
      </c>
      <c r="Z645" t="s">
        <v>9333</v>
      </c>
      <c r="AA645">
        <v>0.5408646836995009</v>
      </c>
      <c r="AB645">
        <f>HYPERLINK("Melting_Curves/meltCurve_P0ABH7_gltA.pdf", "Melting_Curves/meltCurve_P0ABH7_gltA.pdf")</f>
        <v>0</v>
      </c>
    </row>
    <row r="646" spans="1:28">
      <c r="A646" t="s">
        <v>672</v>
      </c>
      <c r="B646">
        <v>0.999739202189716</v>
      </c>
      <c r="C646">
        <v>1.0351269133429</v>
      </c>
      <c r="D646">
        <v>0.553602480166569</v>
      </c>
      <c r="E646">
        <v>0.355797070779449</v>
      </c>
      <c r="F646">
        <v>0.194114519210941</v>
      </c>
      <c r="G646">
        <v>0.104050074060383</v>
      </c>
      <c r="H646">
        <v>0.07841322868106899</v>
      </c>
      <c r="I646">
        <v>0.0547822784223251</v>
      </c>
      <c r="J646">
        <v>0.0508515273498467</v>
      </c>
      <c r="K646">
        <v>0.0458077079179798</v>
      </c>
      <c r="L646">
        <v>859.7282951835909</v>
      </c>
      <c r="M646">
        <v>19.4375007586528</v>
      </c>
      <c r="N646">
        <v>44.5545500887455</v>
      </c>
      <c r="O646">
        <v>43.7702173895373</v>
      </c>
      <c r="P646">
        <v>-0.10370328386655</v>
      </c>
      <c r="Q646">
        <v>0.0659396063487834</v>
      </c>
      <c r="R646">
        <v>0.974612310928175</v>
      </c>
      <c r="S646" t="s">
        <v>2839</v>
      </c>
      <c r="T646" t="s">
        <v>4362</v>
      </c>
      <c r="U646" t="s">
        <v>4362</v>
      </c>
      <c r="V646" t="s">
        <v>4362</v>
      </c>
      <c r="W646" t="s">
        <v>5006</v>
      </c>
      <c r="X646">
        <v>17</v>
      </c>
      <c r="Y646" t="s">
        <v>7167</v>
      </c>
      <c r="Z646" t="s">
        <v>9334</v>
      </c>
      <c r="AA646">
        <v>0.3042817246879828</v>
      </c>
      <c r="AB646">
        <f>HYPERLINK("Melting_Curves/meltCurve_P0ABH9_clpA.pdf", "Melting_Curves/meltCurve_P0ABH9_clpA.pdf")</f>
        <v>0</v>
      </c>
    </row>
    <row r="647" spans="1:28">
      <c r="A647" t="s">
        <v>673</v>
      </c>
      <c r="B647">
        <v>0.999739202189716</v>
      </c>
      <c r="C647">
        <v>0.91205822854261</v>
      </c>
      <c r="D647">
        <v>0.610935862818075</v>
      </c>
      <c r="E647">
        <v>0.278616294953186</v>
      </c>
      <c r="F647">
        <v>0.143846989956794</v>
      </c>
      <c r="G647">
        <v>0.102678798567638</v>
      </c>
      <c r="H647">
        <v>0.0810534579023223</v>
      </c>
      <c r="I647">
        <v>0.0535092515499824</v>
      </c>
      <c r="J647">
        <v>0.0695248325795544</v>
      </c>
      <c r="K647">
        <v>0.0254325087945143</v>
      </c>
      <c r="L647">
        <v>897.472643629297</v>
      </c>
      <c r="M647">
        <v>20.4553475973075</v>
      </c>
      <c r="N647">
        <v>44.1588990163676</v>
      </c>
      <c r="O647">
        <v>43.4618563408001</v>
      </c>
      <c r="P647">
        <v>-0.110409595255234</v>
      </c>
      <c r="Q647">
        <v>0.0616707972903088</v>
      </c>
      <c r="R647">
        <v>0.997280469168357</v>
      </c>
      <c r="S647" t="s">
        <v>2840</v>
      </c>
      <c r="T647" t="s">
        <v>4362</v>
      </c>
      <c r="U647" t="s">
        <v>4362</v>
      </c>
      <c r="V647" t="s">
        <v>4362</v>
      </c>
      <c r="W647" t="s">
        <v>5007</v>
      </c>
      <c r="X647">
        <v>1</v>
      </c>
      <c r="Y647" t="s">
        <v>7168</v>
      </c>
      <c r="Z647" t="s">
        <v>9335</v>
      </c>
      <c r="AA647">
        <v>0.2886889000220475</v>
      </c>
      <c r="AB647">
        <f>HYPERLINK("Melting_Curves/meltCurve_P0ABI4_corA.pdf", "Melting_Curves/meltCurve_P0ABI4_corA.pdf")</f>
        <v>0</v>
      </c>
    </row>
    <row r="648" spans="1:28">
      <c r="A648" t="s">
        <v>674</v>
      </c>
      <c r="B648">
        <v>0.999739202189716</v>
      </c>
      <c r="C648">
        <v>1.49042815500094</v>
      </c>
      <c r="D648">
        <v>0.847312488103542</v>
      </c>
      <c r="E648">
        <v>1.03737072344822</v>
      </c>
      <c r="F648">
        <v>0.558542827821067</v>
      </c>
      <c r="G648">
        <v>0.347217929589257</v>
      </c>
      <c r="H648">
        <v>0.194833647784167</v>
      </c>
      <c r="I648">
        <v>0.128570006912047</v>
      </c>
      <c r="J648">
        <v>0.118695451055051</v>
      </c>
      <c r="K648">
        <v>0.089278221704716</v>
      </c>
      <c r="L648">
        <v>1268.95653672891</v>
      </c>
      <c r="M648">
        <v>24.9445238203786</v>
      </c>
      <c r="N648">
        <v>51.4334984868563</v>
      </c>
      <c r="O648">
        <v>50.5475824637657</v>
      </c>
      <c r="P648">
        <v>-0.108648355958197</v>
      </c>
      <c r="Q648">
        <v>0.119351834418429</v>
      </c>
      <c r="R648">
        <v>0.866888340849328</v>
      </c>
      <c r="S648" t="s">
        <v>2841</v>
      </c>
      <c r="T648" t="s">
        <v>4362</v>
      </c>
      <c r="U648" t="s">
        <v>4362</v>
      </c>
      <c r="V648" t="s">
        <v>4362</v>
      </c>
      <c r="W648" t="s">
        <v>5008</v>
      </c>
      <c r="X648">
        <v>9</v>
      </c>
      <c r="Y648" t="s">
        <v>7169</v>
      </c>
      <c r="Z648" t="s">
        <v>9336</v>
      </c>
      <c r="AA648">
        <v>0.5343332819312702</v>
      </c>
      <c r="AB648">
        <f>HYPERLINK("Melting_Curves/meltCurve_P0ABI8_cyoB.pdf", "Melting_Curves/meltCurve_P0ABI8_cyoB.pdf")</f>
        <v>0</v>
      </c>
    </row>
    <row r="649" spans="1:28">
      <c r="A649" t="s">
        <v>675</v>
      </c>
      <c r="B649">
        <v>0.999739202189716</v>
      </c>
      <c r="C649">
        <v>0.990126630357239</v>
      </c>
      <c r="D649">
        <v>1.09923018327412</v>
      </c>
      <c r="E649">
        <v>1.07025106757166</v>
      </c>
      <c r="F649">
        <v>0.784006175078246</v>
      </c>
      <c r="G649">
        <v>0.497206017575003</v>
      </c>
      <c r="H649">
        <v>0.219553097407443</v>
      </c>
      <c r="I649">
        <v>0.115969236172192</v>
      </c>
      <c r="J649">
        <v>0.07352376154788649</v>
      </c>
      <c r="K649">
        <v>0.0548099855727142</v>
      </c>
      <c r="L649">
        <v>1251.96511240642</v>
      </c>
      <c r="M649">
        <v>23.4397646791101</v>
      </c>
      <c r="N649">
        <v>53.695261906154</v>
      </c>
      <c r="O649">
        <v>53.0278084385525</v>
      </c>
      <c r="P649">
        <v>-0.104082370046611</v>
      </c>
      <c r="Q649">
        <v>0.0581536098349428</v>
      </c>
      <c r="R649">
        <v>0.987156126226271</v>
      </c>
      <c r="S649" t="s">
        <v>2842</v>
      </c>
      <c r="T649" t="s">
        <v>4362</v>
      </c>
      <c r="U649" t="s">
        <v>4362</v>
      </c>
      <c r="V649" t="s">
        <v>4362</v>
      </c>
      <c r="W649" t="s">
        <v>5009</v>
      </c>
      <c r="X649">
        <v>8</v>
      </c>
      <c r="Y649" t="s">
        <v>7170</v>
      </c>
      <c r="Z649" t="s">
        <v>9337</v>
      </c>
      <c r="AA649">
        <v>0.5826259495828531</v>
      </c>
      <c r="AB649">
        <f>HYPERLINK("Melting_Curves/meltCurve_P0ABJ1_cyoA.pdf", "Melting_Curves/meltCurve_P0ABJ1_cyoA.pdf")</f>
        <v>0</v>
      </c>
    </row>
    <row r="650" spans="1:28">
      <c r="A650" t="s">
        <v>676</v>
      </c>
      <c r="B650">
        <v>0.999739202189716</v>
      </c>
      <c r="C650">
        <v>1.71479782059059</v>
      </c>
      <c r="D650">
        <v>1.15518849265222</v>
      </c>
      <c r="E650">
        <v>1.4664784397387</v>
      </c>
      <c r="F650">
        <v>0.984872232369203</v>
      </c>
      <c r="G650">
        <v>0.586382554010794</v>
      </c>
      <c r="H650">
        <v>0.35395567274735</v>
      </c>
      <c r="I650">
        <v>0.239057400710843</v>
      </c>
      <c r="J650">
        <v>0.23665876817615</v>
      </c>
      <c r="K650">
        <v>0.1904958165854</v>
      </c>
      <c r="L650">
        <v>2140.26147024238</v>
      </c>
      <c r="M650">
        <v>39.8032964918639</v>
      </c>
      <c r="N650">
        <v>54.6412704767358</v>
      </c>
      <c r="O650">
        <v>53.6357460748046</v>
      </c>
      <c r="P650">
        <v>-0.141972025096006</v>
      </c>
      <c r="Q650">
        <v>0.234760597127287</v>
      </c>
      <c r="R650">
        <v>0.7209407213949089</v>
      </c>
      <c r="S650" t="s">
        <v>2843</v>
      </c>
      <c r="T650" t="s">
        <v>4362</v>
      </c>
      <c r="U650" t="s">
        <v>4362</v>
      </c>
      <c r="V650" t="s">
        <v>4362</v>
      </c>
      <c r="W650" t="s">
        <v>5010</v>
      </c>
      <c r="X650">
        <v>1</v>
      </c>
      <c r="Y650" t="s">
        <v>7171</v>
      </c>
      <c r="Z650" t="s">
        <v>9338</v>
      </c>
      <c r="AA650">
        <v>0.6654053305581773</v>
      </c>
      <c r="AB650">
        <f>HYPERLINK("Melting_Curves/meltCurve_P0ABJ3_cyoC.pdf", "Melting_Curves/meltCurve_P0ABJ3_cyoC.pdf")</f>
        <v>0</v>
      </c>
    </row>
    <row r="651" spans="1:28">
      <c r="A651" t="s">
        <v>677</v>
      </c>
      <c r="B651">
        <v>0.999739202189716</v>
      </c>
      <c r="C651">
        <v>0.842450877857348</v>
      </c>
      <c r="D651">
        <v>0.716292349642414</v>
      </c>
      <c r="E651">
        <v>0.646944676738728</v>
      </c>
      <c r="F651">
        <v>0.489193316610477</v>
      </c>
      <c r="G651">
        <v>0.368741931252723</v>
      </c>
      <c r="H651">
        <v>0.211844727483149</v>
      </c>
      <c r="I651">
        <v>0.0953827849151076</v>
      </c>
      <c r="J651">
        <v>0.058161657012409</v>
      </c>
      <c r="K651">
        <v>0.0456368149270416</v>
      </c>
      <c r="L651">
        <v>447.607744443325</v>
      </c>
      <c r="M651">
        <v>9.11116886124927</v>
      </c>
      <c r="N651">
        <v>49.127360108715</v>
      </c>
      <c r="O651">
        <v>46.9342620944437</v>
      </c>
      <c r="P651">
        <v>-0.0485651877448597</v>
      </c>
      <c r="Q651">
        <v>0</v>
      </c>
      <c r="R651">
        <v>0.980568120287134</v>
      </c>
      <c r="S651" t="s">
        <v>2844</v>
      </c>
      <c r="T651" t="s">
        <v>4362</v>
      </c>
      <c r="U651" t="s">
        <v>4362</v>
      </c>
      <c r="V651" t="s">
        <v>4362</v>
      </c>
      <c r="W651" t="s">
        <v>5011</v>
      </c>
      <c r="X651">
        <v>17</v>
      </c>
      <c r="Y651" t="s">
        <v>7172</v>
      </c>
      <c r="Z651" t="s">
        <v>9339</v>
      </c>
      <c r="AA651">
        <v>0.4447385442189157</v>
      </c>
      <c r="AB651">
        <f>HYPERLINK("Melting_Curves/meltCurve_P0ABJ9_cydA.pdf", "Melting_Curves/meltCurve_P0ABJ9_cydA.pdf")</f>
        <v>0</v>
      </c>
    </row>
    <row r="652" spans="1:28">
      <c r="A652" t="s">
        <v>678</v>
      </c>
      <c r="B652">
        <v>0.999739202189716</v>
      </c>
      <c r="C652">
        <v>1.25567971148719</v>
      </c>
      <c r="D652">
        <v>0.7970301885551631</v>
      </c>
      <c r="E652">
        <v>1.02754063444915</v>
      </c>
      <c r="F652">
        <v>0.773383942026064</v>
      </c>
      <c r="G652">
        <v>0.625611023723413</v>
      </c>
      <c r="H652">
        <v>0.46667297372419</v>
      </c>
      <c r="I652">
        <v>0.319563866326569</v>
      </c>
      <c r="J652">
        <v>0.196757451840617</v>
      </c>
      <c r="K652">
        <v>0.110078635792399</v>
      </c>
      <c r="L652">
        <v>669.132907483124</v>
      </c>
      <c r="M652">
        <v>11.8448795594238</v>
      </c>
      <c r="N652">
        <v>56.4913222714602</v>
      </c>
      <c r="O652">
        <v>54.9533204375087</v>
      </c>
      <c r="P652">
        <v>-0.0538997573873793</v>
      </c>
      <c r="Q652">
        <v>0</v>
      </c>
      <c r="R652">
        <v>0.911907221056498</v>
      </c>
      <c r="S652" t="s">
        <v>2845</v>
      </c>
      <c r="T652" t="s">
        <v>4362</v>
      </c>
      <c r="U652" t="s">
        <v>4362</v>
      </c>
      <c r="V652" t="s">
        <v>4362</v>
      </c>
      <c r="W652" t="s">
        <v>5012</v>
      </c>
      <c r="X652">
        <v>5</v>
      </c>
      <c r="Y652" t="s">
        <v>7173</v>
      </c>
      <c r="Z652" t="s">
        <v>9340</v>
      </c>
      <c r="AA652">
        <v>0.6568266516996322</v>
      </c>
      <c r="AB652">
        <f>HYPERLINK("Melting_Curves/meltCurve_P0ABK2_cydB.pdf", "Melting_Curves/meltCurve_P0ABK2_cydB.pdf")</f>
        <v>0</v>
      </c>
    </row>
    <row r="653" spans="1:28">
      <c r="A653" t="s">
        <v>679</v>
      </c>
      <c r="B653">
        <v>0.999739202189716</v>
      </c>
      <c r="C653">
        <v>1.00131751794526</v>
      </c>
      <c r="D653">
        <v>0.979018430298108</v>
      </c>
      <c r="E653">
        <v>0.950370813068442</v>
      </c>
      <c r="F653">
        <v>0.928117429514312</v>
      </c>
      <c r="G653">
        <v>0.802718037918181</v>
      </c>
      <c r="H653">
        <v>0.720421655371469</v>
      </c>
      <c r="I653">
        <v>0.659693437932438</v>
      </c>
      <c r="J653">
        <v>0.647107160979949</v>
      </c>
      <c r="K653">
        <v>0.459873439287372</v>
      </c>
      <c r="L653">
        <v>435.482311250077</v>
      </c>
      <c r="M653">
        <v>6.48547666337143</v>
      </c>
      <c r="O653">
        <v>61.6189993231725</v>
      </c>
      <c r="P653">
        <v>-0.0263772420203303</v>
      </c>
      <c r="Q653">
        <v>0</v>
      </c>
      <c r="R653">
        <v>0.968807054889829</v>
      </c>
      <c r="S653" t="s">
        <v>2846</v>
      </c>
      <c r="T653" t="s">
        <v>4362</v>
      </c>
      <c r="U653" t="s">
        <v>4362</v>
      </c>
      <c r="V653" t="s">
        <v>4362</v>
      </c>
      <c r="W653" t="s">
        <v>5013</v>
      </c>
      <c r="X653">
        <v>16</v>
      </c>
      <c r="Y653" t="s">
        <v>7174</v>
      </c>
      <c r="Z653" t="s">
        <v>9341</v>
      </c>
      <c r="AA653">
        <v>0.8234336721615418</v>
      </c>
      <c r="AB653">
        <f>HYPERLINK("Melting_Curves/meltCurve_P0ABK5_cysK.pdf", "Melting_Curves/meltCurve_P0ABK5_cysK.pdf")</f>
        <v>0</v>
      </c>
    </row>
    <row r="654" spans="1:28">
      <c r="A654" t="s">
        <v>680</v>
      </c>
      <c r="B654">
        <v>0.999739202189716</v>
      </c>
      <c r="C654">
        <v>1.04768651781265</v>
      </c>
      <c r="D654">
        <v>0.914409716371586</v>
      </c>
      <c r="E654">
        <v>0.878296494334635</v>
      </c>
      <c r="F654">
        <v>0.788242358277619</v>
      </c>
      <c r="G654">
        <v>0.498190509004848</v>
      </c>
      <c r="H654">
        <v>0.332524206527186</v>
      </c>
      <c r="I654">
        <v>0.200212918918487</v>
      </c>
      <c r="J654">
        <v>0.202433845828981</v>
      </c>
      <c r="K654">
        <v>0.133346535170927</v>
      </c>
      <c r="L654">
        <v>794.317059882256</v>
      </c>
      <c r="M654">
        <v>14.9135552697467</v>
      </c>
      <c r="N654">
        <v>54.1048776575976</v>
      </c>
      <c r="O654">
        <v>52.3312923517549</v>
      </c>
      <c r="P654">
        <v>-0.063862616635582</v>
      </c>
      <c r="Q654">
        <v>0.103723326428634</v>
      </c>
      <c r="R654">
        <v>0.990450081813126</v>
      </c>
      <c r="S654" t="s">
        <v>2847</v>
      </c>
      <c r="T654" t="s">
        <v>4362</v>
      </c>
      <c r="U654" t="s">
        <v>4362</v>
      </c>
      <c r="V654" t="s">
        <v>4362</v>
      </c>
      <c r="W654" t="s">
        <v>5014</v>
      </c>
      <c r="X654">
        <v>6</v>
      </c>
      <c r="Y654" t="s">
        <v>7175</v>
      </c>
      <c r="Z654" t="s">
        <v>9342</v>
      </c>
      <c r="AA654">
        <v>0.6052733016218081</v>
      </c>
      <c r="AB654">
        <f>HYPERLINK("Melting_Curves/meltCurve_P0ABK9_nrfA.pdf", "Melting_Curves/meltCurve_P0ABK9_nrfA.pdf")</f>
        <v>0</v>
      </c>
    </row>
    <row r="655" spans="1:28">
      <c r="A655" t="s">
        <v>681</v>
      </c>
      <c r="B655">
        <v>0.999739202189716</v>
      </c>
      <c r="C655">
        <v>1.2034521188441</v>
      </c>
      <c r="D655">
        <v>0.734352704763669</v>
      </c>
      <c r="E655">
        <v>0.729917429448943</v>
      </c>
      <c r="F655">
        <v>0.842321546048525</v>
      </c>
      <c r="G655">
        <v>0.639074574142386</v>
      </c>
      <c r="H655">
        <v>0.602849116712268</v>
      </c>
      <c r="I655">
        <v>0.465936589431617</v>
      </c>
      <c r="J655">
        <v>0.485885362816611</v>
      </c>
      <c r="K655">
        <v>0.348276224394384</v>
      </c>
      <c r="L655">
        <v>354.070626433291</v>
      </c>
      <c r="M655">
        <v>6.10937586675047</v>
      </c>
      <c r="N655">
        <v>60.6437872010139</v>
      </c>
      <c r="O655">
        <v>52.6663182982824</v>
      </c>
      <c r="P655">
        <v>-0.0256375995446834</v>
      </c>
      <c r="Q655">
        <v>0.118632540629159</v>
      </c>
      <c r="R655">
        <v>0.798489582406251</v>
      </c>
      <c r="S655" t="s">
        <v>2848</v>
      </c>
      <c r="T655" t="s">
        <v>4362</v>
      </c>
      <c r="U655" t="s">
        <v>4362</v>
      </c>
      <c r="V655" t="s">
        <v>4362</v>
      </c>
      <c r="W655" t="s">
        <v>5015</v>
      </c>
      <c r="X655">
        <v>1</v>
      </c>
      <c r="Y655" t="s">
        <v>7176</v>
      </c>
      <c r="Z655" t="s">
        <v>9343</v>
      </c>
      <c r="AA655">
        <v>0.6992857496909652</v>
      </c>
      <c r="AB655">
        <f>HYPERLINK("Melting_Curves/meltCurve_P0ABL1_nrfB.pdf", "Melting_Curves/meltCurve_P0ABL1_nrfB.pdf")</f>
        <v>0</v>
      </c>
    </row>
    <row r="656" spans="1:28">
      <c r="A656" t="s">
        <v>682</v>
      </c>
      <c r="B656">
        <v>0.999739202189716</v>
      </c>
      <c r="C656">
        <v>1.49260536208433</v>
      </c>
      <c r="D656">
        <v>0.975392728094982</v>
      </c>
      <c r="E656">
        <v>1.34239314564329</v>
      </c>
      <c r="F656">
        <v>0.877585517797108</v>
      </c>
      <c r="G656">
        <v>0.858231680568424</v>
      </c>
      <c r="H656">
        <v>0.346508574179092</v>
      </c>
      <c r="I656">
        <v>0.247777178350902</v>
      </c>
      <c r="J656">
        <v>0.236954864985305</v>
      </c>
      <c r="K656">
        <v>0.188041832576203</v>
      </c>
      <c r="L656">
        <v>2497.49564943296</v>
      </c>
      <c r="M656">
        <v>45.0287964763602</v>
      </c>
      <c r="N656">
        <v>56.1732504400288</v>
      </c>
      <c r="O656">
        <v>55.3553547054343</v>
      </c>
      <c r="P656">
        <v>-0.159287768111649</v>
      </c>
      <c r="Q656">
        <v>0.216730679297301</v>
      </c>
      <c r="R656">
        <v>0.815543903147941</v>
      </c>
      <c r="S656" t="s">
        <v>2849</v>
      </c>
      <c r="T656" t="s">
        <v>4362</v>
      </c>
      <c r="U656" t="s">
        <v>4362</v>
      </c>
      <c r="V656" t="s">
        <v>4362</v>
      </c>
      <c r="W656" t="s">
        <v>5016</v>
      </c>
      <c r="X656">
        <v>1</v>
      </c>
      <c r="Y656" t="s">
        <v>7177</v>
      </c>
      <c r="Z656" t="s">
        <v>9344</v>
      </c>
      <c r="AA656">
        <v>0.7011621296615344</v>
      </c>
      <c r="AB656">
        <f>HYPERLINK("Melting_Curves/meltCurve_P0ABL3_napB.pdf", "Melting_Curves/meltCurve_P0ABL3_napB.pdf")</f>
        <v>0</v>
      </c>
    </row>
    <row r="657" spans="1:28">
      <c r="A657" t="s">
        <v>683</v>
      </c>
      <c r="B657">
        <v>0.999739202189716</v>
      </c>
      <c r="C657">
        <v>1.13576815411788</v>
      </c>
      <c r="D657">
        <v>0.80443265472579</v>
      </c>
      <c r="E657">
        <v>0.627993824036301</v>
      </c>
      <c r="F657">
        <v>0.627043876393828</v>
      </c>
      <c r="G657">
        <v>0.430218357083963</v>
      </c>
      <c r="H657">
        <v>0.406337932886778</v>
      </c>
      <c r="I657">
        <v>0.304348835060772</v>
      </c>
      <c r="J657">
        <v>0.325922684208974</v>
      </c>
      <c r="K657">
        <v>0.222027804870967</v>
      </c>
      <c r="L657">
        <v>559.505284275147</v>
      </c>
      <c r="M657">
        <v>11.4708376936699</v>
      </c>
      <c r="N657">
        <v>51.873756064088</v>
      </c>
      <c r="O657">
        <v>47.3645593059554</v>
      </c>
      <c r="P657">
        <v>-0.0455470076136253</v>
      </c>
      <c r="Q657">
        <v>0.247938506868659</v>
      </c>
      <c r="R657">
        <v>0.930236402155588</v>
      </c>
      <c r="S657" t="s">
        <v>2850</v>
      </c>
      <c r="T657" t="s">
        <v>4362</v>
      </c>
      <c r="U657" t="s">
        <v>4362</v>
      </c>
      <c r="V657" t="s">
        <v>4362</v>
      </c>
      <c r="W657" t="s">
        <v>5017</v>
      </c>
      <c r="X657">
        <v>1</v>
      </c>
      <c r="Y657" t="s">
        <v>7178</v>
      </c>
      <c r="Z657" t="s">
        <v>9345</v>
      </c>
      <c r="AA657">
        <v>0.5671803513936722</v>
      </c>
      <c r="AB657">
        <f>HYPERLINK("Melting_Curves/meltCurve_P0ABL5_napC.pdf", "Melting_Curves/meltCurve_P0ABL5_napC.pdf")</f>
        <v>0</v>
      </c>
    </row>
    <row r="658" spans="1:28">
      <c r="A658" t="s">
        <v>684</v>
      </c>
      <c r="B658">
        <v>0.999739202189716</v>
      </c>
      <c r="C658">
        <v>0.929607168070001</v>
      </c>
      <c r="D658">
        <v>1.22727007730673</v>
      </c>
      <c r="E658">
        <v>0.994561893446835</v>
      </c>
      <c r="F658">
        <v>1.17744498071873</v>
      </c>
      <c r="G658">
        <v>0.791378507570194</v>
      </c>
      <c r="H658">
        <v>0.712307692256012</v>
      </c>
      <c r="I658">
        <v>0.516271637243502</v>
      </c>
      <c r="J658">
        <v>0.6270992405438089</v>
      </c>
      <c r="K658">
        <v>0.30424723395695</v>
      </c>
      <c r="L658">
        <v>1116.2375658357</v>
      </c>
      <c r="M658">
        <v>19.2740853035171</v>
      </c>
      <c r="N658">
        <v>62.5249532218776</v>
      </c>
      <c r="O658">
        <v>57.3012661886979</v>
      </c>
      <c r="P658">
        <v>-0.0521961012844859</v>
      </c>
      <c r="Q658">
        <v>0.379313516452362</v>
      </c>
      <c r="R658">
        <v>0.805727437827629</v>
      </c>
      <c r="S658" t="s">
        <v>2851</v>
      </c>
      <c r="T658" t="s">
        <v>4362</v>
      </c>
      <c r="U658" t="s">
        <v>4362</v>
      </c>
      <c r="V658" t="s">
        <v>4362</v>
      </c>
      <c r="W658" t="s">
        <v>5018</v>
      </c>
      <c r="X658">
        <v>4</v>
      </c>
      <c r="Y658" t="s">
        <v>7179</v>
      </c>
      <c r="Z658" t="s">
        <v>9346</v>
      </c>
      <c r="AA658">
        <v>0.8162804866524905</v>
      </c>
      <c r="AB658">
        <f>HYPERLINK("Melting_Curves/meltCurve_P0ABN1_dgkA.pdf", "Melting_Curves/meltCurve_P0ABN1_dgkA.pdf")</f>
        <v>0</v>
      </c>
    </row>
    <row r="659" spans="1:28">
      <c r="A659" t="s">
        <v>685</v>
      </c>
      <c r="B659">
        <v>0.999739202189716</v>
      </c>
      <c r="C659">
        <v>1.26060167458533</v>
      </c>
      <c r="D659">
        <v>0.5173671602094539</v>
      </c>
      <c r="E659">
        <v>0.364151002480269</v>
      </c>
      <c r="F659">
        <v>0.171637036702444</v>
      </c>
      <c r="G659">
        <v>0.1020949759855</v>
      </c>
      <c r="H659">
        <v>0.08751363581781881</v>
      </c>
      <c r="I659">
        <v>0.0671445376247181</v>
      </c>
      <c r="J659">
        <v>0.07075580242886879</v>
      </c>
      <c r="K659">
        <v>0.06831449814617931</v>
      </c>
      <c r="L659">
        <v>1203.2541364978</v>
      </c>
      <c r="M659">
        <v>27.4291447863094</v>
      </c>
      <c r="N659">
        <v>44.2210926043685</v>
      </c>
      <c r="O659">
        <v>43.63654113037</v>
      </c>
      <c r="P659">
        <v>-0.141681936032404</v>
      </c>
      <c r="Q659">
        <v>0.0984112446316333</v>
      </c>
      <c r="R659">
        <v>0.915424954962191</v>
      </c>
      <c r="S659" t="s">
        <v>2852</v>
      </c>
      <c r="T659" t="s">
        <v>4362</v>
      </c>
      <c r="U659" t="s">
        <v>4362</v>
      </c>
      <c r="V659" t="s">
        <v>4362</v>
      </c>
      <c r="W659" t="s">
        <v>5019</v>
      </c>
      <c r="X659">
        <v>3</v>
      </c>
      <c r="Y659" t="s">
        <v>7180</v>
      </c>
      <c r="Z659" t="s">
        <v>9347</v>
      </c>
      <c r="AA659">
        <v>0.3108701092540915</v>
      </c>
      <c r="AB659">
        <f>HYPERLINK("Melting_Curves/meltCurve_P0ABN5_dcuA.pdf", "Melting_Curves/meltCurve_P0ABN5_dcuA.pdf")</f>
        <v>0</v>
      </c>
    </row>
    <row r="660" spans="1:28">
      <c r="A660" t="s">
        <v>686</v>
      </c>
      <c r="B660">
        <v>0.999739202189716</v>
      </c>
      <c r="C660">
        <v>1.32289117661153</v>
      </c>
      <c r="D660">
        <v>0.67893209957512</v>
      </c>
      <c r="E660">
        <v>0.53897968740104</v>
      </c>
      <c r="F660">
        <v>0.22797925929525</v>
      </c>
      <c r="G660">
        <v>0.201331275823194</v>
      </c>
      <c r="H660">
        <v>0.183829045620466</v>
      </c>
      <c r="I660">
        <v>0.100702011603269</v>
      </c>
      <c r="J660">
        <v>0.0580293952036316</v>
      </c>
      <c r="K660">
        <v>0.0465877165920292</v>
      </c>
      <c r="L660">
        <v>943.028962973563</v>
      </c>
      <c r="M660">
        <v>20.4414149774836</v>
      </c>
      <c r="N660">
        <v>46.6471908453727</v>
      </c>
      <c r="O660">
        <v>45.6985474372982</v>
      </c>
      <c r="P660">
        <v>-0.100555247808396</v>
      </c>
      <c r="Q660">
        <v>0.100827093501613</v>
      </c>
      <c r="R660">
        <v>0.904299619078466</v>
      </c>
      <c r="S660" t="s">
        <v>2853</v>
      </c>
      <c r="T660" t="s">
        <v>4362</v>
      </c>
      <c r="U660" t="s">
        <v>4362</v>
      </c>
      <c r="V660" t="s">
        <v>4362</v>
      </c>
      <c r="W660" t="s">
        <v>5020</v>
      </c>
      <c r="X660">
        <v>2</v>
      </c>
      <c r="Y660" t="s">
        <v>7181</v>
      </c>
      <c r="Z660" t="s">
        <v>9348</v>
      </c>
      <c r="AA660">
        <v>0.3858199120081665</v>
      </c>
      <c r="AB660">
        <f>HYPERLINK("Melting_Curves/meltCurve_P0ABP3_dcuC.pdf", "Melting_Curves/meltCurve_P0ABP3_dcuC.pdf")</f>
        <v>0</v>
      </c>
    </row>
    <row r="661" spans="1:28">
      <c r="A661" t="s">
        <v>687</v>
      </c>
      <c r="B661">
        <v>0.999739202189716</v>
      </c>
      <c r="C661">
        <v>0.869710939845264</v>
      </c>
      <c r="D661">
        <v>0.611715565055439</v>
      </c>
      <c r="E661">
        <v>0.381129726979014</v>
      </c>
      <c r="F661">
        <v>0.210430082994489</v>
      </c>
      <c r="G661">
        <v>0.127700277452163</v>
      </c>
      <c r="H661">
        <v>0.0894471938444035</v>
      </c>
      <c r="I661">
        <v>0.06479828305961199</v>
      </c>
      <c r="J661">
        <v>0.0511816114858502</v>
      </c>
      <c r="K661">
        <v>0.0453777972736153</v>
      </c>
      <c r="L661">
        <v>659.643033765468</v>
      </c>
      <c r="M661">
        <v>14.8203480832887</v>
      </c>
      <c r="N661">
        <v>44.8277183884695</v>
      </c>
      <c r="O661">
        <v>43.7224979684302</v>
      </c>
      <c r="P661">
        <v>-0.0805156438220879</v>
      </c>
      <c r="Q661">
        <v>0.0499627497411053</v>
      </c>
      <c r="R661">
        <v>0.996639628940192</v>
      </c>
      <c r="S661" t="s">
        <v>2854</v>
      </c>
      <c r="T661" t="s">
        <v>4362</v>
      </c>
      <c r="U661" t="s">
        <v>4362</v>
      </c>
      <c r="V661" t="s">
        <v>4362</v>
      </c>
      <c r="W661" t="s">
        <v>5021</v>
      </c>
      <c r="X661">
        <v>1</v>
      </c>
      <c r="Y661" t="s">
        <v>7182</v>
      </c>
      <c r="Z661" t="s">
        <v>9349</v>
      </c>
      <c r="AA661">
        <v>0.3113759009079225</v>
      </c>
      <c r="AB661">
        <f>HYPERLINK("Melting_Curves/meltCurve_P0ABP6_dedA.pdf", "Melting_Curves/meltCurve_P0ABP6_dedA.pdf")</f>
        <v>0</v>
      </c>
    </row>
    <row r="662" spans="1:28">
      <c r="A662" t="s">
        <v>688</v>
      </c>
      <c r="B662">
        <v>0.999739202189716</v>
      </c>
      <c r="C662">
        <v>0.764056024475241</v>
      </c>
      <c r="D662">
        <v>1.16469910628557</v>
      </c>
      <c r="E662">
        <v>0.8693475225013459</v>
      </c>
      <c r="F662">
        <v>0.823379297912868</v>
      </c>
      <c r="G662">
        <v>0.806568888444124</v>
      </c>
      <c r="H662">
        <v>0.511538102503044</v>
      </c>
      <c r="I662">
        <v>0.524198042210654</v>
      </c>
      <c r="J662">
        <v>0.368978723018559</v>
      </c>
      <c r="K662">
        <v>0.0976234349715222</v>
      </c>
      <c r="L662">
        <v>632.1151834027399</v>
      </c>
      <c r="M662">
        <v>10.6645883116986</v>
      </c>
      <c r="N662">
        <v>59.2723474368557</v>
      </c>
      <c r="O662">
        <v>57.3022370729345</v>
      </c>
      <c r="P662">
        <v>-0.046545484778318</v>
      </c>
      <c r="Q662">
        <v>0</v>
      </c>
      <c r="R662">
        <v>0.85191573907327</v>
      </c>
      <c r="S662" t="s">
        <v>2855</v>
      </c>
      <c r="T662" t="s">
        <v>4362</v>
      </c>
      <c r="U662" t="s">
        <v>4362</v>
      </c>
      <c r="V662" t="s">
        <v>4362</v>
      </c>
      <c r="W662" t="s">
        <v>5022</v>
      </c>
      <c r="X662">
        <v>11</v>
      </c>
      <c r="Y662" t="s">
        <v>7183</v>
      </c>
      <c r="Z662" t="s">
        <v>9350</v>
      </c>
      <c r="AA662">
        <v>0.7262636831357044</v>
      </c>
      <c r="AB662">
        <f>HYPERLINK("Melting_Curves/meltCurve_P0ABP8_deoD.pdf", "Melting_Curves/meltCurve_P0ABP8_deoD.pdf")</f>
        <v>0</v>
      </c>
    </row>
    <row r="663" spans="1:28">
      <c r="A663" t="s">
        <v>689</v>
      </c>
      <c r="B663">
        <v>0.999739202189716</v>
      </c>
      <c r="C663">
        <v>1.7472193878843</v>
      </c>
      <c r="D663">
        <v>1.66290951300481</v>
      </c>
      <c r="E663">
        <v>1.63899118578183</v>
      </c>
      <c r="F663">
        <v>0.352937272086938</v>
      </c>
      <c r="G663">
        <v>0.140235650347484</v>
      </c>
      <c r="H663">
        <v>0.105933860395275</v>
      </c>
      <c r="I663">
        <v>0.100298472669227</v>
      </c>
      <c r="J663">
        <v>0.09654805122693649</v>
      </c>
      <c r="K663">
        <v>0.0845537060440404</v>
      </c>
      <c r="L663">
        <v>12501.7406201976</v>
      </c>
      <c r="M663">
        <v>250</v>
      </c>
      <c r="N663">
        <v>50.0544186481338</v>
      </c>
      <c r="O663">
        <v>50.0037622726494</v>
      </c>
      <c r="P663">
        <v>-1.11802345082897</v>
      </c>
      <c r="Q663">
        <v>0.105513937754775</v>
      </c>
      <c r="R663">
        <v>0.711753732399578</v>
      </c>
      <c r="S663" t="s">
        <v>2856</v>
      </c>
      <c r="T663" t="s">
        <v>4362</v>
      </c>
      <c r="U663" t="s">
        <v>4362</v>
      </c>
      <c r="V663" t="s">
        <v>4362</v>
      </c>
      <c r="W663" t="s">
        <v>5023</v>
      </c>
      <c r="X663">
        <v>6</v>
      </c>
      <c r="Y663" t="s">
        <v>7184</v>
      </c>
      <c r="Z663" t="s">
        <v>9351</v>
      </c>
      <c r="AA663">
        <v>0.4934106608475572</v>
      </c>
      <c r="AB663">
        <f>HYPERLINK("Melting_Curves/meltCurve_P0ABQ0_coaBC.pdf", "Melting_Curves/meltCurve_P0ABQ0_coaBC.pdf")</f>
        <v>0</v>
      </c>
    </row>
    <row r="664" spans="1:28">
      <c r="A664" t="s">
        <v>690</v>
      </c>
      <c r="B664">
        <v>0.999739202189716</v>
      </c>
      <c r="C664">
        <v>0.883032484431066</v>
      </c>
      <c r="D664">
        <v>0.693854871143243</v>
      </c>
      <c r="E664">
        <v>0.8747662450647939</v>
      </c>
      <c r="F664">
        <v>0.8371057953640429</v>
      </c>
      <c r="G664">
        <v>0.504914163166347</v>
      </c>
      <c r="H664">
        <v>0.247947955193674</v>
      </c>
      <c r="I664">
        <v>0.137885658397292</v>
      </c>
      <c r="J664">
        <v>0.115671205845127</v>
      </c>
      <c r="K664">
        <v>0.092132591555785</v>
      </c>
      <c r="L664">
        <v>691.291952310116</v>
      </c>
      <c r="M664">
        <v>12.8642246230742</v>
      </c>
      <c r="N664">
        <v>53.7375449058504</v>
      </c>
      <c r="O664">
        <v>52.4886798356678</v>
      </c>
      <c r="P664">
        <v>-0.0612827000090974</v>
      </c>
      <c r="Q664">
        <v>0</v>
      </c>
      <c r="R664">
        <v>0.912302641016045</v>
      </c>
      <c r="S664" t="s">
        <v>2857</v>
      </c>
      <c r="T664" t="s">
        <v>4362</v>
      </c>
      <c r="U664" t="s">
        <v>4362</v>
      </c>
      <c r="V664" t="s">
        <v>4362</v>
      </c>
      <c r="W664" t="s">
        <v>5024</v>
      </c>
      <c r="X664">
        <v>11</v>
      </c>
      <c r="Y664" t="s">
        <v>7185</v>
      </c>
      <c r="Z664" t="s">
        <v>9352</v>
      </c>
      <c r="AA664">
        <v>0.576252462877526</v>
      </c>
      <c r="AB664">
        <f>HYPERLINK("Melting_Curves/meltCurve_P0ABQ2_garR.pdf", "Melting_Curves/meltCurve_P0ABQ2_garR.pdf")</f>
        <v>0</v>
      </c>
    </row>
    <row r="665" spans="1:28">
      <c r="A665" t="s">
        <v>691</v>
      </c>
      <c r="B665">
        <v>0.999739202189716</v>
      </c>
      <c r="C665">
        <v>0.983955623726726</v>
      </c>
      <c r="D665">
        <v>0.881926210195782</v>
      </c>
      <c r="E665">
        <v>0.864220066081241</v>
      </c>
      <c r="F665">
        <v>0.40516330660117</v>
      </c>
      <c r="G665">
        <v>0.21289296846312</v>
      </c>
      <c r="H665">
        <v>0.127136987721629</v>
      </c>
      <c r="I665">
        <v>0.122133498685499</v>
      </c>
      <c r="J665">
        <v>0.1072794889758</v>
      </c>
      <c r="K665">
        <v>0.120334142775518</v>
      </c>
      <c r="L665">
        <v>1305.36471906278</v>
      </c>
      <c r="M665">
        <v>26.6045757277951</v>
      </c>
      <c r="N665">
        <v>49.5524741266531</v>
      </c>
      <c r="O665">
        <v>48.7907266030843</v>
      </c>
      <c r="P665">
        <v>-0.120637385117235</v>
      </c>
      <c r="Q665">
        <v>0.115050975197265</v>
      </c>
      <c r="R665">
        <v>0.991389336330605</v>
      </c>
      <c r="S665" t="s">
        <v>2858</v>
      </c>
      <c r="T665" t="s">
        <v>4362</v>
      </c>
      <c r="U665" t="s">
        <v>4362</v>
      </c>
      <c r="V665" t="s">
        <v>4362</v>
      </c>
      <c r="W665" t="s">
        <v>5025</v>
      </c>
      <c r="X665">
        <v>4</v>
      </c>
      <c r="Y665" t="s">
        <v>7186</v>
      </c>
      <c r="Z665" t="s">
        <v>9353</v>
      </c>
      <c r="AA665">
        <v>0.477738372991165</v>
      </c>
      <c r="AB665">
        <f>HYPERLINK("Melting_Curves/meltCurve_P0ABQ4_folA.pdf", "Melting_Curves/meltCurve_P0ABQ4_folA.pdf")</f>
        <v>0</v>
      </c>
    </row>
    <row r="666" spans="1:28">
      <c r="A666" t="s">
        <v>692</v>
      </c>
      <c r="B666">
        <v>0.999739202189716</v>
      </c>
      <c r="C666">
        <v>0.994734129720366</v>
      </c>
      <c r="D666">
        <v>0.672536783453444</v>
      </c>
      <c r="E666">
        <v>0.897104434386788</v>
      </c>
      <c r="F666">
        <v>0.6685472574440799</v>
      </c>
      <c r="G666">
        <v>0.523390372130431</v>
      </c>
      <c r="H666">
        <v>0.416825337759084</v>
      </c>
      <c r="I666">
        <v>0.29368307023062</v>
      </c>
      <c r="J666">
        <v>0.228319381109091</v>
      </c>
      <c r="K666">
        <v>0.312808663051571</v>
      </c>
      <c r="L666">
        <v>413.808300397121</v>
      </c>
      <c r="M666">
        <v>7.76897879319703</v>
      </c>
      <c r="N666">
        <v>54.6108446312313</v>
      </c>
      <c r="O666">
        <v>50.0804538792548</v>
      </c>
      <c r="P666">
        <v>-0.0354464093942244</v>
      </c>
      <c r="Q666">
        <v>0.087172065841681</v>
      </c>
      <c r="R666">
        <v>0.907720110883334</v>
      </c>
      <c r="S666" t="s">
        <v>2859</v>
      </c>
      <c r="T666" t="s">
        <v>4362</v>
      </c>
      <c r="U666" t="s">
        <v>4362</v>
      </c>
      <c r="V666" t="s">
        <v>4362</v>
      </c>
      <c r="W666" t="s">
        <v>5026</v>
      </c>
      <c r="X666">
        <v>1</v>
      </c>
      <c r="Y666" t="s">
        <v>7187</v>
      </c>
      <c r="Z666" t="s">
        <v>9354</v>
      </c>
      <c r="AA666">
        <v>0.5999702495855882</v>
      </c>
      <c r="AB666">
        <f>HYPERLINK("Melting_Curves/meltCurve_P0ABR1_dinI.pdf", "Melting_Curves/meltCurve_P0ABR1_dinI.pdf")</f>
        <v>0</v>
      </c>
    </row>
    <row r="667" spans="1:28">
      <c r="A667" t="s">
        <v>693</v>
      </c>
      <c r="B667">
        <v>0.999739202189716</v>
      </c>
      <c r="C667">
        <v>0.992541523236438</v>
      </c>
      <c r="D667">
        <v>0.85847663578584</v>
      </c>
      <c r="E667">
        <v>1.07050708384936</v>
      </c>
      <c r="F667">
        <v>0.849382836072854</v>
      </c>
      <c r="G667">
        <v>0.760629620669559</v>
      </c>
      <c r="H667">
        <v>0.631366035040461</v>
      </c>
      <c r="I667">
        <v>0.625806520408285</v>
      </c>
      <c r="J667">
        <v>0.467737347576587</v>
      </c>
      <c r="K667">
        <v>0.520606464598846</v>
      </c>
      <c r="L667">
        <v>786.275914855288</v>
      </c>
      <c r="M667">
        <v>14.3962778940507</v>
      </c>
      <c r="O667">
        <v>53.5951839602411</v>
      </c>
      <c r="P667">
        <v>-0.0356248565638143</v>
      </c>
      <c r="Q667">
        <v>0.469558744380217</v>
      </c>
      <c r="R667">
        <v>0.904353224281421</v>
      </c>
      <c r="S667" t="s">
        <v>2860</v>
      </c>
      <c r="T667" t="s">
        <v>4362</v>
      </c>
      <c r="U667" t="s">
        <v>4362</v>
      </c>
      <c r="V667" t="s">
        <v>4362</v>
      </c>
      <c r="W667" t="s">
        <v>5027</v>
      </c>
      <c r="X667">
        <v>5</v>
      </c>
      <c r="Y667" t="s">
        <v>7188</v>
      </c>
      <c r="Z667" t="s">
        <v>9355</v>
      </c>
      <c r="AA667">
        <v>0.7891380688431826</v>
      </c>
      <c r="AB667">
        <f>HYPERLINK("Melting_Curves/meltCurve_P0ABS1_dksA.pdf", "Melting_Curves/meltCurve_P0ABS1_dksA.pdf")</f>
        <v>0</v>
      </c>
    </row>
    <row r="668" spans="1:28">
      <c r="A668" t="s">
        <v>694</v>
      </c>
      <c r="B668">
        <v>0.999739202189716</v>
      </c>
      <c r="C668">
        <v>0.8805111552736949</v>
      </c>
      <c r="D668">
        <v>0.560610323452299</v>
      </c>
      <c r="E668">
        <v>0.184214782530534</v>
      </c>
      <c r="F668">
        <v>0.0776686102674998</v>
      </c>
      <c r="G668">
        <v>0.0570064636071087</v>
      </c>
      <c r="H668">
        <v>0.045945836811835</v>
      </c>
      <c r="I668">
        <v>0.0399014305547071</v>
      </c>
      <c r="J668">
        <v>0.036405872748512</v>
      </c>
      <c r="K668">
        <v>0.031322005465735</v>
      </c>
      <c r="L668">
        <v>1030.44835248651</v>
      </c>
      <c r="M668">
        <v>23.8069934327006</v>
      </c>
      <c r="N668">
        <v>43.4336427634222</v>
      </c>
      <c r="O668">
        <v>42.9815033519997</v>
      </c>
      <c r="P668">
        <v>-0.133002448694845</v>
      </c>
      <c r="Q668">
        <v>0.0395172159171198</v>
      </c>
      <c r="R668">
        <v>0.999595406445406</v>
      </c>
      <c r="S668" t="s">
        <v>2861</v>
      </c>
      <c r="T668" t="s">
        <v>4362</v>
      </c>
      <c r="U668" t="s">
        <v>4362</v>
      </c>
      <c r="V668" t="s">
        <v>4362</v>
      </c>
      <c r="W668" t="s">
        <v>5028</v>
      </c>
      <c r="X668">
        <v>2</v>
      </c>
      <c r="Y668" t="s">
        <v>7189</v>
      </c>
      <c r="Z668" t="s">
        <v>9356</v>
      </c>
      <c r="AA668">
        <v>0.2495960354258095</v>
      </c>
      <c r="AB668">
        <f>HYPERLINK("Melting_Curves/meltCurve_P0ABS5_dnaG.pdf", "Melting_Curves/meltCurve_P0ABS5_dnaG.pdf")</f>
        <v>0</v>
      </c>
    </row>
    <row r="669" spans="1:28">
      <c r="A669" t="s">
        <v>695</v>
      </c>
      <c r="B669">
        <v>0.999739202189716</v>
      </c>
      <c r="C669">
        <v>1.02839354332025</v>
      </c>
      <c r="D669">
        <v>0.829234465786693</v>
      </c>
      <c r="E669">
        <v>0.968296509427115</v>
      </c>
      <c r="F669">
        <v>0.943664863563799</v>
      </c>
      <c r="G669">
        <v>0.611113094981128</v>
      </c>
      <c r="H669">
        <v>0.535003500811813</v>
      </c>
      <c r="I669">
        <v>0.364173950737552</v>
      </c>
      <c r="J669">
        <v>0.314767666583753</v>
      </c>
      <c r="K669">
        <v>0.28882211932292</v>
      </c>
      <c r="L669">
        <v>931.633037956292</v>
      </c>
      <c r="M669">
        <v>17.0229955975665</v>
      </c>
      <c r="N669">
        <v>57.2060444010959</v>
      </c>
      <c r="O669">
        <v>53.9894107946858</v>
      </c>
      <c r="P669">
        <v>-0.0582692871621356</v>
      </c>
      <c r="Q669">
        <v>0.260827840835168</v>
      </c>
      <c r="R669">
        <v>0.94985382904347</v>
      </c>
      <c r="S669" t="s">
        <v>2862</v>
      </c>
      <c r="T669" t="s">
        <v>4362</v>
      </c>
      <c r="U669" t="s">
        <v>4362</v>
      </c>
      <c r="V669" t="s">
        <v>4362</v>
      </c>
      <c r="W669" t="s">
        <v>5029</v>
      </c>
      <c r="X669">
        <v>2</v>
      </c>
      <c r="Y669" t="s">
        <v>7190</v>
      </c>
      <c r="Z669" t="s">
        <v>9357</v>
      </c>
      <c r="AA669">
        <v>0.7076484505125265</v>
      </c>
      <c r="AB669">
        <f>HYPERLINK("Melting_Curves/meltCurve_P0ABS8_holE.pdf", "Melting_Curves/meltCurve_P0ABS8_holE.pdf")</f>
        <v>0</v>
      </c>
    </row>
    <row r="670" spans="1:28">
      <c r="A670" t="s">
        <v>696</v>
      </c>
      <c r="B670">
        <v>0.999739202189716</v>
      </c>
      <c r="C670">
        <v>0.829262901339033</v>
      </c>
      <c r="D670">
        <v>0.822948753175719</v>
      </c>
      <c r="E670">
        <v>1.15327986184493</v>
      </c>
      <c r="F670">
        <v>1.82197577902176</v>
      </c>
      <c r="G670">
        <v>1.79484942586297</v>
      </c>
      <c r="H670">
        <v>2.63999136580168</v>
      </c>
      <c r="I670">
        <v>0.686719651832859</v>
      </c>
      <c r="J670">
        <v>0.524555705283328</v>
      </c>
      <c r="K670">
        <v>0.431650234919077</v>
      </c>
      <c r="L670">
        <v>15000</v>
      </c>
      <c r="M670">
        <v>246.30820670578</v>
      </c>
      <c r="N670">
        <v>61.6826942773051</v>
      </c>
      <c r="O670">
        <v>60.8953178303745</v>
      </c>
      <c r="P670">
        <v>-0.5277418739374961</v>
      </c>
      <c r="Q670">
        <v>0.478101067160354</v>
      </c>
      <c r="R670">
        <v>0.0793696651941833</v>
      </c>
      <c r="S670" t="s">
        <v>2863</v>
      </c>
      <c r="T670" t="s">
        <v>4362</v>
      </c>
      <c r="U670" t="s">
        <v>4362</v>
      </c>
      <c r="V670" t="s">
        <v>4362</v>
      </c>
      <c r="W670" t="s">
        <v>5030</v>
      </c>
      <c r="X670">
        <v>11</v>
      </c>
      <c r="Y670" t="s">
        <v>7191</v>
      </c>
      <c r="Z670" t="s">
        <v>9358</v>
      </c>
      <c r="AA670">
        <v>0.8939260224287403</v>
      </c>
      <c r="AB670">
        <f>HYPERLINK("Melting_Curves/meltCurve_P0ABT2_dps.pdf", "Melting_Curves/meltCurve_P0ABT2_dps.pdf")</f>
        <v>0</v>
      </c>
    </row>
    <row r="671" spans="1:28">
      <c r="A671" t="s">
        <v>697</v>
      </c>
      <c r="B671">
        <v>0.999739202189716</v>
      </c>
      <c r="C671">
        <v>1.03883278129671</v>
      </c>
      <c r="D671">
        <v>1.25499318358296</v>
      </c>
      <c r="E671">
        <v>0.853947281194009</v>
      </c>
      <c r="F671">
        <v>0.455188654587135</v>
      </c>
      <c r="G671">
        <v>0.192316164926191</v>
      </c>
      <c r="H671">
        <v>0.134906369227159</v>
      </c>
      <c r="I671">
        <v>0.106474536051079</v>
      </c>
      <c r="J671">
        <v>0.09948690317576039</v>
      </c>
      <c r="K671">
        <v>0.09184952627575731</v>
      </c>
      <c r="L671">
        <v>1551.75828881631</v>
      </c>
      <c r="M671">
        <v>31.3621863173158</v>
      </c>
      <c r="N671">
        <v>49.8657195723228</v>
      </c>
      <c r="O671">
        <v>49.2787751350539</v>
      </c>
      <c r="P671">
        <v>-0.141916955054241</v>
      </c>
      <c r="Q671">
        <v>0.108039799376381</v>
      </c>
      <c r="R671">
        <v>0.96257244673232</v>
      </c>
      <c r="S671" t="s">
        <v>2864</v>
      </c>
      <c r="T671" t="s">
        <v>4362</v>
      </c>
      <c r="U671" t="s">
        <v>4362</v>
      </c>
      <c r="V671" t="s">
        <v>4362</v>
      </c>
      <c r="W671" t="s">
        <v>5031</v>
      </c>
      <c r="X671">
        <v>6</v>
      </c>
      <c r="Y671" t="s">
        <v>7192</v>
      </c>
      <c r="Z671" t="s">
        <v>9359</v>
      </c>
      <c r="AA671">
        <v>0.4840214099243332</v>
      </c>
      <c r="AB671">
        <f>HYPERLINK("Melting_Curves/meltCurve_P0ABU0_menB.pdf", "Melting_Curves/meltCurve_P0ABU0_menB.pdf")</f>
        <v>0</v>
      </c>
    </row>
    <row r="672" spans="1:28">
      <c r="A672" t="s">
        <v>698</v>
      </c>
      <c r="B672">
        <v>0.999739202189716</v>
      </c>
      <c r="C672">
        <v>0.742215036309107</v>
      </c>
      <c r="D672">
        <v>0.437194858312285</v>
      </c>
      <c r="E672">
        <v>0.185439141624131</v>
      </c>
      <c r="F672">
        <v>0.137825352638923</v>
      </c>
      <c r="G672">
        <v>0.0742462792692483</v>
      </c>
      <c r="H672">
        <v>0.0603930498416909</v>
      </c>
      <c r="I672">
        <v>0.0506174922631608</v>
      </c>
      <c r="J672">
        <v>0.0460778495711938</v>
      </c>
      <c r="K672">
        <v>0.0412689614168331</v>
      </c>
      <c r="L672">
        <v>817.479568239458</v>
      </c>
      <c r="M672">
        <v>19.3864881133198</v>
      </c>
      <c r="N672">
        <v>42.4308201998793</v>
      </c>
      <c r="O672">
        <v>41.7265067266297</v>
      </c>
      <c r="P672">
        <v>-0.109572456078326</v>
      </c>
      <c r="Q672">
        <v>0.0566816507795792</v>
      </c>
      <c r="R672">
        <v>0.994136421491451</v>
      </c>
      <c r="S672" t="s">
        <v>2865</v>
      </c>
      <c r="T672" t="s">
        <v>4362</v>
      </c>
      <c r="U672" t="s">
        <v>4362</v>
      </c>
      <c r="V672" t="s">
        <v>4362</v>
      </c>
      <c r="W672" t="s">
        <v>5032</v>
      </c>
      <c r="X672">
        <v>12</v>
      </c>
      <c r="Y672" t="s">
        <v>7193</v>
      </c>
      <c r="Z672" t="s">
        <v>9360</v>
      </c>
      <c r="AA672">
        <v>0.2342068627517367</v>
      </c>
      <c r="AB672">
        <f>HYPERLINK("Melting_Curves/meltCurve_P0ABU2_ychF.pdf", "Melting_Curves/meltCurve_P0ABU2_ychF.pdf")</f>
        <v>0</v>
      </c>
    </row>
    <row r="673" spans="1:28">
      <c r="A673" t="s">
        <v>699</v>
      </c>
      <c r="B673">
        <v>0.999739202189716</v>
      </c>
      <c r="C673">
        <v>0.960970032297735</v>
      </c>
      <c r="D673">
        <v>0.9155732369673349</v>
      </c>
      <c r="E673">
        <v>0.894654318750135</v>
      </c>
      <c r="F673">
        <v>0.824760176685253</v>
      </c>
      <c r="G673">
        <v>0.684406840516692</v>
      </c>
      <c r="H673">
        <v>0.695670432227155</v>
      </c>
      <c r="I673">
        <v>0.628112977100584</v>
      </c>
      <c r="J673">
        <v>0.5595334771930029</v>
      </c>
      <c r="K673">
        <v>0.375049902170933</v>
      </c>
      <c r="L673">
        <v>344.345620571368</v>
      </c>
      <c r="M673">
        <v>5.32449751839061</v>
      </c>
      <c r="N673">
        <v>64.6719468609558</v>
      </c>
      <c r="O673">
        <v>57.2412576684833</v>
      </c>
      <c r="P673">
        <v>-0.0233693386123501</v>
      </c>
      <c r="Q673">
        <v>0</v>
      </c>
      <c r="R673">
        <v>0.9540440093054769</v>
      </c>
      <c r="S673" t="s">
        <v>2866</v>
      </c>
      <c r="T673" t="s">
        <v>4362</v>
      </c>
      <c r="U673" t="s">
        <v>4362</v>
      </c>
      <c r="V673" t="s">
        <v>4362</v>
      </c>
      <c r="W673" t="s">
        <v>5033</v>
      </c>
      <c r="X673">
        <v>6</v>
      </c>
      <c r="Y673" t="s">
        <v>7194</v>
      </c>
      <c r="Z673" t="s">
        <v>9361</v>
      </c>
      <c r="AA673">
        <v>0.7609692507739876</v>
      </c>
      <c r="AB673">
        <f>HYPERLINK("Melting_Curves/meltCurve_P0ABU5_elbB.pdf", "Melting_Curves/meltCurve_P0ABU5_elbB.pdf")</f>
        <v>0</v>
      </c>
    </row>
    <row r="674" spans="1:28">
      <c r="A674" t="s">
        <v>700</v>
      </c>
      <c r="B674">
        <v>0.999739202189716</v>
      </c>
      <c r="C674">
        <v>0.8228688966330761</v>
      </c>
      <c r="D674">
        <v>1.0742462134171</v>
      </c>
      <c r="E674">
        <v>0.872277942401572</v>
      </c>
      <c r="F674">
        <v>0.956043668223303</v>
      </c>
      <c r="G674">
        <v>0.75784948944621</v>
      </c>
      <c r="H674">
        <v>0.795680033599828</v>
      </c>
      <c r="I674">
        <v>0.73767775974456</v>
      </c>
      <c r="J674">
        <v>0.756851751125613</v>
      </c>
      <c r="K674">
        <v>0.518630979290658</v>
      </c>
      <c r="L674">
        <v>327.551775365877</v>
      </c>
      <c r="M674">
        <v>4.44295894657479</v>
      </c>
      <c r="O674">
        <v>62.4385407060396</v>
      </c>
      <c r="P674">
        <v>-0.0179516521440065</v>
      </c>
      <c r="Q674">
        <v>0</v>
      </c>
      <c r="R674">
        <v>0.6885327163977391</v>
      </c>
      <c r="S674" t="s">
        <v>2867</v>
      </c>
      <c r="T674" t="s">
        <v>4362</v>
      </c>
      <c r="U674" t="s">
        <v>4362</v>
      </c>
      <c r="V674" t="s">
        <v>4362</v>
      </c>
      <c r="W674" t="s">
        <v>5034</v>
      </c>
      <c r="X674">
        <v>3</v>
      </c>
      <c r="Y674" t="s">
        <v>7195</v>
      </c>
      <c r="Z674" t="s">
        <v>9362</v>
      </c>
      <c r="AA674">
        <v>0.8411534014122531</v>
      </c>
      <c r="AB674">
        <f>HYPERLINK("Melting_Curves/meltCurve_P0ABU7_exbB.pdf", "Melting_Curves/meltCurve_P0ABU7_exbB.pdf")</f>
        <v>0</v>
      </c>
    </row>
    <row r="675" spans="1:28">
      <c r="A675" t="s">
        <v>701</v>
      </c>
      <c r="B675">
        <v>0.999739202189716</v>
      </c>
      <c r="C675">
        <v>0.767331866084962</v>
      </c>
      <c r="D675">
        <v>0.988736826761637</v>
      </c>
      <c r="E675">
        <v>0.792040955093372</v>
      </c>
      <c r="F675">
        <v>0.637047126310242</v>
      </c>
      <c r="G675">
        <v>0.489469450680508</v>
      </c>
      <c r="H675">
        <v>0.427954542926993</v>
      </c>
      <c r="I675">
        <v>0.393950731086736</v>
      </c>
      <c r="J675">
        <v>0.380903301655804</v>
      </c>
      <c r="K675">
        <v>0.334441755148472</v>
      </c>
      <c r="L675">
        <v>512.235613130547</v>
      </c>
      <c r="M675">
        <v>10.2519601102919</v>
      </c>
      <c r="N675">
        <v>54.6253953254347</v>
      </c>
      <c r="O675">
        <v>48.1755206519312</v>
      </c>
      <c r="P675">
        <v>-0.0377090945760485</v>
      </c>
      <c r="Q675">
        <v>0.29150999151912</v>
      </c>
      <c r="R675">
        <v>0.919303881518978</v>
      </c>
      <c r="S675" t="s">
        <v>2868</v>
      </c>
      <c r="T675" t="s">
        <v>4362</v>
      </c>
      <c r="U675" t="s">
        <v>4362</v>
      </c>
      <c r="V675" t="s">
        <v>4362</v>
      </c>
      <c r="W675" t="s">
        <v>5035</v>
      </c>
      <c r="X675">
        <v>3</v>
      </c>
      <c r="Y675" t="s">
        <v>7196</v>
      </c>
      <c r="Z675" t="s">
        <v>9363</v>
      </c>
      <c r="AA675">
        <v>0.6212403073715065</v>
      </c>
      <c r="AB675">
        <f>HYPERLINK("Melting_Curves/meltCurve_P0ABU9_tolQ.pdf", "Melting_Curves/meltCurve_P0ABU9_tolQ.pdf")</f>
        <v>0</v>
      </c>
    </row>
    <row r="676" spans="1:28">
      <c r="A676" t="s">
        <v>702</v>
      </c>
      <c r="B676">
        <v>0.999739202189716</v>
      </c>
      <c r="C676">
        <v>1.10855764850963</v>
      </c>
      <c r="D676">
        <v>0.882992599572062</v>
      </c>
      <c r="E676">
        <v>1.06548006340319</v>
      </c>
      <c r="F676">
        <v>0.942800655797579</v>
      </c>
      <c r="G676">
        <v>0.827226395118872</v>
      </c>
      <c r="H676">
        <v>0.735820145636</v>
      </c>
      <c r="I676">
        <v>0.753547594794577</v>
      </c>
      <c r="J676">
        <v>0.6032472982157689</v>
      </c>
      <c r="K676">
        <v>0.636735361383445</v>
      </c>
      <c r="L676">
        <v>929.101258908714</v>
      </c>
      <c r="M676">
        <v>16.8152793403498</v>
      </c>
      <c r="O676">
        <v>54.4896900058843</v>
      </c>
      <c r="P676">
        <v>-0.0295385378748659</v>
      </c>
      <c r="Q676">
        <v>0.617147736290195</v>
      </c>
      <c r="R676">
        <v>0.855177471498803</v>
      </c>
      <c r="S676" t="s">
        <v>2869</v>
      </c>
      <c r="T676" t="s">
        <v>4362</v>
      </c>
      <c r="U676" t="s">
        <v>4362</v>
      </c>
      <c r="V676" t="s">
        <v>4362</v>
      </c>
      <c r="W676" t="s">
        <v>5036</v>
      </c>
      <c r="X676">
        <v>3</v>
      </c>
      <c r="Y676" t="s">
        <v>7197</v>
      </c>
      <c r="Z676" t="s">
        <v>9364</v>
      </c>
      <c r="AA676">
        <v>0.8549986045122731</v>
      </c>
      <c r="AB676">
        <f>HYPERLINK("Melting_Curves/meltCurve_P0ABV2_exbD.pdf", "Melting_Curves/meltCurve_P0ABV2_exbD.pdf")</f>
        <v>0</v>
      </c>
    </row>
    <row r="677" spans="1:28">
      <c r="A677" t="s">
        <v>703</v>
      </c>
      <c r="B677">
        <v>0.999739202189716</v>
      </c>
      <c r="C677">
        <v>0.692139693280435</v>
      </c>
      <c r="D677">
        <v>0.923467611174809</v>
      </c>
      <c r="E677">
        <v>0.581767423212603</v>
      </c>
      <c r="F677">
        <v>0.566141722104944</v>
      </c>
      <c r="G677">
        <v>0.368300502007606</v>
      </c>
      <c r="H677">
        <v>0.28391643376084</v>
      </c>
      <c r="I677">
        <v>0.213017505137917</v>
      </c>
      <c r="J677">
        <v>0.253548421458264</v>
      </c>
      <c r="K677">
        <v>0.148723428361015</v>
      </c>
      <c r="L677">
        <v>366.654123213443</v>
      </c>
      <c r="M677">
        <v>7.33016975545769</v>
      </c>
      <c r="N677">
        <v>50.5231387405979</v>
      </c>
      <c r="O677">
        <v>46.7008585664053</v>
      </c>
      <c r="P677">
        <v>-0.0379177073889614</v>
      </c>
      <c r="Q677">
        <v>0.0352077189541351</v>
      </c>
      <c r="R677">
        <v>0.9128775473297031</v>
      </c>
      <c r="S677" t="s">
        <v>2870</v>
      </c>
      <c r="T677" t="s">
        <v>4362</v>
      </c>
      <c r="U677" t="s">
        <v>4362</v>
      </c>
      <c r="V677" t="s">
        <v>4362</v>
      </c>
      <c r="W677" t="s">
        <v>5037</v>
      </c>
      <c r="X677">
        <v>2</v>
      </c>
      <c r="Y677" t="s">
        <v>7198</v>
      </c>
      <c r="Z677" t="s">
        <v>9365</v>
      </c>
      <c r="AA677">
        <v>0.4954315757621918</v>
      </c>
      <c r="AB677">
        <f>HYPERLINK("Melting_Curves/meltCurve_P0ABV6_tolR.pdf", "Melting_Curves/meltCurve_P0ABV6_tolR.pdf")</f>
        <v>0</v>
      </c>
    </row>
    <row r="678" spans="1:28">
      <c r="A678" t="s">
        <v>704</v>
      </c>
      <c r="B678">
        <v>0.999739202189716</v>
      </c>
      <c r="C678">
        <v>0.872657327463314</v>
      </c>
      <c r="D678">
        <v>0.870951993355062</v>
      </c>
      <c r="E678">
        <v>0.812482807932594</v>
      </c>
      <c r="F678">
        <v>0.571038157796677</v>
      </c>
      <c r="G678">
        <v>0.383205549371565</v>
      </c>
      <c r="H678">
        <v>0.188149971393311</v>
      </c>
      <c r="I678">
        <v>0.124161673375528</v>
      </c>
      <c r="J678">
        <v>0.110057341943458</v>
      </c>
      <c r="K678">
        <v>0.102223144159761</v>
      </c>
      <c r="L678">
        <v>602.503726778585</v>
      </c>
      <c r="M678">
        <v>11.7742434522356</v>
      </c>
      <c r="N678">
        <v>51.3192409712122</v>
      </c>
      <c r="O678">
        <v>49.7621634104328</v>
      </c>
      <c r="P678">
        <v>-0.058180851164187</v>
      </c>
      <c r="Q678">
        <v>0.0166828137143562</v>
      </c>
      <c r="R678">
        <v>0.9868681320664791</v>
      </c>
      <c r="S678" t="s">
        <v>2871</v>
      </c>
      <c r="T678" t="s">
        <v>4362</v>
      </c>
      <c r="U678" t="s">
        <v>4362</v>
      </c>
      <c r="V678" t="s">
        <v>4362</v>
      </c>
      <c r="W678" t="s">
        <v>5038</v>
      </c>
      <c r="X678">
        <v>2</v>
      </c>
      <c r="Y678" t="s">
        <v>7199</v>
      </c>
      <c r="Z678" t="s">
        <v>9366</v>
      </c>
      <c r="AA678">
        <v>0.5068770708184114</v>
      </c>
      <c r="AB678">
        <f>HYPERLINK("Melting_Curves/meltCurve_P0ABX8_fliL.pdf", "Melting_Curves/meltCurve_P0ABX8_fliL.pdf")</f>
        <v>0</v>
      </c>
    </row>
    <row r="679" spans="1:28">
      <c r="A679" t="s">
        <v>705</v>
      </c>
      <c r="B679">
        <v>0.999739202189716</v>
      </c>
      <c r="C679">
        <v>0.854423932094712</v>
      </c>
      <c r="D679">
        <v>0.853864576531598</v>
      </c>
      <c r="E679">
        <v>0.808413971602158</v>
      </c>
      <c r="F679">
        <v>0.766634131902048</v>
      </c>
      <c r="G679">
        <v>0.634507535698615</v>
      </c>
      <c r="H679">
        <v>0.567285706970203</v>
      </c>
      <c r="I679">
        <v>0.473849923443733</v>
      </c>
      <c r="J679">
        <v>0.436473611132338</v>
      </c>
      <c r="K679">
        <v>0.358573621623472</v>
      </c>
      <c r="L679">
        <v>292.556892389396</v>
      </c>
      <c r="M679">
        <v>4.86151943315342</v>
      </c>
      <c r="N679">
        <v>60.1780777876036</v>
      </c>
      <c r="O679">
        <v>52.17131030178</v>
      </c>
      <c r="P679">
        <v>-0.0234530597293723</v>
      </c>
      <c r="Q679">
        <v>0</v>
      </c>
      <c r="R679">
        <v>0.976490228485128</v>
      </c>
      <c r="S679" t="s">
        <v>2872</v>
      </c>
      <c r="T679" t="s">
        <v>4362</v>
      </c>
      <c r="U679" t="s">
        <v>4362</v>
      </c>
      <c r="V679" t="s">
        <v>4362</v>
      </c>
      <c r="W679" t="s">
        <v>5039</v>
      </c>
      <c r="X679">
        <v>9</v>
      </c>
      <c r="Y679" t="s">
        <v>7200</v>
      </c>
      <c r="Z679" t="s">
        <v>9367</v>
      </c>
      <c r="AA679">
        <v>0.6784662794283267</v>
      </c>
      <c r="AB679">
        <f>HYPERLINK("Melting_Curves/meltCurve_P0ABZ1_fliG.pdf", "Melting_Curves/meltCurve_P0ABZ1_fliG.pdf")</f>
        <v>0</v>
      </c>
    </row>
    <row r="680" spans="1:28">
      <c r="A680" t="s">
        <v>706</v>
      </c>
      <c r="B680">
        <v>0.999739202189716</v>
      </c>
      <c r="C680">
        <v>0.850913531640675</v>
      </c>
      <c r="D680">
        <v>0.962421593640619</v>
      </c>
      <c r="E680">
        <v>0.949066750380402</v>
      </c>
      <c r="F680">
        <v>0.837602170900036</v>
      </c>
      <c r="G680">
        <v>0.816579120261594</v>
      </c>
      <c r="H680">
        <v>0.5475882663143929</v>
      </c>
      <c r="I680">
        <v>0.514844117448606</v>
      </c>
      <c r="J680">
        <v>0.33626075163891</v>
      </c>
      <c r="K680">
        <v>0.574775763118761</v>
      </c>
      <c r="L680">
        <v>916.153961858318</v>
      </c>
      <c r="M680">
        <v>16.8960454769114</v>
      </c>
      <c r="N680">
        <v>61.3448460410604</v>
      </c>
      <c r="O680">
        <v>53.4805233897715</v>
      </c>
      <c r="P680">
        <v>-0.0450479863929412</v>
      </c>
      <c r="Q680">
        <v>0.429680377532155</v>
      </c>
      <c r="R680">
        <v>0.856939543227449</v>
      </c>
      <c r="S680" t="s">
        <v>2873</v>
      </c>
      <c r="T680" t="s">
        <v>4362</v>
      </c>
      <c r="U680" t="s">
        <v>4362</v>
      </c>
      <c r="V680" t="s">
        <v>4362</v>
      </c>
      <c r="W680" t="s">
        <v>5040</v>
      </c>
      <c r="X680">
        <v>2</v>
      </c>
      <c r="Y680" t="s">
        <v>7201</v>
      </c>
      <c r="Z680" t="s">
        <v>9368</v>
      </c>
      <c r="AA680">
        <v>0.7652884042570032</v>
      </c>
      <c r="AB680">
        <f>HYPERLINK("Melting_Curves/meltCurve_P0ABZ4_kdsC.pdf", "Melting_Curves/meltCurve_P0ABZ4_kdsC.pdf")</f>
        <v>0</v>
      </c>
    </row>
    <row r="681" spans="1:28">
      <c r="A681" t="s">
        <v>707</v>
      </c>
      <c r="B681">
        <v>0.999739202189716</v>
      </c>
      <c r="C681">
        <v>1.02304789216136</v>
      </c>
      <c r="D681">
        <v>0.95927272784631</v>
      </c>
      <c r="E681">
        <v>0.9840733150609789</v>
      </c>
      <c r="F681">
        <v>0.927042646273489</v>
      </c>
      <c r="G681">
        <v>0.803776851016848</v>
      </c>
      <c r="H681">
        <v>0.767906432596232</v>
      </c>
      <c r="I681">
        <v>0.585632072421186</v>
      </c>
      <c r="J681">
        <v>0.390971257185866</v>
      </c>
      <c r="K681">
        <v>0.240995752454623</v>
      </c>
      <c r="L681">
        <v>772.243016724672</v>
      </c>
      <c r="M681">
        <v>12.470744853584</v>
      </c>
      <c r="N681">
        <v>61.9243490037705</v>
      </c>
      <c r="O681">
        <v>60.3967330523124</v>
      </c>
      <c r="P681">
        <v>-0.0516308335553819</v>
      </c>
      <c r="Q681">
        <v>0</v>
      </c>
      <c r="R681">
        <v>0.98365680367597</v>
      </c>
      <c r="S681" t="s">
        <v>2874</v>
      </c>
      <c r="T681" t="s">
        <v>4362</v>
      </c>
      <c r="U681" t="s">
        <v>4362</v>
      </c>
      <c r="V681" t="s">
        <v>4362</v>
      </c>
      <c r="W681" t="s">
        <v>5041</v>
      </c>
      <c r="X681">
        <v>21</v>
      </c>
      <c r="Y681" t="s">
        <v>7202</v>
      </c>
      <c r="Z681" t="s">
        <v>9369</v>
      </c>
      <c r="AA681">
        <v>0.7983899089750938</v>
      </c>
      <c r="AB681">
        <f>HYPERLINK("Melting_Curves/meltCurve_P0ABZ6_surA.pdf", "Melting_Curves/meltCurve_P0ABZ6_surA.pdf")</f>
        <v>0</v>
      </c>
    </row>
    <row r="682" spans="1:28">
      <c r="A682" t="s">
        <v>708</v>
      </c>
      <c r="B682">
        <v>0.999739202189716</v>
      </c>
      <c r="C682">
        <v>0.889068708532341</v>
      </c>
      <c r="D682">
        <v>0.714704237826348</v>
      </c>
      <c r="E682">
        <v>0.632457375420914</v>
      </c>
      <c r="F682">
        <v>0.260725116651799</v>
      </c>
      <c r="G682">
        <v>0.090417771619107</v>
      </c>
      <c r="H682">
        <v>0.0514753281874958</v>
      </c>
      <c r="I682">
        <v>0.039006556262222</v>
      </c>
      <c r="J682">
        <v>0.0376489192211286</v>
      </c>
      <c r="K682">
        <v>0.0364872143541407</v>
      </c>
      <c r="L682">
        <v>662.188107333015</v>
      </c>
      <c r="M682">
        <v>14.1016128981649</v>
      </c>
      <c r="N682">
        <v>46.9583219652297</v>
      </c>
      <c r="O682">
        <v>46.0442666770265</v>
      </c>
      <c r="P682">
        <v>-0.0765754067203975</v>
      </c>
      <c r="Q682">
        <v>0</v>
      </c>
      <c r="R682">
        <v>0.983782161492037</v>
      </c>
      <c r="S682" t="s">
        <v>2875</v>
      </c>
      <c r="T682" t="s">
        <v>4362</v>
      </c>
      <c r="U682" t="s">
        <v>4362</v>
      </c>
      <c r="V682" t="s">
        <v>4362</v>
      </c>
      <c r="W682" t="s">
        <v>5042</v>
      </c>
      <c r="X682">
        <v>11</v>
      </c>
      <c r="Y682" t="s">
        <v>7203</v>
      </c>
      <c r="Z682" t="s">
        <v>9370</v>
      </c>
      <c r="AA682">
        <v>0.3570816713546116</v>
      </c>
      <c r="AB682">
        <f>HYPERLINK("Melting_Curves/meltCurve_P0AC02_bamD.pdf", "Melting_Curves/meltCurve_P0AC02_bamD.pdf")</f>
        <v>0</v>
      </c>
    </row>
    <row r="683" spans="1:28">
      <c r="A683" t="s">
        <v>709</v>
      </c>
      <c r="B683">
        <v>0.999739202189716</v>
      </c>
      <c r="C683">
        <v>1.09089474301349</v>
      </c>
      <c r="D683">
        <v>0.804968117131769</v>
      </c>
      <c r="E683">
        <v>0.77073251321821</v>
      </c>
      <c r="F683">
        <v>0.637077239875617</v>
      </c>
      <c r="G683">
        <v>0.469522943330165</v>
      </c>
      <c r="H683">
        <v>0.344090612565748</v>
      </c>
      <c r="I683">
        <v>0.257446603118927</v>
      </c>
      <c r="J683">
        <v>0.291603017497862</v>
      </c>
      <c r="K683">
        <v>0.259095163356583</v>
      </c>
      <c r="L683">
        <v>588.80908846056</v>
      </c>
      <c r="M683">
        <v>11.7139458696148</v>
      </c>
      <c r="N683">
        <v>52.6929571904437</v>
      </c>
      <c r="O683">
        <v>48.8677858264846</v>
      </c>
      <c r="P683">
        <v>-0.0474440085924837</v>
      </c>
      <c r="Q683">
        <v>0.208509172899336</v>
      </c>
      <c r="R683">
        <v>0.966528678348429</v>
      </c>
      <c r="S683" t="s">
        <v>2876</v>
      </c>
      <c r="T683" t="s">
        <v>4362</v>
      </c>
      <c r="U683" t="s">
        <v>4362</v>
      </c>
      <c r="V683" t="s">
        <v>4362</v>
      </c>
      <c r="W683" t="s">
        <v>5043</v>
      </c>
      <c r="X683">
        <v>1</v>
      </c>
      <c r="Y683" t="s">
        <v>7204</v>
      </c>
      <c r="Z683" t="s">
        <v>9371</v>
      </c>
      <c r="AA683">
        <v>0.5808518263605026</v>
      </c>
      <c r="AB683">
        <f>HYPERLINK("Melting_Curves/meltCurve_P0AC05_fliP.pdf", "Melting_Curves/meltCurve_P0AC05_fliP.pdf")</f>
        <v>0</v>
      </c>
    </row>
    <row r="684" spans="1:28">
      <c r="A684" t="s">
        <v>710</v>
      </c>
      <c r="B684">
        <v>0.999739202189716</v>
      </c>
      <c r="C684">
        <v>0.784533084919947</v>
      </c>
      <c r="D684">
        <v>0.866111387016132</v>
      </c>
      <c r="E684">
        <v>0.523218594227322</v>
      </c>
      <c r="F684">
        <v>0.235720728886328</v>
      </c>
      <c r="G684">
        <v>0.140543666750202</v>
      </c>
      <c r="H684">
        <v>0.10470971632587</v>
      </c>
      <c r="I684">
        <v>0.0844591955205745</v>
      </c>
      <c r="J684">
        <v>0.0922432485819208</v>
      </c>
      <c r="K684">
        <v>0.08755062882430779</v>
      </c>
      <c r="L684">
        <v>763.629121784748</v>
      </c>
      <c r="M684">
        <v>16.4985964528398</v>
      </c>
      <c r="N684">
        <v>46.7033529535086</v>
      </c>
      <c r="O684">
        <v>45.6205465243615</v>
      </c>
      <c r="P684">
        <v>-0.08420021246392249</v>
      </c>
      <c r="Q684">
        <v>0.0687710476630231</v>
      </c>
      <c r="R684">
        <v>0.974553569961582</v>
      </c>
      <c r="S684" t="s">
        <v>2877</v>
      </c>
      <c r="T684" t="s">
        <v>4362</v>
      </c>
      <c r="U684" t="s">
        <v>4362</v>
      </c>
      <c r="V684" t="s">
        <v>4362</v>
      </c>
      <c r="W684" t="s">
        <v>5044</v>
      </c>
      <c r="X684">
        <v>6</v>
      </c>
      <c r="Y684" t="s">
        <v>7205</v>
      </c>
      <c r="Z684" t="s">
        <v>9372</v>
      </c>
      <c r="AA684">
        <v>0.3747646855530541</v>
      </c>
      <c r="AB684">
        <f>HYPERLINK("Melting_Curves/meltCurve_P0AC13_folP.pdf", "Melting_Curves/meltCurve_P0AC13_folP.pdf")</f>
        <v>0</v>
      </c>
    </row>
    <row r="685" spans="1:28">
      <c r="A685" t="s">
        <v>711</v>
      </c>
      <c r="B685">
        <v>0.999739202189716</v>
      </c>
      <c r="C685">
        <v>0.974620048307415</v>
      </c>
      <c r="D685">
        <v>1.06628363156334</v>
      </c>
      <c r="E685">
        <v>1.19751157018875</v>
      </c>
      <c r="F685">
        <v>0.968098862569743</v>
      </c>
      <c r="G685">
        <v>0.947122250747373</v>
      </c>
      <c r="H685">
        <v>0.815063110805309</v>
      </c>
      <c r="I685">
        <v>0.898533286833879</v>
      </c>
      <c r="J685">
        <v>0.6691416757647241</v>
      </c>
      <c r="K685">
        <v>0.739117926500325</v>
      </c>
      <c r="L685">
        <v>1015.28577625062</v>
      </c>
      <c r="M685">
        <v>17.2433628479768</v>
      </c>
      <c r="O685">
        <v>58.1050106276747</v>
      </c>
      <c r="P685">
        <v>-0.0234620722448645</v>
      </c>
      <c r="Q685">
        <v>0.683777623074272</v>
      </c>
      <c r="R685">
        <v>0.694630226928893</v>
      </c>
      <c r="S685" t="s">
        <v>2878</v>
      </c>
      <c r="T685" t="s">
        <v>4362</v>
      </c>
      <c r="U685" t="s">
        <v>4362</v>
      </c>
      <c r="V685" t="s">
        <v>4362</v>
      </c>
      <c r="W685" t="s">
        <v>5045</v>
      </c>
      <c r="X685">
        <v>3</v>
      </c>
      <c r="Y685" t="s">
        <v>7206</v>
      </c>
      <c r="Z685" t="s">
        <v>9373</v>
      </c>
      <c r="AA685">
        <v>0.9152508907607879</v>
      </c>
      <c r="AB685">
        <f>HYPERLINK("Melting_Curves/meltCurve_P0AC16_folB.pdf", "Melting_Curves/meltCurve_P0AC16_folB.pdf")</f>
        <v>0</v>
      </c>
    </row>
    <row r="686" spans="1:28">
      <c r="A686" t="s">
        <v>712</v>
      </c>
      <c r="B686">
        <v>0.999739202189716</v>
      </c>
      <c r="C686">
        <v>0.990994603438682</v>
      </c>
      <c r="D686">
        <v>1.20844613220827</v>
      </c>
      <c r="E686">
        <v>0.934300460226318</v>
      </c>
      <c r="F686">
        <v>1.10976904649124</v>
      </c>
      <c r="G686">
        <v>0.98311738397801</v>
      </c>
      <c r="H686">
        <v>0.938347348706876</v>
      </c>
      <c r="I686">
        <v>0.8125048534015999</v>
      </c>
      <c r="J686">
        <v>0.934462541426141</v>
      </c>
      <c r="K686">
        <v>0.566301259600473</v>
      </c>
      <c r="L686">
        <v>1495.25392781852</v>
      </c>
      <c r="M686">
        <v>21.8662987160369</v>
      </c>
      <c r="Q686">
        <v>0</v>
      </c>
      <c r="R686">
        <v>0.643822697520793</v>
      </c>
      <c r="S686" t="s">
        <v>2879</v>
      </c>
      <c r="T686" t="s">
        <v>4362</v>
      </c>
      <c r="U686" t="s">
        <v>4362</v>
      </c>
      <c r="V686" t="s">
        <v>4362</v>
      </c>
      <c r="W686" t="s">
        <v>5046</v>
      </c>
      <c r="X686">
        <v>3</v>
      </c>
      <c r="Y686" t="s">
        <v>7207</v>
      </c>
      <c r="Z686" t="s">
        <v>9374</v>
      </c>
      <c r="AA686">
        <v>0.9550629988202832</v>
      </c>
      <c r="AB686">
        <f>HYPERLINK("Melting_Curves/meltCurve_P0AC19_folX.pdf", "Melting_Curves/meltCurve_P0AC19_folX.pdf")</f>
        <v>0</v>
      </c>
    </row>
    <row r="687" spans="1:28">
      <c r="A687" t="s">
        <v>713</v>
      </c>
      <c r="B687">
        <v>0.999739202189716</v>
      </c>
      <c r="C687">
        <v>1.40241204203233</v>
      </c>
      <c r="D687">
        <v>0.9726016882959611</v>
      </c>
      <c r="E687">
        <v>1.22274259169991</v>
      </c>
      <c r="F687">
        <v>0.788556288418379</v>
      </c>
      <c r="G687">
        <v>0.581167241928243</v>
      </c>
      <c r="H687">
        <v>0.232503582563058</v>
      </c>
      <c r="I687">
        <v>0.114430864491266</v>
      </c>
      <c r="J687">
        <v>0.09578201318429</v>
      </c>
      <c r="K687">
        <v>0.0708995725704295</v>
      </c>
      <c r="L687">
        <v>1361.29326359559</v>
      </c>
      <c r="M687">
        <v>25.2232763949489</v>
      </c>
      <c r="N687">
        <v>54.2945178457556</v>
      </c>
      <c r="O687">
        <v>53.6339190995914</v>
      </c>
      <c r="P687">
        <v>-0.109339549126307</v>
      </c>
      <c r="Q687">
        <v>0.0700284447990558</v>
      </c>
      <c r="R687">
        <v>0.898073458394494</v>
      </c>
      <c r="S687" t="s">
        <v>2880</v>
      </c>
      <c r="T687" t="s">
        <v>4362</v>
      </c>
      <c r="U687" t="s">
        <v>4362</v>
      </c>
      <c r="V687" t="s">
        <v>4362</v>
      </c>
      <c r="W687" t="s">
        <v>5047</v>
      </c>
      <c r="X687">
        <v>3</v>
      </c>
      <c r="Y687" t="s">
        <v>7208</v>
      </c>
      <c r="Z687" t="s">
        <v>9375</v>
      </c>
      <c r="AA687">
        <v>0.6040807143132215</v>
      </c>
      <c r="AB687">
        <f>HYPERLINK("Melting_Curves/meltCurve_P0AC23_focA.pdf", "Melting_Curves/meltCurve_P0AC23_focA.pdf")</f>
        <v>0</v>
      </c>
    </row>
    <row r="688" spans="1:28">
      <c r="A688" t="s">
        <v>714</v>
      </c>
      <c r="B688">
        <v>0.999739202189716</v>
      </c>
      <c r="C688">
        <v>0.808572085317859</v>
      </c>
      <c r="D688">
        <v>0.786903586904558</v>
      </c>
      <c r="E688">
        <v>0.651366949258783</v>
      </c>
      <c r="F688">
        <v>0.412166261515807</v>
      </c>
      <c r="G688">
        <v>0.207147104185047</v>
      </c>
      <c r="H688">
        <v>0.155953448232</v>
      </c>
      <c r="I688">
        <v>0.123126351488032</v>
      </c>
      <c r="J688">
        <v>0.12115696209623</v>
      </c>
      <c r="K688">
        <v>0.0993409841220359</v>
      </c>
      <c r="L688">
        <v>525.502674712516</v>
      </c>
      <c r="M688">
        <v>10.9833550988311</v>
      </c>
      <c r="N688">
        <v>48.2435332506218</v>
      </c>
      <c r="O688">
        <v>46.3413368409077</v>
      </c>
      <c r="P688">
        <v>-0.0567042532853398</v>
      </c>
      <c r="Q688">
        <v>0.0433304423795083</v>
      </c>
      <c r="R688">
        <v>0.982915798135882</v>
      </c>
      <c r="S688" t="s">
        <v>2881</v>
      </c>
      <c r="T688" t="s">
        <v>4362</v>
      </c>
      <c r="U688" t="s">
        <v>4362</v>
      </c>
      <c r="V688" t="s">
        <v>4362</v>
      </c>
      <c r="W688" t="s">
        <v>5048</v>
      </c>
      <c r="X688">
        <v>4</v>
      </c>
      <c r="Y688" t="s">
        <v>7209</v>
      </c>
      <c r="Z688" t="s">
        <v>9376</v>
      </c>
      <c r="AA688">
        <v>0.4234529603547636</v>
      </c>
      <c r="AB688">
        <f>HYPERLINK("Melting_Curves/meltCurve_P0AC30_ftsX.pdf", "Melting_Curves/meltCurve_P0AC30_ftsX.pdf")</f>
        <v>0</v>
      </c>
    </row>
    <row r="689" spans="1:28">
      <c r="A689" t="s">
        <v>715</v>
      </c>
      <c r="B689">
        <v>0.999739202189716</v>
      </c>
      <c r="C689">
        <v>1.17828267276618</v>
      </c>
      <c r="D689">
        <v>0.996801319221944</v>
      </c>
      <c r="E689">
        <v>0.594224097322397</v>
      </c>
      <c r="F689">
        <v>0.33167000839816</v>
      </c>
      <c r="G689">
        <v>0.18170287082411</v>
      </c>
      <c r="H689">
        <v>0.0994356598048261</v>
      </c>
      <c r="I689">
        <v>0.06429371963321839</v>
      </c>
      <c r="J689">
        <v>0.0468151590436758</v>
      </c>
      <c r="K689">
        <v>0.0405676185152513</v>
      </c>
      <c r="L689">
        <v>1062.77030540148</v>
      </c>
      <c r="M689">
        <v>22.2377949359828</v>
      </c>
      <c r="N689">
        <v>48.0936068237727</v>
      </c>
      <c r="O689">
        <v>47.4097380268582</v>
      </c>
      <c r="P689">
        <v>-0.109614529327958</v>
      </c>
      <c r="Q689">
        <v>0.06525175115489221</v>
      </c>
      <c r="R689">
        <v>0.973133189456344</v>
      </c>
      <c r="S689" t="s">
        <v>2882</v>
      </c>
      <c r="T689" t="s">
        <v>4362</v>
      </c>
      <c r="U689" t="s">
        <v>4362</v>
      </c>
      <c r="V689" t="s">
        <v>4362</v>
      </c>
      <c r="W689" t="s">
        <v>5049</v>
      </c>
      <c r="X689">
        <v>22</v>
      </c>
      <c r="Y689" t="s">
        <v>7210</v>
      </c>
      <c r="Z689" t="s">
        <v>9377</v>
      </c>
      <c r="AA689">
        <v>0.4114870148611071</v>
      </c>
      <c r="AB689">
        <f>HYPERLINK("Melting_Curves/meltCurve_P0AC33_fumA.pdf", "Melting_Curves/meltCurve_P0AC33_fumA.pdf")</f>
        <v>0</v>
      </c>
    </row>
    <row r="690" spans="1:28">
      <c r="A690" t="s">
        <v>716</v>
      </c>
      <c r="B690">
        <v>0.999739202189716</v>
      </c>
      <c r="C690">
        <v>1.17744703150724</v>
      </c>
      <c r="D690">
        <v>1.16224750912233</v>
      </c>
      <c r="E690">
        <v>1.11956663427215</v>
      </c>
      <c r="F690">
        <v>0.84378283910607</v>
      </c>
      <c r="G690">
        <v>0.194095432862439</v>
      </c>
      <c r="H690">
        <v>0.102533931004826</v>
      </c>
      <c r="I690">
        <v>0.071347778334737</v>
      </c>
      <c r="J690">
        <v>0.06787512434030391</v>
      </c>
      <c r="K690">
        <v>0.0527653179879914</v>
      </c>
      <c r="L690">
        <v>2657.01434008323</v>
      </c>
      <c r="M690">
        <v>51.2894020504468</v>
      </c>
      <c r="N690">
        <v>51.9621717135338</v>
      </c>
      <c r="O690">
        <v>51.7257585666081</v>
      </c>
      <c r="P690">
        <v>-0.230010385725392</v>
      </c>
      <c r="Q690">
        <v>0.07213129598094491</v>
      </c>
      <c r="R690">
        <v>0.969337776103547</v>
      </c>
      <c r="S690" t="s">
        <v>2883</v>
      </c>
      <c r="T690" t="s">
        <v>4362</v>
      </c>
      <c r="U690" t="s">
        <v>4362</v>
      </c>
      <c r="V690" t="s">
        <v>4362</v>
      </c>
      <c r="W690" t="s">
        <v>5050</v>
      </c>
      <c r="X690">
        <v>23</v>
      </c>
      <c r="Y690" t="s">
        <v>7211</v>
      </c>
      <c r="Z690" t="s">
        <v>9378</v>
      </c>
      <c r="AA690">
        <v>0.5320284867762953</v>
      </c>
      <c r="AB690">
        <f>HYPERLINK("Melting_Curves/meltCurve_P0AC38_aspA.pdf", "Melting_Curves/meltCurve_P0AC38_aspA.pdf")</f>
        <v>0</v>
      </c>
    </row>
    <row r="691" spans="1:28">
      <c r="A691" t="s">
        <v>717</v>
      </c>
      <c r="B691">
        <v>0.999739202189716</v>
      </c>
      <c r="C691">
        <v>1.20597483886747</v>
      </c>
      <c r="D691">
        <v>0.9489343961904561</v>
      </c>
      <c r="E691">
        <v>1.10245646565183</v>
      </c>
      <c r="F691">
        <v>0.605572703862683</v>
      </c>
      <c r="G691">
        <v>0.143246422220085</v>
      </c>
      <c r="H691">
        <v>0.0950116755931955</v>
      </c>
      <c r="I691">
        <v>0.06511776810323799</v>
      </c>
      <c r="J691">
        <v>0.0549066206260789</v>
      </c>
      <c r="K691">
        <v>0.0391160408754985</v>
      </c>
      <c r="L691">
        <v>2691.92937310159</v>
      </c>
      <c r="M691">
        <v>53.2728281137292</v>
      </c>
      <c r="N691">
        <v>50.6771191689069</v>
      </c>
      <c r="O691">
        <v>50.4599482224455</v>
      </c>
      <c r="P691">
        <v>-0.245146072113298</v>
      </c>
      <c r="Q691">
        <v>0.07119255300908151</v>
      </c>
      <c r="R691">
        <v>0.9723544955215701</v>
      </c>
      <c r="S691" t="s">
        <v>2884</v>
      </c>
      <c r="T691" t="s">
        <v>4362</v>
      </c>
      <c r="U691" t="s">
        <v>4362</v>
      </c>
      <c r="V691" t="s">
        <v>4362</v>
      </c>
      <c r="W691" t="s">
        <v>5051</v>
      </c>
      <c r="X691">
        <v>22</v>
      </c>
      <c r="Y691" t="s">
        <v>7212</v>
      </c>
      <c r="Z691" t="s">
        <v>9379</v>
      </c>
      <c r="AA691">
        <v>0.4919380936111909</v>
      </c>
      <c r="AB691">
        <f>HYPERLINK("Melting_Curves/meltCurve_P0AC41_sdhA.pdf", "Melting_Curves/meltCurve_P0AC41_sdhA.pdf")</f>
        <v>0</v>
      </c>
    </row>
    <row r="692" spans="1:28">
      <c r="A692" t="s">
        <v>718</v>
      </c>
      <c r="B692">
        <v>0.999739202189716</v>
      </c>
      <c r="C692">
        <v>1.01102153262931</v>
      </c>
      <c r="D692">
        <v>1.29130888765939</v>
      </c>
      <c r="E692">
        <v>0.958462781243273</v>
      </c>
      <c r="F692">
        <v>1.07085040116354</v>
      </c>
      <c r="G692">
        <v>0.863444800173363</v>
      </c>
      <c r="H692">
        <v>0.725244109220826</v>
      </c>
      <c r="I692">
        <v>0.753523348377372</v>
      </c>
      <c r="J692">
        <v>0.723328734775106</v>
      </c>
      <c r="K692">
        <v>0.630621175030156</v>
      </c>
      <c r="L692">
        <v>7777.85837741789</v>
      </c>
      <c r="M692">
        <v>144.441144563388</v>
      </c>
      <c r="O692">
        <v>53.8376212457921</v>
      </c>
      <c r="P692">
        <v>-0.195739504946547</v>
      </c>
      <c r="Q692">
        <v>0.708167662337495</v>
      </c>
      <c r="R692">
        <v>0.725180284446909</v>
      </c>
      <c r="S692" t="s">
        <v>2885</v>
      </c>
      <c r="T692" t="s">
        <v>4362</v>
      </c>
      <c r="U692" t="s">
        <v>4362</v>
      </c>
      <c r="V692" t="s">
        <v>4362</v>
      </c>
      <c r="W692" t="s">
        <v>5052</v>
      </c>
      <c r="X692">
        <v>3</v>
      </c>
      <c r="Y692" t="s">
        <v>7213</v>
      </c>
      <c r="Z692" t="s">
        <v>9380</v>
      </c>
      <c r="AA692">
        <v>0.8721427935132533</v>
      </c>
      <c r="AB692">
        <f>HYPERLINK("Melting_Curves/meltCurve_P0AC44_sdhD.pdf", "Melting_Curves/meltCurve_P0AC44_sdhD.pdf")</f>
        <v>0</v>
      </c>
    </row>
    <row r="693" spans="1:28">
      <c r="A693" t="s">
        <v>719</v>
      </c>
      <c r="B693">
        <v>0.999739202189716</v>
      </c>
      <c r="C693">
        <v>0.876845234013705</v>
      </c>
      <c r="D693">
        <v>0.681250899641048</v>
      </c>
      <c r="E693">
        <v>0.922443650433185</v>
      </c>
      <c r="F693">
        <v>0.795234798531305</v>
      </c>
      <c r="G693">
        <v>0.643697893561761</v>
      </c>
      <c r="H693">
        <v>0.665947616365827</v>
      </c>
      <c r="I693">
        <v>0.457745911462868</v>
      </c>
      <c r="J693">
        <v>0.351109264248528</v>
      </c>
      <c r="K693">
        <v>0.221556244409352</v>
      </c>
      <c r="L693">
        <v>368.381460304536</v>
      </c>
      <c r="M693">
        <v>6.23862170892749</v>
      </c>
      <c r="N693">
        <v>59.048533071477</v>
      </c>
      <c r="O693">
        <v>53.8497830159074</v>
      </c>
      <c r="P693">
        <v>-0.0290446447829295</v>
      </c>
      <c r="Q693">
        <v>0</v>
      </c>
      <c r="R693">
        <v>0.83827194587337</v>
      </c>
      <c r="S693" t="s">
        <v>2886</v>
      </c>
      <c r="T693" t="s">
        <v>4362</v>
      </c>
      <c r="U693" t="s">
        <v>4362</v>
      </c>
      <c r="V693" t="s">
        <v>4362</v>
      </c>
      <c r="W693" t="s">
        <v>5053</v>
      </c>
      <c r="X693">
        <v>8</v>
      </c>
      <c r="Y693" t="s">
        <v>7214</v>
      </c>
      <c r="Z693" t="s">
        <v>9381</v>
      </c>
      <c r="AA693">
        <v>0.6824277333424149</v>
      </c>
      <c r="AB693">
        <f>HYPERLINK("Melting_Curves/meltCurve_P0AC47_frdB.pdf", "Melting_Curves/meltCurve_P0AC47_frdB.pdf")</f>
        <v>0</v>
      </c>
    </row>
    <row r="694" spans="1:28">
      <c r="A694" t="s">
        <v>720</v>
      </c>
      <c r="B694">
        <v>0.999739202189716</v>
      </c>
      <c r="C694">
        <v>0.978302014484788</v>
      </c>
      <c r="D694">
        <v>0.99052410277806</v>
      </c>
      <c r="E694">
        <v>1.04164813817766</v>
      </c>
      <c r="F694">
        <v>1.01110180315075</v>
      </c>
      <c r="G694">
        <v>0.864137926461918</v>
      </c>
      <c r="H694">
        <v>0.797933799839557</v>
      </c>
      <c r="I694">
        <v>0.667244459244853</v>
      </c>
      <c r="J694">
        <v>0.613790736924673</v>
      </c>
      <c r="K694">
        <v>0.511028182069418</v>
      </c>
      <c r="L694">
        <v>884.396947367914</v>
      </c>
      <c r="M694">
        <v>14.8576978708018</v>
      </c>
      <c r="O694">
        <v>58.4773945935951</v>
      </c>
      <c r="P694">
        <v>-0.0354920445659561</v>
      </c>
      <c r="Q694">
        <v>0.441295780303849</v>
      </c>
      <c r="R694">
        <v>0.975883678861049</v>
      </c>
      <c r="S694" t="s">
        <v>2887</v>
      </c>
      <c r="T694" t="s">
        <v>4362</v>
      </c>
      <c r="U694" t="s">
        <v>4362</v>
      </c>
      <c r="V694" t="s">
        <v>4362</v>
      </c>
      <c r="W694" t="s">
        <v>5054</v>
      </c>
      <c r="X694">
        <v>3</v>
      </c>
      <c r="Y694" t="s">
        <v>7215</v>
      </c>
      <c r="Z694" t="s">
        <v>9382</v>
      </c>
      <c r="AA694">
        <v>0.858509062852812</v>
      </c>
      <c r="AB694">
        <f>HYPERLINK("Melting_Curves/meltCurve_P0AC51_zur.pdf", "Melting_Curves/meltCurve_P0AC51_zur.pdf")</f>
        <v>0</v>
      </c>
    </row>
    <row r="695" spans="1:28">
      <c r="A695" t="s">
        <v>721</v>
      </c>
      <c r="B695">
        <v>0.999739202189716</v>
      </c>
      <c r="C695">
        <v>1.23679163264183</v>
      </c>
      <c r="D695">
        <v>1.02041769087057</v>
      </c>
      <c r="E695">
        <v>0.622115111166983</v>
      </c>
      <c r="F695">
        <v>0.213059792216557</v>
      </c>
      <c r="G695">
        <v>0.137323560599139</v>
      </c>
      <c r="H695">
        <v>0.095892245402068</v>
      </c>
      <c r="I695">
        <v>0.0749789464350176</v>
      </c>
      <c r="J695">
        <v>0.08052873189545461</v>
      </c>
      <c r="K695">
        <v>0.06906840405161049</v>
      </c>
      <c r="L695">
        <v>1631.89544964134</v>
      </c>
      <c r="M695">
        <v>34.5904664377268</v>
      </c>
      <c r="N695">
        <v>47.4536147169356</v>
      </c>
      <c r="O695">
        <v>47.0207628067436</v>
      </c>
      <c r="P695">
        <v>-0.167152976035296</v>
      </c>
      <c r="Q695">
        <v>0.09112167910443129</v>
      </c>
      <c r="R695">
        <v>0.968506724364894</v>
      </c>
      <c r="S695" t="s">
        <v>2888</v>
      </c>
      <c r="T695" t="s">
        <v>4362</v>
      </c>
      <c r="U695" t="s">
        <v>4362</v>
      </c>
      <c r="V695" t="s">
        <v>4362</v>
      </c>
      <c r="W695" t="s">
        <v>5055</v>
      </c>
      <c r="X695">
        <v>19</v>
      </c>
      <c r="Y695" t="s">
        <v>7216</v>
      </c>
      <c r="Z695" t="s">
        <v>9383</v>
      </c>
      <c r="AA695">
        <v>0.4034369945150231</v>
      </c>
      <c r="AB695">
        <f>HYPERLINK("Melting_Curves/meltCurve_P0AC53_zwf.pdf", "Melting_Curves/meltCurve_P0AC53_zwf.pdf")</f>
        <v>0</v>
      </c>
    </row>
    <row r="696" spans="1:28">
      <c r="A696" t="s">
        <v>722</v>
      </c>
      <c r="B696">
        <v>0.999739202189716</v>
      </c>
      <c r="C696">
        <v>0.875851219112988</v>
      </c>
      <c r="D696">
        <v>0.890123994949916</v>
      </c>
      <c r="E696">
        <v>0.750785415439988</v>
      </c>
      <c r="F696">
        <v>0.426612655863915</v>
      </c>
      <c r="G696">
        <v>0.215248723376375</v>
      </c>
      <c r="H696">
        <v>0.108730657407447</v>
      </c>
      <c r="I696">
        <v>0.0859297994397405</v>
      </c>
      <c r="J696">
        <v>0.0810322673646421</v>
      </c>
      <c r="K696">
        <v>0.0632040453761593</v>
      </c>
      <c r="L696">
        <v>786.766439542387</v>
      </c>
      <c r="M696">
        <v>16.0516069484169</v>
      </c>
      <c r="N696">
        <v>49.2987616471546</v>
      </c>
      <c r="O696">
        <v>48.2729930525493</v>
      </c>
      <c r="P696">
        <v>-0.0794649400408791</v>
      </c>
      <c r="Q696">
        <v>0.0441547412055645</v>
      </c>
      <c r="R696">
        <v>0.990459987303559</v>
      </c>
      <c r="S696" t="s">
        <v>2889</v>
      </c>
      <c r="T696" t="s">
        <v>4362</v>
      </c>
      <c r="U696" t="s">
        <v>4362</v>
      </c>
      <c r="V696" t="s">
        <v>4362</v>
      </c>
      <c r="W696" t="s">
        <v>5056</v>
      </c>
      <c r="X696">
        <v>13</v>
      </c>
      <c r="Y696" t="s">
        <v>7217</v>
      </c>
      <c r="Z696" t="s">
        <v>9384</v>
      </c>
      <c r="AA696">
        <v>0.4454052050659087</v>
      </c>
      <c r="AB696">
        <f>HYPERLINK("Melting_Curves/meltCurve_P0AC59_grxB.pdf", "Melting_Curves/meltCurve_P0AC59_grxB.pdf")</f>
        <v>0</v>
      </c>
    </row>
    <row r="697" spans="1:28">
      <c r="A697" t="s">
        <v>723</v>
      </c>
      <c r="B697">
        <v>0.999739202189716</v>
      </c>
      <c r="C697">
        <v>1.0427135517617</v>
      </c>
      <c r="D697">
        <v>0.823373626200669</v>
      </c>
      <c r="E697">
        <v>0.8335208677625749</v>
      </c>
      <c r="F697">
        <v>0.937682138647136</v>
      </c>
      <c r="G697">
        <v>0.671631851112621</v>
      </c>
      <c r="H697">
        <v>0.604346440895382</v>
      </c>
      <c r="I697">
        <v>0.496374428852324</v>
      </c>
      <c r="J697">
        <v>0.5081949662977771</v>
      </c>
      <c r="K697">
        <v>0.507251059620929</v>
      </c>
      <c r="L697">
        <v>468.637204286365</v>
      </c>
      <c r="M697">
        <v>8.577149526210491</v>
      </c>
      <c r="N697">
        <v>64.4366482410091</v>
      </c>
      <c r="O697">
        <v>51.9110282857739</v>
      </c>
      <c r="P697">
        <v>-0.0262808641159417</v>
      </c>
      <c r="Q697">
        <v>0.36432049917563</v>
      </c>
      <c r="R697">
        <v>0.885272582939334</v>
      </c>
      <c r="S697" t="s">
        <v>2890</v>
      </c>
      <c r="T697" t="s">
        <v>4362</v>
      </c>
      <c r="U697" t="s">
        <v>4362</v>
      </c>
      <c r="V697" t="s">
        <v>4362</v>
      </c>
      <c r="W697" t="s">
        <v>5057</v>
      </c>
      <c r="X697">
        <v>6</v>
      </c>
      <c r="Y697" t="s">
        <v>7218</v>
      </c>
      <c r="Z697" t="s">
        <v>9385</v>
      </c>
      <c r="AA697">
        <v>0.7453201419712016</v>
      </c>
      <c r="AB697">
        <f>HYPERLINK("Melting_Curves/meltCurve_P0AC62_grxC.pdf", "Melting_Curves/meltCurve_P0AC62_grxC.pdf")</f>
        <v>0</v>
      </c>
    </row>
    <row r="698" spans="1:28">
      <c r="A698" t="s">
        <v>724</v>
      </c>
      <c r="B698">
        <v>0.999739202189716</v>
      </c>
      <c r="C698">
        <v>0.91350680790158</v>
      </c>
      <c r="D698">
        <v>0.924771836619949</v>
      </c>
      <c r="E698">
        <v>0.90224908622847</v>
      </c>
      <c r="F698">
        <v>0.876827672416266</v>
      </c>
      <c r="G698">
        <v>0.641611377945603</v>
      </c>
      <c r="H698">
        <v>0.560032624818223</v>
      </c>
      <c r="I698">
        <v>0.461248764775427</v>
      </c>
      <c r="J698">
        <v>0.351206321431031</v>
      </c>
      <c r="K698">
        <v>0.336731981612485</v>
      </c>
      <c r="L698">
        <v>509.914842007567</v>
      </c>
      <c r="M698">
        <v>8.91733065245595</v>
      </c>
      <c r="N698">
        <v>59.2898151390059</v>
      </c>
      <c r="O698">
        <v>54.5260624311217</v>
      </c>
      <c r="P698">
        <v>-0.0353592309425151</v>
      </c>
      <c r="Q698">
        <v>0.135817258480383</v>
      </c>
      <c r="R698">
        <v>0.9768303993197101</v>
      </c>
      <c r="S698" t="s">
        <v>2891</v>
      </c>
      <c r="T698" t="s">
        <v>4362</v>
      </c>
      <c r="U698" t="s">
        <v>4362</v>
      </c>
      <c r="V698" t="s">
        <v>4362</v>
      </c>
      <c r="W698" t="s">
        <v>5058</v>
      </c>
      <c r="X698">
        <v>5</v>
      </c>
      <c r="Y698" t="s">
        <v>7219</v>
      </c>
      <c r="Z698" t="s">
        <v>9386</v>
      </c>
      <c r="AA698">
        <v>0.7110439314629158</v>
      </c>
      <c r="AB698">
        <f>HYPERLINK("Melting_Curves/meltCurve_P0AC69_grxD.pdf", "Melting_Curves/meltCurve_P0AC69_grxD.pdf")</f>
        <v>0</v>
      </c>
    </row>
    <row r="699" spans="1:28">
      <c r="A699" t="s">
        <v>725</v>
      </c>
      <c r="B699">
        <v>0.999739202189716</v>
      </c>
      <c r="C699">
        <v>0.891708014720464</v>
      </c>
      <c r="D699">
        <v>0.955949115785335</v>
      </c>
      <c r="E699">
        <v>0.791026593085266</v>
      </c>
      <c r="F699">
        <v>0.845228538047086</v>
      </c>
      <c r="G699">
        <v>0.6756094764689961</v>
      </c>
      <c r="H699">
        <v>0.40824629483156</v>
      </c>
      <c r="I699">
        <v>0.173030735289464</v>
      </c>
      <c r="J699">
        <v>0.18633233345242</v>
      </c>
      <c r="K699">
        <v>0.186348259418407</v>
      </c>
      <c r="L699">
        <v>656.423011191899</v>
      </c>
      <c r="M699">
        <v>11.791210275053</v>
      </c>
      <c r="N699">
        <v>55.7840242823642</v>
      </c>
      <c r="O699">
        <v>54.1416686223149</v>
      </c>
      <c r="P699">
        <v>-0.0538147137631544</v>
      </c>
      <c r="Q699">
        <v>0.0118513003628583</v>
      </c>
      <c r="R699">
        <v>0.956012894174291</v>
      </c>
      <c r="S699" t="s">
        <v>2892</v>
      </c>
      <c r="T699" t="s">
        <v>4362</v>
      </c>
      <c r="U699" t="s">
        <v>4362</v>
      </c>
      <c r="V699" t="s">
        <v>4362</v>
      </c>
      <c r="W699" t="s">
        <v>5059</v>
      </c>
      <c r="X699">
        <v>3</v>
      </c>
      <c r="Y699" t="s">
        <v>7220</v>
      </c>
      <c r="Z699" t="s">
        <v>9387</v>
      </c>
      <c r="AA699">
        <v>0.6378044392665768</v>
      </c>
      <c r="AB699">
        <f>HYPERLINK("Melting_Curves/meltCurve_P0AC73_ebgC.pdf", "Melting_Curves/meltCurve_P0AC73_ebgC.pdf")</f>
        <v>0</v>
      </c>
    </row>
    <row r="700" spans="1:28">
      <c r="A700" t="s">
        <v>726</v>
      </c>
      <c r="B700">
        <v>0.999739202189716</v>
      </c>
      <c r="C700">
        <v>0.709323313557174</v>
      </c>
      <c r="D700">
        <v>0.6444095353204849</v>
      </c>
      <c r="E700">
        <v>0.3071012583385</v>
      </c>
      <c r="F700">
        <v>0.29896193144522</v>
      </c>
      <c r="G700">
        <v>0.176782990010145</v>
      </c>
      <c r="H700">
        <v>0.146096117151222</v>
      </c>
      <c r="I700">
        <v>0.190589649376032</v>
      </c>
      <c r="J700">
        <v>0.106452192639714</v>
      </c>
      <c r="K700">
        <v>0.0924912495044295</v>
      </c>
      <c r="L700">
        <v>576.963223699694</v>
      </c>
      <c r="M700">
        <v>13.2962082471628</v>
      </c>
      <c r="N700">
        <v>44.299631631673</v>
      </c>
      <c r="O700">
        <v>42.4467474741688</v>
      </c>
      <c r="P700">
        <v>-0.0689945828576982</v>
      </c>
      <c r="Q700">
        <v>0.119110736927775</v>
      </c>
      <c r="R700">
        <v>0.967310816933584</v>
      </c>
      <c r="S700" t="s">
        <v>2893</v>
      </c>
      <c r="T700" t="s">
        <v>4362</v>
      </c>
      <c r="U700" t="s">
        <v>4362</v>
      </c>
      <c r="V700" t="s">
        <v>4362</v>
      </c>
      <c r="W700" t="s">
        <v>5060</v>
      </c>
      <c r="X700">
        <v>4</v>
      </c>
      <c r="Y700" t="s">
        <v>7221</v>
      </c>
      <c r="Z700" t="s">
        <v>9388</v>
      </c>
      <c r="AA700">
        <v>0.3358933061053445</v>
      </c>
      <c r="AB700">
        <f>HYPERLINK("Melting_Curves/meltCurve_P0AC75_waaA.pdf", "Melting_Curves/meltCurve_P0AC75_waaA.pdf")</f>
        <v>0</v>
      </c>
    </row>
    <row r="701" spans="1:28">
      <c r="A701" t="s">
        <v>727</v>
      </c>
      <c r="B701">
        <v>0.999739202189716</v>
      </c>
      <c r="C701">
        <v>0.952479698498509</v>
      </c>
      <c r="D701">
        <v>0.934031591125794</v>
      </c>
      <c r="E701">
        <v>0.921943642450722</v>
      </c>
      <c r="F701">
        <v>0.5781724989875771</v>
      </c>
      <c r="G701">
        <v>0.372455723820806</v>
      </c>
      <c r="H701">
        <v>0.199320448225867</v>
      </c>
      <c r="I701">
        <v>0.14602668918276</v>
      </c>
      <c r="J701">
        <v>0.109951959573515</v>
      </c>
      <c r="K701">
        <v>0.115284847698322</v>
      </c>
      <c r="L701">
        <v>950.507058922207</v>
      </c>
      <c r="M701">
        <v>18.6342929129426</v>
      </c>
      <c r="N701">
        <v>51.6384596947369</v>
      </c>
      <c r="O701">
        <v>50.4319300674736</v>
      </c>
      <c r="P701">
        <v>-0.08298542151093311</v>
      </c>
      <c r="Q701">
        <v>0.101670266306691</v>
      </c>
      <c r="R701">
        <v>0.993734643789083</v>
      </c>
      <c r="S701" t="s">
        <v>2894</v>
      </c>
      <c r="T701" t="s">
        <v>4362</v>
      </c>
      <c r="U701" t="s">
        <v>4362</v>
      </c>
      <c r="V701" t="s">
        <v>4362</v>
      </c>
      <c r="W701" t="s">
        <v>5061</v>
      </c>
      <c r="X701">
        <v>4</v>
      </c>
      <c r="Y701" t="s">
        <v>7222</v>
      </c>
      <c r="Z701" t="s">
        <v>9389</v>
      </c>
      <c r="AA701">
        <v>0.5343393175849085</v>
      </c>
      <c r="AB701">
        <f>HYPERLINK("Melting_Curves/meltCurve_P0AC81_gloA.pdf", "Melting_Curves/meltCurve_P0AC81_gloA.pdf")</f>
        <v>0</v>
      </c>
    </row>
    <row r="702" spans="1:28">
      <c r="A702" t="s">
        <v>728</v>
      </c>
      <c r="B702">
        <v>0.999739202189716</v>
      </c>
      <c r="C702">
        <v>0.90634432548169</v>
      </c>
      <c r="D702">
        <v>0.836430509997795</v>
      </c>
      <c r="E702">
        <v>0.934900473616054</v>
      </c>
      <c r="F702">
        <v>0.850277264049472</v>
      </c>
      <c r="G702">
        <v>0.71079227431362</v>
      </c>
      <c r="H702">
        <v>0.719851026736171</v>
      </c>
      <c r="I702">
        <v>0.551319443602124</v>
      </c>
      <c r="J702">
        <v>0.357340770185322</v>
      </c>
      <c r="K702">
        <v>0.13479352001431</v>
      </c>
      <c r="L702">
        <v>608.160735665068</v>
      </c>
      <c r="M702">
        <v>10.0893166007896</v>
      </c>
      <c r="N702">
        <v>60.2776998212043</v>
      </c>
      <c r="O702">
        <v>58.0533741289818</v>
      </c>
      <c r="P702">
        <v>-0.0434688739707136</v>
      </c>
      <c r="Q702">
        <v>0</v>
      </c>
      <c r="R702">
        <v>0.902129207959475</v>
      </c>
      <c r="S702" t="s">
        <v>2895</v>
      </c>
      <c r="T702" t="s">
        <v>4362</v>
      </c>
      <c r="U702" t="s">
        <v>4362</v>
      </c>
      <c r="V702" t="s">
        <v>4362</v>
      </c>
      <c r="W702" t="s">
        <v>5062</v>
      </c>
      <c r="X702">
        <v>6</v>
      </c>
      <c r="Y702" t="s">
        <v>7223</v>
      </c>
      <c r="Z702" t="s">
        <v>9390</v>
      </c>
      <c r="AA702">
        <v>0.7467590681190612</v>
      </c>
      <c r="AB702">
        <f>HYPERLINK("Melting_Curves/meltCurve_P0AC84_gloB.pdf", "Melting_Curves/meltCurve_P0AC84_gloB.pdf")</f>
        <v>0</v>
      </c>
    </row>
    <row r="703" spans="1:28">
      <c r="A703" t="s">
        <v>729</v>
      </c>
      <c r="B703">
        <v>0.999739202189716</v>
      </c>
      <c r="C703">
        <v>0.8584433914681719</v>
      </c>
      <c r="D703">
        <v>0.534769021298933</v>
      </c>
      <c r="E703">
        <v>0.394420755689874</v>
      </c>
      <c r="F703">
        <v>0.61039698835044</v>
      </c>
      <c r="G703">
        <v>0.459802605801524</v>
      </c>
      <c r="H703">
        <v>0.557454106518359</v>
      </c>
      <c r="I703">
        <v>0.522536655167394</v>
      </c>
      <c r="J703">
        <v>0.5249868640306889</v>
      </c>
      <c r="K703">
        <v>0.259526683480814</v>
      </c>
      <c r="L703">
        <v>1794.13192532683</v>
      </c>
      <c r="M703">
        <v>43.9522692118715</v>
      </c>
      <c r="N703">
        <v>43.8587153834842</v>
      </c>
      <c r="O703">
        <v>40.7357506017877</v>
      </c>
      <c r="P703">
        <v>-0.141288251591089</v>
      </c>
      <c r="Q703">
        <v>0.476206497148815</v>
      </c>
      <c r="R703">
        <v>0.798635673873788</v>
      </c>
      <c r="S703" t="s">
        <v>2896</v>
      </c>
      <c r="T703" t="s">
        <v>4362</v>
      </c>
      <c r="U703" t="s">
        <v>4362</v>
      </c>
      <c r="V703" t="s">
        <v>4362</v>
      </c>
      <c r="W703" t="s">
        <v>5063</v>
      </c>
      <c r="X703">
        <v>7</v>
      </c>
      <c r="Y703" t="s">
        <v>7224</v>
      </c>
      <c r="Z703" t="s">
        <v>9391</v>
      </c>
      <c r="AA703">
        <v>0.5442617874427739</v>
      </c>
      <c r="AB703">
        <f>HYPERLINK("Melting_Curves/meltCurve_P0AC86_glgP.pdf", "Melting_Curves/meltCurve_P0AC86_glgP.pdf")</f>
        <v>0</v>
      </c>
    </row>
    <row r="704" spans="1:28">
      <c r="A704" t="s">
        <v>730</v>
      </c>
      <c r="B704">
        <v>0.999739202189716</v>
      </c>
      <c r="C704">
        <v>1.10383035301799</v>
      </c>
      <c r="D704">
        <v>0.884027586480055</v>
      </c>
      <c r="E704">
        <v>0.914018759358037</v>
      </c>
      <c r="F704">
        <v>0.8488172653923221</v>
      </c>
      <c r="G704">
        <v>0.677774728622469</v>
      </c>
      <c r="H704">
        <v>0.523200707958532</v>
      </c>
      <c r="I704">
        <v>0.421067152222618</v>
      </c>
      <c r="J704">
        <v>0.334249666891303</v>
      </c>
      <c r="K704">
        <v>0.404469447123481</v>
      </c>
      <c r="L704">
        <v>750.263272556834</v>
      </c>
      <c r="M704">
        <v>13.8681202381374</v>
      </c>
      <c r="N704">
        <v>58.189169898337</v>
      </c>
      <c r="O704">
        <v>53.0121852076937</v>
      </c>
      <c r="P704">
        <v>-0.045045784372262</v>
      </c>
      <c r="Q704">
        <v>0.31132768777576</v>
      </c>
      <c r="R704">
        <v>0.960455836602045</v>
      </c>
      <c r="S704" t="s">
        <v>2897</v>
      </c>
      <c r="T704" t="s">
        <v>4362</v>
      </c>
      <c r="U704" t="s">
        <v>4362</v>
      </c>
      <c r="V704" t="s">
        <v>4362</v>
      </c>
      <c r="W704" t="s">
        <v>5064</v>
      </c>
      <c r="X704">
        <v>5</v>
      </c>
      <c r="Y704" t="s">
        <v>7225</v>
      </c>
      <c r="Z704" t="s">
        <v>9392</v>
      </c>
      <c r="AA704">
        <v>0.7154229914466952</v>
      </c>
      <c r="AB704">
        <f>HYPERLINK("Melting_Curves/meltCurve_P0AC92_gnsA.pdf", "Melting_Curves/meltCurve_P0AC92_gnsA.pdf")</f>
        <v>0</v>
      </c>
    </row>
    <row r="705" spans="1:28">
      <c r="A705" t="s">
        <v>731</v>
      </c>
      <c r="B705">
        <v>0.999739202189716</v>
      </c>
      <c r="C705">
        <v>1.38170968649533</v>
      </c>
      <c r="D705">
        <v>0.79869371384487</v>
      </c>
      <c r="E705">
        <v>1.12337035917139</v>
      </c>
      <c r="F705">
        <v>0.764044285537305</v>
      </c>
      <c r="G705">
        <v>0.692061468264331</v>
      </c>
      <c r="H705">
        <v>0.652211309978687</v>
      </c>
      <c r="I705">
        <v>0.385819093770937</v>
      </c>
      <c r="J705">
        <v>0.292678670872602</v>
      </c>
      <c r="K705">
        <v>0.228407010373794</v>
      </c>
      <c r="L705">
        <v>657.235124920772</v>
      </c>
      <c r="M705">
        <v>11.24343544398</v>
      </c>
      <c r="N705">
        <v>58.9038524537979</v>
      </c>
      <c r="O705">
        <v>56.697368812647</v>
      </c>
      <c r="P705">
        <v>-0.0475559958169434</v>
      </c>
      <c r="Q705">
        <v>0.041053354098883</v>
      </c>
      <c r="R705">
        <v>0.808386771699878</v>
      </c>
      <c r="S705" t="s">
        <v>2898</v>
      </c>
      <c r="T705" t="s">
        <v>4362</v>
      </c>
      <c r="U705" t="s">
        <v>4362</v>
      </c>
      <c r="V705" t="s">
        <v>4362</v>
      </c>
      <c r="W705" t="s">
        <v>5065</v>
      </c>
      <c r="X705">
        <v>1</v>
      </c>
      <c r="Y705" t="s">
        <v>7226</v>
      </c>
      <c r="Z705" t="s">
        <v>9393</v>
      </c>
      <c r="AA705">
        <v>0.7201991288694539</v>
      </c>
      <c r="AB705">
        <f>HYPERLINK("Melting_Curves/meltCurve_P0AC98_satP.pdf", "Melting_Curves/meltCurve_P0AC98_satP.pdf")</f>
        <v>0</v>
      </c>
    </row>
    <row r="706" spans="1:28">
      <c r="A706" t="s">
        <v>732</v>
      </c>
      <c r="B706">
        <v>0.999739202189716</v>
      </c>
      <c r="C706">
        <v>0.822584894411385</v>
      </c>
      <c r="D706">
        <v>0.713835645990099</v>
      </c>
      <c r="E706">
        <v>0.537666751587168</v>
      </c>
      <c r="F706">
        <v>0.36790537077675</v>
      </c>
      <c r="G706">
        <v>0.165269140539967</v>
      </c>
      <c r="H706">
        <v>0.125288622878799</v>
      </c>
      <c r="I706">
        <v>0.0898698814545142</v>
      </c>
      <c r="J706">
        <v>0.0758126002198896</v>
      </c>
      <c r="K706">
        <v>0.0721469224549091</v>
      </c>
      <c r="L706">
        <v>508.768387505161</v>
      </c>
      <c r="M706">
        <v>10.8892213962447</v>
      </c>
      <c r="N706">
        <v>46.9095690812918</v>
      </c>
      <c r="O706">
        <v>45.2293285057984</v>
      </c>
      <c r="P706">
        <v>-0.0589287304747386</v>
      </c>
      <c r="Q706">
        <v>0.0212809608676351</v>
      </c>
      <c r="R706">
        <v>0.991856895082043</v>
      </c>
      <c r="S706" t="s">
        <v>2899</v>
      </c>
      <c r="T706" t="s">
        <v>4362</v>
      </c>
      <c r="U706" t="s">
        <v>4362</v>
      </c>
      <c r="V706" t="s">
        <v>4362</v>
      </c>
      <c r="W706" t="s">
        <v>5066</v>
      </c>
      <c r="X706">
        <v>3</v>
      </c>
      <c r="Y706" t="s">
        <v>7227</v>
      </c>
      <c r="Z706" t="s">
        <v>9394</v>
      </c>
      <c r="AA706">
        <v>0.3764294537721543</v>
      </c>
      <c r="AB706">
        <f>HYPERLINK("Melting_Curves/meltCurve_P0ACA1_yibF.pdf", "Melting_Curves/meltCurve_P0ACA1_yibF.pdf")</f>
        <v>0</v>
      </c>
    </row>
    <row r="707" spans="1:28">
      <c r="A707" t="s">
        <v>733</v>
      </c>
      <c r="B707">
        <v>0.999739202189716</v>
      </c>
      <c r="C707">
        <v>0.8927692825966</v>
      </c>
      <c r="D707">
        <v>0.996719276048882</v>
      </c>
      <c r="E707">
        <v>0.735247459966984</v>
      </c>
      <c r="F707">
        <v>0.690084979241088</v>
      </c>
      <c r="G707">
        <v>0.182955050471216</v>
      </c>
      <c r="H707">
        <v>0.109654538082348</v>
      </c>
      <c r="I707">
        <v>0.0759731329967341</v>
      </c>
      <c r="J707">
        <v>0.0540327990004452</v>
      </c>
      <c r="K707">
        <v>0.0578871503623072</v>
      </c>
      <c r="L707">
        <v>959.207535229576</v>
      </c>
      <c r="M707">
        <v>18.9128000592454</v>
      </c>
      <c r="N707">
        <v>50.8673310618549</v>
      </c>
      <c r="O707">
        <v>50.1605545518802</v>
      </c>
      <c r="P707">
        <v>-0.09170917481344559</v>
      </c>
      <c r="Q707">
        <v>0.0271145365821435</v>
      </c>
      <c r="R707">
        <v>0.968671632131974</v>
      </c>
      <c r="S707" t="s">
        <v>2900</v>
      </c>
      <c r="T707" t="s">
        <v>4362</v>
      </c>
      <c r="U707" t="s">
        <v>4362</v>
      </c>
      <c r="V707" t="s">
        <v>4362</v>
      </c>
      <c r="W707" t="s">
        <v>5067</v>
      </c>
      <c r="X707">
        <v>4</v>
      </c>
      <c r="Y707" t="s">
        <v>7228</v>
      </c>
      <c r="Z707" t="s">
        <v>9395</v>
      </c>
      <c r="AA707">
        <v>0.48597267262468</v>
      </c>
      <c r="AB707">
        <f>HYPERLINK("Melting_Curves/meltCurve_P0ACA3_sspA.pdf", "Melting_Curves/meltCurve_P0ACA3_sspA.pdf")</f>
        <v>0</v>
      </c>
    </row>
    <row r="708" spans="1:28">
      <c r="A708" t="s">
        <v>734</v>
      </c>
      <c r="B708">
        <v>0.999739202189716</v>
      </c>
      <c r="C708">
        <v>0.67625846613716</v>
      </c>
      <c r="D708">
        <v>0.635649396296938</v>
      </c>
      <c r="E708">
        <v>0.468963128571688</v>
      </c>
      <c r="F708">
        <v>0.415198518767448</v>
      </c>
      <c r="G708">
        <v>0.217201734517034</v>
      </c>
      <c r="H708">
        <v>0.115469162322059</v>
      </c>
      <c r="I708">
        <v>0.0643639219133753</v>
      </c>
      <c r="J708">
        <v>0.0798047974538542</v>
      </c>
      <c r="K708">
        <v>0.0682144584134539</v>
      </c>
      <c r="L708">
        <v>395.807723855836</v>
      </c>
      <c r="M708">
        <v>8.61096583820783</v>
      </c>
      <c r="N708">
        <v>45.9655436636338</v>
      </c>
      <c r="O708">
        <v>43.6880484226989</v>
      </c>
      <c r="P708">
        <v>-0.0493175786139891</v>
      </c>
      <c r="Q708">
        <v>0</v>
      </c>
      <c r="R708">
        <v>0.961541993879467</v>
      </c>
      <c r="S708" t="s">
        <v>2901</v>
      </c>
      <c r="T708" t="s">
        <v>4362</v>
      </c>
      <c r="U708" t="s">
        <v>4362</v>
      </c>
      <c r="V708" t="s">
        <v>4362</v>
      </c>
      <c r="W708" t="s">
        <v>5068</v>
      </c>
      <c r="X708">
        <v>7</v>
      </c>
      <c r="Y708" t="s">
        <v>7229</v>
      </c>
      <c r="Z708" t="s">
        <v>9396</v>
      </c>
      <c r="AA708">
        <v>0.3562159512282896</v>
      </c>
      <c r="AB708">
        <f>HYPERLINK("Melting_Curves/meltCurve_P0ACA7_gstB.pdf", "Melting_Curves/meltCurve_P0ACA7_gstB.pdf")</f>
        <v>0</v>
      </c>
    </row>
    <row r="709" spans="1:28">
      <c r="A709" t="s">
        <v>735</v>
      </c>
      <c r="B709">
        <v>0.999739202189716</v>
      </c>
      <c r="C709">
        <v>0.855889065504192</v>
      </c>
      <c r="D709">
        <v>0.862838016412617</v>
      </c>
      <c r="E709">
        <v>0.490136045412282</v>
      </c>
      <c r="F709">
        <v>0.450160755718065</v>
      </c>
      <c r="G709">
        <v>0.291386053391805</v>
      </c>
      <c r="H709">
        <v>0.303993644858592</v>
      </c>
      <c r="I709">
        <v>0.281569027989458</v>
      </c>
      <c r="J709">
        <v>0.245393618107977</v>
      </c>
      <c r="K709">
        <v>0.200184666627132</v>
      </c>
      <c r="L709">
        <v>657.044638483739</v>
      </c>
      <c r="M709">
        <v>14.3609741673822</v>
      </c>
      <c r="N709">
        <v>47.8653579096292</v>
      </c>
      <c r="O709">
        <v>44.8924042187775</v>
      </c>
      <c r="P709">
        <v>-0.0612055884805089</v>
      </c>
      <c r="Q709">
        <v>0.234777355181332</v>
      </c>
      <c r="R709">
        <v>0.970881117234929</v>
      </c>
      <c r="S709" t="s">
        <v>2902</v>
      </c>
      <c r="T709" t="s">
        <v>4362</v>
      </c>
      <c r="U709" t="s">
        <v>4362</v>
      </c>
      <c r="V709" t="s">
        <v>4362</v>
      </c>
      <c r="W709" t="s">
        <v>5069</v>
      </c>
      <c r="X709">
        <v>5</v>
      </c>
      <c r="Y709" t="s">
        <v>7230</v>
      </c>
      <c r="Z709" t="s">
        <v>9397</v>
      </c>
      <c r="AA709">
        <v>0.4773253810521002</v>
      </c>
      <c r="AB709">
        <f>HYPERLINK("Melting_Curves/meltCurve_P0ACB0_dnaB.pdf", "Melting_Curves/meltCurve_P0ACB0_dnaB.pdf")</f>
        <v>0</v>
      </c>
    </row>
    <row r="710" spans="1:28">
      <c r="A710" t="s">
        <v>736</v>
      </c>
      <c r="B710">
        <v>0.999739202189716</v>
      </c>
      <c r="C710">
        <v>1.20266739785513</v>
      </c>
      <c r="D710">
        <v>1.14697954225267</v>
      </c>
      <c r="E710">
        <v>1.24020498493836</v>
      </c>
      <c r="F710">
        <v>0.9864327425534331</v>
      </c>
      <c r="G710">
        <v>0.991332794308971</v>
      </c>
      <c r="H710">
        <v>0.504625253716311</v>
      </c>
      <c r="I710">
        <v>0.260000370973115</v>
      </c>
      <c r="J710">
        <v>0.176904628735431</v>
      </c>
      <c r="K710">
        <v>0.13436170191791</v>
      </c>
      <c r="L710">
        <v>2771.44611324438</v>
      </c>
      <c r="M710">
        <v>48.6151852755014</v>
      </c>
      <c r="N710">
        <v>57.5175148463407</v>
      </c>
      <c r="O710">
        <v>56.9116194300078</v>
      </c>
      <c r="P710">
        <v>-0.176182085252839</v>
      </c>
      <c r="Q710">
        <v>0.175006934919347</v>
      </c>
      <c r="R710">
        <v>0.929207593336008</v>
      </c>
      <c r="S710" t="s">
        <v>2903</v>
      </c>
      <c r="T710" t="s">
        <v>4362</v>
      </c>
      <c r="U710" t="s">
        <v>4362</v>
      </c>
      <c r="V710" t="s">
        <v>4362</v>
      </c>
      <c r="W710" t="s">
        <v>5070</v>
      </c>
      <c r="X710">
        <v>12</v>
      </c>
      <c r="Y710" t="s">
        <v>7231</v>
      </c>
      <c r="Z710" t="s">
        <v>9398</v>
      </c>
      <c r="AA710">
        <v>0.7273794612119822</v>
      </c>
      <c r="AB710">
        <f>HYPERLINK("Melting_Curves/meltCurve_P0ACB2_hemB.pdf", "Melting_Curves/meltCurve_P0ACB2_hemB.pdf")</f>
        <v>0</v>
      </c>
    </row>
    <row r="711" spans="1:28">
      <c r="A711" t="s">
        <v>737</v>
      </c>
      <c r="B711">
        <v>0.999739202189716</v>
      </c>
      <c r="C711">
        <v>0.926192304773964</v>
      </c>
      <c r="D711">
        <v>0.943593771037595</v>
      </c>
      <c r="E711">
        <v>0.968526836839114</v>
      </c>
      <c r="F711">
        <v>0.838180955721921</v>
      </c>
      <c r="G711">
        <v>0.5914189473764651</v>
      </c>
      <c r="H711">
        <v>0.272524286814333</v>
      </c>
      <c r="I711">
        <v>0.16290762350575</v>
      </c>
      <c r="J711">
        <v>0.128710885681009</v>
      </c>
      <c r="K711">
        <v>0.126806460890994</v>
      </c>
      <c r="L711">
        <v>1176.48719267262</v>
      </c>
      <c r="M711">
        <v>21.796776037828</v>
      </c>
      <c r="N711">
        <v>54.5401314202996</v>
      </c>
      <c r="O711">
        <v>53.5271453605296</v>
      </c>
      <c r="P711">
        <v>-0.0915187917460506</v>
      </c>
      <c r="Q711">
        <v>0.101036871856165</v>
      </c>
      <c r="R711">
        <v>0.992645281863451</v>
      </c>
      <c r="S711" t="s">
        <v>2904</v>
      </c>
      <c r="T711" t="s">
        <v>4362</v>
      </c>
      <c r="U711" t="s">
        <v>4362</v>
      </c>
      <c r="V711" t="s">
        <v>4362</v>
      </c>
      <c r="W711" t="s">
        <v>5071</v>
      </c>
      <c r="X711">
        <v>10</v>
      </c>
      <c r="Y711" t="s">
        <v>7232</v>
      </c>
      <c r="Z711" t="s">
        <v>9399</v>
      </c>
      <c r="AA711">
        <v>0.6193901315707203</v>
      </c>
      <c r="AB711">
        <f>HYPERLINK("Melting_Curves/meltCurve_P0ACB7_hemY.pdf", "Melting_Curves/meltCurve_P0ACB7_hemY.pdf")</f>
        <v>0</v>
      </c>
    </row>
    <row r="712" spans="1:28">
      <c r="A712" t="s">
        <v>738</v>
      </c>
      <c r="B712">
        <v>0.999739202189716</v>
      </c>
      <c r="C712">
        <v>1.10887569698894</v>
      </c>
      <c r="D712">
        <v>0.7916438308692501</v>
      </c>
      <c r="E712">
        <v>0.7034607970505879</v>
      </c>
      <c r="F712">
        <v>0.331343716579056</v>
      </c>
      <c r="G712">
        <v>0.237369089010011</v>
      </c>
      <c r="H712">
        <v>0.201509250060299</v>
      </c>
      <c r="I712">
        <v>0.148105974071843</v>
      </c>
      <c r="J712">
        <v>0.139642801708138</v>
      </c>
      <c r="K712">
        <v>0.111430870552641</v>
      </c>
      <c r="L712">
        <v>864.491779196499</v>
      </c>
      <c r="M712">
        <v>18.1688646381332</v>
      </c>
      <c r="N712">
        <v>48.395649646696</v>
      </c>
      <c r="O712">
        <v>47.0157752571625</v>
      </c>
      <c r="P712">
        <v>-0.083885736977373</v>
      </c>
      <c r="Q712">
        <v>0.131753031839586</v>
      </c>
      <c r="R712">
        <v>0.974060657093792</v>
      </c>
      <c r="S712" t="s">
        <v>2905</v>
      </c>
      <c r="T712" t="s">
        <v>4362</v>
      </c>
      <c r="U712" t="s">
        <v>4362</v>
      </c>
      <c r="V712" t="s">
        <v>4362</v>
      </c>
      <c r="W712" t="s">
        <v>5072</v>
      </c>
      <c r="X712">
        <v>3</v>
      </c>
      <c r="Y712" t="s">
        <v>7233</v>
      </c>
      <c r="Z712" t="s">
        <v>9400</v>
      </c>
      <c r="AA712">
        <v>0.4516445129538478</v>
      </c>
      <c r="AB712">
        <f>HYPERLINK("Melting_Curves/meltCurve_P0ACC1_prmC.pdf", "Melting_Curves/meltCurve_P0ACC1_prmC.pdf")</f>
        <v>0</v>
      </c>
    </row>
    <row r="713" spans="1:28">
      <c r="A713" t="s">
        <v>739</v>
      </c>
      <c r="B713">
        <v>0.999739202189716</v>
      </c>
      <c r="C713">
        <v>1.32826119143021</v>
      </c>
      <c r="D713">
        <v>0.639333663294222</v>
      </c>
      <c r="E713">
        <v>1.16674670915275</v>
      </c>
      <c r="F713">
        <v>0.554629432303844</v>
      </c>
      <c r="G713">
        <v>0.50288001120328</v>
      </c>
      <c r="H713">
        <v>0.401262082474601</v>
      </c>
      <c r="I713">
        <v>0.343742507999262</v>
      </c>
      <c r="J713">
        <v>0.251699740447194</v>
      </c>
      <c r="K713">
        <v>0.490890439055987</v>
      </c>
      <c r="L713">
        <v>12497.5093653061</v>
      </c>
      <c r="M713">
        <v>250</v>
      </c>
      <c r="N713">
        <v>50.3101235069218</v>
      </c>
      <c r="O713">
        <v>49.9868489377106</v>
      </c>
      <c r="P713">
        <v>-0.752579415476097</v>
      </c>
      <c r="Q713">
        <v>0.398094949931461</v>
      </c>
      <c r="R713">
        <v>0.745508482496042</v>
      </c>
      <c r="S713" t="s">
        <v>2906</v>
      </c>
      <c r="T713" t="s">
        <v>4362</v>
      </c>
      <c r="U713" t="s">
        <v>4362</v>
      </c>
      <c r="V713" t="s">
        <v>4362</v>
      </c>
      <c r="W713" t="s">
        <v>5073</v>
      </c>
      <c r="X713">
        <v>3</v>
      </c>
      <c r="Y713" t="s">
        <v>7234</v>
      </c>
      <c r="Z713" t="s">
        <v>9401</v>
      </c>
      <c r="AA713">
        <v>0.6587733943904657</v>
      </c>
      <c r="AB713">
        <f>HYPERLINK("Melting_Curves/meltCurve_P0ACC3_erpA.pdf", "Melting_Curves/meltCurve_P0ACC3_erpA.pdf")</f>
        <v>0</v>
      </c>
    </row>
    <row r="714" spans="1:28">
      <c r="A714" t="s">
        <v>740</v>
      </c>
      <c r="B714">
        <v>0.999739202189716</v>
      </c>
      <c r="C714">
        <v>1.12353820638848</v>
      </c>
      <c r="D714">
        <v>1.14710730794087</v>
      </c>
      <c r="E714">
        <v>1.04549106034886</v>
      </c>
      <c r="F714">
        <v>1.03024471842586</v>
      </c>
      <c r="G714">
        <v>0.990112863352499</v>
      </c>
      <c r="H714">
        <v>0.773753455853504</v>
      </c>
      <c r="I714">
        <v>0.109990600084237</v>
      </c>
      <c r="J714">
        <v>0.08424352685728489</v>
      </c>
      <c r="K714">
        <v>0.06527834490693001</v>
      </c>
      <c r="L714">
        <v>4172.26210367616</v>
      </c>
      <c r="M714">
        <v>71.55919381774901</v>
      </c>
      <c r="N714">
        <v>58.4348297791958</v>
      </c>
      <c r="O714">
        <v>58.2595672682372</v>
      </c>
      <c r="P714">
        <v>-0.284509638607886</v>
      </c>
      <c r="Q714">
        <v>0.0734717708079763</v>
      </c>
      <c r="R714">
        <v>0.978934376357394</v>
      </c>
      <c r="S714" t="s">
        <v>2907</v>
      </c>
      <c r="T714" t="s">
        <v>4362</v>
      </c>
      <c r="U714" t="s">
        <v>4362</v>
      </c>
      <c r="V714" t="s">
        <v>4362</v>
      </c>
      <c r="W714" t="s">
        <v>5074</v>
      </c>
      <c r="X714">
        <v>14</v>
      </c>
      <c r="Y714" t="s">
        <v>7235</v>
      </c>
      <c r="Z714" t="s">
        <v>9402</v>
      </c>
      <c r="AA714">
        <v>0.7326195085036692</v>
      </c>
      <c r="AB714">
        <f>HYPERLINK("Melting_Curves/meltCurve_P0ACC7_glmU.pdf", "Melting_Curves/meltCurve_P0ACC7_glmU.pdf")</f>
        <v>0</v>
      </c>
    </row>
    <row r="715" spans="1:28">
      <c r="A715" t="s">
        <v>741</v>
      </c>
      <c r="B715">
        <v>0.999739202189716</v>
      </c>
      <c r="C715">
        <v>1.23842093463198</v>
      </c>
      <c r="D715">
        <v>0.774810203595979</v>
      </c>
      <c r="E715">
        <v>0.991963793882301</v>
      </c>
      <c r="F715">
        <v>1.07227112232478</v>
      </c>
      <c r="G715">
        <v>0.777752525047494</v>
      </c>
      <c r="H715">
        <v>0.743698278214902</v>
      </c>
      <c r="I715">
        <v>0.687766835236697</v>
      </c>
      <c r="J715">
        <v>0.634272807256513</v>
      </c>
      <c r="K715">
        <v>0.726789149226356</v>
      </c>
      <c r="L715">
        <v>13394.7734394676</v>
      </c>
      <c r="M715">
        <v>250</v>
      </c>
      <c r="O715">
        <v>53.5756650313103</v>
      </c>
      <c r="P715">
        <v>-0.352151768470979</v>
      </c>
      <c r="Q715">
        <v>0.698131757236913</v>
      </c>
      <c r="R715">
        <v>0.658221924002062</v>
      </c>
      <c r="S715" t="s">
        <v>2908</v>
      </c>
      <c r="T715" t="s">
        <v>4362</v>
      </c>
      <c r="U715" t="s">
        <v>4362</v>
      </c>
      <c r="V715" t="s">
        <v>4362</v>
      </c>
      <c r="W715" t="s">
        <v>5075</v>
      </c>
      <c r="X715">
        <v>4</v>
      </c>
      <c r="Y715" t="s">
        <v>7236</v>
      </c>
      <c r="Z715" t="s">
        <v>9403</v>
      </c>
      <c r="AA715">
        <v>0.8649835386944617</v>
      </c>
      <c r="AB715">
        <f>HYPERLINK("Melting_Curves/meltCurve_P0ACD4_iscU.pdf", "Melting_Curves/meltCurve_P0ACD4_iscU.pdf")</f>
        <v>0</v>
      </c>
    </row>
    <row r="716" spans="1:28">
      <c r="A716" t="s">
        <v>742</v>
      </c>
      <c r="B716">
        <v>0.999739202189716</v>
      </c>
      <c r="C716">
        <v>1.15731349764208</v>
      </c>
      <c r="D716">
        <v>0.9590918968938</v>
      </c>
      <c r="E716">
        <v>0.9676066764728301</v>
      </c>
      <c r="F716">
        <v>0.769959691541668</v>
      </c>
      <c r="G716">
        <v>0.676631440701868</v>
      </c>
      <c r="H716">
        <v>0.455985754512207</v>
      </c>
      <c r="I716">
        <v>0.413661594323224</v>
      </c>
      <c r="J716">
        <v>0.398793377359312</v>
      </c>
      <c r="K716">
        <v>0.327173191465888</v>
      </c>
      <c r="L716">
        <v>857.493252689735</v>
      </c>
      <c r="M716">
        <v>16.1138972241751</v>
      </c>
      <c r="N716">
        <v>57.006692448228</v>
      </c>
      <c r="O716">
        <v>52.4151936157773</v>
      </c>
      <c r="P716">
        <v>-0.0515884220062083</v>
      </c>
      <c r="Q716">
        <v>0.328825053004053</v>
      </c>
      <c r="R716">
        <v>0.95864874279769</v>
      </c>
      <c r="S716" t="s">
        <v>2909</v>
      </c>
      <c r="T716" t="s">
        <v>4362</v>
      </c>
      <c r="U716" t="s">
        <v>4362</v>
      </c>
      <c r="V716" t="s">
        <v>4362</v>
      </c>
      <c r="W716" t="s">
        <v>5076</v>
      </c>
      <c r="X716">
        <v>15</v>
      </c>
      <c r="Y716" t="s">
        <v>7237</v>
      </c>
      <c r="Z716" t="s">
        <v>9404</v>
      </c>
      <c r="AA716">
        <v>0.7025488484298811</v>
      </c>
      <c r="AB716">
        <f>HYPERLINK("Melting_Curves/meltCurve_P0ACD8_hyaB.pdf", "Melting_Curves/meltCurve_P0ACD8_hyaB.pdf")</f>
        <v>0</v>
      </c>
    </row>
    <row r="717" spans="1:28">
      <c r="A717" t="s">
        <v>743</v>
      </c>
      <c r="B717">
        <v>0.999739202189716</v>
      </c>
      <c r="C717">
        <v>1.25708857979638</v>
      </c>
      <c r="D717">
        <v>0.764857165888153</v>
      </c>
      <c r="E717">
        <v>0.790411222017707</v>
      </c>
      <c r="F717">
        <v>0.5880572117351111</v>
      </c>
      <c r="G717">
        <v>0.417265862592116</v>
      </c>
      <c r="H717">
        <v>0.351981361082009</v>
      </c>
      <c r="I717">
        <v>0.273499876983065</v>
      </c>
      <c r="J717">
        <v>0.27456400898678</v>
      </c>
      <c r="K717">
        <v>0.17672379808296</v>
      </c>
      <c r="L717">
        <v>656.4892287648</v>
      </c>
      <c r="M717">
        <v>13.135260561109</v>
      </c>
      <c r="N717">
        <v>52.0078080197798</v>
      </c>
      <c r="O717">
        <v>48.8633233326439</v>
      </c>
      <c r="P717">
        <v>-0.0537413885814546</v>
      </c>
      <c r="Q717">
        <v>0.200461293467681</v>
      </c>
      <c r="R717">
        <v>0.904773293766035</v>
      </c>
      <c r="S717" t="s">
        <v>2910</v>
      </c>
      <c r="T717" t="s">
        <v>4362</v>
      </c>
      <c r="U717" t="s">
        <v>4362</v>
      </c>
      <c r="V717" t="s">
        <v>4362</v>
      </c>
      <c r="W717" t="s">
        <v>5077</v>
      </c>
      <c r="X717">
        <v>11</v>
      </c>
      <c r="Y717" t="s">
        <v>7238</v>
      </c>
      <c r="Z717" t="s">
        <v>9405</v>
      </c>
      <c r="AA717">
        <v>0.5664269511850699</v>
      </c>
      <c r="AB717">
        <f>HYPERLINK("Melting_Curves/meltCurve_P0ACE0_hybC.pdf", "Melting_Curves/meltCurve_P0ACE0_hybC.pdf")</f>
        <v>0</v>
      </c>
    </row>
    <row r="718" spans="1:28">
      <c r="A718" t="s">
        <v>744</v>
      </c>
      <c r="B718">
        <v>0.999739202189716</v>
      </c>
      <c r="C718">
        <v>0.9836557674658351</v>
      </c>
      <c r="D718">
        <v>0.796896858419336</v>
      </c>
      <c r="E718">
        <v>0.805044945546869</v>
      </c>
      <c r="F718">
        <v>0.800572505332338</v>
      </c>
      <c r="G718">
        <v>0.69320409175041</v>
      </c>
      <c r="H718">
        <v>0.449226009314775</v>
      </c>
      <c r="I718">
        <v>0.390873881017446</v>
      </c>
      <c r="J718">
        <v>0.288255790122598</v>
      </c>
      <c r="K718">
        <v>0.305973166048355</v>
      </c>
      <c r="L718">
        <v>398.12539295678</v>
      </c>
      <c r="M718">
        <v>6.92011527608855</v>
      </c>
      <c r="N718">
        <v>57.5316128508603</v>
      </c>
      <c r="O718">
        <v>53.3034239985612</v>
      </c>
      <c r="P718">
        <v>-0.0325189973913675</v>
      </c>
      <c r="Q718">
        <v>0</v>
      </c>
      <c r="R718">
        <v>0.952174132140454</v>
      </c>
      <c r="S718" t="s">
        <v>2911</v>
      </c>
      <c r="T718" t="s">
        <v>4362</v>
      </c>
      <c r="U718" t="s">
        <v>4362</v>
      </c>
      <c r="V718" t="s">
        <v>4362</v>
      </c>
      <c r="W718" t="s">
        <v>5078</v>
      </c>
      <c r="X718">
        <v>1</v>
      </c>
      <c r="Y718" t="s">
        <v>7239</v>
      </c>
      <c r="Z718" t="s">
        <v>9406</v>
      </c>
      <c r="AA718">
        <v>0.6590503024301353</v>
      </c>
      <c r="AB718">
        <f>HYPERLINK("Melting_Curves/meltCurve_P0ACE3_hha.pdf", "Melting_Curves/meltCurve_P0ACE3_hha.pdf")</f>
        <v>0</v>
      </c>
    </row>
    <row r="719" spans="1:28">
      <c r="A719" t="s">
        <v>745</v>
      </c>
      <c r="B719">
        <v>0.999739202189716</v>
      </c>
      <c r="C719">
        <v>1.21102793740778</v>
      </c>
      <c r="D719">
        <v>0.891495997892394</v>
      </c>
      <c r="E719">
        <v>1.04056120621893</v>
      </c>
      <c r="F719">
        <v>0.814165401244528</v>
      </c>
      <c r="G719">
        <v>0.708004369008408</v>
      </c>
      <c r="H719">
        <v>0.526262695170262</v>
      </c>
      <c r="I719">
        <v>0.534935274063512</v>
      </c>
      <c r="J719">
        <v>0.357679604325154</v>
      </c>
      <c r="K719">
        <v>0.480897089020234</v>
      </c>
      <c r="L719">
        <v>994.220443406893</v>
      </c>
      <c r="M719">
        <v>18.6684620736571</v>
      </c>
      <c r="N719">
        <v>59.3178692953946</v>
      </c>
      <c r="O719">
        <v>52.6568802648966</v>
      </c>
      <c r="P719">
        <v>-0.0508967955734664</v>
      </c>
      <c r="Q719">
        <v>0.425779809332715</v>
      </c>
      <c r="R719">
        <v>0.889424815782484</v>
      </c>
      <c r="S719" t="s">
        <v>2912</v>
      </c>
      <c r="T719" t="s">
        <v>4362</v>
      </c>
      <c r="U719" t="s">
        <v>4362</v>
      </c>
      <c r="V719" t="s">
        <v>4362</v>
      </c>
      <c r="W719" t="s">
        <v>5079</v>
      </c>
      <c r="X719">
        <v>3</v>
      </c>
      <c r="Y719" t="s">
        <v>7240</v>
      </c>
      <c r="Z719" t="s">
        <v>9407</v>
      </c>
      <c r="AA719">
        <v>0.7448143047920939</v>
      </c>
      <c r="AB719">
        <f>HYPERLINK("Melting_Curves/meltCurve_P0ACE7_hinT.pdf", "Melting_Curves/meltCurve_P0ACE7_hinT.pdf")</f>
        <v>0</v>
      </c>
    </row>
    <row r="720" spans="1:28">
      <c r="A720" t="s">
        <v>746</v>
      </c>
      <c r="B720">
        <v>0.999739202189716</v>
      </c>
      <c r="C720">
        <v>1.4665573023103</v>
      </c>
      <c r="D720">
        <v>0.901742570464354</v>
      </c>
      <c r="E720">
        <v>1.25681417449585</v>
      </c>
      <c r="F720">
        <v>0.846465600447319</v>
      </c>
      <c r="G720">
        <v>0.721732412429008</v>
      </c>
      <c r="H720">
        <v>0.612752348900664</v>
      </c>
      <c r="I720">
        <v>0.406070165261858</v>
      </c>
      <c r="J720">
        <v>0.338698376085254</v>
      </c>
      <c r="K720">
        <v>0.447775751777905</v>
      </c>
      <c r="L720">
        <v>1187.4683808306</v>
      </c>
      <c r="M720">
        <v>21.6898557374657</v>
      </c>
      <c r="N720">
        <v>58.5637457952104</v>
      </c>
      <c r="O720">
        <v>54.288636967793</v>
      </c>
      <c r="P720">
        <v>-0.062094654096951</v>
      </c>
      <c r="Q720">
        <v>0.378335275959702</v>
      </c>
      <c r="R720">
        <v>0.741489197313716</v>
      </c>
      <c r="S720" t="s">
        <v>2913</v>
      </c>
      <c r="T720" t="s">
        <v>4362</v>
      </c>
      <c r="U720" t="s">
        <v>4362</v>
      </c>
      <c r="V720" t="s">
        <v>4362</v>
      </c>
      <c r="W720" t="s">
        <v>5080</v>
      </c>
      <c r="X720">
        <v>5</v>
      </c>
      <c r="Y720" t="s">
        <v>7241</v>
      </c>
      <c r="Z720" t="s">
        <v>9408</v>
      </c>
      <c r="AA720">
        <v>0.7526156235046744</v>
      </c>
      <c r="AB720">
        <f>HYPERLINK("Melting_Curves/meltCurve_P0ACF0_hupA.pdf", "Melting_Curves/meltCurve_P0ACF0_hupA.pdf")</f>
        <v>0</v>
      </c>
    </row>
    <row r="721" spans="1:28">
      <c r="A721" t="s">
        <v>747</v>
      </c>
      <c r="B721">
        <v>0.999739202189716</v>
      </c>
      <c r="C721">
        <v>1.16000551695935</v>
      </c>
      <c r="D721">
        <v>0.903609098539822</v>
      </c>
      <c r="E721">
        <v>0.986970875783627</v>
      </c>
      <c r="F721">
        <v>0.876009537750713</v>
      </c>
      <c r="G721">
        <v>0.673563758064248</v>
      </c>
      <c r="H721">
        <v>0.71501455095102</v>
      </c>
      <c r="I721">
        <v>0.481104712536799</v>
      </c>
      <c r="J721">
        <v>0.48407979416152</v>
      </c>
      <c r="K721">
        <v>0.501964241461714</v>
      </c>
      <c r="L721">
        <v>783.148530303602</v>
      </c>
      <c r="M721">
        <v>14.4470123649461</v>
      </c>
      <c r="N721">
        <v>64.1011345184327</v>
      </c>
      <c r="O721">
        <v>53.2014552263657</v>
      </c>
      <c r="P721">
        <v>-0.0375998646887133</v>
      </c>
      <c r="Q721">
        <v>0.446215340839486</v>
      </c>
      <c r="R721">
        <v>0.9005331505335959</v>
      </c>
      <c r="S721" t="s">
        <v>2914</v>
      </c>
      <c r="T721" t="s">
        <v>4362</v>
      </c>
      <c r="U721" t="s">
        <v>4362</v>
      </c>
      <c r="V721" t="s">
        <v>4362</v>
      </c>
      <c r="W721" t="s">
        <v>5081</v>
      </c>
      <c r="X721">
        <v>5</v>
      </c>
      <c r="Y721" t="s">
        <v>7242</v>
      </c>
      <c r="Z721" t="s">
        <v>9409</v>
      </c>
      <c r="AA721">
        <v>0.7728266466660144</v>
      </c>
      <c r="AB721">
        <f>HYPERLINK("Melting_Curves/meltCurve_P0ACF4_hupB.pdf", "Melting_Curves/meltCurve_P0ACF4_hupB.pdf")</f>
        <v>0</v>
      </c>
    </row>
    <row r="722" spans="1:28">
      <c r="A722" t="s">
        <v>748</v>
      </c>
      <c r="B722">
        <v>0.999739202189716</v>
      </c>
      <c r="C722">
        <v>1.54106179147752</v>
      </c>
      <c r="D722">
        <v>0.968665982403249</v>
      </c>
      <c r="E722">
        <v>1.0898228924395</v>
      </c>
      <c r="F722">
        <v>0.681046245014757</v>
      </c>
      <c r="G722">
        <v>0.596600065796103</v>
      </c>
      <c r="H722">
        <v>0.528850564970258</v>
      </c>
      <c r="I722">
        <v>0.47151115795111</v>
      </c>
      <c r="J722">
        <v>0.347366683190094</v>
      </c>
      <c r="K722">
        <v>0.4416238485727</v>
      </c>
      <c r="L722">
        <v>1409.20692141853</v>
      </c>
      <c r="M722">
        <v>27.7810676399192</v>
      </c>
      <c r="N722">
        <v>55.119487508285</v>
      </c>
      <c r="O722">
        <v>50.4647873679399</v>
      </c>
      <c r="P722">
        <v>-0.07632738205830381</v>
      </c>
      <c r="Q722">
        <v>0.445404846571761</v>
      </c>
      <c r="R722">
        <v>0.733568531057475</v>
      </c>
      <c r="S722" t="s">
        <v>2915</v>
      </c>
      <c r="T722" t="s">
        <v>4362</v>
      </c>
      <c r="U722" t="s">
        <v>4362</v>
      </c>
      <c r="V722" t="s">
        <v>4362</v>
      </c>
      <c r="W722" t="s">
        <v>5082</v>
      </c>
      <c r="X722">
        <v>7</v>
      </c>
      <c r="Y722" t="s">
        <v>7243</v>
      </c>
      <c r="Z722" t="s">
        <v>9410</v>
      </c>
      <c r="AA722">
        <v>0.7031360303055855</v>
      </c>
      <c r="AB722">
        <f>HYPERLINK("Melting_Curves/meltCurve_P0ACF8_hns.pdf", "Melting_Curves/meltCurve_P0ACF8_hns.pdf")</f>
        <v>0</v>
      </c>
    </row>
    <row r="723" spans="1:28">
      <c r="A723" t="s">
        <v>749</v>
      </c>
      <c r="B723">
        <v>0.999739202189716</v>
      </c>
      <c r="C723">
        <v>1.6123579119207</v>
      </c>
      <c r="D723">
        <v>1.28644021349387</v>
      </c>
      <c r="E723">
        <v>1.18099597164859</v>
      </c>
      <c r="F723">
        <v>0.74953336144952</v>
      </c>
      <c r="G723">
        <v>0.6182834453475829</v>
      </c>
      <c r="H723">
        <v>0.504183618604119</v>
      </c>
      <c r="I723">
        <v>0.434890120289178</v>
      </c>
      <c r="J723">
        <v>0.380884819440869</v>
      </c>
      <c r="K723">
        <v>0.395996035537889</v>
      </c>
      <c r="L723">
        <v>1414.14804358804</v>
      </c>
      <c r="M723">
        <v>27.1616157356091</v>
      </c>
      <c r="N723">
        <v>55.6967250005545</v>
      </c>
      <c r="O723">
        <v>51.7844485195386</v>
      </c>
      <c r="P723">
        <v>-0.07671627440625819</v>
      </c>
      <c r="Q723">
        <v>0.414957993536218</v>
      </c>
      <c r="R723">
        <v>0.693059247773845</v>
      </c>
      <c r="S723" t="s">
        <v>2916</v>
      </c>
      <c r="T723" t="s">
        <v>4362</v>
      </c>
      <c r="U723" t="s">
        <v>4362</v>
      </c>
      <c r="V723" t="s">
        <v>4362</v>
      </c>
      <c r="W723" t="s">
        <v>5083</v>
      </c>
      <c r="X723">
        <v>5</v>
      </c>
      <c r="Y723" t="s">
        <v>7244</v>
      </c>
      <c r="Z723" t="s">
        <v>9411</v>
      </c>
      <c r="AA723">
        <v>0.7131865162159763</v>
      </c>
      <c r="AB723">
        <f>HYPERLINK("Melting_Curves/meltCurve_P0ACG1_stpA.pdf", "Melting_Curves/meltCurve_P0ACG1_stpA.pdf")</f>
        <v>0</v>
      </c>
    </row>
    <row r="724" spans="1:28">
      <c r="A724" t="s">
        <v>750</v>
      </c>
      <c r="B724">
        <v>0.999739202189716</v>
      </c>
      <c r="C724">
        <v>0.90823244491525</v>
      </c>
      <c r="D724">
        <v>0.89781067536829</v>
      </c>
      <c r="E724">
        <v>0.576257138465979</v>
      </c>
      <c r="F724">
        <v>0.273891685317128</v>
      </c>
      <c r="G724">
        <v>0.171843300328687</v>
      </c>
      <c r="H724">
        <v>0.163686808641335</v>
      </c>
      <c r="I724">
        <v>0.145738330166802</v>
      </c>
      <c r="J724">
        <v>0.127706037935761</v>
      </c>
      <c r="K724">
        <v>0.115485605645338</v>
      </c>
      <c r="L724">
        <v>998.806919857042</v>
      </c>
      <c r="M724">
        <v>21.4029635117603</v>
      </c>
      <c r="N724">
        <v>47.325100366588</v>
      </c>
      <c r="O724">
        <v>46.2650981219741</v>
      </c>
      <c r="P724">
        <v>-0.100766117248628</v>
      </c>
      <c r="Q724">
        <v>0.128749017510502</v>
      </c>
      <c r="R724">
        <v>0.9950202504062921</v>
      </c>
      <c r="S724" t="s">
        <v>2917</v>
      </c>
      <c r="T724" t="s">
        <v>4362</v>
      </c>
      <c r="U724" t="s">
        <v>4362</v>
      </c>
      <c r="V724" t="s">
        <v>4362</v>
      </c>
      <c r="W724" t="s">
        <v>5084</v>
      </c>
      <c r="X724">
        <v>2</v>
      </c>
      <c r="Y724" t="s">
        <v>7245</v>
      </c>
      <c r="Z724" t="s">
        <v>9412</v>
      </c>
      <c r="AA724">
        <v>0.4194453513315363</v>
      </c>
      <c r="AB724">
        <f>HYPERLINK("Melting_Curves/meltCurve_P0ACG8_hslR.pdf", "Melting_Curves/meltCurve_P0ACG8_hslR.pdf")</f>
        <v>0</v>
      </c>
    </row>
    <row r="725" spans="1:28">
      <c r="A725" t="s">
        <v>751</v>
      </c>
      <c r="B725">
        <v>0.999739202189716</v>
      </c>
      <c r="C725">
        <v>0.908590504184316</v>
      </c>
      <c r="D725">
        <v>1.11433637030996</v>
      </c>
      <c r="E725">
        <v>0.497778011338626</v>
      </c>
      <c r="F725">
        <v>0.217656419132866</v>
      </c>
      <c r="G725">
        <v>0.123146555888157</v>
      </c>
      <c r="H725">
        <v>0.0955514819301379</v>
      </c>
      <c r="I725">
        <v>0.0684160189999764</v>
      </c>
      <c r="J725">
        <v>0.0671394103657548</v>
      </c>
      <c r="K725">
        <v>0.0564191595447482</v>
      </c>
      <c r="L725">
        <v>2675.98255356987</v>
      </c>
      <c r="M725">
        <v>57.6154804599323</v>
      </c>
      <c r="N725">
        <v>46.6295949233232</v>
      </c>
      <c r="O725">
        <v>46.3896952178218</v>
      </c>
      <c r="P725">
        <v>-0.278919078011458</v>
      </c>
      <c r="Q725">
        <v>0.101702231965069</v>
      </c>
      <c r="R725">
        <v>0.976587970774661</v>
      </c>
      <c r="S725" t="s">
        <v>2918</v>
      </c>
      <c r="T725" t="s">
        <v>4362</v>
      </c>
      <c r="U725" t="s">
        <v>4362</v>
      </c>
      <c r="V725" t="s">
        <v>4362</v>
      </c>
      <c r="W725" t="s">
        <v>5085</v>
      </c>
      <c r="X725">
        <v>9</v>
      </c>
      <c r="Y725" t="s">
        <v>7246</v>
      </c>
      <c r="Z725" t="s">
        <v>9413</v>
      </c>
      <c r="AA725">
        <v>0.3859168119354653</v>
      </c>
      <c r="AB725">
        <f>HYPERLINK("Melting_Curves/meltCurve_P0ACI0_rob.pdf", "Melting_Curves/meltCurve_P0ACI0_rob.pdf")</f>
        <v>0</v>
      </c>
    </row>
    <row r="726" spans="1:28">
      <c r="A726" t="s">
        <v>752</v>
      </c>
      <c r="B726">
        <v>0.999739202189716</v>
      </c>
      <c r="C726">
        <v>1.09150338270966</v>
      </c>
      <c r="D726">
        <v>1.28227723014611</v>
      </c>
      <c r="E726">
        <v>0.83139563442771</v>
      </c>
      <c r="F726">
        <v>0.556148746314724</v>
      </c>
      <c r="G726">
        <v>0.164106214755565</v>
      </c>
      <c r="H726">
        <v>0.116488739214627</v>
      </c>
      <c r="I726">
        <v>0.0800926930693516</v>
      </c>
      <c r="J726">
        <v>0.0734315650994122</v>
      </c>
      <c r="K726">
        <v>0.07097743529700209</v>
      </c>
      <c r="L726">
        <v>1446.47986030744</v>
      </c>
      <c r="M726">
        <v>28.8454562207527</v>
      </c>
      <c r="N726">
        <v>50.425888383156</v>
      </c>
      <c r="O726">
        <v>49.9066932728465</v>
      </c>
      <c r="P726">
        <v>-0.133803646698625</v>
      </c>
      <c r="Q726">
        <v>0.07401059365892849</v>
      </c>
      <c r="R726">
        <v>0.952862411139824</v>
      </c>
      <c r="S726" t="s">
        <v>2919</v>
      </c>
      <c r="T726" t="s">
        <v>4362</v>
      </c>
      <c r="U726" t="s">
        <v>4362</v>
      </c>
      <c r="V726" t="s">
        <v>4362</v>
      </c>
      <c r="W726" t="s">
        <v>5086</v>
      </c>
      <c r="X726">
        <v>11</v>
      </c>
      <c r="Y726" t="s">
        <v>7247</v>
      </c>
      <c r="Z726" t="s">
        <v>9414</v>
      </c>
      <c r="AA726">
        <v>0.4859261343920855</v>
      </c>
      <c r="AB726">
        <f>HYPERLINK("Melting_Curves/meltCurve_P0ACJ0_lrp.pdf", "Melting_Curves/meltCurve_P0ACJ0_lrp.pdf")</f>
        <v>0</v>
      </c>
    </row>
    <row r="727" spans="1:28">
      <c r="A727" t="s">
        <v>753</v>
      </c>
      <c r="B727">
        <v>0.999739202189716</v>
      </c>
      <c r="C727">
        <v>0.681878123589362</v>
      </c>
      <c r="D727">
        <v>0.820311743499746</v>
      </c>
      <c r="E727">
        <v>0.291244863905887</v>
      </c>
      <c r="F727">
        <v>0.10557857491436</v>
      </c>
      <c r="G727">
        <v>0.0570025175561237</v>
      </c>
      <c r="H727">
        <v>0.0455550197848048</v>
      </c>
      <c r="I727">
        <v>0.0349023895369394</v>
      </c>
      <c r="J727">
        <v>0.0337886775173299</v>
      </c>
      <c r="K727">
        <v>0.0307536462400776</v>
      </c>
      <c r="L727">
        <v>752.293041633774</v>
      </c>
      <c r="M727">
        <v>16.8474878405673</v>
      </c>
      <c r="N727">
        <v>44.7278093194579</v>
      </c>
      <c r="O727">
        <v>44.0382529552622</v>
      </c>
      <c r="P727">
        <v>-0.0943209275185352</v>
      </c>
      <c r="Q727">
        <v>0.0138679264462973</v>
      </c>
      <c r="R727">
        <v>0.944239929573124</v>
      </c>
      <c r="S727" t="s">
        <v>2920</v>
      </c>
      <c r="T727" t="s">
        <v>4362</v>
      </c>
      <c r="U727" t="s">
        <v>4362</v>
      </c>
      <c r="V727" t="s">
        <v>4362</v>
      </c>
      <c r="W727" t="s">
        <v>5087</v>
      </c>
      <c r="X727">
        <v>15</v>
      </c>
      <c r="Y727" t="s">
        <v>7248</v>
      </c>
      <c r="Z727" t="s">
        <v>9415</v>
      </c>
      <c r="AA727">
        <v>0.2841494584145597</v>
      </c>
      <c r="AB727">
        <f>HYPERLINK("Melting_Curves/meltCurve_P0ACJ8_crp.pdf", "Melting_Curves/meltCurve_P0ACJ8_crp.pdf")</f>
        <v>0</v>
      </c>
    </row>
    <row r="728" spans="1:28">
      <c r="A728" t="s">
        <v>754</v>
      </c>
      <c r="B728">
        <v>0.999739202189716</v>
      </c>
      <c r="C728">
        <v>0.870535985676159</v>
      </c>
      <c r="D728">
        <v>1.30771844376567</v>
      </c>
      <c r="E728">
        <v>0.95887317452303</v>
      </c>
      <c r="F728">
        <v>1.06838228709138</v>
      </c>
      <c r="G728">
        <v>0.786160950249463</v>
      </c>
      <c r="H728">
        <v>0.560269239953509</v>
      </c>
      <c r="I728">
        <v>0.337336792989126</v>
      </c>
      <c r="J728">
        <v>0.18123546197399</v>
      </c>
      <c r="K728">
        <v>0.0915291687074019</v>
      </c>
      <c r="L728">
        <v>1147.61799871036</v>
      </c>
      <c r="M728">
        <v>19.7855104437333</v>
      </c>
      <c r="N728">
        <v>58.3003955190182</v>
      </c>
      <c r="O728">
        <v>57.4201759363728</v>
      </c>
      <c r="P728">
        <v>-0.0820107366758356</v>
      </c>
      <c r="Q728">
        <v>0.0480081723817805</v>
      </c>
      <c r="R728">
        <v>0.913289953133112</v>
      </c>
      <c r="S728" t="s">
        <v>2921</v>
      </c>
      <c r="T728" t="s">
        <v>4362</v>
      </c>
      <c r="U728" t="s">
        <v>4362</v>
      </c>
      <c r="V728" t="s">
        <v>4362</v>
      </c>
      <c r="W728" t="s">
        <v>5088</v>
      </c>
      <c r="X728">
        <v>5</v>
      </c>
      <c r="Y728" t="s">
        <v>7249</v>
      </c>
      <c r="Z728" t="s">
        <v>9416</v>
      </c>
      <c r="AA728">
        <v>0.7209079223838463</v>
      </c>
      <c r="AB728">
        <f>HYPERLINK("Melting_Curves/meltCurve_P0ACK2_agaR.pdf", "Melting_Curves/meltCurve_P0ACK2_agaR.pdf")</f>
        <v>0</v>
      </c>
    </row>
    <row r="729" spans="1:28">
      <c r="A729" t="s">
        <v>755</v>
      </c>
      <c r="B729">
        <v>0.999739202189716</v>
      </c>
      <c r="C729">
        <v>1.14476411499703</v>
      </c>
      <c r="D729">
        <v>0.576792478412873</v>
      </c>
      <c r="E729">
        <v>0.600720168621687</v>
      </c>
      <c r="F729">
        <v>0.364050248192917</v>
      </c>
      <c r="G729">
        <v>0.233258683084264</v>
      </c>
      <c r="H729">
        <v>0.173959451049907</v>
      </c>
      <c r="I729">
        <v>0.138533347332819</v>
      </c>
      <c r="J729">
        <v>0.139042849789985</v>
      </c>
      <c r="K729">
        <v>0.12968343710466</v>
      </c>
      <c r="L729">
        <v>655.825091804236</v>
      </c>
      <c r="M729">
        <v>14.1621764682458</v>
      </c>
      <c r="N729">
        <v>47.2521189114705</v>
      </c>
      <c r="O729">
        <v>45.4142354919969</v>
      </c>
      <c r="P729">
        <v>-0.0683646840065447</v>
      </c>
      <c r="Q729">
        <v>0.123203343813919</v>
      </c>
      <c r="R729">
        <v>0.92244430507565</v>
      </c>
      <c r="S729" t="s">
        <v>2922</v>
      </c>
      <c r="T729" t="s">
        <v>4362</v>
      </c>
      <c r="U729" t="s">
        <v>4362</v>
      </c>
      <c r="V729" t="s">
        <v>4362</v>
      </c>
      <c r="W729" t="s">
        <v>5089</v>
      </c>
      <c r="X729">
        <v>1</v>
      </c>
      <c r="Y729" t="s">
        <v>7250</v>
      </c>
      <c r="Z729" t="s">
        <v>9417</v>
      </c>
      <c r="AA729">
        <v>0.4175516769410486</v>
      </c>
      <c r="AB729">
        <f>HYPERLINK("Melting_Curves/meltCurve_P0ACK5_deoR.pdf", "Melting_Curves/meltCurve_P0ACK5_deoR.pdf")</f>
        <v>0</v>
      </c>
    </row>
    <row r="730" spans="1:28">
      <c r="A730" t="s">
        <v>756</v>
      </c>
      <c r="B730">
        <v>0.999739202189716</v>
      </c>
      <c r="C730">
        <v>0.945494098120552</v>
      </c>
      <c r="D730">
        <v>1.09212222945733</v>
      </c>
      <c r="E730">
        <v>0.734943432491877</v>
      </c>
      <c r="F730">
        <v>0.462862708114287</v>
      </c>
      <c r="G730">
        <v>0.217191494406422</v>
      </c>
      <c r="H730">
        <v>0.108508908022521</v>
      </c>
      <c r="I730">
        <v>0.0672667473159817</v>
      </c>
      <c r="J730">
        <v>0.0696056204887307</v>
      </c>
      <c r="K730">
        <v>0.0431474937808023</v>
      </c>
      <c r="L730">
        <v>1018.18048605939</v>
      </c>
      <c r="M730">
        <v>20.5970677748784</v>
      </c>
      <c r="N730">
        <v>49.7092709909094</v>
      </c>
      <c r="O730">
        <v>48.9743667802207</v>
      </c>
      <c r="P730">
        <v>-0.0994639597380803</v>
      </c>
      <c r="Q730">
        <v>0.054031461362021</v>
      </c>
      <c r="R730">
        <v>0.985736142315175</v>
      </c>
      <c r="S730" t="s">
        <v>2923</v>
      </c>
      <c r="T730" t="s">
        <v>4362</v>
      </c>
      <c r="U730" t="s">
        <v>4362</v>
      </c>
      <c r="V730" t="s">
        <v>4362</v>
      </c>
      <c r="W730" t="s">
        <v>5090</v>
      </c>
      <c r="X730">
        <v>1</v>
      </c>
      <c r="Y730" t="s">
        <v>7251</v>
      </c>
      <c r="Z730" t="s">
        <v>9418</v>
      </c>
      <c r="AA730">
        <v>0.4579035656468597</v>
      </c>
      <c r="AB730">
        <f>HYPERLINK("Melting_Curves/meltCurve_P0ACK8_fucR.pdf", "Melting_Curves/meltCurve_P0ACK8_fucR.pdf")</f>
        <v>0</v>
      </c>
    </row>
    <row r="731" spans="1:28">
      <c r="A731" t="s">
        <v>757</v>
      </c>
      <c r="B731">
        <v>0.999739202189716</v>
      </c>
      <c r="C731">
        <v>0.6531306359818559</v>
      </c>
      <c r="D731">
        <v>0.562855651854328</v>
      </c>
      <c r="E731">
        <v>0.326246128824766</v>
      </c>
      <c r="F731">
        <v>0.168824705453514</v>
      </c>
      <c r="G731">
        <v>0.128532475604455</v>
      </c>
      <c r="H731">
        <v>0.104657914402601</v>
      </c>
      <c r="I731">
        <v>0.0874869011506564</v>
      </c>
      <c r="J731">
        <v>0.0617541846441219</v>
      </c>
      <c r="K731">
        <v>0.0554462448922715</v>
      </c>
      <c r="L731">
        <v>560.288761630607</v>
      </c>
      <c r="M731">
        <v>13.0209579616661</v>
      </c>
      <c r="N731">
        <v>43.4450926904124</v>
      </c>
      <c r="O731">
        <v>42.0527925910872</v>
      </c>
      <c r="P731">
        <v>-0.07289118831359249</v>
      </c>
      <c r="Q731">
        <v>0.0585212216628653</v>
      </c>
      <c r="R731">
        <v>0.976784267069458</v>
      </c>
      <c r="S731" t="s">
        <v>2924</v>
      </c>
      <c r="T731" t="s">
        <v>4362</v>
      </c>
      <c r="U731" t="s">
        <v>4362</v>
      </c>
      <c r="V731" t="s">
        <v>4362</v>
      </c>
      <c r="W731" t="s">
        <v>5091</v>
      </c>
      <c r="X731">
        <v>1</v>
      </c>
      <c r="Y731" t="s">
        <v>7252</v>
      </c>
      <c r="Z731" t="s">
        <v>9419</v>
      </c>
      <c r="AA731">
        <v>0.2810227744575331</v>
      </c>
      <c r="AB731">
        <f>HYPERLINK("Melting_Curves/meltCurve_P0ACL0_glpR.pdf", "Melting_Curves/meltCurve_P0ACL0_glpR.pdf")</f>
        <v>0</v>
      </c>
    </row>
    <row r="732" spans="1:28">
      <c r="A732" t="s">
        <v>758</v>
      </c>
      <c r="B732">
        <v>0.999739202189716</v>
      </c>
      <c r="C732">
        <v>0.904827169531161</v>
      </c>
      <c r="D732">
        <v>0.658951926362412</v>
      </c>
      <c r="E732">
        <v>0.638522997700834</v>
      </c>
      <c r="F732">
        <v>0.394295285654315</v>
      </c>
      <c r="G732">
        <v>0.250477167600689</v>
      </c>
      <c r="H732">
        <v>0.199757041751541</v>
      </c>
      <c r="I732">
        <v>0.177207509339821</v>
      </c>
      <c r="J732">
        <v>0.151238917319005</v>
      </c>
      <c r="K732">
        <v>0.147851449092144</v>
      </c>
      <c r="L732">
        <v>513.5239006324661</v>
      </c>
      <c r="M732">
        <v>10.9759654231121</v>
      </c>
      <c r="N732">
        <v>47.8311639463807</v>
      </c>
      <c r="O732">
        <v>45.3136203906778</v>
      </c>
      <c r="P732">
        <v>-0.0541186018758536</v>
      </c>
      <c r="Q732">
        <v>0.106602323662861</v>
      </c>
      <c r="R732">
        <v>0.980659452840673</v>
      </c>
      <c r="S732" t="s">
        <v>2925</v>
      </c>
      <c r="T732" t="s">
        <v>4362</v>
      </c>
      <c r="U732" t="s">
        <v>4362</v>
      </c>
      <c r="V732" t="s">
        <v>4362</v>
      </c>
      <c r="W732" t="s">
        <v>5092</v>
      </c>
      <c r="X732">
        <v>6</v>
      </c>
      <c r="Y732" t="s">
        <v>7253</v>
      </c>
      <c r="Z732" t="s">
        <v>9420</v>
      </c>
      <c r="AA732">
        <v>0.432151320286952</v>
      </c>
      <c r="AB732">
        <f>HYPERLINK("Melting_Curves/meltCurve_P0ACL2_exuR.pdf", "Melting_Curves/meltCurve_P0ACL2_exuR.pdf")</f>
        <v>0</v>
      </c>
    </row>
    <row r="733" spans="1:28">
      <c r="A733" t="s">
        <v>759</v>
      </c>
      <c r="B733">
        <v>0.999739202189716</v>
      </c>
      <c r="C733">
        <v>0.94364020968553</v>
      </c>
      <c r="D733">
        <v>0.806141039036083</v>
      </c>
      <c r="E733">
        <v>0.5129563977125911</v>
      </c>
      <c r="F733">
        <v>0.38940740515043</v>
      </c>
      <c r="G733">
        <v>0.272262435170277</v>
      </c>
      <c r="H733">
        <v>0.229487093709698</v>
      </c>
      <c r="I733">
        <v>0.143699634826328</v>
      </c>
      <c r="J733">
        <v>0.112938400512736</v>
      </c>
      <c r="K733">
        <v>0.124777448082849</v>
      </c>
      <c r="L733">
        <v>618.740864602815</v>
      </c>
      <c r="M733">
        <v>13.232049489801</v>
      </c>
      <c r="N733">
        <v>47.7312464370574</v>
      </c>
      <c r="O733">
        <v>45.7314621271354</v>
      </c>
      <c r="P733">
        <v>-0.0638147557655579</v>
      </c>
      <c r="Q733">
        <v>0.117941408699395</v>
      </c>
      <c r="R733">
        <v>0.992205978127128</v>
      </c>
      <c r="S733" t="s">
        <v>2926</v>
      </c>
      <c r="T733" t="s">
        <v>4362</v>
      </c>
      <c r="U733" t="s">
        <v>4362</v>
      </c>
      <c r="V733" t="s">
        <v>4362</v>
      </c>
      <c r="W733" t="s">
        <v>5093</v>
      </c>
      <c r="X733">
        <v>1</v>
      </c>
      <c r="Y733" t="s">
        <v>7254</v>
      </c>
      <c r="Z733" t="s">
        <v>9421</v>
      </c>
      <c r="AA733">
        <v>0.4298406023236213</v>
      </c>
      <c r="AB733">
        <f>HYPERLINK("Melting_Curves/meltCurve_P0ACL5_glcC.pdf", "Melting_Curves/meltCurve_P0ACL5_glcC.pdf")</f>
        <v>0</v>
      </c>
    </row>
    <row r="734" spans="1:28">
      <c r="A734" t="s">
        <v>760</v>
      </c>
      <c r="B734">
        <v>0.999739202189716</v>
      </c>
      <c r="C734">
        <v>0.916062405183127</v>
      </c>
      <c r="D734">
        <v>0.727933955336185</v>
      </c>
      <c r="E734">
        <v>0.6420088475945011</v>
      </c>
      <c r="F734">
        <v>0.550251354805196</v>
      </c>
      <c r="G734">
        <v>0.429017193440091</v>
      </c>
      <c r="H734">
        <v>0.275127458487587</v>
      </c>
      <c r="I734">
        <v>0.199565066979926</v>
      </c>
      <c r="J734">
        <v>0.209319907665786</v>
      </c>
      <c r="K734">
        <v>0.15834369787919</v>
      </c>
      <c r="L734">
        <v>393.819443830888</v>
      </c>
      <c r="M734">
        <v>7.85678281079849</v>
      </c>
      <c r="N734">
        <v>50.6793033839204</v>
      </c>
      <c r="O734">
        <v>47.1889787233351</v>
      </c>
      <c r="P734">
        <v>-0.0399578892342918</v>
      </c>
      <c r="Q734">
        <v>0.0411887202467865</v>
      </c>
      <c r="R734">
        <v>0.9846386225302181</v>
      </c>
      <c r="S734" t="s">
        <v>2927</v>
      </c>
      <c r="T734" t="s">
        <v>4362</v>
      </c>
      <c r="U734" t="s">
        <v>4362</v>
      </c>
      <c r="V734" t="s">
        <v>4362</v>
      </c>
      <c r="W734" t="s">
        <v>5094</v>
      </c>
      <c r="X734">
        <v>2</v>
      </c>
      <c r="Y734" t="s">
        <v>7255</v>
      </c>
      <c r="Z734" t="s">
        <v>9422</v>
      </c>
      <c r="AA734">
        <v>0.4995005914706766</v>
      </c>
      <c r="AB734">
        <f>HYPERLINK("Melting_Curves/meltCurve_P0ACL9_pdhR.pdf", "Melting_Curves/meltCurve_P0ACL9_pdhR.pdf")</f>
        <v>0</v>
      </c>
    </row>
    <row r="735" spans="1:28">
      <c r="A735" t="s">
        <v>761</v>
      </c>
      <c r="B735">
        <v>0.999739202189716</v>
      </c>
      <c r="C735">
        <v>0.988679739962826</v>
      </c>
      <c r="D735">
        <v>0.797489160305815</v>
      </c>
      <c r="E735">
        <v>0.708477229330043</v>
      </c>
      <c r="F735">
        <v>0.560912730062749</v>
      </c>
      <c r="G735">
        <v>0.403244785829089</v>
      </c>
      <c r="H735">
        <v>0.482076108251117</v>
      </c>
      <c r="I735">
        <v>0.291827895298634</v>
      </c>
      <c r="J735">
        <v>0.272763309618597</v>
      </c>
      <c r="K735">
        <v>0.196784112902757</v>
      </c>
      <c r="L735">
        <v>440.571287168327</v>
      </c>
      <c r="M735">
        <v>8.785170005990761</v>
      </c>
      <c r="N735">
        <v>52.3998953576451</v>
      </c>
      <c r="O735">
        <v>47.7546262062967</v>
      </c>
      <c r="P735">
        <v>-0.0387947003795809</v>
      </c>
      <c r="Q735">
        <v>0.157146213386623</v>
      </c>
      <c r="R735">
        <v>0.965616563411092</v>
      </c>
      <c r="S735" t="s">
        <v>2928</v>
      </c>
      <c r="T735" t="s">
        <v>4362</v>
      </c>
      <c r="U735" t="s">
        <v>4362</v>
      </c>
      <c r="V735" t="s">
        <v>4362</v>
      </c>
      <c r="W735" t="s">
        <v>5095</v>
      </c>
      <c r="X735">
        <v>3</v>
      </c>
      <c r="Y735" t="s">
        <v>7256</v>
      </c>
      <c r="Z735" t="s">
        <v>9423</v>
      </c>
      <c r="AA735">
        <v>0.5580097817950144</v>
      </c>
      <c r="AB735">
        <f>HYPERLINK("Melting_Curves/meltCurve_P0ACM5_yegW.pdf", "Melting_Curves/meltCurve_P0ACM5_yegW.pdf")</f>
        <v>0</v>
      </c>
    </row>
    <row r="736" spans="1:28">
      <c r="A736" t="s">
        <v>762</v>
      </c>
      <c r="B736">
        <v>0.999739202189716</v>
      </c>
      <c r="C736">
        <v>1.17773124637625</v>
      </c>
      <c r="D736">
        <v>0.917192829002049</v>
      </c>
      <c r="E736">
        <v>1.07624476168269</v>
      </c>
      <c r="F736">
        <v>0.781319006926831</v>
      </c>
      <c r="G736">
        <v>0.374035556261238</v>
      </c>
      <c r="H736">
        <v>0.164585607083347</v>
      </c>
      <c r="I736">
        <v>0.126940365184918</v>
      </c>
      <c r="J736">
        <v>0.10372164048339</v>
      </c>
      <c r="K736">
        <v>0.071670507313639</v>
      </c>
      <c r="L736">
        <v>1589.25128637828</v>
      </c>
      <c r="M736">
        <v>30.3814823671143</v>
      </c>
      <c r="N736">
        <v>52.6893856315429</v>
      </c>
      <c r="O736">
        <v>52.0848129866191</v>
      </c>
      <c r="P736">
        <v>-0.131497177625161</v>
      </c>
      <c r="Q736">
        <v>0.0982714835238947</v>
      </c>
      <c r="R736">
        <v>0.973130392952309</v>
      </c>
      <c r="S736" t="s">
        <v>2929</v>
      </c>
      <c r="T736" t="s">
        <v>4362</v>
      </c>
      <c r="U736" t="s">
        <v>4362</v>
      </c>
      <c r="V736" t="s">
        <v>4362</v>
      </c>
      <c r="W736" t="s">
        <v>5096</v>
      </c>
      <c r="X736">
        <v>2</v>
      </c>
      <c r="Y736" t="s">
        <v>7257</v>
      </c>
      <c r="Z736" t="s">
        <v>9424</v>
      </c>
      <c r="AA736">
        <v>0.5640214809356638</v>
      </c>
      <c r="AB736">
        <f>HYPERLINK("Melting_Curves/meltCurve_P0ACM9_yihL.pdf", "Melting_Curves/meltCurve_P0ACM9_yihL.pdf")</f>
        <v>0</v>
      </c>
    </row>
    <row r="737" spans="1:28">
      <c r="A737" t="s">
        <v>763</v>
      </c>
      <c r="B737">
        <v>0.999739202189716</v>
      </c>
      <c r="C737">
        <v>0.949722010305848</v>
      </c>
      <c r="D737">
        <v>1.18503080819217</v>
      </c>
      <c r="E737">
        <v>0.856898372789147</v>
      </c>
      <c r="F737">
        <v>0.722441321367484</v>
      </c>
      <c r="G737">
        <v>0.514812455566689</v>
      </c>
      <c r="H737">
        <v>0.260644576893828</v>
      </c>
      <c r="I737">
        <v>0.120047104142492</v>
      </c>
      <c r="J737">
        <v>0.0845466436301939</v>
      </c>
      <c r="K737">
        <v>0.06451192209860231</v>
      </c>
      <c r="L737">
        <v>868.484827910497</v>
      </c>
      <c r="M737">
        <v>16.2500856769141</v>
      </c>
      <c r="N737">
        <v>53.5921424291025</v>
      </c>
      <c r="O737">
        <v>52.6552307967734</v>
      </c>
      <c r="P737">
        <v>-0.0754748072755209</v>
      </c>
      <c r="Q737">
        <v>0.021826695725111</v>
      </c>
      <c r="R737">
        <v>0.969392522577898</v>
      </c>
      <c r="S737" t="s">
        <v>2930</v>
      </c>
      <c r="T737" t="s">
        <v>4362</v>
      </c>
      <c r="U737" t="s">
        <v>4362</v>
      </c>
      <c r="V737" t="s">
        <v>4362</v>
      </c>
      <c r="W737" t="s">
        <v>5097</v>
      </c>
      <c r="X737">
        <v>7</v>
      </c>
      <c r="Y737" t="s">
        <v>7258</v>
      </c>
      <c r="Z737" t="s">
        <v>9425</v>
      </c>
      <c r="AA737">
        <v>0.573598026698476</v>
      </c>
      <c r="AB737">
        <f>HYPERLINK("Melting_Curves/meltCurve_P0ACN4_allR.pdf", "Melting_Curves/meltCurve_P0ACN4_allR.pdf")</f>
        <v>0</v>
      </c>
    </row>
    <row r="738" spans="1:28">
      <c r="A738" t="s">
        <v>764</v>
      </c>
      <c r="B738">
        <v>0.999739202189716</v>
      </c>
      <c r="C738">
        <v>1.04239337990657</v>
      </c>
      <c r="D738">
        <v>0.781910142686296</v>
      </c>
      <c r="E738">
        <v>0.764282210181909</v>
      </c>
      <c r="F738">
        <v>0.627232112526333</v>
      </c>
      <c r="G738">
        <v>0.496875771237068</v>
      </c>
      <c r="H738">
        <v>0.273478533091904</v>
      </c>
      <c r="I738">
        <v>0.12052583833668</v>
      </c>
      <c r="J738">
        <v>0.124805976044952</v>
      </c>
      <c r="K738">
        <v>0.08572132281853551</v>
      </c>
      <c r="L738">
        <v>540.038780830222</v>
      </c>
      <c r="M738">
        <v>10.3343104755629</v>
      </c>
      <c r="N738">
        <v>52.2568759689514</v>
      </c>
      <c r="O738">
        <v>50.4136683416067</v>
      </c>
      <c r="P738">
        <v>-0.0512695401017164</v>
      </c>
      <c r="Q738">
        <v>0</v>
      </c>
      <c r="R738">
        <v>0.973977672908561</v>
      </c>
      <c r="S738" t="s">
        <v>2931</v>
      </c>
      <c r="T738" t="s">
        <v>4362</v>
      </c>
      <c r="U738" t="s">
        <v>4362</v>
      </c>
      <c r="V738" t="s">
        <v>4362</v>
      </c>
      <c r="W738" t="s">
        <v>5098</v>
      </c>
      <c r="X738">
        <v>8</v>
      </c>
      <c r="Y738" t="s">
        <v>7259</v>
      </c>
      <c r="Z738" t="s">
        <v>9426</v>
      </c>
      <c r="AA738">
        <v>0.5338112363724</v>
      </c>
      <c r="AB738">
        <f>HYPERLINK("Melting_Curves/meltCurve_P0ACN7_cytR.pdf", "Melting_Curves/meltCurve_P0ACN7_cytR.pdf")</f>
        <v>0</v>
      </c>
    </row>
    <row r="739" spans="1:28">
      <c r="A739" t="s">
        <v>765</v>
      </c>
      <c r="B739">
        <v>0.999739202189716</v>
      </c>
      <c r="C739">
        <v>0.91003409636688</v>
      </c>
      <c r="D739">
        <v>0.489604012239661</v>
      </c>
      <c r="E739">
        <v>0.51337728454229</v>
      </c>
      <c r="F739">
        <v>0.25743893555852</v>
      </c>
      <c r="G739">
        <v>0.223543333327646</v>
      </c>
      <c r="H739">
        <v>0.15477451045475</v>
      </c>
      <c r="I739">
        <v>0.104539007107666</v>
      </c>
      <c r="J739">
        <v>0.0927952717823636</v>
      </c>
      <c r="K739">
        <v>0.0843300247713038</v>
      </c>
      <c r="L739">
        <v>546.993712707133</v>
      </c>
      <c r="M739">
        <v>12.2487097793762</v>
      </c>
      <c r="N739">
        <v>45.352347186878</v>
      </c>
      <c r="O739">
        <v>43.516975163581</v>
      </c>
      <c r="P739">
        <v>-0.0643595974219206</v>
      </c>
      <c r="Q739">
        <v>0.0855815647743659</v>
      </c>
      <c r="R739">
        <v>0.955167623885485</v>
      </c>
      <c r="S739" t="s">
        <v>2932</v>
      </c>
      <c r="T739" t="s">
        <v>4362</v>
      </c>
      <c r="U739" t="s">
        <v>4362</v>
      </c>
      <c r="V739" t="s">
        <v>4362</v>
      </c>
      <c r="W739" t="s">
        <v>5099</v>
      </c>
      <c r="X739">
        <v>4</v>
      </c>
      <c r="Y739" t="s">
        <v>7260</v>
      </c>
      <c r="Z739" t="s">
        <v>9427</v>
      </c>
      <c r="AA739">
        <v>0.3516424364790826</v>
      </c>
      <c r="AB739">
        <f>HYPERLINK("Melting_Curves/meltCurve_P0ACP1_cra.pdf", "Melting_Curves/meltCurve_P0ACP1_cra.pdf")</f>
        <v>0</v>
      </c>
    </row>
    <row r="740" spans="1:28">
      <c r="A740" t="s">
        <v>766</v>
      </c>
      <c r="B740">
        <v>0.999739202189716</v>
      </c>
      <c r="C740">
        <v>1.03970043010116</v>
      </c>
      <c r="D740">
        <v>1.23864600935595</v>
      </c>
      <c r="E740">
        <v>0.902776372539157</v>
      </c>
      <c r="F740">
        <v>0.906543485718421</v>
      </c>
      <c r="G740">
        <v>0.670911029796492</v>
      </c>
      <c r="H740">
        <v>0.419323034338381</v>
      </c>
      <c r="I740">
        <v>0.264375587353513</v>
      </c>
      <c r="J740">
        <v>0.251482844271367</v>
      </c>
      <c r="K740">
        <v>0.197651595269763</v>
      </c>
      <c r="L740">
        <v>1147.79313631757</v>
      </c>
      <c r="M740">
        <v>20.9551958724673</v>
      </c>
      <c r="N740">
        <v>56.0740591924508</v>
      </c>
      <c r="O740">
        <v>54.2821817490808</v>
      </c>
      <c r="P740">
        <v>-0.0779394999663586</v>
      </c>
      <c r="Q740">
        <v>0.192446276841576</v>
      </c>
      <c r="R740">
        <v>0.948711876722599</v>
      </c>
      <c r="S740" t="s">
        <v>2933</v>
      </c>
      <c r="T740" t="s">
        <v>4362</v>
      </c>
      <c r="U740" t="s">
        <v>4362</v>
      </c>
      <c r="V740" t="s">
        <v>4362</v>
      </c>
      <c r="W740" t="s">
        <v>5100</v>
      </c>
      <c r="X740">
        <v>6</v>
      </c>
      <c r="Y740" t="s">
        <v>7261</v>
      </c>
      <c r="Z740" t="s">
        <v>9428</v>
      </c>
      <c r="AA740">
        <v>0.6797055564230262</v>
      </c>
      <c r="AB740">
        <f>HYPERLINK("Melting_Curves/meltCurve_P0ACP5_gntR.pdf", "Melting_Curves/meltCurve_P0ACP5_gntR.pdf")</f>
        <v>0</v>
      </c>
    </row>
    <row r="741" spans="1:28">
      <c r="A741" t="s">
        <v>767</v>
      </c>
      <c r="B741">
        <v>0.999739202189716</v>
      </c>
      <c r="C741">
        <v>0.880103581700951</v>
      </c>
      <c r="D741">
        <v>0.598696662842374</v>
      </c>
      <c r="E741">
        <v>0.57755119928665</v>
      </c>
      <c r="F741">
        <v>0.471149542583447</v>
      </c>
      <c r="G741">
        <v>0.312362886682717</v>
      </c>
      <c r="H741">
        <v>0.245589926414019</v>
      </c>
      <c r="I741">
        <v>0.193994725412806</v>
      </c>
      <c r="J741">
        <v>0.202441069933786</v>
      </c>
      <c r="K741">
        <v>0.203384413741993</v>
      </c>
      <c r="L741">
        <v>446.857092198999</v>
      </c>
      <c r="M741">
        <v>9.70303264968563</v>
      </c>
      <c r="N741">
        <v>47.8090840858538</v>
      </c>
      <c r="O741">
        <v>44.2248745323453</v>
      </c>
      <c r="P741">
        <v>-0.0466549482762483</v>
      </c>
      <c r="Q741">
        <v>0.149880682110725</v>
      </c>
      <c r="R741">
        <v>0.966946576656002</v>
      </c>
      <c r="S741" t="s">
        <v>2934</v>
      </c>
      <c r="T741" t="s">
        <v>4362</v>
      </c>
      <c r="U741" t="s">
        <v>4362</v>
      </c>
      <c r="V741" t="s">
        <v>4362</v>
      </c>
      <c r="W741" t="s">
        <v>5101</v>
      </c>
      <c r="X741">
        <v>8</v>
      </c>
      <c r="Y741" t="s">
        <v>7262</v>
      </c>
      <c r="Z741" t="s">
        <v>9429</v>
      </c>
      <c r="AA741">
        <v>0.4473888234695254</v>
      </c>
      <c r="AB741">
        <f>HYPERLINK("Melting_Curves/meltCurve_P0ACP7_purR.pdf", "Melting_Curves/meltCurve_P0ACP7_purR.pdf")</f>
        <v>0</v>
      </c>
    </row>
    <row r="742" spans="1:28">
      <c r="A742" t="s">
        <v>768</v>
      </c>
      <c r="B742">
        <v>0.999739202189716</v>
      </c>
      <c r="C742">
        <v>1.09324554319435</v>
      </c>
      <c r="D742">
        <v>1.04736031879095</v>
      </c>
      <c r="E742">
        <v>0.905852018907632</v>
      </c>
      <c r="F742">
        <v>0.714008524477117</v>
      </c>
      <c r="G742">
        <v>0.544321582322182</v>
      </c>
      <c r="H742">
        <v>0.262326924918313</v>
      </c>
      <c r="I742">
        <v>0.147428405431952</v>
      </c>
      <c r="J742">
        <v>0.12080268186814</v>
      </c>
      <c r="K742">
        <v>0.101039365163534</v>
      </c>
      <c r="L742">
        <v>883.614600201237</v>
      </c>
      <c r="M742">
        <v>16.5685507582141</v>
      </c>
      <c r="N742">
        <v>53.7486817031335</v>
      </c>
      <c r="O742">
        <v>52.5721058768859</v>
      </c>
      <c r="P742">
        <v>-0.0740337868649561</v>
      </c>
      <c r="Q742">
        <v>0.0604257554033452</v>
      </c>
      <c r="R742">
        <v>0.987782286742343</v>
      </c>
      <c r="S742" t="s">
        <v>2935</v>
      </c>
      <c r="T742" t="s">
        <v>4362</v>
      </c>
      <c r="U742" t="s">
        <v>4362</v>
      </c>
      <c r="V742" t="s">
        <v>4362</v>
      </c>
      <c r="W742" t="s">
        <v>5102</v>
      </c>
      <c r="X742">
        <v>6</v>
      </c>
      <c r="Y742" t="s">
        <v>7263</v>
      </c>
      <c r="Z742" t="s">
        <v>9430</v>
      </c>
      <c r="AA742">
        <v>0.586672365213399</v>
      </c>
      <c r="AB742">
        <f>HYPERLINK("Melting_Curves/meltCurve_P0ACQ4_oxyR.pdf", "Melting_Curves/meltCurve_P0ACQ4_oxyR.pdf")</f>
        <v>0</v>
      </c>
    </row>
    <row r="743" spans="1:28">
      <c r="A743" t="s">
        <v>769</v>
      </c>
      <c r="B743">
        <v>0.999739202189716</v>
      </c>
      <c r="C743">
        <v>0.8221002436484131</v>
      </c>
      <c r="D743">
        <v>0.798225548947581</v>
      </c>
      <c r="E743">
        <v>0.635314929931682</v>
      </c>
      <c r="F743">
        <v>0.38106969103195</v>
      </c>
      <c r="G743">
        <v>0.232311920813441</v>
      </c>
      <c r="H743">
        <v>0.160211812876283</v>
      </c>
      <c r="I743">
        <v>0.0789441993241075</v>
      </c>
      <c r="J743">
        <v>0.0621644894070362</v>
      </c>
      <c r="K743">
        <v>0.0499956412631056</v>
      </c>
      <c r="L743">
        <v>519.545594005026</v>
      </c>
      <c r="M743">
        <v>10.7741427956006</v>
      </c>
      <c r="N743">
        <v>48.2215248414338</v>
      </c>
      <c r="O743">
        <v>46.6494267480204</v>
      </c>
      <c r="P743">
        <v>-0.0577610590903677</v>
      </c>
      <c r="Q743">
        <v>0</v>
      </c>
      <c r="R743">
        <v>0.990794785860616</v>
      </c>
      <c r="S743" t="s">
        <v>2936</v>
      </c>
      <c r="T743" t="s">
        <v>4362</v>
      </c>
      <c r="U743" t="s">
        <v>4362</v>
      </c>
      <c r="V743" t="s">
        <v>4362</v>
      </c>
      <c r="W743" t="s">
        <v>5103</v>
      </c>
      <c r="X743">
        <v>1</v>
      </c>
      <c r="Y743" t="s">
        <v>7264</v>
      </c>
      <c r="Z743" t="s">
        <v>9431</v>
      </c>
      <c r="AA743">
        <v>0.4099613669957369</v>
      </c>
      <c r="AB743">
        <f>HYPERLINK("Melting_Curves/meltCurve_P0ACR4_yeiE.pdf", "Melting_Curves/meltCurve_P0ACR4_yeiE.pdf")</f>
        <v>0</v>
      </c>
    </row>
    <row r="744" spans="1:28">
      <c r="A744" t="s">
        <v>770</v>
      </c>
      <c r="B744">
        <v>0.999739202189716</v>
      </c>
      <c r="C744">
        <v>1.01822871866149</v>
      </c>
      <c r="D744">
        <v>0.748651543890444</v>
      </c>
      <c r="E744">
        <v>0.863310246117034</v>
      </c>
      <c r="F744">
        <v>0.704990039054464</v>
      </c>
      <c r="G744">
        <v>0.501835700574048</v>
      </c>
      <c r="H744">
        <v>0.442632987602664</v>
      </c>
      <c r="I744">
        <v>0.317930626030234</v>
      </c>
      <c r="J744">
        <v>0.301835621346374</v>
      </c>
      <c r="K744">
        <v>0.291520519344605</v>
      </c>
      <c r="L744">
        <v>466.543924414928</v>
      </c>
      <c r="M744">
        <v>8.87602361134077</v>
      </c>
      <c r="N744">
        <v>54.9661983945882</v>
      </c>
      <c r="O744">
        <v>50.099462974821</v>
      </c>
      <c r="P744">
        <v>-0.0371957112053214</v>
      </c>
      <c r="Q744">
        <v>0.160858454783913</v>
      </c>
      <c r="R744">
        <v>0.950914147799817</v>
      </c>
      <c r="S744" t="s">
        <v>2937</v>
      </c>
      <c r="T744" t="s">
        <v>4362</v>
      </c>
      <c r="U744" t="s">
        <v>4362</v>
      </c>
      <c r="V744" t="s">
        <v>4362</v>
      </c>
      <c r="W744" t="s">
        <v>5104</v>
      </c>
      <c r="X744">
        <v>3</v>
      </c>
      <c r="Y744" t="s">
        <v>7265</v>
      </c>
      <c r="Z744" t="s">
        <v>9432</v>
      </c>
      <c r="AA744">
        <v>0.6170369132083434</v>
      </c>
      <c r="AB744">
        <f>HYPERLINK("Melting_Curves/meltCurve_P0ACR9_mprA.pdf", "Melting_Curves/meltCurve_P0ACR9_mprA.pdf")</f>
        <v>0</v>
      </c>
    </row>
    <row r="745" spans="1:28">
      <c r="A745" t="s">
        <v>771</v>
      </c>
      <c r="B745">
        <v>0.999739202189716</v>
      </c>
      <c r="C745">
        <v>0.927914925792112</v>
      </c>
      <c r="D745">
        <v>1.24334011983547</v>
      </c>
      <c r="E745">
        <v>0.6684609399071429</v>
      </c>
      <c r="F745">
        <v>0.41063903980372</v>
      </c>
      <c r="G745">
        <v>0.138723792783084</v>
      </c>
      <c r="H745">
        <v>0.08729485566007671</v>
      </c>
      <c r="I745">
        <v>0.0693246814426734</v>
      </c>
      <c r="J745">
        <v>0.0419272598556253</v>
      </c>
      <c r="K745">
        <v>0.0444707840784717</v>
      </c>
      <c r="L745">
        <v>1210.64576593966</v>
      </c>
      <c r="M745">
        <v>24.833255378063</v>
      </c>
      <c r="N745">
        <v>48.9858248170682</v>
      </c>
      <c r="O745">
        <v>48.4381551289046</v>
      </c>
      <c r="P745">
        <v>-0.120979086793296</v>
      </c>
      <c r="Q745">
        <v>0.0561168436511971</v>
      </c>
      <c r="R745">
        <v>0.950652996195237</v>
      </c>
      <c r="S745" t="s">
        <v>2938</v>
      </c>
      <c r="T745" t="s">
        <v>4362</v>
      </c>
      <c r="U745" t="s">
        <v>4362</v>
      </c>
      <c r="V745" t="s">
        <v>4362</v>
      </c>
      <c r="W745" t="s">
        <v>5105</v>
      </c>
      <c r="X745">
        <v>2</v>
      </c>
      <c r="Y745" t="s">
        <v>7266</v>
      </c>
      <c r="Z745" t="s">
        <v>9433</v>
      </c>
      <c r="AA745">
        <v>0.4340715894666752</v>
      </c>
      <c r="AB745">
        <f>HYPERLINK("Melting_Curves/meltCurve_P0ACS7_rpiR.pdf", "Melting_Curves/meltCurve_P0ACS7_rpiR.pdf")</f>
        <v>0</v>
      </c>
    </row>
    <row r="746" spans="1:28">
      <c r="A746" t="s">
        <v>772</v>
      </c>
      <c r="B746">
        <v>0.999739202189716</v>
      </c>
      <c r="C746">
        <v>0.90502354214348</v>
      </c>
      <c r="D746">
        <v>0.509540225910473</v>
      </c>
      <c r="E746">
        <v>0.540307837546757</v>
      </c>
      <c r="F746">
        <v>0.376709562687121</v>
      </c>
      <c r="G746">
        <v>0.225907389825985</v>
      </c>
      <c r="H746">
        <v>0.206401514282959</v>
      </c>
      <c r="I746">
        <v>0.172440853398145</v>
      </c>
      <c r="J746">
        <v>0.196351183590876</v>
      </c>
      <c r="K746">
        <v>0.170468062892209</v>
      </c>
      <c r="L746">
        <v>542.832154264221</v>
      </c>
      <c r="M746">
        <v>12.2147876356751</v>
      </c>
      <c r="N746">
        <v>45.9281058950049</v>
      </c>
      <c r="O746">
        <v>43.2997830236575</v>
      </c>
      <c r="P746">
        <v>-0.0590163823875683</v>
      </c>
      <c r="Q746">
        <v>0.16336766523626</v>
      </c>
      <c r="R746">
        <v>0.94929195334783</v>
      </c>
      <c r="S746" t="s">
        <v>2939</v>
      </c>
      <c r="T746" t="s">
        <v>4362</v>
      </c>
      <c r="U746" t="s">
        <v>4362</v>
      </c>
      <c r="V746" t="s">
        <v>4362</v>
      </c>
      <c r="W746" t="s">
        <v>5106</v>
      </c>
      <c r="X746">
        <v>2</v>
      </c>
      <c r="Y746" t="s">
        <v>7267</v>
      </c>
      <c r="Z746" t="s">
        <v>9434</v>
      </c>
      <c r="AA746">
        <v>0.4012922604928739</v>
      </c>
      <c r="AB746">
        <f>HYPERLINK("Melting_Curves/meltCurve_P0ACT6_uidR.pdf", "Melting_Curves/meltCurve_P0ACT6_uidR.pdf")</f>
        <v>0</v>
      </c>
    </row>
    <row r="747" spans="1:28">
      <c r="A747" t="s">
        <v>773</v>
      </c>
      <c r="B747">
        <v>0.999739202189716</v>
      </c>
      <c r="C747">
        <v>0.785824287859207</v>
      </c>
      <c r="D747">
        <v>0.907817964185983</v>
      </c>
      <c r="E747">
        <v>0.647347784752463</v>
      </c>
      <c r="F747">
        <v>0.7220692269623959</v>
      </c>
      <c r="G747">
        <v>0.46625281450589</v>
      </c>
      <c r="H747">
        <v>0.456482428910863</v>
      </c>
      <c r="I747">
        <v>0.330704080938751</v>
      </c>
      <c r="J747">
        <v>0.329854888075006</v>
      </c>
      <c r="K747">
        <v>0.202544172906993</v>
      </c>
      <c r="L747">
        <v>323.373222766514</v>
      </c>
      <c r="M747">
        <v>5.93351800456968</v>
      </c>
      <c r="N747">
        <v>54.49940870043</v>
      </c>
      <c r="O747">
        <v>49.2722522307883</v>
      </c>
      <c r="P747">
        <v>-0.0302072241306566</v>
      </c>
      <c r="Q747">
        <v>0</v>
      </c>
      <c r="R747">
        <v>0.928616613735034</v>
      </c>
      <c r="S747" t="s">
        <v>2940</v>
      </c>
      <c r="T747" t="s">
        <v>4362</v>
      </c>
      <c r="U747" t="s">
        <v>4362</v>
      </c>
      <c r="V747" t="s">
        <v>4362</v>
      </c>
      <c r="W747" t="s">
        <v>5107</v>
      </c>
      <c r="X747">
        <v>2</v>
      </c>
      <c r="Y747" t="s">
        <v>7268</v>
      </c>
      <c r="Z747" t="s">
        <v>9435</v>
      </c>
      <c r="AA747">
        <v>0.5840715281505768</v>
      </c>
      <c r="AB747">
        <f>HYPERLINK("Melting_Curves/meltCurve_P0ACU0_ybiH.pdf", "Melting_Curves/meltCurve_P0ACU0_ybiH.pdf")</f>
        <v>0</v>
      </c>
    </row>
    <row r="748" spans="1:28">
      <c r="A748" t="s">
        <v>774</v>
      </c>
      <c r="B748">
        <v>0.999739202189716</v>
      </c>
      <c r="C748">
        <v>0.853046721169442</v>
      </c>
      <c r="D748">
        <v>0.959679595288752</v>
      </c>
      <c r="E748">
        <v>0.655794961974726</v>
      </c>
      <c r="F748">
        <v>0.427756443936251</v>
      </c>
      <c r="G748">
        <v>0.180339161227738</v>
      </c>
      <c r="H748">
        <v>0.151753746317374</v>
      </c>
      <c r="I748">
        <v>0.126617336280176</v>
      </c>
      <c r="J748">
        <v>0.114771059993136</v>
      </c>
      <c r="K748">
        <v>0.0809139726277856</v>
      </c>
      <c r="L748">
        <v>821.7159077847469</v>
      </c>
      <c r="M748">
        <v>17.0279104356878</v>
      </c>
      <c r="N748">
        <v>48.8073160410883</v>
      </c>
      <c r="O748">
        <v>47.6061852618621</v>
      </c>
      <c r="P748">
        <v>-0.08161552308131299</v>
      </c>
      <c r="Q748">
        <v>0.0873418858177902</v>
      </c>
      <c r="R748">
        <v>0.982601447813144</v>
      </c>
      <c r="S748" t="s">
        <v>2941</v>
      </c>
      <c r="T748" t="s">
        <v>4362</v>
      </c>
      <c r="U748" t="s">
        <v>4362</v>
      </c>
      <c r="V748" t="s">
        <v>4362</v>
      </c>
      <c r="W748" t="s">
        <v>5108</v>
      </c>
      <c r="X748">
        <v>5</v>
      </c>
      <c r="Y748" t="s">
        <v>7269</v>
      </c>
      <c r="Z748" t="s">
        <v>9436</v>
      </c>
      <c r="AA748">
        <v>0.4458906925245426</v>
      </c>
      <c r="AB748">
        <f>HYPERLINK("Melting_Curves/meltCurve_P0ACU2_rutR.pdf", "Melting_Curves/meltCurve_P0ACU2_rutR.pdf")</f>
        <v>0</v>
      </c>
    </row>
    <row r="749" spans="1:28">
      <c r="A749" t="s">
        <v>775</v>
      </c>
      <c r="B749">
        <v>0.999739202189716</v>
      </c>
      <c r="C749">
        <v>0.832722925364377</v>
      </c>
      <c r="D749">
        <v>1.03681729983019</v>
      </c>
      <c r="E749">
        <v>1.20968563348336</v>
      </c>
      <c r="F749">
        <v>1.23017556951734</v>
      </c>
      <c r="G749">
        <v>0.978019858427212</v>
      </c>
      <c r="H749">
        <v>0.849637238317432</v>
      </c>
      <c r="I749">
        <v>0.848424975535278</v>
      </c>
      <c r="J749">
        <v>0.678368051636043</v>
      </c>
      <c r="K749">
        <v>0.6308168961526029</v>
      </c>
      <c r="L749">
        <v>1291.15836212494</v>
      </c>
      <c r="M749">
        <v>20.9876553414597</v>
      </c>
      <c r="O749">
        <v>60.9695443549372</v>
      </c>
      <c r="P749">
        <v>-0.0375586752014685</v>
      </c>
      <c r="Q749">
        <v>0.563577020682119</v>
      </c>
      <c r="R749">
        <v>0.625081099327007</v>
      </c>
      <c r="S749" t="s">
        <v>2942</v>
      </c>
      <c r="T749" t="s">
        <v>4362</v>
      </c>
      <c r="U749" t="s">
        <v>4362</v>
      </c>
      <c r="V749" t="s">
        <v>4362</v>
      </c>
      <c r="W749" t="s">
        <v>5109</v>
      </c>
      <c r="X749">
        <v>8</v>
      </c>
      <c r="Y749" t="s">
        <v>7270</v>
      </c>
      <c r="Z749" t="s">
        <v>9437</v>
      </c>
      <c r="AA749">
        <v>0.9177430976625263</v>
      </c>
      <c r="AB749">
        <f>HYPERLINK("Melting_Curves/meltCurve_P0ACU7_yjdC.pdf", "Melting_Curves/meltCurve_P0ACU7_yjdC.pdf")</f>
        <v>0</v>
      </c>
    </row>
    <row r="750" spans="1:28">
      <c r="A750" t="s">
        <v>776</v>
      </c>
      <c r="B750">
        <v>0.999739202189716</v>
      </c>
      <c r="C750">
        <v>0.9983194695618</v>
      </c>
      <c r="D750">
        <v>1.0032713553328</v>
      </c>
      <c r="E750">
        <v>0.689722087268264</v>
      </c>
      <c r="F750">
        <v>0.635888072861815</v>
      </c>
      <c r="G750">
        <v>0.416632208516672</v>
      </c>
      <c r="H750">
        <v>0.359611380568078</v>
      </c>
      <c r="I750">
        <v>0.259026370162144</v>
      </c>
      <c r="J750">
        <v>0.240390233604609</v>
      </c>
      <c r="K750">
        <v>0.169616941839217</v>
      </c>
      <c r="L750">
        <v>620.530776035561</v>
      </c>
      <c r="M750">
        <v>12.2624151697549</v>
      </c>
      <c r="N750">
        <v>52.3166857867476</v>
      </c>
      <c r="O750">
        <v>49.3149237878986</v>
      </c>
      <c r="P750">
        <v>-0.0518998074872249</v>
      </c>
      <c r="Q750">
        <v>0.165297286383698</v>
      </c>
      <c r="R750">
        <v>0.978159059024779</v>
      </c>
      <c r="S750" t="s">
        <v>2943</v>
      </c>
      <c r="T750" t="s">
        <v>4362</v>
      </c>
      <c r="U750" t="s">
        <v>4362</v>
      </c>
      <c r="V750" t="s">
        <v>4362</v>
      </c>
      <c r="W750" t="s">
        <v>5110</v>
      </c>
      <c r="X750">
        <v>3</v>
      </c>
      <c r="Y750" t="s">
        <v>7271</v>
      </c>
      <c r="Z750" t="s">
        <v>9438</v>
      </c>
      <c r="AA750">
        <v>0.565702328859103</v>
      </c>
      <c r="AB750">
        <f>HYPERLINK("Melting_Curves/meltCurve_P0ACV0_lpxL.pdf", "Melting_Curves/meltCurve_P0ACV0_lpxL.pdf")</f>
        <v>0</v>
      </c>
    </row>
    <row r="751" spans="1:28">
      <c r="A751" t="s">
        <v>777</v>
      </c>
      <c r="B751">
        <v>0.999739202189716</v>
      </c>
      <c r="C751">
        <v>1.29714422524727</v>
      </c>
      <c r="D751">
        <v>0.710724096289558</v>
      </c>
      <c r="E751">
        <v>1.2262093216179</v>
      </c>
      <c r="F751">
        <v>0.929694160544684</v>
      </c>
      <c r="G751">
        <v>0.8091997306154179</v>
      </c>
      <c r="H751">
        <v>0.642066625789964</v>
      </c>
      <c r="I751">
        <v>0.594111785836055</v>
      </c>
      <c r="J751">
        <v>0.575497231684522</v>
      </c>
      <c r="K751">
        <v>0.513894620660662</v>
      </c>
      <c r="L751">
        <v>1464.98782810806</v>
      </c>
      <c r="M751">
        <v>26.8775373969068</v>
      </c>
      <c r="O751">
        <v>54.2069797336799</v>
      </c>
      <c r="P751">
        <v>-0.055971121822269</v>
      </c>
      <c r="Q751">
        <v>0.548471297036649</v>
      </c>
      <c r="R751">
        <v>0.666493096048121</v>
      </c>
      <c r="S751" t="s">
        <v>2944</v>
      </c>
      <c r="T751" t="s">
        <v>4362</v>
      </c>
      <c r="U751" t="s">
        <v>4362</v>
      </c>
      <c r="V751" t="s">
        <v>4362</v>
      </c>
      <c r="W751" t="s">
        <v>5111</v>
      </c>
      <c r="X751">
        <v>2</v>
      </c>
      <c r="Y751" t="s">
        <v>7272</v>
      </c>
      <c r="Z751" t="s">
        <v>9439</v>
      </c>
      <c r="AA751">
        <v>0.8154258302845238</v>
      </c>
      <c r="AB751">
        <f>HYPERLINK("Melting_Curves/meltCurve_P0ACV4_lapA.pdf", "Melting_Curves/meltCurve_P0ACV4_lapA.pdf")</f>
        <v>0</v>
      </c>
    </row>
    <row r="752" spans="1:28">
      <c r="A752" t="s">
        <v>778</v>
      </c>
      <c r="B752">
        <v>0.999739202189716</v>
      </c>
      <c r="C752">
        <v>1.11969153957035</v>
      </c>
      <c r="D752">
        <v>0.836968419577287</v>
      </c>
      <c r="E752">
        <v>0.85901974188564</v>
      </c>
      <c r="F752">
        <v>0.8373095437242291</v>
      </c>
      <c r="G752">
        <v>0.617795427800965</v>
      </c>
      <c r="H752">
        <v>0.586539251054128</v>
      </c>
      <c r="I752">
        <v>0.443268208553687</v>
      </c>
      <c r="J752">
        <v>0.353145689515993</v>
      </c>
      <c r="K752">
        <v>0.258473301488846</v>
      </c>
      <c r="L752">
        <v>450.340448180136</v>
      </c>
      <c r="M752">
        <v>7.65243985150975</v>
      </c>
      <c r="N752">
        <v>58.8492618555882</v>
      </c>
      <c r="O752">
        <v>55.2344683902103</v>
      </c>
      <c r="P752">
        <v>-0.0346823922152137</v>
      </c>
      <c r="Q752">
        <v>0</v>
      </c>
      <c r="R752">
        <v>0.944180652282908</v>
      </c>
      <c r="S752" t="s">
        <v>2945</v>
      </c>
      <c r="T752" t="s">
        <v>4362</v>
      </c>
      <c r="U752" t="s">
        <v>4362</v>
      </c>
      <c r="V752" t="s">
        <v>4362</v>
      </c>
      <c r="W752" t="s">
        <v>5112</v>
      </c>
      <c r="X752">
        <v>5</v>
      </c>
      <c r="Y752" t="s">
        <v>7273</v>
      </c>
      <c r="Z752" t="s">
        <v>9440</v>
      </c>
      <c r="AA752">
        <v>0.6950287829845112</v>
      </c>
      <c r="AB752">
        <f>HYPERLINK("Melting_Curves/meltCurve_P0ACV6_mpaA.pdf", "Melting_Curves/meltCurve_P0ACV6_mpaA.pdf")</f>
        <v>0</v>
      </c>
    </row>
    <row r="753" spans="1:28">
      <c r="A753" t="s">
        <v>779</v>
      </c>
      <c r="B753">
        <v>0.999739202189716</v>
      </c>
      <c r="C753">
        <v>0.934235961525546</v>
      </c>
      <c r="D753">
        <v>0.841335613166479</v>
      </c>
      <c r="E753">
        <v>0.929735949785515</v>
      </c>
      <c r="F753">
        <v>0.911664931521707</v>
      </c>
      <c r="G753">
        <v>0.775487002642829</v>
      </c>
      <c r="H753">
        <v>0.694238153525766</v>
      </c>
      <c r="I753">
        <v>0.745386013553652</v>
      </c>
      <c r="J753">
        <v>0.775295349988763</v>
      </c>
      <c r="K753">
        <v>0.763819771201718</v>
      </c>
      <c r="L753">
        <v>350.776186873417</v>
      </c>
      <c r="M753">
        <v>7.20360046770663</v>
      </c>
      <c r="O753">
        <v>45.3615820357164</v>
      </c>
      <c r="P753">
        <v>-0.0118432325709896</v>
      </c>
      <c r="Q753">
        <v>0.702186245748546</v>
      </c>
      <c r="R753">
        <v>0.730396518342853</v>
      </c>
      <c r="S753" t="s">
        <v>2946</v>
      </c>
      <c r="T753" t="s">
        <v>4362</v>
      </c>
      <c r="U753" t="s">
        <v>4362</v>
      </c>
      <c r="V753" t="s">
        <v>4362</v>
      </c>
      <c r="W753" t="s">
        <v>5113</v>
      </c>
      <c r="X753">
        <v>6</v>
      </c>
      <c r="Y753" t="s">
        <v>7274</v>
      </c>
      <c r="Z753" t="s">
        <v>9441</v>
      </c>
      <c r="AA753">
        <v>0.8339918974364854</v>
      </c>
      <c r="AB753">
        <f>HYPERLINK("Melting_Curves/meltCurve_P0ACW6_ydcH.pdf", "Melting_Curves/meltCurve_P0ACW6_ydcH.pdf")</f>
        <v>0</v>
      </c>
    </row>
    <row r="754" spans="1:28">
      <c r="A754" t="s">
        <v>780</v>
      </c>
      <c r="B754">
        <v>0.999739202189716</v>
      </c>
      <c r="C754">
        <v>1.08655712724291</v>
      </c>
      <c r="D754">
        <v>0.930200145682577</v>
      </c>
      <c r="E754">
        <v>1.04611244548029</v>
      </c>
      <c r="F754">
        <v>0.963830828177811</v>
      </c>
      <c r="G754">
        <v>0.780343210179689</v>
      </c>
      <c r="H754">
        <v>0.807048169012161</v>
      </c>
      <c r="I754">
        <v>0.793693242388524</v>
      </c>
      <c r="J754">
        <v>0.579469453400674</v>
      </c>
      <c r="K754">
        <v>0.526273464622364</v>
      </c>
      <c r="L754">
        <v>522.008599652503</v>
      </c>
      <c r="M754">
        <v>7.66640019218484</v>
      </c>
      <c r="O754">
        <v>63.9217059801594</v>
      </c>
      <c r="P754">
        <v>-0.03002329697878</v>
      </c>
      <c r="Q754">
        <v>0</v>
      </c>
      <c r="R754">
        <v>0.884839774432988</v>
      </c>
      <c r="S754" t="s">
        <v>2947</v>
      </c>
      <c r="T754" t="s">
        <v>4362</v>
      </c>
      <c r="U754" t="s">
        <v>4362</v>
      </c>
      <c r="V754" t="s">
        <v>4362</v>
      </c>
      <c r="W754" t="s">
        <v>5114</v>
      </c>
      <c r="X754">
        <v>4</v>
      </c>
      <c r="Y754" t="s">
        <v>7275</v>
      </c>
      <c r="Z754" t="s">
        <v>9442</v>
      </c>
      <c r="AA754">
        <v>0.8579933314371527</v>
      </c>
      <c r="AB754">
        <f>HYPERLINK("Melting_Curves/meltCurve_P0ACX3_ydhR.pdf", "Melting_Curves/meltCurve_P0ACX3_ydhR.pdf")</f>
        <v>0</v>
      </c>
    </row>
    <row r="755" spans="1:28">
      <c r="A755" t="s">
        <v>781</v>
      </c>
      <c r="B755">
        <v>0.999739202189716</v>
      </c>
      <c r="C755">
        <v>1.00142194123632</v>
      </c>
      <c r="D755">
        <v>0.666562495882381</v>
      </c>
      <c r="E755">
        <v>0.545729236870293</v>
      </c>
      <c r="F755">
        <v>0.260588758018778</v>
      </c>
      <c r="G755">
        <v>0.141570582878341</v>
      </c>
      <c r="H755">
        <v>0.111944168187732</v>
      </c>
      <c r="I755">
        <v>0.093128467024755</v>
      </c>
      <c r="J755">
        <v>0.08394699777624411</v>
      </c>
      <c r="K755">
        <v>0.0604106695146977</v>
      </c>
      <c r="L755">
        <v>698.25321543821</v>
      </c>
      <c r="M755">
        <v>15.1611229397825</v>
      </c>
      <c r="N755">
        <v>46.4681158552643</v>
      </c>
      <c r="O755">
        <v>45.2765464539664</v>
      </c>
      <c r="P755">
        <v>-0.0784495732971071</v>
      </c>
      <c r="Q755">
        <v>0.0629765876389253</v>
      </c>
      <c r="R755">
        <v>0.984242960742778</v>
      </c>
      <c r="S755" t="s">
        <v>2948</v>
      </c>
      <c r="T755" t="s">
        <v>4362</v>
      </c>
      <c r="U755" t="s">
        <v>4362</v>
      </c>
      <c r="V755" t="s">
        <v>4362</v>
      </c>
      <c r="W755" t="s">
        <v>5115</v>
      </c>
      <c r="X755">
        <v>2</v>
      </c>
      <c r="Y755" t="s">
        <v>7276</v>
      </c>
      <c r="Z755" t="s">
        <v>9443</v>
      </c>
      <c r="AA755">
        <v>0.3669630665093475</v>
      </c>
      <c r="AB755">
        <f>HYPERLINK("Melting_Curves/meltCurve_P0ACX5_ydhZ.pdf", "Melting_Curves/meltCurve_P0ACX5_ydhZ.pdf")</f>
        <v>0</v>
      </c>
    </row>
    <row r="756" spans="1:28">
      <c r="A756" t="s">
        <v>782</v>
      </c>
      <c r="B756">
        <v>0.999739202189716</v>
      </c>
      <c r="C756">
        <v>1.16004632590553</v>
      </c>
      <c r="D756">
        <v>0.841151377161059</v>
      </c>
      <c r="E756">
        <v>0.7146973313313461</v>
      </c>
      <c r="F756">
        <v>0.250854787100515</v>
      </c>
      <c r="G756">
        <v>0.132451830872482</v>
      </c>
      <c r="H756">
        <v>0.090489555423306</v>
      </c>
      <c r="I756">
        <v>0.0610248646795961</v>
      </c>
      <c r="J756">
        <v>0.058035587965254</v>
      </c>
      <c r="K756">
        <v>0.0555884247098117</v>
      </c>
      <c r="L756">
        <v>1168.8484381113</v>
      </c>
      <c r="M756">
        <v>24.4514532381195</v>
      </c>
      <c r="N756">
        <v>48.0545182026348</v>
      </c>
      <c r="O756">
        <v>47.4865229056574</v>
      </c>
      <c r="P756">
        <v>-0.120993064782221</v>
      </c>
      <c r="Q756">
        <v>0.0601040329009172</v>
      </c>
      <c r="R756">
        <v>0.976381354513151</v>
      </c>
      <c r="S756" t="s">
        <v>2949</v>
      </c>
      <c r="T756" t="s">
        <v>4362</v>
      </c>
      <c r="U756" t="s">
        <v>4362</v>
      </c>
      <c r="V756" t="s">
        <v>4362</v>
      </c>
      <c r="W756" t="s">
        <v>5116</v>
      </c>
      <c r="X756">
        <v>6</v>
      </c>
      <c r="Y756" t="s">
        <v>7277</v>
      </c>
      <c r="Z756" t="s">
        <v>9444</v>
      </c>
      <c r="AA756">
        <v>0.4069005418081258</v>
      </c>
      <c r="AB756">
        <f>HYPERLINK("Melting_Curves/meltCurve_P0ACY1_ydjA.pdf", "Melting_Curves/meltCurve_P0ACY1_ydjA.pdf")</f>
        <v>0</v>
      </c>
    </row>
    <row r="757" spans="1:28">
      <c r="A757" t="s">
        <v>783</v>
      </c>
      <c r="B757">
        <v>0.999739202189716</v>
      </c>
      <c r="C757">
        <v>1.03109133855697</v>
      </c>
      <c r="D757">
        <v>0.707107912217504</v>
      </c>
      <c r="E757">
        <v>0.253597242986682</v>
      </c>
      <c r="F757">
        <v>0.140568076438779</v>
      </c>
      <c r="G757">
        <v>0.0937101882719206</v>
      </c>
      <c r="H757">
        <v>0.0632029447115167</v>
      </c>
      <c r="I757">
        <v>0.0495106941703713</v>
      </c>
      <c r="J757">
        <v>0.0477526069887013</v>
      </c>
      <c r="K757">
        <v>0.043954474634897</v>
      </c>
      <c r="L757">
        <v>1253.42722655743</v>
      </c>
      <c r="M757">
        <v>28.2643780743189</v>
      </c>
      <c r="N757">
        <v>44.5667084298828</v>
      </c>
      <c r="O757">
        <v>44.1263324731494</v>
      </c>
      <c r="P757">
        <v>-0.14969991390993</v>
      </c>
      <c r="Q757">
        <v>0.0651621585621434</v>
      </c>
      <c r="R757">
        <v>0.9942799285714849</v>
      </c>
      <c r="S757" t="s">
        <v>2950</v>
      </c>
      <c r="T757" t="s">
        <v>4362</v>
      </c>
      <c r="U757" t="s">
        <v>4362</v>
      </c>
      <c r="V757" t="s">
        <v>4362</v>
      </c>
      <c r="W757" t="s">
        <v>5117</v>
      </c>
      <c r="X757">
        <v>21</v>
      </c>
      <c r="Y757" t="s">
        <v>7278</v>
      </c>
      <c r="Z757" t="s">
        <v>9445</v>
      </c>
      <c r="AA757">
        <v>0.2999913062263805</v>
      </c>
      <c r="AB757">
        <f>HYPERLINK("Melting_Curves/meltCurve_P0ACY3_yeaG.pdf", "Melting_Curves/meltCurve_P0ACY3_yeaG.pdf")</f>
        <v>0</v>
      </c>
    </row>
    <row r="758" spans="1:28">
      <c r="A758" t="s">
        <v>784</v>
      </c>
      <c r="B758">
        <v>0.999739202189716</v>
      </c>
      <c r="C758">
        <v>1.12277632086359</v>
      </c>
      <c r="D758">
        <v>1.18079574149201</v>
      </c>
      <c r="E758">
        <v>1.15173980626345</v>
      </c>
      <c r="F758">
        <v>1.26078901900784</v>
      </c>
      <c r="G758">
        <v>0.897762114592353</v>
      </c>
      <c r="H758">
        <v>0.989242547266264</v>
      </c>
      <c r="I758">
        <v>1.09474655207884</v>
      </c>
      <c r="J758">
        <v>0.6307789633454181</v>
      </c>
      <c r="K758">
        <v>0.484988398790151</v>
      </c>
      <c r="L758">
        <v>15000</v>
      </c>
      <c r="M758">
        <v>234.938423153215</v>
      </c>
      <c r="N758">
        <v>64.8134468419079</v>
      </c>
      <c r="O758">
        <v>63.8418905544616</v>
      </c>
      <c r="P758">
        <v>-0.473822505116342</v>
      </c>
      <c r="Q758">
        <v>0.484976121770314</v>
      </c>
      <c r="R758">
        <v>0.715423589059615</v>
      </c>
      <c r="S758" t="s">
        <v>2951</v>
      </c>
      <c r="T758" t="s">
        <v>4362</v>
      </c>
      <c r="U758" t="s">
        <v>4362</v>
      </c>
      <c r="V758" t="s">
        <v>4362</v>
      </c>
      <c r="W758" t="s">
        <v>5118</v>
      </c>
      <c r="X758">
        <v>1</v>
      </c>
      <c r="Y758" t="s">
        <v>7279</v>
      </c>
      <c r="Z758" t="s">
        <v>9446</v>
      </c>
      <c r="AA758">
        <v>0.9459279612848565</v>
      </c>
      <c r="AB758">
        <f>HYPERLINK("Melting_Curves/meltCurve_P0ACY9_yebG.pdf", "Melting_Curves/meltCurve_P0ACY9_yebG.pdf")</f>
        <v>0</v>
      </c>
    </row>
    <row r="759" spans="1:28">
      <c r="A759" t="s">
        <v>785</v>
      </c>
      <c r="B759">
        <v>0.999739202189716</v>
      </c>
      <c r="C759">
        <v>0.946552714524849</v>
      </c>
      <c r="D759">
        <v>0.910532637192021</v>
      </c>
      <c r="E759">
        <v>0.776418477417146</v>
      </c>
      <c r="F759">
        <v>0.442385163600365</v>
      </c>
      <c r="G759">
        <v>0.213162859723749</v>
      </c>
      <c r="H759">
        <v>0.137297675335045</v>
      </c>
      <c r="I759">
        <v>0.120248638761488</v>
      </c>
      <c r="J759">
        <v>0.0999748325633978</v>
      </c>
      <c r="K759">
        <v>0.0628356969683567</v>
      </c>
      <c r="L759">
        <v>911.893541967932</v>
      </c>
      <c r="M759">
        <v>18.5688557275278</v>
      </c>
      <c r="N759">
        <v>49.5528863285056</v>
      </c>
      <c r="O759">
        <v>48.5498353832281</v>
      </c>
      <c r="P759">
        <v>-0.0882916406859567</v>
      </c>
      <c r="Q759">
        <v>0.0766566064767874</v>
      </c>
      <c r="R759">
        <v>0.9969465645257241</v>
      </c>
      <c r="S759" t="s">
        <v>2952</v>
      </c>
      <c r="T759" t="s">
        <v>4362</v>
      </c>
      <c r="U759" t="s">
        <v>4362</v>
      </c>
      <c r="V759" t="s">
        <v>4362</v>
      </c>
      <c r="W759" t="s">
        <v>5119</v>
      </c>
      <c r="X759">
        <v>5</v>
      </c>
      <c r="Y759" t="s">
        <v>7280</v>
      </c>
      <c r="Z759" t="s">
        <v>9447</v>
      </c>
      <c r="AA759">
        <v>0.4632352571631506</v>
      </c>
      <c r="AB759">
        <f>HYPERLINK("Melting_Curves/meltCurve_P0ACZ4_evgA.pdf", "Melting_Curves/meltCurve_P0ACZ4_evgA.pdf")</f>
        <v>0</v>
      </c>
    </row>
    <row r="760" spans="1:28">
      <c r="A760" t="s">
        <v>786</v>
      </c>
      <c r="B760">
        <v>0.999739202189716</v>
      </c>
      <c r="C760">
        <v>0.753419758947662</v>
      </c>
      <c r="D760">
        <v>0.390477888755638</v>
      </c>
      <c r="E760">
        <v>0.318570742961716</v>
      </c>
      <c r="F760">
        <v>0.292124337417843</v>
      </c>
      <c r="G760">
        <v>0.195774127863772</v>
      </c>
      <c r="H760">
        <v>0.162155068570014</v>
      </c>
      <c r="I760">
        <v>0.105519299316228</v>
      </c>
      <c r="J760">
        <v>0.101539677912478</v>
      </c>
      <c r="K760">
        <v>0.0786935632226673</v>
      </c>
      <c r="L760">
        <v>704.942483561736</v>
      </c>
      <c r="M760">
        <v>16.8139024379934</v>
      </c>
      <c r="N760">
        <v>42.7554574240018</v>
      </c>
      <c r="O760">
        <v>41.3465771304426</v>
      </c>
      <c r="P760">
        <v>-0.0875242369396127</v>
      </c>
      <c r="Q760">
        <v>0.139142362162634</v>
      </c>
      <c r="R760">
        <v>0.957424680810157</v>
      </c>
      <c r="S760" t="s">
        <v>2953</v>
      </c>
      <c r="T760" t="s">
        <v>4362</v>
      </c>
      <c r="U760" t="s">
        <v>4362</v>
      </c>
      <c r="V760" t="s">
        <v>4362</v>
      </c>
      <c r="W760" t="s">
        <v>5120</v>
      </c>
      <c r="X760">
        <v>1</v>
      </c>
      <c r="Y760" t="s">
        <v>7281</v>
      </c>
      <c r="Z760" t="s">
        <v>9448</v>
      </c>
      <c r="AA760">
        <v>0.2999665425040202</v>
      </c>
      <c r="AB760">
        <f>HYPERLINK("Melting_Curves/meltCurve_P0AD01_dcuR.pdf", "Melting_Curves/meltCurve_P0AD01_dcuR.pdf")</f>
        <v>0</v>
      </c>
    </row>
    <row r="761" spans="1:28">
      <c r="A761" t="s">
        <v>787</v>
      </c>
      <c r="B761">
        <v>0.999739202189716</v>
      </c>
      <c r="C761">
        <v>0.983768345719188</v>
      </c>
      <c r="D761">
        <v>0.872256613532258</v>
      </c>
      <c r="E761">
        <v>0.829105193106604</v>
      </c>
      <c r="F761">
        <v>0.859602889296198</v>
      </c>
      <c r="G761">
        <v>0.702220002666869</v>
      </c>
      <c r="H761">
        <v>0.751405012199559</v>
      </c>
      <c r="I761">
        <v>0.837072928916474</v>
      </c>
      <c r="J761">
        <v>0.825210243881315</v>
      </c>
      <c r="K761">
        <v>0.64429084632928</v>
      </c>
      <c r="L761">
        <v>612.456244219979</v>
      </c>
      <c r="M761">
        <v>13.7848434440198</v>
      </c>
      <c r="O761">
        <v>43.5259824153397</v>
      </c>
      <c r="P761">
        <v>-0.0195866200900842</v>
      </c>
      <c r="Q761">
        <v>0.752653895260863</v>
      </c>
      <c r="R761">
        <v>0.691498764203805</v>
      </c>
      <c r="S761" t="s">
        <v>2954</v>
      </c>
      <c r="T761" t="s">
        <v>4362</v>
      </c>
      <c r="U761" t="s">
        <v>4362</v>
      </c>
      <c r="V761" t="s">
        <v>4362</v>
      </c>
      <c r="W761" t="s">
        <v>5121</v>
      </c>
      <c r="X761">
        <v>5</v>
      </c>
      <c r="Y761" t="s">
        <v>7282</v>
      </c>
      <c r="Z761" t="s">
        <v>9449</v>
      </c>
      <c r="AA761">
        <v>0.8210445365992045</v>
      </c>
      <c r="AB761">
        <f>HYPERLINK("Melting_Curves/meltCurve_P0AD05_yecA.pdf", "Melting_Curves/meltCurve_P0AD05_yecA.pdf")</f>
        <v>0</v>
      </c>
    </row>
    <row r="762" spans="1:28">
      <c r="A762" t="s">
        <v>788</v>
      </c>
      <c r="B762">
        <v>0.999739202189716</v>
      </c>
      <c r="C762">
        <v>1.14920742258933</v>
      </c>
      <c r="D762">
        <v>0.689219064639228</v>
      </c>
      <c r="E762">
        <v>0.863041900131942</v>
      </c>
      <c r="F762">
        <v>0.757646235345848</v>
      </c>
      <c r="G762">
        <v>0.5815090804870801</v>
      </c>
      <c r="H762">
        <v>0.506415673493989</v>
      </c>
      <c r="I762">
        <v>0.430080125313362</v>
      </c>
      <c r="J762">
        <v>0.390722802327092</v>
      </c>
      <c r="K762">
        <v>0.388893835635889</v>
      </c>
      <c r="L762">
        <v>462.339041459309</v>
      </c>
      <c r="M762">
        <v>8.820742121199469</v>
      </c>
      <c r="N762">
        <v>57.8043134678419</v>
      </c>
      <c r="O762">
        <v>49.9305988725426</v>
      </c>
      <c r="P762">
        <v>-0.0318100158881297</v>
      </c>
      <c r="Q762">
        <v>0.280310476180086</v>
      </c>
      <c r="R762">
        <v>0.8571971333958019</v>
      </c>
      <c r="S762" t="s">
        <v>2955</v>
      </c>
      <c r="T762" t="s">
        <v>4362</v>
      </c>
      <c r="U762" t="s">
        <v>4362</v>
      </c>
      <c r="V762" t="s">
        <v>4362</v>
      </c>
      <c r="W762" t="s">
        <v>5122</v>
      </c>
      <c r="X762">
        <v>3</v>
      </c>
      <c r="Y762" t="s">
        <v>7283</v>
      </c>
      <c r="Z762" t="s">
        <v>9450</v>
      </c>
      <c r="AA762">
        <v>0.6686176475855664</v>
      </c>
      <c r="AB762">
        <f>HYPERLINK("Melting_Curves/meltCurve_P0AD10_yecJ.pdf", "Melting_Curves/meltCurve_P0AD10_yecJ.pdf")</f>
        <v>0</v>
      </c>
    </row>
    <row r="763" spans="1:28">
      <c r="A763" t="s">
        <v>789</v>
      </c>
      <c r="B763">
        <v>0.999739202189716</v>
      </c>
      <c r="C763">
        <v>0.871205748329228</v>
      </c>
      <c r="D763">
        <v>0.617095022170458</v>
      </c>
      <c r="E763">
        <v>0.224824796355996</v>
      </c>
      <c r="F763">
        <v>0.124161330798149</v>
      </c>
      <c r="G763">
        <v>0.0707966812163999</v>
      </c>
      <c r="H763">
        <v>0.0586884865436481</v>
      </c>
      <c r="I763">
        <v>0.0472991704356456</v>
      </c>
      <c r="J763">
        <v>0.040042016711021</v>
      </c>
      <c r="K763">
        <v>0.0406070575744733</v>
      </c>
      <c r="L763">
        <v>932.268527504701</v>
      </c>
      <c r="M763">
        <v>21.346024238394</v>
      </c>
      <c r="N763">
        <v>43.880156555506</v>
      </c>
      <c r="O763">
        <v>43.2962442785868</v>
      </c>
      <c r="P763">
        <v>-0.117380846638368</v>
      </c>
      <c r="Q763">
        <v>0.047687833425269</v>
      </c>
      <c r="R763">
        <v>0.998468629344633</v>
      </c>
      <c r="S763" t="s">
        <v>2956</v>
      </c>
      <c r="T763" t="s">
        <v>4362</v>
      </c>
      <c r="U763" t="s">
        <v>4362</v>
      </c>
      <c r="V763" t="s">
        <v>4362</v>
      </c>
      <c r="W763" t="s">
        <v>5123</v>
      </c>
      <c r="X763">
        <v>10</v>
      </c>
      <c r="Y763" t="s">
        <v>7284</v>
      </c>
      <c r="Z763" t="s">
        <v>9451</v>
      </c>
      <c r="AA763">
        <v>0.2706896829412867</v>
      </c>
      <c r="AB763">
        <f>HYPERLINK("Melting_Curves/meltCurve_P0AD12_yeeZ.pdf", "Melting_Curves/meltCurve_P0AD12_yeeZ.pdf")</f>
        <v>0</v>
      </c>
    </row>
    <row r="764" spans="1:28">
      <c r="A764" t="s">
        <v>790</v>
      </c>
      <c r="B764">
        <v>0.999739202189716</v>
      </c>
      <c r="C764">
        <v>0.916550733738247</v>
      </c>
      <c r="D764">
        <v>1.10395131653045</v>
      </c>
      <c r="E764">
        <v>0.986803231948137</v>
      </c>
      <c r="F764">
        <v>1.11155612890809</v>
      </c>
      <c r="G764">
        <v>0.836847226956972</v>
      </c>
      <c r="H764">
        <v>0.615440295694358</v>
      </c>
      <c r="I764">
        <v>0.515501623502251</v>
      </c>
      <c r="J764">
        <v>0.397321848842119</v>
      </c>
      <c r="K764">
        <v>0.346545901889831</v>
      </c>
      <c r="L764">
        <v>1417.18764370987</v>
      </c>
      <c r="M764">
        <v>24.9694778057751</v>
      </c>
      <c r="N764">
        <v>59.8891444503661</v>
      </c>
      <c r="O764">
        <v>56.3965135799229</v>
      </c>
      <c r="P764">
        <v>-0.0703377697908244</v>
      </c>
      <c r="Q764">
        <v>0.364543957148525</v>
      </c>
      <c r="R764">
        <v>0.944687799616158</v>
      </c>
      <c r="S764" t="s">
        <v>2957</v>
      </c>
      <c r="T764" t="s">
        <v>4362</v>
      </c>
      <c r="U764" t="s">
        <v>4362</v>
      </c>
      <c r="V764" t="s">
        <v>4362</v>
      </c>
      <c r="W764" t="s">
        <v>5124</v>
      </c>
      <c r="X764">
        <v>2</v>
      </c>
      <c r="Y764" t="s">
        <v>7285</v>
      </c>
      <c r="Z764" t="s">
        <v>9452</v>
      </c>
      <c r="AA764">
        <v>0.787899486278049</v>
      </c>
      <c r="AB764">
        <f>HYPERLINK("Melting_Curves/meltCurve_P0AD21_yejG.pdf", "Melting_Curves/meltCurve_P0AD21_yejG.pdf")</f>
        <v>0</v>
      </c>
    </row>
    <row r="765" spans="1:28">
      <c r="A765" t="s">
        <v>791</v>
      </c>
      <c r="B765">
        <v>0.999739202189716</v>
      </c>
      <c r="C765">
        <v>0.920974549582836</v>
      </c>
      <c r="D765">
        <v>0.59902243186785</v>
      </c>
      <c r="E765">
        <v>0.786757263996639</v>
      </c>
      <c r="F765">
        <v>0.677954841571729</v>
      </c>
      <c r="G765">
        <v>0.529589855294053</v>
      </c>
      <c r="H765">
        <v>0.379409821398305</v>
      </c>
      <c r="I765">
        <v>0.365103644921726</v>
      </c>
      <c r="J765">
        <v>0.293879122713157</v>
      </c>
      <c r="K765">
        <v>0.304004355475287</v>
      </c>
      <c r="L765">
        <v>291.596591038915</v>
      </c>
      <c r="M765">
        <v>5.38517090978242</v>
      </c>
      <c r="N765">
        <v>54.5178233006845</v>
      </c>
      <c r="O765">
        <v>48.0412249659845</v>
      </c>
      <c r="P765">
        <v>-0.0276516634219709</v>
      </c>
      <c r="Q765">
        <v>0.0179324883008985</v>
      </c>
      <c r="R765">
        <v>0.8904292695573121</v>
      </c>
      <c r="S765" t="s">
        <v>2958</v>
      </c>
      <c r="T765" t="s">
        <v>4362</v>
      </c>
      <c r="U765" t="s">
        <v>4362</v>
      </c>
      <c r="V765" t="s">
        <v>4362</v>
      </c>
      <c r="W765" t="s">
        <v>5125</v>
      </c>
      <c r="X765">
        <v>2</v>
      </c>
      <c r="Y765" t="s">
        <v>7286</v>
      </c>
      <c r="Z765" t="s">
        <v>9453</v>
      </c>
      <c r="AA765">
        <v>0.5804035697733132</v>
      </c>
      <c r="AB765">
        <f>HYPERLINK("Melting_Curves/meltCurve_P0AD24_yejL.pdf", "Melting_Curves/meltCurve_P0AD24_yejL.pdf")</f>
        <v>0</v>
      </c>
    </row>
    <row r="766" spans="1:28">
      <c r="A766" t="s">
        <v>792</v>
      </c>
      <c r="B766">
        <v>0.999739202189716</v>
      </c>
      <c r="C766">
        <v>0.827811552446168</v>
      </c>
      <c r="D766">
        <v>0.571599275733498</v>
      </c>
      <c r="E766">
        <v>0.278927436670124</v>
      </c>
      <c r="F766">
        <v>0.208616444575817</v>
      </c>
      <c r="G766">
        <v>0.14293351097482</v>
      </c>
      <c r="H766">
        <v>0.135500998564441</v>
      </c>
      <c r="I766">
        <v>0.115704987743857</v>
      </c>
      <c r="J766">
        <v>0.110050719471102</v>
      </c>
      <c r="K766">
        <v>0.104562739932553</v>
      </c>
      <c r="L766">
        <v>804.533851141862</v>
      </c>
      <c r="M766">
        <v>18.6596950048247</v>
      </c>
      <c r="N766">
        <v>43.7476701232509</v>
      </c>
      <c r="O766">
        <v>42.6300843081125</v>
      </c>
      <c r="P766">
        <v>-0.0965115409971441</v>
      </c>
      <c r="Q766">
        <v>0.118073674685562</v>
      </c>
      <c r="R766">
        <v>0.996705604351897</v>
      </c>
      <c r="S766" t="s">
        <v>2959</v>
      </c>
      <c r="T766" t="s">
        <v>4362</v>
      </c>
      <c r="U766" t="s">
        <v>4362</v>
      </c>
      <c r="V766" t="s">
        <v>4362</v>
      </c>
      <c r="W766" t="s">
        <v>5126</v>
      </c>
      <c r="X766">
        <v>3</v>
      </c>
      <c r="Y766" t="s">
        <v>7287</v>
      </c>
      <c r="Z766" t="s">
        <v>9454</v>
      </c>
      <c r="AA766">
        <v>0.3121698146608388</v>
      </c>
      <c r="AB766">
        <f>HYPERLINK("Melting_Curves/meltCurve_P0AD27_yejM.pdf", "Melting_Curves/meltCurve_P0AD27_yejM.pdf")</f>
        <v>0</v>
      </c>
    </row>
    <row r="767" spans="1:28">
      <c r="A767" t="s">
        <v>793</v>
      </c>
      <c r="B767">
        <v>0.999739202189716</v>
      </c>
      <c r="C767">
        <v>0.825378376645219</v>
      </c>
      <c r="D767">
        <v>1.03735725025575</v>
      </c>
      <c r="E767">
        <v>1.02986703934744</v>
      </c>
      <c r="F767">
        <v>1.06069592314765</v>
      </c>
      <c r="G767">
        <v>0.885805869906936</v>
      </c>
      <c r="H767">
        <v>0.728632788118319</v>
      </c>
      <c r="I767">
        <v>0.684200943867199</v>
      </c>
      <c r="J767">
        <v>0.483871899775394</v>
      </c>
      <c r="K767">
        <v>0.484200184172054</v>
      </c>
      <c r="L767">
        <v>1085.7159179045</v>
      </c>
      <c r="M767">
        <v>18.501523496313</v>
      </c>
      <c r="N767">
        <v>65.4276091217146</v>
      </c>
      <c r="O767">
        <v>58.0098460148103</v>
      </c>
      <c r="P767">
        <v>-0.0457883606489784</v>
      </c>
      <c r="Q767">
        <v>0.425764444607491</v>
      </c>
      <c r="R767">
        <v>0.887996422766682</v>
      </c>
      <c r="S767" t="s">
        <v>2960</v>
      </c>
      <c r="T767" t="s">
        <v>4362</v>
      </c>
      <c r="U767" t="s">
        <v>4362</v>
      </c>
      <c r="V767" t="s">
        <v>4362</v>
      </c>
      <c r="W767" t="s">
        <v>5127</v>
      </c>
      <c r="X767">
        <v>2</v>
      </c>
      <c r="Y767" t="s">
        <v>7288</v>
      </c>
      <c r="Z767" t="s">
        <v>9455</v>
      </c>
      <c r="AA767">
        <v>0.8432828118483879</v>
      </c>
      <c r="AB767">
        <f>HYPERLINK("Melting_Curves/meltCurve_P0AD33_yfcZ.pdf", "Melting_Curves/meltCurve_P0AD33_yfcZ.pdf")</f>
        <v>0</v>
      </c>
    </row>
    <row r="768" spans="1:28">
      <c r="A768" t="s">
        <v>794</v>
      </c>
      <c r="B768">
        <v>0.999739202189716</v>
      </c>
      <c r="C768">
        <v>1.24606071936663</v>
      </c>
      <c r="D768">
        <v>0.516599545426352</v>
      </c>
      <c r="E768">
        <v>0.798795396215243</v>
      </c>
      <c r="F768">
        <v>0.545737600527141</v>
      </c>
      <c r="G768">
        <v>0.437960616995412</v>
      </c>
      <c r="H768">
        <v>0.373546673082471</v>
      </c>
      <c r="I768">
        <v>0.283025498700461</v>
      </c>
      <c r="J768">
        <v>0.256822623697413</v>
      </c>
      <c r="K768">
        <v>0.276026933763112</v>
      </c>
      <c r="L768">
        <v>518.0380589799991</v>
      </c>
      <c r="M768">
        <v>10.6656923189577</v>
      </c>
      <c r="N768">
        <v>51.4546843384128</v>
      </c>
      <c r="O768">
        <v>46.9564214881183</v>
      </c>
      <c r="P768">
        <v>-0.0440250609066328</v>
      </c>
      <c r="Q768">
        <v>0.225001380958092</v>
      </c>
      <c r="R768">
        <v>0.784834533433257</v>
      </c>
      <c r="S768" t="s">
        <v>2961</v>
      </c>
      <c r="T768" t="s">
        <v>4362</v>
      </c>
      <c r="U768" t="s">
        <v>4362</v>
      </c>
      <c r="V768" t="s">
        <v>4362</v>
      </c>
      <c r="W768" t="s">
        <v>5128</v>
      </c>
      <c r="X768">
        <v>1</v>
      </c>
      <c r="Y768" t="s">
        <v>7289</v>
      </c>
      <c r="Z768" t="s">
        <v>9456</v>
      </c>
      <c r="AA768">
        <v>0.5514461665752568</v>
      </c>
      <c r="AB768">
        <f>HYPERLINK("Melting_Curves/meltCurve_P0AD37_yfeC.pdf", "Melting_Curves/meltCurve_P0AD37_yfeC.pdf")</f>
        <v>0</v>
      </c>
    </row>
    <row r="769" spans="1:28">
      <c r="A769" t="s">
        <v>795</v>
      </c>
      <c r="B769">
        <v>0.999739202189716</v>
      </c>
      <c r="C769">
        <v>0.956297510626114</v>
      </c>
      <c r="D769">
        <v>0.859243348176645</v>
      </c>
      <c r="E769">
        <v>0.7546913769861771</v>
      </c>
      <c r="F769">
        <v>0.80032973664074</v>
      </c>
      <c r="G769">
        <v>0.611104054741911</v>
      </c>
      <c r="H769">
        <v>0.607803642464225</v>
      </c>
      <c r="I769">
        <v>0.443475537994577</v>
      </c>
      <c r="J769">
        <v>0.408462325550516</v>
      </c>
      <c r="K769">
        <v>0.291424291540302</v>
      </c>
      <c r="L769">
        <v>339.72525842069</v>
      </c>
      <c r="M769">
        <v>5.74117345290833</v>
      </c>
      <c r="N769">
        <v>59.1734880200954</v>
      </c>
      <c r="O769">
        <v>53.1735355281937</v>
      </c>
      <c r="P769">
        <v>-0.0270948682984548</v>
      </c>
      <c r="Q769">
        <v>0</v>
      </c>
      <c r="R769">
        <v>0.963292214300443</v>
      </c>
      <c r="S769" t="s">
        <v>2962</v>
      </c>
      <c r="T769" t="s">
        <v>4362</v>
      </c>
      <c r="U769" t="s">
        <v>4362</v>
      </c>
      <c r="V769" t="s">
        <v>4362</v>
      </c>
      <c r="W769" t="s">
        <v>5129</v>
      </c>
      <c r="X769">
        <v>2</v>
      </c>
      <c r="Y769" t="s">
        <v>7290</v>
      </c>
      <c r="Z769" t="s">
        <v>9457</v>
      </c>
      <c r="AA769">
        <v>0.6772827731678045</v>
      </c>
      <c r="AB769">
        <f>HYPERLINK("Melting_Curves/meltCurve_P0AD40_ypeB.pdf", "Melting_Curves/meltCurve_P0AD40_ypeB.pdf")</f>
        <v>0</v>
      </c>
    </row>
    <row r="770" spans="1:28">
      <c r="A770" t="s">
        <v>796</v>
      </c>
      <c r="B770">
        <v>0.999739202189716</v>
      </c>
      <c r="C770">
        <v>0.658186918942108</v>
      </c>
      <c r="D770">
        <v>0.550977949244741</v>
      </c>
      <c r="E770">
        <v>0.355791282379358</v>
      </c>
      <c r="F770">
        <v>0.240138058141233</v>
      </c>
      <c r="G770">
        <v>0.134860156901169</v>
      </c>
      <c r="H770">
        <v>0.133374115340743</v>
      </c>
      <c r="I770">
        <v>0.0561810745328099</v>
      </c>
      <c r="J770">
        <v>0.0619163083029056</v>
      </c>
      <c r="K770">
        <v>0.0520308883496654</v>
      </c>
      <c r="L770">
        <v>495.810091560528</v>
      </c>
      <c r="M770">
        <v>11.4080995492665</v>
      </c>
      <c r="N770">
        <v>43.8265582781816</v>
      </c>
      <c r="O770">
        <v>42.1901031305251</v>
      </c>
      <c r="P770">
        <v>-0.0645522766092822</v>
      </c>
      <c r="Q770">
        <v>0.0453563279428506</v>
      </c>
      <c r="R770">
        <v>0.974450361274613</v>
      </c>
      <c r="S770" t="s">
        <v>2963</v>
      </c>
      <c r="T770" t="s">
        <v>4362</v>
      </c>
      <c r="U770" t="s">
        <v>4362</v>
      </c>
      <c r="V770" t="s">
        <v>4362</v>
      </c>
      <c r="W770" t="s">
        <v>5130</v>
      </c>
      <c r="X770">
        <v>1</v>
      </c>
      <c r="Y770" t="s">
        <v>7291</v>
      </c>
      <c r="Z770" t="s">
        <v>9458</v>
      </c>
      <c r="AA770">
        <v>0.2930671791424778</v>
      </c>
      <c r="AB770">
        <f>HYPERLINK("Melting_Curves/meltCurve_P0AD42_pgpC.pdf", "Melting_Curves/meltCurve_P0AD42_pgpC.pdf")</f>
        <v>0</v>
      </c>
    </row>
    <row r="771" spans="1:28">
      <c r="A771" t="s">
        <v>797</v>
      </c>
      <c r="B771">
        <v>0.999739202189716</v>
      </c>
      <c r="C771">
        <v>1.04075668576869</v>
      </c>
      <c r="D771">
        <v>0.871376098989857</v>
      </c>
      <c r="E771">
        <v>1.05479851548634</v>
      </c>
      <c r="F771">
        <v>0.896533612378394</v>
      </c>
      <c r="G771">
        <v>0.746198187454965</v>
      </c>
      <c r="H771">
        <v>0.786759655783652</v>
      </c>
      <c r="I771">
        <v>0.681928368800289</v>
      </c>
      <c r="J771">
        <v>0.679574969825081</v>
      </c>
      <c r="K771">
        <v>0.536877495370475</v>
      </c>
      <c r="L771">
        <v>441.413534337201</v>
      </c>
      <c r="M771">
        <v>7.07575972093923</v>
      </c>
      <c r="O771">
        <v>57.9759430862232</v>
      </c>
      <c r="P771">
        <v>-0.0209573056268507</v>
      </c>
      <c r="Q771">
        <v>0.314358832078721</v>
      </c>
      <c r="R771">
        <v>0.857457369259597</v>
      </c>
      <c r="S771" t="s">
        <v>2964</v>
      </c>
      <c r="T771" t="s">
        <v>4362</v>
      </c>
      <c r="U771" t="s">
        <v>4362</v>
      </c>
      <c r="V771" t="s">
        <v>4362</v>
      </c>
      <c r="W771" t="s">
        <v>5131</v>
      </c>
      <c r="X771">
        <v>2</v>
      </c>
      <c r="Y771" t="s">
        <v>7292</v>
      </c>
      <c r="Z771" t="s">
        <v>9459</v>
      </c>
      <c r="AA771">
        <v>0.8343363593446661</v>
      </c>
      <c r="AB771">
        <f>HYPERLINK("Melting_Curves/meltCurve_P0AD44_yfhG.pdf", "Melting_Curves/meltCurve_P0AD44_yfhG.pdf")</f>
        <v>0</v>
      </c>
    </row>
    <row r="772" spans="1:28">
      <c r="A772" t="s">
        <v>798</v>
      </c>
      <c r="B772">
        <v>0.999739202189716</v>
      </c>
      <c r="C772">
        <v>1.30318021395905</v>
      </c>
      <c r="D772">
        <v>1.30454594741264</v>
      </c>
      <c r="E772">
        <v>1.34212377867474</v>
      </c>
      <c r="F772">
        <v>1.49718427220014</v>
      </c>
      <c r="G772">
        <v>1.20265755464809</v>
      </c>
      <c r="H772">
        <v>1.49582219283895</v>
      </c>
      <c r="I772">
        <v>1.48761962679287</v>
      </c>
      <c r="J772">
        <v>0.894762943694201</v>
      </c>
      <c r="K772">
        <v>0.257321763309519</v>
      </c>
      <c r="L772">
        <v>15000</v>
      </c>
      <c r="M772">
        <v>232.207781800451</v>
      </c>
      <c r="N772">
        <v>64.7988251129437</v>
      </c>
      <c r="O772">
        <v>64.5925020128375</v>
      </c>
      <c r="P772">
        <v>-0.6676368280407921</v>
      </c>
      <c r="Q772">
        <v>0.257142040067229</v>
      </c>
      <c r="R772">
        <v>0.185209754541682</v>
      </c>
      <c r="S772" t="s">
        <v>2965</v>
      </c>
      <c r="T772" t="s">
        <v>4362</v>
      </c>
      <c r="U772" t="s">
        <v>4362</v>
      </c>
      <c r="V772" t="s">
        <v>4362</v>
      </c>
      <c r="W772" t="s">
        <v>5132</v>
      </c>
      <c r="X772">
        <v>1</v>
      </c>
      <c r="Y772" t="s">
        <v>7293</v>
      </c>
      <c r="Z772" t="s">
        <v>9460</v>
      </c>
      <c r="AA772">
        <v>0.9406007708888899</v>
      </c>
      <c r="AB772">
        <f>HYPERLINK("Melting_Curves/meltCurve_P0AD47_yphA.pdf", "Melting_Curves/meltCurve_P0AD47_yphA.pdf")</f>
        <v>0</v>
      </c>
    </row>
    <row r="773" spans="1:28">
      <c r="A773" t="s">
        <v>799</v>
      </c>
      <c r="B773">
        <v>0.999739202189716</v>
      </c>
      <c r="C773">
        <v>0.877457237592941</v>
      </c>
      <c r="D773">
        <v>1.44189254697063</v>
      </c>
      <c r="E773">
        <v>0.973462320112757</v>
      </c>
      <c r="F773">
        <v>1.22848448078498</v>
      </c>
      <c r="G773">
        <v>1.0180650131371</v>
      </c>
      <c r="H773">
        <v>0.597481648338904</v>
      </c>
      <c r="I773">
        <v>0.702590703288118</v>
      </c>
      <c r="J773">
        <v>0.540291258755383</v>
      </c>
      <c r="K773">
        <v>0.642564717956837</v>
      </c>
      <c r="L773">
        <v>13880.2182907978</v>
      </c>
      <c r="M773">
        <v>250</v>
      </c>
      <c r="O773">
        <v>55.5173202091442</v>
      </c>
      <c r="P773">
        <v>-0.426996483377777</v>
      </c>
      <c r="Q773">
        <v>0.620708792603514</v>
      </c>
      <c r="R773">
        <v>0.63334606072177</v>
      </c>
      <c r="S773" t="s">
        <v>2966</v>
      </c>
      <c r="T773" t="s">
        <v>4362</v>
      </c>
      <c r="U773" t="s">
        <v>4362</v>
      </c>
      <c r="V773" t="s">
        <v>4362</v>
      </c>
      <c r="W773" t="s">
        <v>5133</v>
      </c>
      <c r="X773">
        <v>3</v>
      </c>
      <c r="Y773" t="s">
        <v>7294</v>
      </c>
      <c r="Z773" t="s">
        <v>9461</v>
      </c>
      <c r="AA773">
        <v>0.8549058948854118</v>
      </c>
      <c r="AB773">
        <f>HYPERLINK("Melting_Curves/meltCurve_P0AD49_raiA.pdf", "Melting_Curves/meltCurve_P0AD49_raiA.pdf")</f>
        <v>0</v>
      </c>
    </row>
    <row r="774" spans="1:28">
      <c r="A774" t="s">
        <v>800</v>
      </c>
      <c r="B774">
        <v>0.999739202189716</v>
      </c>
      <c r="C774">
        <v>0.9207203619786219</v>
      </c>
      <c r="D774">
        <v>0.495545335570027</v>
      </c>
      <c r="E774">
        <v>0.547971007252254</v>
      </c>
      <c r="F774">
        <v>0.371524070004974</v>
      </c>
      <c r="G774">
        <v>0.227457437058989</v>
      </c>
      <c r="H774">
        <v>0.17865274528537</v>
      </c>
      <c r="I774">
        <v>0.114333938338548</v>
      </c>
      <c r="J774">
        <v>0.0867182007648956</v>
      </c>
      <c r="K774">
        <v>0.07816871106715</v>
      </c>
      <c r="L774">
        <v>457.263595083814</v>
      </c>
      <c r="M774">
        <v>9.9482472795658</v>
      </c>
      <c r="N774">
        <v>46.4279036620007</v>
      </c>
      <c r="O774">
        <v>44.2226609787258</v>
      </c>
      <c r="P774">
        <v>-0.0536066779855582</v>
      </c>
      <c r="Q774">
        <v>0.0472876931635217</v>
      </c>
      <c r="R774">
        <v>0.947042480950435</v>
      </c>
      <c r="S774" t="s">
        <v>2967</v>
      </c>
      <c r="T774" t="s">
        <v>4362</v>
      </c>
      <c r="U774" t="s">
        <v>4362</v>
      </c>
      <c r="V774" t="s">
        <v>4362</v>
      </c>
      <c r="W774" t="s">
        <v>5134</v>
      </c>
      <c r="X774">
        <v>4</v>
      </c>
      <c r="Y774" t="s">
        <v>7295</v>
      </c>
      <c r="Z774" t="s">
        <v>9462</v>
      </c>
      <c r="AA774">
        <v>0.3764769224708323</v>
      </c>
      <c r="AB774">
        <f>HYPERLINK("Melting_Curves/meltCurve_P0AD57_ispB.pdf", "Melting_Curves/meltCurve_P0AD57_ispB.pdf")</f>
        <v>0</v>
      </c>
    </row>
    <row r="775" spans="1:28">
      <c r="A775" t="s">
        <v>801</v>
      </c>
      <c r="B775">
        <v>0.999739202189716</v>
      </c>
      <c r="C775">
        <v>1.11671275380918</v>
      </c>
      <c r="D775">
        <v>0.78682377074985</v>
      </c>
      <c r="E775">
        <v>1.20079052579416</v>
      </c>
      <c r="F775">
        <v>1.01521635164421</v>
      </c>
      <c r="G775">
        <v>0.836725686064105</v>
      </c>
      <c r="H775">
        <v>0.871981442259655</v>
      </c>
      <c r="I775">
        <v>0.730925796345511</v>
      </c>
      <c r="J775">
        <v>0.62261892589404</v>
      </c>
      <c r="K775">
        <v>0.677088301436104</v>
      </c>
      <c r="L775">
        <v>1085.21661301695</v>
      </c>
      <c r="M775">
        <v>18.7909909955395</v>
      </c>
      <c r="O775">
        <v>57.1098269055855</v>
      </c>
      <c r="P775">
        <v>-0.0311394366466894</v>
      </c>
      <c r="Q775">
        <v>0.62145822229417</v>
      </c>
      <c r="R775">
        <v>0.650953746017358</v>
      </c>
      <c r="S775" t="s">
        <v>2968</v>
      </c>
      <c r="T775" t="s">
        <v>4362</v>
      </c>
      <c r="U775" t="s">
        <v>4362</v>
      </c>
      <c r="V775" t="s">
        <v>4362</v>
      </c>
      <c r="W775" t="s">
        <v>5135</v>
      </c>
      <c r="X775">
        <v>5</v>
      </c>
      <c r="Y775" t="s">
        <v>7296</v>
      </c>
      <c r="Z775" t="s">
        <v>9463</v>
      </c>
      <c r="AA775">
        <v>0.8860349512264393</v>
      </c>
      <c r="AB775">
        <f>HYPERLINK("Melting_Curves/meltCurve_P0AD59_ivy.pdf", "Melting_Curves/meltCurve_P0AD59_ivy.pdf")</f>
        <v>0</v>
      </c>
    </row>
    <row r="776" spans="1:28">
      <c r="A776" t="s">
        <v>802</v>
      </c>
      <c r="B776">
        <v>0.999739202189716</v>
      </c>
      <c r="C776">
        <v>1.15065301955955</v>
      </c>
      <c r="D776">
        <v>1.21454129852375</v>
      </c>
      <c r="E776">
        <v>1.12554120180417</v>
      </c>
      <c r="F776">
        <v>0.981632673640333</v>
      </c>
      <c r="G776">
        <v>1.01888233307732</v>
      </c>
      <c r="H776">
        <v>0.692759766421755</v>
      </c>
      <c r="I776">
        <v>0.301646097747845</v>
      </c>
      <c r="J776">
        <v>0.076749156055975</v>
      </c>
      <c r="K776">
        <v>0.0614584546761492</v>
      </c>
      <c r="L776">
        <v>1938.30217616083</v>
      </c>
      <c r="M776">
        <v>32.8713061613893</v>
      </c>
      <c r="N776">
        <v>59.0960333995401</v>
      </c>
      <c r="O776">
        <v>58.7494388909448</v>
      </c>
      <c r="P776">
        <v>-0.1350138407771</v>
      </c>
      <c r="Q776">
        <v>0.0347872272962499</v>
      </c>
      <c r="R776">
        <v>0.950899892936488</v>
      </c>
      <c r="S776" t="s">
        <v>2969</v>
      </c>
      <c r="T776" t="s">
        <v>4362</v>
      </c>
      <c r="U776" t="s">
        <v>4362</v>
      </c>
      <c r="V776" t="s">
        <v>4362</v>
      </c>
      <c r="W776" t="s">
        <v>5136</v>
      </c>
      <c r="X776">
        <v>20</v>
      </c>
      <c r="Y776" t="s">
        <v>7297</v>
      </c>
      <c r="Z776" t="s">
        <v>9464</v>
      </c>
      <c r="AA776">
        <v>0.7458360623642756</v>
      </c>
      <c r="AB776">
        <f>HYPERLINK("Melting_Curves/meltCurve_P0AD61_pykF.pdf", "Melting_Curves/meltCurve_P0AD61_pykF.pdf")</f>
        <v>0</v>
      </c>
    </row>
    <row r="777" spans="1:28">
      <c r="A777" t="s">
        <v>803</v>
      </c>
      <c r="B777">
        <v>0.999739202189716</v>
      </c>
      <c r="C777">
        <v>0.943757802890428</v>
      </c>
      <c r="D777">
        <v>0.988281783502119</v>
      </c>
      <c r="E777">
        <v>0.884151449984138</v>
      </c>
      <c r="F777">
        <v>0.930365141654825</v>
      </c>
      <c r="G777">
        <v>0.786818536728302</v>
      </c>
      <c r="H777">
        <v>0.810055679380924</v>
      </c>
      <c r="I777">
        <v>0.781603831650307</v>
      </c>
      <c r="J777">
        <v>0.759392040721678</v>
      </c>
      <c r="K777">
        <v>0.608114834202683</v>
      </c>
      <c r="L777">
        <v>281.505496678021</v>
      </c>
      <c r="M777">
        <v>3.51533238886408</v>
      </c>
      <c r="O777">
        <v>62.8833219214036</v>
      </c>
      <c r="P777">
        <v>-0.0142450543242941</v>
      </c>
      <c r="Q777">
        <v>0</v>
      </c>
      <c r="R777">
        <v>0.87790495685129</v>
      </c>
      <c r="S777" t="s">
        <v>2970</v>
      </c>
      <c r="T777" t="s">
        <v>4362</v>
      </c>
      <c r="U777" t="s">
        <v>4362</v>
      </c>
      <c r="V777" t="s">
        <v>4362</v>
      </c>
      <c r="W777" t="s">
        <v>5137</v>
      </c>
      <c r="X777">
        <v>9</v>
      </c>
      <c r="Y777" t="s">
        <v>7298</v>
      </c>
      <c r="Z777" t="s">
        <v>9465</v>
      </c>
      <c r="AA777">
        <v>0.8538298797429721</v>
      </c>
      <c r="AB777">
        <f>HYPERLINK("Melting_Curves/meltCurve_P0AD96_livJ.pdf", "Melting_Curves/meltCurve_P0AD96_livJ.pdf")</f>
        <v>0</v>
      </c>
    </row>
    <row r="778" spans="1:28">
      <c r="A778" t="s">
        <v>804</v>
      </c>
      <c r="B778">
        <v>0.999739202189716</v>
      </c>
      <c r="C778">
        <v>0.7996641900193</v>
      </c>
      <c r="D778">
        <v>1.07196740446417</v>
      </c>
      <c r="E778">
        <v>1.02499135716001</v>
      </c>
      <c r="F778">
        <v>1.10959205960219</v>
      </c>
      <c r="G778">
        <v>0.894971396779997</v>
      </c>
      <c r="H778">
        <v>0.722820605934184</v>
      </c>
      <c r="I778">
        <v>0.395669962497531</v>
      </c>
      <c r="J778">
        <v>0.283969464266344</v>
      </c>
      <c r="K778">
        <v>0.219281585588326</v>
      </c>
      <c r="L778">
        <v>1601.10763538459</v>
      </c>
      <c r="M778">
        <v>27.3253969259076</v>
      </c>
      <c r="N778">
        <v>59.722383422218</v>
      </c>
      <c r="O778">
        <v>58.2830231660492</v>
      </c>
      <c r="P778">
        <v>-0.0935794048827291</v>
      </c>
      <c r="Q778">
        <v>0.201616391894457</v>
      </c>
      <c r="R778">
        <v>0.9392527476603409</v>
      </c>
      <c r="S778" t="s">
        <v>2971</v>
      </c>
      <c r="T778" t="s">
        <v>4362</v>
      </c>
      <c r="U778" t="s">
        <v>4362</v>
      </c>
      <c r="V778" t="s">
        <v>4362</v>
      </c>
      <c r="W778" t="s">
        <v>5138</v>
      </c>
      <c r="X778">
        <v>10</v>
      </c>
      <c r="Y778" t="s">
        <v>7299</v>
      </c>
      <c r="Z778" t="s">
        <v>9466</v>
      </c>
      <c r="AA778">
        <v>0.7806855682007826</v>
      </c>
      <c r="AB778">
        <f>HYPERLINK("Melting_Curves/meltCurve_P0ADA1_tesA.pdf", "Melting_Curves/meltCurve_P0ADA1_tesA.pdf")</f>
        <v>0</v>
      </c>
    </row>
    <row r="779" spans="1:28">
      <c r="A779" t="s">
        <v>805</v>
      </c>
      <c r="B779">
        <v>0.999739202189716</v>
      </c>
      <c r="C779">
        <v>1.18933140589233</v>
      </c>
      <c r="D779">
        <v>1.07492082916319</v>
      </c>
      <c r="E779">
        <v>1.09351605999066</v>
      </c>
      <c r="F779">
        <v>1.05189136842742</v>
      </c>
      <c r="G779">
        <v>0.660778892552724</v>
      </c>
      <c r="H779">
        <v>0.210336486326046</v>
      </c>
      <c r="I779">
        <v>0.0840622968186005</v>
      </c>
      <c r="J779">
        <v>0.0671403578758102</v>
      </c>
      <c r="K779">
        <v>0.0573140001439273</v>
      </c>
      <c r="L779">
        <v>2207.74494851545</v>
      </c>
      <c r="M779">
        <v>40.3833456581998</v>
      </c>
      <c r="N779">
        <v>54.8708889258874</v>
      </c>
      <c r="O779">
        <v>54.5361199604791</v>
      </c>
      <c r="P779">
        <v>-0.172382617042967</v>
      </c>
      <c r="Q779">
        <v>0.06881768836279541</v>
      </c>
      <c r="R779">
        <v>0.973408016281972</v>
      </c>
      <c r="S779" t="s">
        <v>2972</v>
      </c>
      <c r="T779" t="s">
        <v>4362</v>
      </c>
      <c r="U779" t="s">
        <v>4362</v>
      </c>
      <c r="V779" t="s">
        <v>4362</v>
      </c>
      <c r="W779" t="s">
        <v>5139</v>
      </c>
      <c r="X779">
        <v>11</v>
      </c>
      <c r="Y779" t="s">
        <v>7300</v>
      </c>
      <c r="Z779" t="s">
        <v>9467</v>
      </c>
      <c r="AA779">
        <v>0.6206873521258452</v>
      </c>
      <c r="AB779">
        <f>HYPERLINK("Melting_Curves/meltCurve_P0ADA3_nlpD.pdf", "Melting_Curves/meltCurve_P0ADA3_nlpD.pdf")</f>
        <v>0</v>
      </c>
    </row>
    <row r="780" spans="1:28">
      <c r="A780" t="s">
        <v>806</v>
      </c>
      <c r="B780">
        <v>0.999739202189716</v>
      </c>
      <c r="C780">
        <v>0.760111030186757</v>
      </c>
      <c r="D780">
        <v>1.18580859347007</v>
      </c>
      <c r="E780">
        <v>0.969474554836454</v>
      </c>
      <c r="F780">
        <v>1.10551993929814</v>
      </c>
      <c r="G780">
        <v>0.976944197657528</v>
      </c>
      <c r="H780">
        <v>0.616056502133293</v>
      </c>
      <c r="I780">
        <v>0.188048349234518</v>
      </c>
      <c r="J780">
        <v>0.153993575046448</v>
      </c>
      <c r="K780">
        <v>0.113551779471143</v>
      </c>
      <c r="L780">
        <v>2819.11125301002</v>
      </c>
      <c r="M780">
        <v>48.8726816018325</v>
      </c>
      <c r="N780">
        <v>58.041005152288</v>
      </c>
      <c r="O780">
        <v>57.5864325916805</v>
      </c>
      <c r="P780">
        <v>-0.184545297729492</v>
      </c>
      <c r="Q780">
        <v>0.130205679285956</v>
      </c>
      <c r="R780">
        <v>0.93250732753916</v>
      </c>
      <c r="S780" t="s">
        <v>2973</v>
      </c>
      <c r="T780" t="s">
        <v>4362</v>
      </c>
      <c r="U780" t="s">
        <v>4362</v>
      </c>
      <c r="V780" t="s">
        <v>4362</v>
      </c>
      <c r="W780" t="s">
        <v>5140</v>
      </c>
      <c r="X780">
        <v>4</v>
      </c>
      <c r="Y780" t="s">
        <v>7301</v>
      </c>
      <c r="Z780" t="s">
        <v>9468</v>
      </c>
      <c r="AA780">
        <v>0.7321267493733327</v>
      </c>
      <c r="AB780">
        <f>HYPERLINK("Melting_Curves/meltCurve_P0ADA5_yajG.pdf", "Melting_Curves/meltCurve_P0ADA5_yajG.pdf")</f>
        <v>0</v>
      </c>
    </row>
    <row r="781" spans="1:28">
      <c r="A781" t="s">
        <v>807</v>
      </c>
      <c r="B781">
        <v>0.999739202189716</v>
      </c>
      <c r="C781">
        <v>0.787747033173489</v>
      </c>
      <c r="D781">
        <v>0.966503447811468</v>
      </c>
      <c r="E781">
        <v>1.02083583922816</v>
      </c>
      <c r="F781">
        <v>1.0259161599257</v>
      </c>
      <c r="G781">
        <v>0.919204434641683</v>
      </c>
      <c r="H781">
        <v>1.01327496108418</v>
      </c>
      <c r="I781">
        <v>0.9189244621102129</v>
      </c>
      <c r="J781">
        <v>0.970926982489598</v>
      </c>
      <c r="K781">
        <v>0.746982591289423</v>
      </c>
      <c r="L781">
        <v>2780.86070559703</v>
      </c>
      <c r="M781">
        <v>40.4090450704065</v>
      </c>
      <c r="Q781">
        <v>0</v>
      </c>
      <c r="R781">
        <v>0.299313501435331</v>
      </c>
      <c r="S781" t="s">
        <v>2974</v>
      </c>
      <c r="T781" t="s">
        <v>4362</v>
      </c>
      <c r="U781" t="s">
        <v>4362</v>
      </c>
      <c r="V781" t="s">
        <v>4362</v>
      </c>
      <c r="W781" t="s">
        <v>5141</v>
      </c>
      <c r="X781">
        <v>6</v>
      </c>
      <c r="Y781" t="s">
        <v>7302</v>
      </c>
      <c r="Z781" t="s">
        <v>9469</v>
      </c>
      <c r="AA781">
        <v>0.9852377403837671</v>
      </c>
      <c r="AB781">
        <f>HYPERLINK("Melting_Curves/meltCurve_P0ADB1_osmE.pdf", "Melting_Curves/meltCurve_P0ADB1_osmE.pdf")</f>
        <v>0</v>
      </c>
    </row>
    <row r="782" spans="1:28">
      <c r="A782" t="s">
        <v>808</v>
      </c>
      <c r="B782">
        <v>0.999739202189716</v>
      </c>
      <c r="C782">
        <v>1.0808631560859</v>
      </c>
      <c r="D782">
        <v>0.8366712750199981</v>
      </c>
      <c r="E782">
        <v>0.90377068564622</v>
      </c>
      <c r="F782">
        <v>0.713921639176499</v>
      </c>
      <c r="G782">
        <v>0.511707768436659</v>
      </c>
      <c r="H782">
        <v>0.327718786062809</v>
      </c>
      <c r="I782">
        <v>0.228710269409539</v>
      </c>
      <c r="J782">
        <v>0.230275622541353</v>
      </c>
      <c r="K782">
        <v>0.170180782957887</v>
      </c>
      <c r="L782">
        <v>707.851712777888</v>
      </c>
      <c r="M782">
        <v>13.4304987339969</v>
      </c>
      <c r="N782">
        <v>53.8852903020026</v>
      </c>
      <c r="O782">
        <v>51.5774914625924</v>
      </c>
      <c r="P782">
        <v>-0.0568108780965866</v>
      </c>
      <c r="Q782">
        <v>0.127446952631447</v>
      </c>
      <c r="R782">
        <v>0.975795944666348</v>
      </c>
      <c r="S782" t="s">
        <v>2975</v>
      </c>
      <c r="T782" t="s">
        <v>4362</v>
      </c>
      <c r="U782" t="s">
        <v>4362</v>
      </c>
      <c r="V782" t="s">
        <v>4362</v>
      </c>
      <c r="W782" t="s">
        <v>5142</v>
      </c>
      <c r="X782">
        <v>6</v>
      </c>
      <c r="Y782" t="s">
        <v>7303</v>
      </c>
      <c r="Z782" t="s">
        <v>9470</v>
      </c>
      <c r="AA782">
        <v>0.6018665918211923</v>
      </c>
      <c r="AB782">
        <f>HYPERLINK("Melting_Curves/meltCurve_P0ADC1_lptE.pdf", "Melting_Curves/meltCurve_P0ADC1_lptE.pdf")</f>
        <v>0</v>
      </c>
    </row>
    <row r="783" spans="1:28">
      <c r="A783" t="s">
        <v>809</v>
      </c>
      <c r="B783">
        <v>0.999739202189716</v>
      </c>
      <c r="C783">
        <v>0.691240089163291</v>
      </c>
      <c r="D783">
        <v>0.478859729751449</v>
      </c>
      <c r="E783">
        <v>0.28238186488147</v>
      </c>
      <c r="F783">
        <v>0.158274918171776</v>
      </c>
      <c r="G783">
        <v>0.10334006910203</v>
      </c>
      <c r="H783">
        <v>0.07124863707129379</v>
      </c>
      <c r="I783">
        <v>0.0514366708433599</v>
      </c>
      <c r="J783">
        <v>0.07755604806632831</v>
      </c>
      <c r="K783">
        <v>0.06250730582981549</v>
      </c>
      <c r="L783">
        <v>646.993539902552</v>
      </c>
      <c r="M783">
        <v>15.2340620616346</v>
      </c>
      <c r="N783">
        <v>42.8506185099665</v>
      </c>
      <c r="O783">
        <v>41.7585446237472</v>
      </c>
      <c r="P783">
        <v>-0.0854427348253876</v>
      </c>
      <c r="Q783">
        <v>0.06325049039042011</v>
      </c>
      <c r="R783">
        <v>0.987073420847779</v>
      </c>
      <c r="S783" t="s">
        <v>2976</v>
      </c>
      <c r="T783" t="s">
        <v>4362</v>
      </c>
      <c r="U783" t="s">
        <v>4362</v>
      </c>
      <c r="V783" t="s">
        <v>4362</v>
      </c>
      <c r="W783" t="s">
        <v>5143</v>
      </c>
      <c r="X783">
        <v>1</v>
      </c>
      <c r="Y783" t="s">
        <v>7304</v>
      </c>
      <c r="Z783" t="s">
        <v>9471</v>
      </c>
      <c r="AA783">
        <v>0.2590407876566861</v>
      </c>
      <c r="AB783">
        <f>HYPERLINK("Melting_Curves/meltCurve_P0ADC3_lolC.pdf", "Melting_Curves/meltCurve_P0ADC3_lolC.pdf")</f>
        <v>0</v>
      </c>
    </row>
    <row r="784" spans="1:28">
      <c r="A784" t="s">
        <v>810</v>
      </c>
      <c r="B784">
        <v>0.999739202189716</v>
      </c>
      <c r="C784">
        <v>0.72355416141238</v>
      </c>
      <c r="D784">
        <v>0.644404830361294</v>
      </c>
      <c r="E784">
        <v>0.417680592740555</v>
      </c>
      <c r="F784">
        <v>0.363185421921703</v>
      </c>
      <c r="G784">
        <v>0.274270564892933</v>
      </c>
      <c r="H784">
        <v>0.272688465858957</v>
      </c>
      <c r="I784">
        <v>0.243480135449386</v>
      </c>
      <c r="J784">
        <v>0.232747967441428</v>
      </c>
      <c r="K784">
        <v>0.146899644957908</v>
      </c>
      <c r="L784">
        <v>519.7117371616851</v>
      </c>
      <c r="M784">
        <v>11.9733515441379</v>
      </c>
      <c r="N784">
        <v>45.3669674225519</v>
      </c>
      <c r="O784">
        <v>42.2480617858659</v>
      </c>
      <c r="P784">
        <v>-0.0565509525061512</v>
      </c>
      <c r="Q784">
        <v>0.202031815262848</v>
      </c>
      <c r="R784">
        <v>0.968799692129133</v>
      </c>
      <c r="S784" t="s">
        <v>2977</v>
      </c>
      <c r="T784" t="s">
        <v>4362</v>
      </c>
      <c r="U784" t="s">
        <v>4362</v>
      </c>
      <c r="V784" t="s">
        <v>4362</v>
      </c>
      <c r="W784" t="s">
        <v>5144</v>
      </c>
      <c r="X784">
        <v>3</v>
      </c>
      <c r="Y784" t="s">
        <v>7305</v>
      </c>
      <c r="Z784" t="s">
        <v>9472</v>
      </c>
      <c r="AA784">
        <v>0.4047018034645729</v>
      </c>
      <c r="AB784">
        <f>HYPERLINK("Melting_Curves/meltCurve_P0ADC6_lptG.pdf", "Melting_Curves/meltCurve_P0ADC6_lptG.pdf")</f>
        <v>0</v>
      </c>
    </row>
    <row r="785" spans="1:28">
      <c r="A785" t="s">
        <v>811</v>
      </c>
      <c r="B785">
        <v>0.999739202189716</v>
      </c>
      <c r="C785">
        <v>1.02050436870383</v>
      </c>
      <c r="D785">
        <v>0.960725760405581</v>
      </c>
      <c r="E785">
        <v>0.91010509251252</v>
      </c>
      <c r="F785">
        <v>0.622489491791132</v>
      </c>
      <c r="G785">
        <v>0.335234671145239</v>
      </c>
      <c r="H785">
        <v>0.263365071859941</v>
      </c>
      <c r="I785">
        <v>0.15362662261701</v>
      </c>
      <c r="J785">
        <v>0.106681461631174</v>
      </c>
      <c r="K785">
        <v>0.113665423452168</v>
      </c>
      <c r="L785">
        <v>980.153184665584</v>
      </c>
      <c r="M785">
        <v>19.1683867398064</v>
      </c>
      <c r="N785">
        <v>51.822296570504</v>
      </c>
      <c r="O785">
        <v>50.5870605169517</v>
      </c>
      <c r="P785">
        <v>-0.0840848745885438</v>
      </c>
      <c r="Q785">
        <v>0.112404580065038</v>
      </c>
      <c r="R785">
        <v>0.995735516973042</v>
      </c>
      <c r="S785" t="s">
        <v>2978</v>
      </c>
      <c r="T785" t="s">
        <v>4362</v>
      </c>
      <c r="U785" t="s">
        <v>4362</v>
      </c>
      <c r="V785" t="s">
        <v>4362</v>
      </c>
      <c r="W785" t="s">
        <v>5145</v>
      </c>
      <c r="X785">
        <v>1</v>
      </c>
      <c r="Y785" t="s">
        <v>7306</v>
      </c>
      <c r="Z785" t="s">
        <v>9473</v>
      </c>
      <c r="AA785">
        <v>0.5430131962227612</v>
      </c>
      <c r="AB785">
        <f>HYPERLINK("Melting_Curves/meltCurve_P0ADE4_tamA.pdf", "Melting_Curves/meltCurve_P0ADE4_tamA.pdf")</f>
        <v>0</v>
      </c>
    </row>
    <row r="786" spans="1:28">
      <c r="A786" t="s">
        <v>812</v>
      </c>
      <c r="B786">
        <v>0.999739202189716</v>
      </c>
      <c r="C786">
        <v>1.12625614684945</v>
      </c>
      <c r="D786">
        <v>0.951585587132859</v>
      </c>
      <c r="E786">
        <v>1.15398268642999</v>
      </c>
      <c r="F786">
        <v>0.954485449542151</v>
      </c>
      <c r="G786">
        <v>0.84122524053558</v>
      </c>
      <c r="H786">
        <v>0.688984079865513</v>
      </c>
      <c r="I786">
        <v>0.6584612136949251</v>
      </c>
      <c r="J786">
        <v>0.455209651946583</v>
      </c>
      <c r="K786">
        <v>0.641290479385959</v>
      </c>
      <c r="L786">
        <v>1402.07253047672</v>
      </c>
      <c r="M786">
        <v>25.389671990187</v>
      </c>
      <c r="O786">
        <v>54.8830054969843</v>
      </c>
      <c r="P786">
        <v>-0.0501867086520705</v>
      </c>
      <c r="Q786">
        <v>0.566065671063709</v>
      </c>
      <c r="R786">
        <v>0.859011565539133</v>
      </c>
      <c r="S786" t="s">
        <v>2979</v>
      </c>
      <c r="T786" t="s">
        <v>4362</v>
      </c>
      <c r="U786" t="s">
        <v>4362</v>
      </c>
      <c r="V786" t="s">
        <v>4362</v>
      </c>
      <c r="W786" t="s">
        <v>5146</v>
      </c>
      <c r="X786">
        <v>10</v>
      </c>
      <c r="Y786" t="s">
        <v>7307</v>
      </c>
      <c r="Z786" t="s">
        <v>9474</v>
      </c>
      <c r="AA786">
        <v>0.8332174898810069</v>
      </c>
      <c r="AB786">
        <f>HYPERLINK("Melting_Curves/meltCurve_P0ADE6_ygaU.pdf", "Melting_Curves/meltCurve_P0ADE6_ygaU.pdf")</f>
        <v>0</v>
      </c>
    </row>
    <row r="787" spans="1:28">
      <c r="A787" t="s">
        <v>813</v>
      </c>
      <c r="B787">
        <v>0.999739202189716</v>
      </c>
      <c r="C787">
        <v>0.908441910285396</v>
      </c>
      <c r="D787">
        <v>1.02760972705901</v>
      </c>
      <c r="E787">
        <v>0.915478761945911</v>
      </c>
      <c r="F787">
        <v>0.6709933231749849</v>
      </c>
      <c r="G787">
        <v>0.180990014984287</v>
      </c>
      <c r="H787">
        <v>0.117459862221396</v>
      </c>
      <c r="I787">
        <v>0.0797101547958223</v>
      </c>
      <c r="J787">
        <v>0.07097203969289149</v>
      </c>
      <c r="K787">
        <v>0.057200814901187</v>
      </c>
      <c r="L787">
        <v>1715.10459893615</v>
      </c>
      <c r="M787">
        <v>33.6491973247408</v>
      </c>
      <c r="N787">
        <v>51.2019317097927</v>
      </c>
      <c r="O787">
        <v>50.7911381950494</v>
      </c>
      <c r="P787">
        <v>-0.153925077558396</v>
      </c>
      <c r="Q787">
        <v>0.0706467610790906</v>
      </c>
      <c r="R787">
        <v>0.992216959727412</v>
      </c>
      <c r="S787" t="s">
        <v>2980</v>
      </c>
      <c r="T787" t="s">
        <v>4362</v>
      </c>
      <c r="U787" t="s">
        <v>4362</v>
      </c>
      <c r="V787" t="s">
        <v>4362</v>
      </c>
      <c r="W787" t="s">
        <v>5147</v>
      </c>
      <c r="X787">
        <v>14</v>
      </c>
      <c r="Y787" t="s">
        <v>7308</v>
      </c>
      <c r="Z787" t="s">
        <v>9475</v>
      </c>
      <c r="AA787">
        <v>0.5080375303102331</v>
      </c>
      <c r="AB787">
        <f>HYPERLINK("Melting_Curves/meltCurve_P0ADE8_ygfZ.pdf", "Melting_Curves/meltCurve_P0ADE8_ygfZ.pdf")</f>
        <v>0</v>
      </c>
    </row>
    <row r="788" spans="1:28">
      <c r="A788" t="s">
        <v>814</v>
      </c>
      <c r="B788">
        <v>0.999739202189716</v>
      </c>
      <c r="C788">
        <v>0.969948020526076</v>
      </c>
      <c r="D788">
        <v>0.922299485290949</v>
      </c>
      <c r="E788">
        <v>0.6848137436657</v>
      </c>
      <c r="F788">
        <v>0.429473022401991</v>
      </c>
      <c r="G788">
        <v>0.24752226770421</v>
      </c>
      <c r="H788">
        <v>0.142861345797687</v>
      </c>
      <c r="I788">
        <v>0.120578694458942</v>
      </c>
      <c r="J788">
        <v>0.086869777616329</v>
      </c>
      <c r="K788">
        <v>0.092164203447718</v>
      </c>
      <c r="L788">
        <v>793.424726276634</v>
      </c>
      <c r="M788">
        <v>16.3051937418391</v>
      </c>
      <c r="N788">
        <v>49.1804660933924</v>
      </c>
      <c r="O788">
        <v>47.9465734921064</v>
      </c>
      <c r="P788">
        <v>-0.0782963451259219</v>
      </c>
      <c r="Q788">
        <v>0.079123333720916</v>
      </c>
      <c r="R788">
        <v>0.99933180129965</v>
      </c>
      <c r="S788" t="s">
        <v>2981</v>
      </c>
      <c r="T788" t="s">
        <v>4362</v>
      </c>
      <c r="U788" t="s">
        <v>4362</v>
      </c>
      <c r="V788" t="s">
        <v>4362</v>
      </c>
      <c r="W788" t="s">
        <v>5148</v>
      </c>
      <c r="X788">
        <v>1</v>
      </c>
      <c r="Y788" t="s">
        <v>7309</v>
      </c>
      <c r="Z788" t="s">
        <v>9476</v>
      </c>
      <c r="AA788">
        <v>0.4544738058933877</v>
      </c>
      <c r="AB788">
        <f>HYPERLINK("Melting_Curves/meltCurve_P0ADF8_ilvN.pdf", "Melting_Curves/meltCurve_P0ADF8_ilvN.pdf")</f>
        <v>0</v>
      </c>
    </row>
    <row r="789" spans="1:28">
      <c r="A789" t="s">
        <v>815</v>
      </c>
      <c r="B789">
        <v>0.999739202189716</v>
      </c>
      <c r="C789">
        <v>0.874055797950853</v>
      </c>
      <c r="D789">
        <v>0.897086451806879</v>
      </c>
      <c r="E789">
        <v>0.812796637449582</v>
      </c>
      <c r="F789">
        <v>0.917126265428047</v>
      </c>
      <c r="G789">
        <v>0.698840599237426</v>
      </c>
      <c r="H789">
        <v>0.718960237587344</v>
      </c>
      <c r="I789">
        <v>0.61240761439219</v>
      </c>
      <c r="J789">
        <v>0.644010402137389</v>
      </c>
      <c r="K789">
        <v>0.349865820968335</v>
      </c>
      <c r="L789">
        <v>310.463360256642</v>
      </c>
      <c r="M789">
        <v>4.68992559208315</v>
      </c>
      <c r="N789">
        <v>66.19792937433471</v>
      </c>
      <c r="O789">
        <v>56.8775441945883</v>
      </c>
      <c r="P789">
        <v>-0.0207711321245901</v>
      </c>
      <c r="Q789">
        <v>0</v>
      </c>
      <c r="R789">
        <v>0.825044835678441</v>
      </c>
      <c r="S789" t="s">
        <v>2982</v>
      </c>
      <c r="T789" t="s">
        <v>4362</v>
      </c>
      <c r="U789" t="s">
        <v>4362</v>
      </c>
      <c r="V789" t="s">
        <v>4362</v>
      </c>
      <c r="W789" t="s">
        <v>5149</v>
      </c>
      <c r="X789">
        <v>14</v>
      </c>
      <c r="Y789" t="s">
        <v>7310</v>
      </c>
      <c r="Z789" t="s">
        <v>9477</v>
      </c>
      <c r="AA789">
        <v>0.7644417935527213</v>
      </c>
      <c r="AB789">
        <f>HYPERLINK("Melting_Curves/meltCurve_P0ADG4_suhB.pdf", "Melting_Curves/meltCurve_P0ADG4_suhB.pdf")</f>
        <v>0</v>
      </c>
    </row>
    <row r="790" spans="1:28">
      <c r="A790" t="s">
        <v>816</v>
      </c>
      <c r="B790">
        <v>0.999739202189716</v>
      </c>
      <c r="C790">
        <v>1.36038607589336</v>
      </c>
      <c r="D790">
        <v>1.15735688874995</v>
      </c>
      <c r="E790">
        <v>1.5119333381688</v>
      </c>
      <c r="F790">
        <v>0.998671999671617</v>
      </c>
      <c r="G790">
        <v>1.10466703951242</v>
      </c>
      <c r="H790">
        <v>0.88255225260333</v>
      </c>
      <c r="I790">
        <v>0.750648784573502</v>
      </c>
      <c r="J790">
        <v>0.794227130274397</v>
      </c>
      <c r="K790">
        <v>0.700593509964209</v>
      </c>
      <c r="L790">
        <v>14357.594757931</v>
      </c>
      <c r="M790">
        <v>250</v>
      </c>
      <c r="O790">
        <v>57.4267040915667</v>
      </c>
      <c r="P790">
        <v>-0.273729614247518</v>
      </c>
      <c r="Q790">
        <v>0.748489768336322</v>
      </c>
      <c r="R790">
        <v>0.312908393958179</v>
      </c>
      <c r="S790" t="s">
        <v>2983</v>
      </c>
      <c r="T790" t="s">
        <v>4362</v>
      </c>
      <c r="U790" t="s">
        <v>4362</v>
      </c>
      <c r="V790" t="s">
        <v>4362</v>
      </c>
      <c r="W790" t="s">
        <v>5150</v>
      </c>
      <c r="X790">
        <v>17</v>
      </c>
      <c r="Y790" t="s">
        <v>7311</v>
      </c>
      <c r="Z790" t="s">
        <v>9478</v>
      </c>
      <c r="AA790">
        <v>0.9197967633485661</v>
      </c>
      <c r="AB790">
        <f>HYPERLINK("Melting_Curves/meltCurve_P0ADG7_guaB.pdf", "Melting_Curves/meltCurve_P0ADG7_guaB.pdf")</f>
        <v>0</v>
      </c>
    </row>
    <row r="791" spans="1:28">
      <c r="A791" t="s">
        <v>817</v>
      </c>
      <c r="B791">
        <v>0.999739202189716</v>
      </c>
      <c r="C791">
        <v>0.817985199917729</v>
      </c>
      <c r="D791">
        <v>0.666437728118626</v>
      </c>
      <c r="E791">
        <v>0.510677385498416</v>
      </c>
      <c r="F791">
        <v>0.421490208464251</v>
      </c>
      <c r="G791">
        <v>0.290449903127186</v>
      </c>
      <c r="H791">
        <v>0.233653789069273</v>
      </c>
      <c r="I791">
        <v>0.170296954558595</v>
      </c>
      <c r="J791">
        <v>0.147776570233594</v>
      </c>
      <c r="K791">
        <v>0.16562457778589</v>
      </c>
      <c r="L791">
        <v>451.399967803926</v>
      </c>
      <c r="M791">
        <v>9.8318839503983</v>
      </c>
      <c r="N791">
        <v>47.178351840219</v>
      </c>
      <c r="O791">
        <v>44.1334489146221</v>
      </c>
      <c r="P791">
        <v>-0.049259698261853</v>
      </c>
      <c r="Q791">
        <v>0.11598902434125</v>
      </c>
      <c r="R791">
        <v>0.987910024805249</v>
      </c>
      <c r="S791" t="s">
        <v>2984</v>
      </c>
      <c r="T791" t="s">
        <v>4362</v>
      </c>
      <c r="U791" t="s">
        <v>4362</v>
      </c>
      <c r="V791" t="s">
        <v>4362</v>
      </c>
      <c r="W791" t="s">
        <v>5151</v>
      </c>
      <c r="X791">
        <v>5</v>
      </c>
      <c r="Y791" t="s">
        <v>7312</v>
      </c>
      <c r="Z791" t="s">
        <v>9479</v>
      </c>
      <c r="AA791">
        <v>0.4207865588990631</v>
      </c>
      <c r="AB791">
        <f>HYPERLINK("Melting_Curves/meltCurve_P0ADI4_entB.pdf", "Melting_Curves/meltCurve_P0ADI4_entB.pdf")</f>
        <v>0</v>
      </c>
    </row>
    <row r="792" spans="1:28">
      <c r="A792" t="s">
        <v>818</v>
      </c>
      <c r="B792">
        <v>0.999739202189716</v>
      </c>
      <c r="C792">
        <v>0.999863879184819</v>
      </c>
      <c r="D792">
        <v>0.891575029355826</v>
      </c>
      <c r="E792">
        <v>1.04094649064949</v>
      </c>
      <c r="F792">
        <v>0.910527218020514</v>
      </c>
      <c r="G792">
        <v>0.789949343764862</v>
      </c>
      <c r="H792">
        <v>0.655070819259047</v>
      </c>
      <c r="I792">
        <v>0.37875667954592</v>
      </c>
      <c r="J792">
        <v>0.122165381313013</v>
      </c>
      <c r="K792">
        <v>0.10959182795592</v>
      </c>
      <c r="L792">
        <v>1032.37475844307</v>
      </c>
      <c r="M792">
        <v>17.5495995118954</v>
      </c>
      <c r="N792">
        <v>58.8261171958573</v>
      </c>
      <c r="O792">
        <v>58.0782466449592</v>
      </c>
      <c r="P792">
        <v>-0.0755470308911403</v>
      </c>
      <c r="Q792">
        <v>0</v>
      </c>
      <c r="R792">
        <v>0.97778211139788</v>
      </c>
      <c r="S792" t="s">
        <v>2985</v>
      </c>
      <c r="T792" t="s">
        <v>4362</v>
      </c>
      <c r="U792" t="s">
        <v>4362</v>
      </c>
      <c r="V792" t="s">
        <v>4362</v>
      </c>
      <c r="W792" t="s">
        <v>5152</v>
      </c>
      <c r="X792">
        <v>3</v>
      </c>
      <c r="Y792" t="s">
        <v>7313</v>
      </c>
      <c r="Z792" t="s">
        <v>9480</v>
      </c>
      <c r="AA792">
        <v>0.7306887769359558</v>
      </c>
      <c r="AB792">
        <f>HYPERLINK("Melting_Curves/meltCurve_P0ADI7_yecD.pdf", "Melting_Curves/meltCurve_P0ADI7_yecD.pdf")</f>
        <v>0</v>
      </c>
    </row>
    <row r="793" spans="1:28">
      <c r="A793" t="s">
        <v>819</v>
      </c>
      <c r="B793">
        <v>0.999739202189716</v>
      </c>
      <c r="C793">
        <v>0.8219719108788059</v>
      </c>
      <c r="D793">
        <v>1.07984354242806</v>
      </c>
      <c r="E793">
        <v>0.97563527036915</v>
      </c>
      <c r="F793">
        <v>1.09415193116969</v>
      </c>
      <c r="G793">
        <v>0.927265378843502</v>
      </c>
      <c r="H793">
        <v>0.805088617299114</v>
      </c>
      <c r="I793">
        <v>0.855085892955266</v>
      </c>
      <c r="J793">
        <v>0.754411306907636</v>
      </c>
      <c r="K793">
        <v>0.671380449556894</v>
      </c>
      <c r="L793">
        <v>839.461459601609</v>
      </c>
      <c r="M793">
        <v>13.7763436711518</v>
      </c>
      <c r="O793">
        <v>59.6940825779975</v>
      </c>
      <c r="P793">
        <v>-0.0227339470451709</v>
      </c>
      <c r="Q793">
        <v>0.6060229254591</v>
      </c>
      <c r="R793">
        <v>0.653471639751244</v>
      </c>
      <c r="S793" t="s">
        <v>2986</v>
      </c>
      <c r="T793" t="s">
        <v>4362</v>
      </c>
      <c r="U793" t="s">
        <v>4362</v>
      </c>
      <c r="V793" t="s">
        <v>4362</v>
      </c>
      <c r="W793" t="s">
        <v>5153</v>
      </c>
      <c r="X793">
        <v>7</v>
      </c>
      <c r="Y793" t="s">
        <v>7314</v>
      </c>
      <c r="Z793" t="s">
        <v>9481</v>
      </c>
      <c r="AA793">
        <v>0.913530500480253</v>
      </c>
      <c r="AB793">
        <f>HYPERLINK("Melting_Curves/meltCurve_P0ADK0_yiaF.pdf", "Melting_Curves/meltCurve_P0ADK0_yiaF.pdf")</f>
        <v>0</v>
      </c>
    </row>
    <row r="794" spans="1:28">
      <c r="A794" t="s">
        <v>820</v>
      </c>
      <c r="B794">
        <v>0.999739202189716</v>
      </c>
      <c r="C794">
        <v>0.892555941286249</v>
      </c>
      <c r="D794">
        <v>1.01112516328702</v>
      </c>
      <c r="E794">
        <v>1.11292673773694</v>
      </c>
      <c r="F794">
        <v>1.10643387532938</v>
      </c>
      <c r="G794">
        <v>0.958210606200855</v>
      </c>
      <c r="H794">
        <v>0.742844829763688</v>
      </c>
      <c r="I794">
        <v>0.756783734227077</v>
      </c>
      <c r="J794">
        <v>0.65454112830887</v>
      </c>
      <c r="K794">
        <v>0.743173686446114</v>
      </c>
      <c r="L794">
        <v>3564.87585590943</v>
      </c>
      <c r="M794">
        <v>64.451522482649</v>
      </c>
      <c r="O794">
        <v>55.2577921291712</v>
      </c>
      <c r="P794">
        <v>-0.0822517681579104</v>
      </c>
      <c r="Q794">
        <v>0.717924462748332</v>
      </c>
      <c r="R794">
        <v>0.827839690132719</v>
      </c>
      <c r="S794" t="s">
        <v>2987</v>
      </c>
      <c r="T794" t="s">
        <v>4362</v>
      </c>
      <c r="U794" t="s">
        <v>4362</v>
      </c>
      <c r="V794" t="s">
        <v>4362</v>
      </c>
      <c r="W794" t="s">
        <v>5154</v>
      </c>
      <c r="X794">
        <v>5</v>
      </c>
      <c r="Y794" t="s">
        <v>7315</v>
      </c>
      <c r="Z794" t="s">
        <v>9482</v>
      </c>
      <c r="AA794">
        <v>0.8905067284422572</v>
      </c>
      <c r="AB794">
        <f>HYPERLINK("Melting_Curves/meltCurve_P0ADK8_yibL.pdf", "Melting_Curves/meltCurve_P0ADK8_yibL.pdf")</f>
        <v>0</v>
      </c>
    </row>
    <row r="795" spans="1:28">
      <c r="A795" t="s">
        <v>821</v>
      </c>
      <c r="B795">
        <v>0.999739202189716</v>
      </c>
      <c r="C795">
        <v>0.9546901421469171</v>
      </c>
      <c r="D795">
        <v>1.03170150009672</v>
      </c>
      <c r="E795">
        <v>1.17254504433531</v>
      </c>
      <c r="F795">
        <v>1.06642654998148</v>
      </c>
      <c r="G795">
        <v>0.870066373906335</v>
      </c>
      <c r="H795">
        <v>0.947924558375504</v>
      </c>
      <c r="I795">
        <v>0.803816987977775</v>
      </c>
      <c r="J795">
        <v>0.832761863080355</v>
      </c>
      <c r="K795">
        <v>0.640635961290702</v>
      </c>
      <c r="L795">
        <v>748.343050973403</v>
      </c>
      <c r="M795">
        <v>10.4852503694958</v>
      </c>
      <c r="Q795">
        <v>0</v>
      </c>
      <c r="R795">
        <v>0.718356096851992</v>
      </c>
      <c r="S795" t="s">
        <v>2988</v>
      </c>
      <c r="T795" t="s">
        <v>4362</v>
      </c>
      <c r="U795" t="s">
        <v>4362</v>
      </c>
      <c r="V795" t="s">
        <v>4362</v>
      </c>
      <c r="W795" t="s">
        <v>5155</v>
      </c>
      <c r="X795">
        <v>2</v>
      </c>
      <c r="Y795" t="s">
        <v>7316</v>
      </c>
      <c r="Z795" t="s">
        <v>9483</v>
      </c>
      <c r="AA795">
        <v>0.9311054551160247</v>
      </c>
      <c r="AB795">
        <f>HYPERLINK("Melting_Curves/meltCurve_P0ADM4_yidQ.pdf", "Melting_Curves/meltCurve_P0ADM4_yidQ.pdf")</f>
        <v>0</v>
      </c>
    </row>
    <row r="796" spans="1:28">
      <c r="A796" t="s">
        <v>822</v>
      </c>
      <c r="B796">
        <v>0.999739202189716</v>
      </c>
      <c r="C796">
        <v>1.0179705377433</v>
      </c>
      <c r="D796">
        <v>0.547708859061326</v>
      </c>
      <c r="E796">
        <v>0.627416556474792</v>
      </c>
      <c r="F796">
        <v>0.5830165034688281</v>
      </c>
      <c r="G796">
        <v>0.370524627745423</v>
      </c>
      <c r="H796">
        <v>0.317137794247028</v>
      </c>
      <c r="I796">
        <v>0.231517863788122</v>
      </c>
      <c r="J796">
        <v>0.33526457286049</v>
      </c>
      <c r="K796">
        <v>0.216743491779668</v>
      </c>
      <c r="L796">
        <v>445.609723885968</v>
      </c>
      <c r="M796">
        <v>9.528042431236431</v>
      </c>
      <c r="N796">
        <v>49.6032608392698</v>
      </c>
      <c r="O796">
        <v>44.8471684853108</v>
      </c>
      <c r="P796">
        <v>-0.0419870734934243</v>
      </c>
      <c r="Q796">
        <v>0.209952881826574</v>
      </c>
      <c r="R796">
        <v>0.8819518854802439</v>
      </c>
      <c r="S796" t="s">
        <v>2989</v>
      </c>
      <c r="T796" t="s">
        <v>4362</v>
      </c>
      <c r="U796" t="s">
        <v>4362</v>
      </c>
      <c r="V796" t="s">
        <v>4362</v>
      </c>
      <c r="W796" t="s">
        <v>5156</v>
      </c>
      <c r="X796">
        <v>1</v>
      </c>
      <c r="Y796" t="s">
        <v>7317</v>
      </c>
      <c r="Z796" t="s">
        <v>9484</v>
      </c>
      <c r="AA796">
        <v>0.5042704620589006</v>
      </c>
      <c r="AB796">
        <f>HYPERLINK("Melting_Curves/meltCurve_P0ADN0_viaA.pdf", "Melting_Curves/meltCurve_P0ADN0_viaA.pdf")</f>
        <v>0</v>
      </c>
    </row>
    <row r="797" spans="1:28">
      <c r="A797" t="s">
        <v>823</v>
      </c>
      <c r="B797">
        <v>0.999739202189716</v>
      </c>
      <c r="C797">
        <v>1.06148801849547</v>
      </c>
      <c r="D797">
        <v>0.983913552081587</v>
      </c>
      <c r="E797">
        <v>1.05480463464273</v>
      </c>
      <c r="F797">
        <v>1.10534154868686</v>
      </c>
      <c r="G797">
        <v>0.8944687220039</v>
      </c>
      <c r="H797">
        <v>0.897479010952078</v>
      </c>
      <c r="I797">
        <v>0.828332265558839</v>
      </c>
      <c r="J797">
        <v>0.7307222298370259</v>
      </c>
      <c r="K797">
        <v>0.765646036929539</v>
      </c>
      <c r="L797">
        <v>1261.96541277684</v>
      </c>
      <c r="M797">
        <v>21.7207928958014</v>
      </c>
      <c r="O797">
        <v>57.6136826403033</v>
      </c>
      <c r="P797">
        <v>-0.0249067072584977</v>
      </c>
      <c r="Q797">
        <v>0.735749347240638</v>
      </c>
      <c r="R797">
        <v>0.8230463757075061</v>
      </c>
      <c r="S797" t="s">
        <v>2990</v>
      </c>
      <c r="T797" t="s">
        <v>4362</v>
      </c>
      <c r="U797" t="s">
        <v>4362</v>
      </c>
      <c r="V797" t="s">
        <v>4362</v>
      </c>
      <c r="W797" t="s">
        <v>5157</v>
      </c>
      <c r="X797">
        <v>6</v>
      </c>
      <c r="Y797" t="s">
        <v>7318</v>
      </c>
      <c r="Z797" t="s">
        <v>9485</v>
      </c>
      <c r="AA797">
        <v>0.9233580407292614</v>
      </c>
      <c r="AB797">
        <f>HYPERLINK("Melting_Curves/meltCurve_P0ADN2_yifE.pdf", "Melting_Curves/meltCurve_P0ADN2_yifE.pdf")</f>
        <v>0</v>
      </c>
    </row>
    <row r="798" spans="1:28">
      <c r="A798" t="s">
        <v>824</v>
      </c>
      <c r="B798">
        <v>0.999739202189716</v>
      </c>
      <c r="C798">
        <v>0.980999380855216</v>
      </c>
      <c r="D798">
        <v>0.936079617672959</v>
      </c>
      <c r="E798">
        <v>1.16830142417656</v>
      </c>
      <c r="F798">
        <v>0.993864358587924</v>
      </c>
      <c r="G798">
        <v>0.733542035120513</v>
      </c>
      <c r="H798">
        <v>0.895609235496281</v>
      </c>
      <c r="I798">
        <v>0.8195891903365971</v>
      </c>
      <c r="J798">
        <v>0.803415223157447</v>
      </c>
      <c r="K798">
        <v>0.531872523031047</v>
      </c>
      <c r="L798">
        <v>580.967550372072</v>
      </c>
      <c r="M798">
        <v>8.207519728446851</v>
      </c>
      <c r="O798">
        <v>66.9553027193045</v>
      </c>
      <c r="P798">
        <v>-0.0306770101372044</v>
      </c>
      <c r="Q798">
        <v>0</v>
      </c>
      <c r="R798">
        <v>0.655408504156057</v>
      </c>
      <c r="S798" t="s">
        <v>2991</v>
      </c>
      <c r="T798" t="s">
        <v>4362</v>
      </c>
      <c r="U798" t="s">
        <v>4362</v>
      </c>
      <c r="V798" t="s">
        <v>4362</v>
      </c>
      <c r="W798" t="s">
        <v>5158</v>
      </c>
      <c r="X798">
        <v>3</v>
      </c>
      <c r="Y798" t="s">
        <v>7319</v>
      </c>
      <c r="Z798" t="s">
        <v>9486</v>
      </c>
      <c r="AA798">
        <v>0.8987273860706847</v>
      </c>
      <c r="AB798">
        <f>HYPERLINK("Melting_Curves/meltCurve_P0ADN6_yifL.pdf", "Melting_Curves/meltCurve_P0ADN6_yifL.pdf")</f>
        <v>0</v>
      </c>
    </row>
    <row r="799" spans="1:28">
      <c r="A799" t="s">
        <v>825</v>
      </c>
      <c r="B799">
        <v>0.999739202189716</v>
      </c>
      <c r="C799">
        <v>1.11520042011171</v>
      </c>
      <c r="D799">
        <v>0.8392577209112581</v>
      </c>
      <c r="E799">
        <v>0.9234445389720159</v>
      </c>
      <c r="F799">
        <v>0.611017708183869</v>
      </c>
      <c r="G799">
        <v>0.387140977351875</v>
      </c>
      <c r="H799">
        <v>0.295482056778783</v>
      </c>
      <c r="I799">
        <v>0.259302484832088</v>
      </c>
      <c r="J799">
        <v>0.261414616790786</v>
      </c>
      <c r="K799">
        <v>0.240911965527029</v>
      </c>
      <c r="L799">
        <v>1063.68998967398</v>
      </c>
      <c r="M799">
        <v>21.1902713178267</v>
      </c>
      <c r="N799">
        <v>51.8313094060576</v>
      </c>
      <c r="O799">
        <v>49.7564567861573</v>
      </c>
      <c r="P799">
        <v>-0.0805291302465861</v>
      </c>
      <c r="Q799">
        <v>0.243664163879478</v>
      </c>
      <c r="R799">
        <v>0.966843502565556</v>
      </c>
      <c r="S799" t="s">
        <v>2992</v>
      </c>
      <c r="T799" t="s">
        <v>4362</v>
      </c>
      <c r="U799" t="s">
        <v>4362</v>
      </c>
      <c r="V799" t="s">
        <v>4362</v>
      </c>
      <c r="W799" t="s">
        <v>5159</v>
      </c>
      <c r="X799">
        <v>2</v>
      </c>
      <c r="Y799" t="s">
        <v>7320</v>
      </c>
      <c r="Z799" t="s">
        <v>9487</v>
      </c>
      <c r="AA799">
        <v>0.5853695021810175</v>
      </c>
      <c r="AB799">
        <f>HYPERLINK("Melting_Curves/meltCurve_P0ADP0_yigB.pdf", "Melting_Curves/meltCurve_P0ADP0_yigB.pdf")</f>
        <v>0</v>
      </c>
    </row>
    <row r="800" spans="1:28">
      <c r="A800" t="s">
        <v>826</v>
      </c>
      <c r="B800">
        <v>0.999739202189716</v>
      </c>
      <c r="C800">
        <v>0.854113661665626</v>
      </c>
      <c r="D800">
        <v>0.833836862998481</v>
      </c>
      <c r="E800">
        <v>0.82750309473183</v>
      </c>
      <c r="F800">
        <v>0.801842628635388</v>
      </c>
      <c r="G800">
        <v>0.650579563146883</v>
      </c>
      <c r="H800">
        <v>0.601833584748982</v>
      </c>
      <c r="I800">
        <v>0.455274895566676</v>
      </c>
      <c r="J800">
        <v>0.464000423966874</v>
      </c>
      <c r="K800">
        <v>0.320109899266977</v>
      </c>
      <c r="L800">
        <v>311.005413652498</v>
      </c>
      <c r="M800">
        <v>5.14923882285246</v>
      </c>
      <c r="N800">
        <v>60.3983277332977</v>
      </c>
      <c r="O800">
        <v>53.069730132717</v>
      </c>
      <c r="P800">
        <v>-0.0243913034651294</v>
      </c>
      <c r="Q800">
        <v>0</v>
      </c>
      <c r="R800">
        <v>0.949778895697546</v>
      </c>
      <c r="S800" t="s">
        <v>2993</v>
      </c>
      <c r="T800" t="s">
        <v>4362</v>
      </c>
      <c r="U800" t="s">
        <v>4362</v>
      </c>
      <c r="V800" t="s">
        <v>4362</v>
      </c>
      <c r="W800" t="s">
        <v>5160</v>
      </c>
      <c r="X800">
        <v>1</v>
      </c>
      <c r="Y800" t="s">
        <v>7321</v>
      </c>
      <c r="Z800" t="s">
        <v>9488</v>
      </c>
      <c r="AA800">
        <v>0.6883797503521166</v>
      </c>
      <c r="AB800">
        <f>HYPERLINK("Melting_Curves/meltCurve_P0ADP2_yigI.pdf", "Melting_Curves/meltCurve_P0ADP2_yigI.pdf")</f>
        <v>0</v>
      </c>
    </row>
    <row r="801" spans="1:28">
      <c r="A801" t="s">
        <v>827</v>
      </c>
      <c r="B801">
        <v>0.999739202189716</v>
      </c>
      <c r="C801">
        <v>1.06293185529058</v>
      </c>
      <c r="D801">
        <v>0.8424960557604</v>
      </c>
      <c r="E801">
        <v>0.95553104133894</v>
      </c>
      <c r="F801">
        <v>0.729982563392215</v>
      </c>
      <c r="G801">
        <v>0.495289756395364</v>
      </c>
      <c r="H801">
        <v>0.281641532788655</v>
      </c>
      <c r="I801">
        <v>0.172165362018554</v>
      </c>
      <c r="J801">
        <v>0.139538407093842</v>
      </c>
      <c r="K801">
        <v>0.134330436127346</v>
      </c>
      <c r="L801">
        <v>871.5342112542</v>
      </c>
      <c r="M801">
        <v>16.4671826423967</v>
      </c>
      <c r="N801">
        <v>53.5907711264036</v>
      </c>
      <c r="O801">
        <v>52.163488517572</v>
      </c>
      <c r="P801">
        <v>-0.0716305159647673</v>
      </c>
      <c r="Q801">
        <v>0.0924408828518217</v>
      </c>
      <c r="R801">
        <v>0.980048773135023</v>
      </c>
      <c r="S801" t="s">
        <v>2994</v>
      </c>
      <c r="T801" t="s">
        <v>4362</v>
      </c>
      <c r="U801" t="s">
        <v>4362</v>
      </c>
      <c r="V801" t="s">
        <v>4362</v>
      </c>
      <c r="W801" t="s">
        <v>5161</v>
      </c>
      <c r="X801">
        <v>2</v>
      </c>
      <c r="Y801" t="s">
        <v>7322</v>
      </c>
      <c r="Z801" t="s">
        <v>9489</v>
      </c>
      <c r="AA801">
        <v>0.5889792213789508</v>
      </c>
      <c r="AB801">
        <f>HYPERLINK("Melting_Curves/meltCurve_P0ADP7_ubiJ.pdf", "Melting_Curves/meltCurve_P0ADP7_ubiJ.pdf")</f>
        <v>0</v>
      </c>
    </row>
    <row r="802" spans="1:28">
      <c r="A802" t="s">
        <v>828</v>
      </c>
      <c r="B802">
        <v>0.999739202189716</v>
      </c>
      <c r="C802">
        <v>0.968156018437954</v>
      </c>
      <c r="D802">
        <v>0.872040673303937</v>
      </c>
      <c r="E802">
        <v>0.893440968985632</v>
      </c>
      <c r="F802">
        <v>0.9042462386405909</v>
      </c>
      <c r="G802">
        <v>0.530619852353545</v>
      </c>
      <c r="H802">
        <v>0.514524806380961</v>
      </c>
      <c r="I802">
        <v>0.453873919592896</v>
      </c>
      <c r="J802">
        <v>0.375944143218001</v>
      </c>
      <c r="K802">
        <v>0.353078009542589</v>
      </c>
      <c r="L802">
        <v>707.089114601727</v>
      </c>
      <c r="M802">
        <v>13.3070301666076</v>
      </c>
      <c r="N802">
        <v>57.5155852731473</v>
      </c>
      <c r="O802">
        <v>51.9795250154568</v>
      </c>
      <c r="P802">
        <v>-0.0436261610415517</v>
      </c>
      <c r="Q802">
        <v>0.318465140320191</v>
      </c>
      <c r="R802">
        <v>0.94148878400386</v>
      </c>
      <c r="S802" t="s">
        <v>2995</v>
      </c>
      <c r="T802" t="s">
        <v>4362</v>
      </c>
      <c r="U802" t="s">
        <v>4362</v>
      </c>
      <c r="V802" t="s">
        <v>4362</v>
      </c>
      <c r="W802" t="s">
        <v>5162</v>
      </c>
      <c r="X802">
        <v>1</v>
      </c>
      <c r="Y802" t="s">
        <v>7323</v>
      </c>
      <c r="Z802" t="s">
        <v>9490</v>
      </c>
      <c r="AA802">
        <v>0.69831074683087</v>
      </c>
      <c r="AB802">
        <f>HYPERLINK("Melting_Curves/meltCurve_P0ADP9_yihD.pdf", "Melting_Curves/meltCurve_P0ADP9_yihD.pdf")</f>
        <v>0</v>
      </c>
    </row>
    <row r="803" spans="1:28">
      <c r="A803" t="s">
        <v>829</v>
      </c>
      <c r="B803">
        <v>0.999739202189716</v>
      </c>
      <c r="C803">
        <v>0.848743437530729</v>
      </c>
      <c r="D803">
        <v>0.302250786818264</v>
      </c>
      <c r="E803">
        <v>0.221406437574807</v>
      </c>
      <c r="F803">
        <v>0.33469758392657</v>
      </c>
      <c r="G803">
        <v>0.2067672433892</v>
      </c>
      <c r="H803">
        <v>0.135462775560159</v>
      </c>
      <c r="I803">
        <v>0.125258209097444</v>
      </c>
      <c r="J803">
        <v>0.218130795197783</v>
      </c>
      <c r="K803">
        <v>0.153863636856305</v>
      </c>
      <c r="L803">
        <v>1841.98671764452</v>
      </c>
      <c r="M803">
        <v>44.7130327585522</v>
      </c>
      <c r="N803">
        <v>41.6667415977419</v>
      </c>
      <c r="O803">
        <v>41.1135975410409</v>
      </c>
      <c r="P803">
        <v>-0.217952412741384</v>
      </c>
      <c r="Q803">
        <v>0.198372802522221</v>
      </c>
      <c r="R803">
        <v>0.964489922634628</v>
      </c>
      <c r="S803" t="s">
        <v>2996</v>
      </c>
      <c r="T803" t="s">
        <v>4362</v>
      </c>
      <c r="U803" t="s">
        <v>4362</v>
      </c>
      <c r="V803" t="s">
        <v>4362</v>
      </c>
      <c r="W803" t="s">
        <v>5163</v>
      </c>
      <c r="X803">
        <v>1</v>
      </c>
      <c r="Y803" t="s">
        <v>7324</v>
      </c>
      <c r="Z803" t="s">
        <v>9491</v>
      </c>
      <c r="AA803">
        <v>0.3124306453902918</v>
      </c>
      <c r="AB803">
        <f>HYPERLINK("Melting_Curves/meltCurve_P0ADQ2_yiiD.pdf", "Melting_Curves/meltCurve_P0ADQ2_yiiD.pdf")</f>
        <v>0</v>
      </c>
    </row>
    <row r="804" spans="1:28">
      <c r="A804" t="s">
        <v>830</v>
      </c>
      <c r="B804">
        <v>0.999739202189716</v>
      </c>
      <c r="C804">
        <v>1.10900980061846</v>
      </c>
      <c r="D804">
        <v>0.877417384601286</v>
      </c>
      <c r="E804">
        <v>0.966608971494389</v>
      </c>
      <c r="F804">
        <v>0.814939449697523</v>
      </c>
      <c r="G804">
        <v>0.655235983971068</v>
      </c>
      <c r="H804">
        <v>0.5671092882414061</v>
      </c>
      <c r="I804">
        <v>0.473401345288935</v>
      </c>
      <c r="J804">
        <v>0.45464393073488</v>
      </c>
      <c r="K804">
        <v>0.38768982244434</v>
      </c>
      <c r="L804">
        <v>704.561954540137</v>
      </c>
      <c r="M804">
        <v>13.1374279251401</v>
      </c>
      <c r="N804">
        <v>59.6110241557534</v>
      </c>
      <c r="O804">
        <v>52.4331658607013</v>
      </c>
      <c r="P804">
        <v>-0.0397085988343469</v>
      </c>
      <c r="Q804">
        <v>0.366178968057616</v>
      </c>
      <c r="R804">
        <v>0.955015556922055</v>
      </c>
      <c r="S804" t="s">
        <v>2997</v>
      </c>
      <c r="T804" t="s">
        <v>4362</v>
      </c>
      <c r="U804" t="s">
        <v>4362</v>
      </c>
      <c r="V804" t="s">
        <v>4362</v>
      </c>
      <c r="W804" t="s">
        <v>5164</v>
      </c>
      <c r="X804">
        <v>3</v>
      </c>
      <c r="Y804" t="s">
        <v>7325</v>
      </c>
      <c r="Z804" t="s">
        <v>9492</v>
      </c>
      <c r="AA804">
        <v>0.7292113372479354</v>
      </c>
      <c r="AB804">
        <f>HYPERLINK("Melting_Curves/meltCurve_P0ADQ7_ygaM.pdf", "Melting_Curves/meltCurve_P0ADQ7_ygaM.pdf")</f>
        <v>0</v>
      </c>
    </row>
    <row r="805" spans="1:28">
      <c r="A805" t="s">
        <v>831</v>
      </c>
      <c r="B805">
        <v>0.999739202189716</v>
      </c>
      <c r="C805">
        <v>0.64333423478614</v>
      </c>
      <c r="D805">
        <v>0.223542870509142</v>
      </c>
      <c r="E805">
        <v>0.0987462468772666</v>
      </c>
      <c r="F805">
        <v>0.0601329908354096</v>
      </c>
      <c r="G805">
        <v>0.0410886168861612</v>
      </c>
      <c r="H805">
        <v>0.0348267035664707</v>
      </c>
      <c r="I805">
        <v>0.0279814413331075</v>
      </c>
      <c r="J805">
        <v>0.0263960740260639</v>
      </c>
      <c r="K805">
        <v>0.019831808792312</v>
      </c>
      <c r="L805">
        <v>1154.97842004839</v>
      </c>
      <c r="M805">
        <v>28.334729841439</v>
      </c>
      <c r="N805">
        <v>40.8802255265769</v>
      </c>
      <c r="O805">
        <v>40.5605216298613</v>
      </c>
      <c r="P805">
        <v>-0.167772345378605</v>
      </c>
      <c r="Q805">
        <v>0.0393586736370495</v>
      </c>
      <c r="R805">
        <v>0.995052405853676</v>
      </c>
      <c r="S805" t="s">
        <v>2998</v>
      </c>
      <c r="T805" t="s">
        <v>4362</v>
      </c>
      <c r="U805" t="s">
        <v>4362</v>
      </c>
      <c r="V805" t="s">
        <v>4362</v>
      </c>
      <c r="W805" t="s">
        <v>5165</v>
      </c>
      <c r="X805">
        <v>4</v>
      </c>
      <c r="Y805" t="s">
        <v>7326</v>
      </c>
      <c r="Z805" t="s">
        <v>9493</v>
      </c>
      <c r="AA805">
        <v>0.167211490849762</v>
      </c>
      <c r="AB805">
        <f>HYPERLINK("Melting_Curves/meltCurve_P0ADR6_rlmM.pdf", "Melting_Curves/meltCurve_P0ADR6_rlmM.pdf")</f>
        <v>0</v>
      </c>
    </row>
    <row r="806" spans="1:28">
      <c r="A806" t="s">
        <v>832</v>
      </c>
      <c r="B806">
        <v>0.999739202189716</v>
      </c>
      <c r="C806">
        <v>0.927351044454981</v>
      </c>
      <c r="D806">
        <v>0.933483622458684</v>
      </c>
      <c r="E806">
        <v>0.687470294264817</v>
      </c>
      <c r="F806">
        <v>0.217799174948359</v>
      </c>
      <c r="G806">
        <v>0.108247618212145</v>
      </c>
      <c r="H806">
        <v>0.08337127761583241</v>
      </c>
      <c r="I806">
        <v>0.06404898099600451</v>
      </c>
      <c r="J806">
        <v>0.0538087734449812</v>
      </c>
      <c r="K806">
        <v>0.0472273415873794</v>
      </c>
      <c r="L806">
        <v>1346.48837140611</v>
      </c>
      <c r="M806">
        <v>28.2760676162019</v>
      </c>
      <c r="N806">
        <v>47.8346761462706</v>
      </c>
      <c r="O806">
        <v>47.3831006109523</v>
      </c>
      <c r="P806">
        <v>-0.140275228007593</v>
      </c>
      <c r="Q806">
        <v>0.0597532805417368</v>
      </c>
      <c r="R806">
        <v>0.9958187051390101</v>
      </c>
      <c r="S806" t="s">
        <v>2999</v>
      </c>
      <c r="T806" t="s">
        <v>4362</v>
      </c>
      <c r="U806" t="s">
        <v>4362</v>
      </c>
      <c r="V806" t="s">
        <v>4362</v>
      </c>
      <c r="W806" t="s">
        <v>5166</v>
      </c>
      <c r="X806">
        <v>13</v>
      </c>
      <c r="Y806" t="s">
        <v>7327</v>
      </c>
      <c r="Z806" t="s">
        <v>9494</v>
      </c>
      <c r="AA806">
        <v>0.398808659879184</v>
      </c>
      <c r="AB806">
        <f>HYPERLINK("Melting_Curves/meltCurve_P0ADR8_ygdH.pdf", "Melting_Curves/meltCurve_P0ADR8_ygdH.pdf")</f>
        <v>0</v>
      </c>
    </row>
    <row r="807" spans="1:28">
      <c r="A807" t="s">
        <v>833</v>
      </c>
      <c r="B807">
        <v>0.999739202189716</v>
      </c>
      <c r="C807">
        <v>0.89103916898656</v>
      </c>
      <c r="D807">
        <v>0.999872725403148</v>
      </c>
      <c r="E807">
        <v>0.782947775822331</v>
      </c>
      <c r="F807">
        <v>0.609494061846398</v>
      </c>
      <c r="G807">
        <v>0.398162115299572</v>
      </c>
      <c r="H807">
        <v>0.227101730904144</v>
      </c>
      <c r="I807">
        <v>0.200466751460746</v>
      </c>
      <c r="J807">
        <v>0.141981684742646</v>
      </c>
      <c r="K807">
        <v>0.159380361184433</v>
      </c>
      <c r="L807">
        <v>738.651574591545</v>
      </c>
      <c r="M807">
        <v>14.545926616783</v>
      </c>
      <c r="N807">
        <v>51.7245042392716</v>
      </c>
      <c r="O807">
        <v>49.8498295494937</v>
      </c>
      <c r="P807">
        <v>-0.064453009439049</v>
      </c>
      <c r="Q807">
        <v>0.116562167792479</v>
      </c>
      <c r="R807">
        <v>0.987144738482977</v>
      </c>
      <c r="S807" t="s">
        <v>3000</v>
      </c>
      <c r="T807" t="s">
        <v>4362</v>
      </c>
      <c r="U807" t="s">
        <v>4362</v>
      </c>
      <c r="V807" t="s">
        <v>4362</v>
      </c>
      <c r="W807" t="s">
        <v>5167</v>
      </c>
      <c r="X807">
        <v>4</v>
      </c>
      <c r="Y807" t="s">
        <v>7328</v>
      </c>
      <c r="Z807" t="s">
        <v>9495</v>
      </c>
      <c r="AA807">
        <v>0.5410668009780341</v>
      </c>
      <c r="AB807">
        <f>HYPERLINK("Melting_Curves/meltCurve_P0ADS2_zapA.pdf", "Melting_Curves/meltCurve_P0ADS2_zapA.pdf")</f>
        <v>0</v>
      </c>
    </row>
    <row r="808" spans="1:28">
      <c r="A808" t="s">
        <v>834</v>
      </c>
      <c r="B808">
        <v>0.999739202189716</v>
      </c>
      <c r="C808">
        <v>1.10122455069674</v>
      </c>
      <c r="D808">
        <v>1.03474243928501</v>
      </c>
      <c r="E808">
        <v>1.14258509417718</v>
      </c>
      <c r="F808">
        <v>0.830484720102636</v>
      </c>
      <c r="G808">
        <v>0.872441585700895</v>
      </c>
      <c r="H808">
        <v>0.562561800473901</v>
      </c>
      <c r="I808">
        <v>0.5214599310229751</v>
      </c>
      <c r="J808">
        <v>0.5144010725438251</v>
      </c>
      <c r="K808">
        <v>0.537286146760402</v>
      </c>
      <c r="L808">
        <v>1527.17617338029</v>
      </c>
      <c r="M808">
        <v>27.9560372099337</v>
      </c>
      <c r="O808">
        <v>54.3505411796936</v>
      </c>
      <c r="P808">
        <v>-0.063483948692047</v>
      </c>
      <c r="Q808">
        <v>0.506316628522304</v>
      </c>
      <c r="R808">
        <v>0.90291197941756</v>
      </c>
      <c r="S808" t="s">
        <v>3001</v>
      </c>
      <c r="T808" t="s">
        <v>4362</v>
      </c>
      <c r="U808" t="s">
        <v>4362</v>
      </c>
      <c r="V808" t="s">
        <v>4362</v>
      </c>
      <c r="W808" t="s">
        <v>5168</v>
      </c>
      <c r="X808">
        <v>12</v>
      </c>
      <c r="Y808" t="s">
        <v>7329</v>
      </c>
      <c r="Z808" t="s">
        <v>9496</v>
      </c>
      <c r="AA808">
        <v>0.7999507839122612</v>
      </c>
      <c r="AB808">
        <f>HYPERLINK("Melting_Curves/meltCurve_P0ADS6_yggE.pdf", "Melting_Curves/meltCurve_P0ADS6_yggE.pdf")</f>
        <v>0</v>
      </c>
    </row>
    <row r="809" spans="1:28">
      <c r="A809" t="s">
        <v>835</v>
      </c>
      <c r="B809">
        <v>0.999739202189716</v>
      </c>
      <c r="C809">
        <v>0.91332220314881</v>
      </c>
      <c r="D809">
        <v>0.936209119247924</v>
      </c>
      <c r="E809">
        <v>0.996805170187292</v>
      </c>
      <c r="F809">
        <v>0.980492982186987</v>
      </c>
      <c r="G809">
        <v>0.8612897633543251</v>
      </c>
      <c r="H809">
        <v>0.880157549802398</v>
      </c>
      <c r="I809">
        <v>0.800353281303151</v>
      </c>
      <c r="J809">
        <v>0.836183372465148</v>
      </c>
      <c r="K809">
        <v>0.692490434317996</v>
      </c>
      <c r="L809">
        <v>335.24784987161</v>
      </c>
      <c r="M809">
        <v>3.98824353335205</v>
      </c>
      <c r="Q809">
        <v>0</v>
      </c>
      <c r="R809">
        <v>0.784119871907586</v>
      </c>
      <c r="S809" t="s">
        <v>3002</v>
      </c>
      <c r="T809" t="s">
        <v>4362</v>
      </c>
      <c r="U809" t="s">
        <v>4362</v>
      </c>
      <c r="V809" t="s">
        <v>4362</v>
      </c>
      <c r="W809" t="s">
        <v>5169</v>
      </c>
      <c r="X809">
        <v>16</v>
      </c>
      <c r="Y809" t="s">
        <v>7330</v>
      </c>
      <c r="Z809" t="s">
        <v>9497</v>
      </c>
      <c r="AA809">
        <v>0.9009172257595435</v>
      </c>
      <c r="AB809">
        <f>HYPERLINK("Melting_Curves/meltCurve_P0ADS9_yggN.pdf", "Melting_Curves/meltCurve_P0ADS9_yggN.pdf")</f>
        <v>0</v>
      </c>
    </row>
    <row r="810" spans="1:28">
      <c r="A810" t="s">
        <v>836</v>
      </c>
      <c r="B810">
        <v>0.999739202189716</v>
      </c>
      <c r="C810">
        <v>1.13114126782376</v>
      </c>
      <c r="D810">
        <v>0.886054304410767</v>
      </c>
      <c r="E810">
        <v>1.07878858935939</v>
      </c>
      <c r="F810">
        <v>0.902937425114862</v>
      </c>
      <c r="G810">
        <v>0.819306987529457</v>
      </c>
      <c r="H810">
        <v>0.766661337375766</v>
      </c>
      <c r="I810">
        <v>0.6294598378009429</v>
      </c>
      <c r="J810">
        <v>0.602216439685562</v>
      </c>
      <c r="K810">
        <v>0.530876005074187</v>
      </c>
      <c r="L810">
        <v>745.927514861723</v>
      </c>
      <c r="M810">
        <v>12.9620265949308</v>
      </c>
      <c r="O810">
        <v>56.2290750381545</v>
      </c>
      <c r="P810">
        <v>-0.0304726028640603</v>
      </c>
      <c r="Q810">
        <v>0.471335706114991</v>
      </c>
      <c r="R810">
        <v>0.8859363615425651</v>
      </c>
      <c r="S810" t="s">
        <v>3003</v>
      </c>
      <c r="T810" t="s">
        <v>4362</v>
      </c>
      <c r="U810" t="s">
        <v>4362</v>
      </c>
      <c r="V810" t="s">
        <v>4362</v>
      </c>
      <c r="W810" t="s">
        <v>5170</v>
      </c>
      <c r="X810">
        <v>6</v>
      </c>
      <c r="Y810" t="s">
        <v>7331</v>
      </c>
      <c r="Z810" t="s">
        <v>9498</v>
      </c>
      <c r="AA810">
        <v>0.8352486629879073</v>
      </c>
      <c r="AB810">
        <f>HYPERLINK("Melting_Curves/meltCurve_P0ADT2_ygiB.pdf", "Melting_Curves/meltCurve_P0ADT2_ygiB.pdf")</f>
        <v>0</v>
      </c>
    </row>
    <row r="811" spans="1:28">
      <c r="A811" t="s">
        <v>837</v>
      </c>
      <c r="B811">
        <v>0.999739202189716</v>
      </c>
      <c r="C811">
        <v>0.944988197146945</v>
      </c>
      <c r="D811">
        <v>1.13583449107995</v>
      </c>
      <c r="E811">
        <v>0.936898691265202</v>
      </c>
      <c r="F811">
        <v>1.03688060837774</v>
      </c>
      <c r="G811">
        <v>0.880218017524419</v>
      </c>
      <c r="H811">
        <v>0.665362374153873</v>
      </c>
      <c r="I811">
        <v>0.382308637326804</v>
      </c>
      <c r="J811">
        <v>0.189814972373461</v>
      </c>
      <c r="K811">
        <v>0.135810460958847</v>
      </c>
      <c r="L811">
        <v>1289.84070369851</v>
      </c>
      <c r="M811">
        <v>21.8764277556214</v>
      </c>
      <c r="N811">
        <v>59.3480446179334</v>
      </c>
      <c r="O811">
        <v>58.4742592625311</v>
      </c>
      <c r="P811">
        <v>-0.0873038085726319</v>
      </c>
      <c r="Q811">
        <v>0.0665918519730186</v>
      </c>
      <c r="R811">
        <v>0.975965985174352</v>
      </c>
      <c r="S811" t="s">
        <v>3004</v>
      </c>
      <c r="T811" t="s">
        <v>4362</v>
      </c>
      <c r="U811" t="s">
        <v>4362</v>
      </c>
      <c r="V811" t="s">
        <v>4362</v>
      </c>
      <c r="W811" t="s">
        <v>5171</v>
      </c>
      <c r="X811">
        <v>6</v>
      </c>
      <c r="Y811" t="s">
        <v>7332</v>
      </c>
      <c r="Z811" t="s">
        <v>9499</v>
      </c>
      <c r="AA811">
        <v>0.7543224765092247</v>
      </c>
      <c r="AB811">
        <f>HYPERLINK("Melting_Curves/meltCurve_P0ADT5_ygiC.pdf", "Melting_Curves/meltCurve_P0ADT5_ygiC.pdf")</f>
        <v>0</v>
      </c>
    </row>
    <row r="812" spans="1:28">
      <c r="A812" t="s">
        <v>838</v>
      </c>
      <c r="B812">
        <v>0.999739202189716</v>
      </c>
      <c r="C812">
        <v>0.919341512401384</v>
      </c>
      <c r="D812">
        <v>1.02591243736454</v>
      </c>
      <c r="E812">
        <v>0.989058537562699</v>
      </c>
      <c r="F812">
        <v>0.894488965761049</v>
      </c>
      <c r="G812">
        <v>0.793296467746738</v>
      </c>
      <c r="H812">
        <v>0.691796157913611</v>
      </c>
      <c r="I812">
        <v>0.640867049046398</v>
      </c>
      <c r="J812">
        <v>0.59467987271018</v>
      </c>
      <c r="K812">
        <v>0.491332062236871</v>
      </c>
      <c r="L812">
        <v>624.5116222095201</v>
      </c>
      <c r="M812">
        <v>10.8969087535613</v>
      </c>
      <c r="O812">
        <v>55.4821380850416</v>
      </c>
      <c r="P812">
        <v>-0.0282954013356716</v>
      </c>
      <c r="Q812">
        <v>0.423931913610827</v>
      </c>
      <c r="R812">
        <v>0.964357530991976</v>
      </c>
      <c r="S812" t="s">
        <v>3005</v>
      </c>
      <c r="T812" t="s">
        <v>4362</v>
      </c>
      <c r="U812" t="s">
        <v>4362</v>
      </c>
      <c r="V812" t="s">
        <v>4362</v>
      </c>
      <c r="W812" t="s">
        <v>5172</v>
      </c>
      <c r="X812">
        <v>12</v>
      </c>
      <c r="Y812" t="s">
        <v>7333</v>
      </c>
      <c r="Z812" t="s">
        <v>9500</v>
      </c>
      <c r="AA812">
        <v>0.8139503175592132</v>
      </c>
      <c r="AB812">
        <f>HYPERLINK("Melting_Curves/meltCurve_P0ADT8_ygiM.pdf", "Melting_Curves/meltCurve_P0ADT8_ygiM.pdf")</f>
        <v>0</v>
      </c>
    </row>
    <row r="813" spans="1:28">
      <c r="A813" t="s">
        <v>839</v>
      </c>
      <c r="B813">
        <v>0.999739202189716</v>
      </c>
      <c r="C813">
        <v>1.07112782853319</v>
      </c>
      <c r="D813">
        <v>0.915840380275921</v>
      </c>
      <c r="E813">
        <v>1.04981674996345</v>
      </c>
      <c r="F813">
        <v>0.892781446291532</v>
      </c>
      <c r="G813">
        <v>0.673973740702706</v>
      </c>
      <c r="H813">
        <v>0.392996929998534</v>
      </c>
      <c r="I813">
        <v>0.159362600788789</v>
      </c>
      <c r="J813">
        <v>0.101135302113578</v>
      </c>
      <c r="K813">
        <v>0.090000605616935</v>
      </c>
      <c r="L813">
        <v>1165.06276881139</v>
      </c>
      <c r="M813">
        <v>20.9686623505505</v>
      </c>
      <c r="N813">
        <v>55.8546230603567</v>
      </c>
      <c r="O813">
        <v>55.0641332420428</v>
      </c>
      <c r="P813">
        <v>-0.09025249672903379</v>
      </c>
      <c r="Q813">
        <v>0.0520056818722465</v>
      </c>
      <c r="R813">
        <v>0.988379045525886</v>
      </c>
      <c r="S813" t="s">
        <v>3006</v>
      </c>
      <c r="T813" t="s">
        <v>4362</v>
      </c>
      <c r="U813" t="s">
        <v>4362</v>
      </c>
      <c r="V813" t="s">
        <v>4362</v>
      </c>
      <c r="W813" t="s">
        <v>5173</v>
      </c>
      <c r="X813">
        <v>6</v>
      </c>
      <c r="Y813" t="s">
        <v>7334</v>
      </c>
      <c r="Z813" t="s">
        <v>9501</v>
      </c>
      <c r="AA813">
        <v>0.6483231533732</v>
      </c>
      <c r="AB813">
        <f>HYPERLINK("Melting_Curves/meltCurve_P0ADU2_ygiN.pdf", "Melting_Curves/meltCurve_P0ADU2_ygiN.pdf")</f>
        <v>0</v>
      </c>
    </row>
    <row r="814" spans="1:28">
      <c r="A814" t="s">
        <v>840</v>
      </c>
      <c r="B814">
        <v>0.999739202189716</v>
      </c>
      <c r="C814">
        <v>0.9171040686342939</v>
      </c>
      <c r="D814">
        <v>0.901772080609142</v>
      </c>
      <c r="E814">
        <v>0.956475872361602</v>
      </c>
      <c r="F814">
        <v>1.21851761383336</v>
      </c>
      <c r="G814">
        <v>0.9657164129385289</v>
      </c>
      <c r="H814">
        <v>1.03152070007234</v>
      </c>
      <c r="I814">
        <v>0.97491235637547</v>
      </c>
      <c r="J814">
        <v>0.819483681699589</v>
      </c>
      <c r="K814">
        <v>0.718484727078633</v>
      </c>
      <c r="L814">
        <v>3683.24188005904</v>
      </c>
      <c r="M814">
        <v>57.9103368971414</v>
      </c>
      <c r="O814">
        <v>63.5267759313177</v>
      </c>
      <c r="P814">
        <v>-0.0675256715994102</v>
      </c>
      <c r="Q814">
        <v>0.703701486926177</v>
      </c>
      <c r="R814">
        <v>0.562189928673495</v>
      </c>
      <c r="S814" t="s">
        <v>3007</v>
      </c>
      <c r="T814" t="s">
        <v>4362</v>
      </c>
      <c r="U814" t="s">
        <v>4362</v>
      </c>
      <c r="V814" t="s">
        <v>4362</v>
      </c>
      <c r="W814" t="s">
        <v>5174</v>
      </c>
      <c r="X814">
        <v>5</v>
      </c>
      <c r="Y814" t="s">
        <v>7335</v>
      </c>
      <c r="Z814" t="s">
        <v>9502</v>
      </c>
      <c r="AA814">
        <v>0.9664164693308648</v>
      </c>
      <c r="AB814">
        <f>HYPERLINK("Melting_Curves/meltCurve_P0ADU5_ygiW.pdf", "Melting_Curves/meltCurve_P0ADU5_ygiW.pdf")</f>
        <v>0</v>
      </c>
    </row>
    <row r="815" spans="1:28">
      <c r="A815" t="s">
        <v>841</v>
      </c>
      <c r="B815">
        <v>0.999739202189716</v>
      </c>
      <c r="C815">
        <v>0.874434171239877</v>
      </c>
      <c r="D815">
        <v>1.34400960725475</v>
      </c>
      <c r="E815">
        <v>0.998103450126673</v>
      </c>
      <c r="F815">
        <v>1.11642992393666</v>
      </c>
      <c r="G815">
        <v>0.970924056033252</v>
      </c>
      <c r="H815">
        <v>0.855554689509003</v>
      </c>
      <c r="I815">
        <v>0.943553474436869</v>
      </c>
      <c r="J815">
        <v>0.9127162527689719</v>
      </c>
      <c r="K815">
        <v>0.713006706632703</v>
      </c>
      <c r="L815">
        <v>1009.32857605869</v>
      </c>
      <c r="M815">
        <v>13.9993163886856</v>
      </c>
      <c r="Q815">
        <v>0</v>
      </c>
      <c r="R815">
        <v>0.34396810769935</v>
      </c>
      <c r="S815" t="s">
        <v>3008</v>
      </c>
      <c r="T815" t="s">
        <v>4362</v>
      </c>
      <c r="U815" t="s">
        <v>4362</v>
      </c>
      <c r="V815" t="s">
        <v>4362</v>
      </c>
      <c r="W815" t="s">
        <v>5175</v>
      </c>
      <c r="X815">
        <v>6</v>
      </c>
      <c r="Y815" t="s">
        <v>7336</v>
      </c>
      <c r="Z815" t="s">
        <v>9503</v>
      </c>
      <c r="AA815">
        <v>0.9613427716969586</v>
      </c>
      <c r="AB815">
        <f>HYPERLINK("Melting_Curves/meltCurve_P0ADV1_lptA.pdf", "Melting_Curves/meltCurve_P0ADV1_lptA.pdf")</f>
        <v>0</v>
      </c>
    </row>
    <row r="816" spans="1:28">
      <c r="A816" t="s">
        <v>842</v>
      </c>
      <c r="B816">
        <v>0.999739202189716</v>
      </c>
      <c r="C816">
        <v>0.987234120327228</v>
      </c>
      <c r="D816">
        <v>0.893658651620207</v>
      </c>
      <c r="E816">
        <v>0.78499171446672</v>
      </c>
      <c r="F816">
        <v>0.550921903960414</v>
      </c>
      <c r="G816">
        <v>0.308551942797077</v>
      </c>
      <c r="H816">
        <v>0.221150281934612</v>
      </c>
      <c r="I816">
        <v>0.172065317739099</v>
      </c>
      <c r="J816">
        <v>0.157585056333318</v>
      </c>
      <c r="K816">
        <v>0.11145220217251</v>
      </c>
      <c r="L816">
        <v>747.903437759809</v>
      </c>
      <c r="M816">
        <v>14.9817510395205</v>
      </c>
      <c r="N816">
        <v>50.7502308637158</v>
      </c>
      <c r="O816">
        <v>49.0568869849628</v>
      </c>
      <c r="P816">
        <v>-0.0680665228388356</v>
      </c>
      <c r="Q816">
        <v>0.108571096580694</v>
      </c>
      <c r="R816">
        <v>0.997615442153035</v>
      </c>
      <c r="S816" t="s">
        <v>3009</v>
      </c>
      <c r="T816" t="s">
        <v>4362</v>
      </c>
      <c r="U816" t="s">
        <v>4362</v>
      </c>
      <c r="V816" t="s">
        <v>4362</v>
      </c>
      <c r="W816" t="s">
        <v>5176</v>
      </c>
      <c r="X816">
        <v>5</v>
      </c>
      <c r="Y816" t="s">
        <v>7337</v>
      </c>
      <c r="Z816" t="s">
        <v>9504</v>
      </c>
      <c r="AA816">
        <v>0.5112224749882727</v>
      </c>
      <c r="AB816">
        <f>HYPERLINK("Melting_Curves/meltCurve_P0ADV5_yhbW.pdf", "Melting_Curves/meltCurve_P0ADV5_yhbW.pdf")</f>
        <v>0</v>
      </c>
    </row>
    <row r="817" spans="1:28">
      <c r="A817" t="s">
        <v>843</v>
      </c>
      <c r="B817">
        <v>0.999739202189716</v>
      </c>
      <c r="C817">
        <v>0.92185757440087</v>
      </c>
      <c r="D817">
        <v>1.01558549174615</v>
      </c>
      <c r="E817">
        <v>0.994973128219748</v>
      </c>
      <c r="F817">
        <v>1.01916929739329</v>
      </c>
      <c r="G817">
        <v>0.873207728195007</v>
      </c>
      <c r="H817">
        <v>0.850259237555622</v>
      </c>
      <c r="I817">
        <v>0.733400792608923</v>
      </c>
      <c r="J817">
        <v>0.557816444458648</v>
      </c>
      <c r="K817">
        <v>0.200801865429623</v>
      </c>
      <c r="L817">
        <v>1242.45719959645</v>
      </c>
      <c r="M817">
        <v>19.4644682818028</v>
      </c>
      <c r="N817">
        <v>63.8320861493389</v>
      </c>
      <c r="O817">
        <v>63.1697786922769</v>
      </c>
      <c r="P817">
        <v>-0.07703517353736911</v>
      </c>
      <c r="Q817">
        <v>0</v>
      </c>
      <c r="R817">
        <v>0.946094597611924</v>
      </c>
      <c r="S817" t="s">
        <v>3010</v>
      </c>
      <c r="T817" t="s">
        <v>4362</v>
      </c>
      <c r="U817" t="s">
        <v>4362</v>
      </c>
      <c r="V817" t="s">
        <v>4362</v>
      </c>
      <c r="W817" t="s">
        <v>5177</v>
      </c>
      <c r="X817">
        <v>15</v>
      </c>
      <c r="Y817" t="s">
        <v>7338</v>
      </c>
      <c r="Z817" t="s">
        <v>9505</v>
      </c>
      <c r="AA817">
        <v>0.8674500241476211</v>
      </c>
      <c r="AB817">
        <f>HYPERLINK("Melting_Curves/meltCurve_P0ADV7_mlaC.pdf", "Melting_Curves/meltCurve_P0ADV7_mlaC.pdf")</f>
        <v>0</v>
      </c>
    </row>
    <row r="818" spans="1:28">
      <c r="A818" t="s">
        <v>844</v>
      </c>
      <c r="B818">
        <v>0.999739202189716</v>
      </c>
      <c r="C818">
        <v>0.983122481711395</v>
      </c>
      <c r="D818">
        <v>0.954368763030855</v>
      </c>
      <c r="E818">
        <v>0.940707089706689</v>
      </c>
      <c r="F818">
        <v>0.567246132734801</v>
      </c>
      <c r="G818">
        <v>0.266822762957046</v>
      </c>
      <c r="H818">
        <v>0.145258583164911</v>
      </c>
      <c r="I818">
        <v>0.0693467951054349</v>
      </c>
      <c r="J818">
        <v>0.0457376191358166</v>
      </c>
      <c r="K818">
        <v>0.0424263795500453</v>
      </c>
      <c r="L818">
        <v>1160.77362845711</v>
      </c>
      <c r="M818">
        <v>22.8268970684935</v>
      </c>
      <c r="N818">
        <v>51.0863467874344</v>
      </c>
      <c r="O818">
        <v>50.4657006857212</v>
      </c>
      <c r="P818">
        <v>-0.107442469053524</v>
      </c>
      <c r="Q818">
        <v>0.0498832404818987</v>
      </c>
      <c r="R818">
        <v>0.996834580172466</v>
      </c>
      <c r="S818" t="s">
        <v>3011</v>
      </c>
      <c r="T818" t="s">
        <v>4362</v>
      </c>
      <c r="U818" t="s">
        <v>4362</v>
      </c>
      <c r="V818" t="s">
        <v>4362</v>
      </c>
      <c r="W818" t="s">
        <v>5178</v>
      </c>
      <c r="X818">
        <v>4</v>
      </c>
      <c r="Y818" t="s">
        <v>7339</v>
      </c>
      <c r="Z818" t="s">
        <v>9506</v>
      </c>
      <c r="AA818">
        <v>0.498449820356677</v>
      </c>
      <c r="AB818">
        <f>HYPERLINK("Melting_Curves/meltCurve_P0ADV9_lptC.pdf", "Melting_Curves/meltCurve_P0ADV9_lptC.pdf")</f>
        <v>0</v>
      </c>
    </row>
    <row r="819" spans="1:28">
      <c r="A819" t="s">
        <v>845</v>
      </c>
      <c r="B819">
        <v>0.999739202189716</v>
      </c>
      <c r="C819">
        <v>1.03160943860293</v>
      </c>
      <c r="D819">
        <v>0.9246356043303821</v>
      </c>
      <c r="E819">
        <v>1.09712672381726</v>
      </c>
      <c r="F819">
        <v>0.973992652258216</v>
      </c>
      <c r="G819">
        <v>0.955572418125942</v>
      </c>
      <c r="H819">
        <v>1.0164945615595</v>
      </c>
      <c r="I819">
        <v>1.09347918656832</v>
      </c>
      <c r="J819">
        <v>1.02060561847438</v>
      </c>
      <c r="K819">
        <v>0.924490686611834</v>
      </c>
      <c r="L819">
        <v>15000</v>
      </c>
      <c r="M819">
        <v>221.375596255784</v>
      </c>
      <c r="Q819">
        <v>0</v>
      </c>
      <c r="R819">
        <v>0.164678251440444</v>
      </c>
      <c r="S819" t="s">
        <v>3012</v>
      </c>
      <c r="T819" t="s">
        <v>4362</v>
      </c>
      <c r="U819" t="s">
        <v>4362</v>
      </c>
      <c r="V819" t="s">
        <v>4362</v>
      </c>
      <c r="W819" t="s">
        <v>5179</v>
      </c>
      <c r="X819">
        <v>4</v>
      </c>
      <c r="Y819" t="s">
        <v>7340</v>
      </c>
      <c r="Z819" t="s">
        <v>9507</v>
      </c>
      <c r="AA819">
        <v>0.9992238467418367</v>
      </c>
      <c r="AB819">
        <f>HYPERLINK("Melting_Curves/meltCurve_P0ADW3_yhcB.pdf", "Melting_Curves/meltCurve_P0ADW3_yhcB.pdf")</f>
        <v>0</v>
      </c>
    </row>
    <row r="820" spans="1:28">
      <c r="A820" t="s">
        <v>846</v>
      </c>
      <c r="B820">
        <v>0.999739202189716</v>
      </c>
      <c r="C820">
        <v>0.854459912195872</v>
      </c>
      <c r="D820">
        <v>0.768362465594304</v>
      </c>
      <c r="E820">
        <v>0.852844605091676</v>
      </c>
      <c r="F820">
        <v>0.825723212559769</v>
      </c>
      <c r="G820">
        <v>0.647465954093317</v>
      </c>
      <c r="H820">
        <v>0.772718221669366</v>
      </c>
      <c r="I820">
        <v>0.771404725546084</v>
      </c>
      <c r="J820">
        <v>0.774472402989188</v>
      </c>
      <c r="K820">
        <v>0.631505953854675</v>
      </c>
      <c r="L820">
        <v>402.74363312468</v>
      </c>
      <c r="M820">
        <v>9.640758352630669</v>
      </c>
      <c r="O820">
        <v>40.0964005178329</v>
      </c>
      <c r="P820">
        <v>-0.0170571248708688</v>
      </c>
      <c r="Q820">
        <v>0.716392811451369</v>
      </c>
      <c r="R820">
        <v>0.586678023790399</v>
      </c>
      <c r="S820" t="s">
        <v>3013</v>
      </c>
      <c r="T820" t="s">
        <v>4362</v>
      </c>
      <c r="U820" t="s">
        <v>4362</v>
      </c>
      <c r="V820" t="s">
        <v>4362</v>
      </c>
      <c r="W820" t="s">
        <v>5180</v>
      </c>
      <c r="X820">
        <v>6</v>
      </c>
      <c r="Y820" t="s">
        <v>7341</v>
      </c>
      <c r="Z820" t="s">
        <v>9508</v>
      </c>
      <c r="AA820">
        <v>0.7809270350135182</v>
      </c>
      <c r="AB820">
        <f>HYPERLINK("Melting_Curves/meltCurve_P0ADX1_yhfA.pdf", "Melting_Curves/meltCurve_P0ADX1_yhfA.pdf")</f>
        <v>0</v>
      </c>
    </row>
    <row r="821" spans="1:28">
      <c r="A821" t="s">
        <v>847</v>
      </c>
      <c r="B821">
        <v>0.999739202189716</v>
      </c>
      <c r="C821">
        <v>1.1546904193239</v>
      </c>
      <c r="D821">
        <v>0.7731491621473729</v>
      </c>
      <c r="E821">
        <v>0.859714461694159</v>
      </c>
      <c r="F821">
        <v>1.03827998053721</v>
      </c>
      <c r="G821">
        <v>0.899898735811843</v>
      </c>
      <c r="H821">
        <v>0.767099183902745</v>
      </c>
      <c r="I821">
        <v>0.784108772565847</v>
      </c>
      <c r="J821">
        <v>1.00639003414629</v>
      </c>
      <c r="K821">
        <v>0.828743448384979</v>
      </c>
      <c r="L821">
        <v>10359.2968200068</v>
      </c>
      <c r="M821">
        <v>250</v>
      </c>
      <c r="O821">
        <v>41.4345354384603</v>
      </c>
      <c r="P821">
        <v>-0.196584540568938</v>
      </c>
      <c r="Q821">
        <v>0.869673773917908</v>
      </c>
      <c r="R821">
        <v>0.360934919333444</v>
      </c>
      <c r="S821" t="s">
        <v>3014</v>
      </c>
      <c r="T821" t="s">
        <v>4362</v>
      </c>
      <c r="U821" t="s">
        <v>4362</v>
      </c>
      <c r="V821" t="s">
        <v>4362</v>
      </c>
      <c r="W821" t="s">
        <v>5181</v>
      </c>
      <c r="X821">
        <v>8</v>
      </c>
      <c r="Y821" t="s">
        <v>7342</v>
      </c>
      <c r="Z821" t="s">
        <v>9509</v>
      </c>
      <c r="AA821">
        <v>0.8889593138728838</v>
      </c>
      <c r="AB821">
        <f>HYPERLINK("Melting_Curves/meltCurve_P0ADX7_yhhA.pdf", "Melting_Curves/meltCurve_P0ADX7_yhhA.pdf")</f>
        <v>0</v>
      </c>
    </row>
    <row r="822" spans="1:28">
      <c r="A822" t="s">
        <v>848</v>
      </c>
      <c r="B822">
        <v>0.999739202189716</v>
      </c>
      <c r="C822">
        <v>0.765044562820044</v>
      </c>
      <c r="D822">
        <v>0.420685003394961</v>
      </c>
      <c r="E822">
        <v>0.307127298693636</v>
      </c>
      <c r="F822">
        <v>0.222999205953116</v>
      </c>
      <c r="G822">
        <v>0.154015618360256</v>
      </c>
      <c r="H822">
        <v>0.166853912915179</v>
      </c>
      <c r="I822">
        <v>0.125296316597857</v>
      </c>
      <c r="J822">
        <v>0.118806168569318</v>
      </c>
      <c r="K822">
        <v>0.105979612056787</v>
      </c>
      <c r="L822">
        <v>794.847082302799</v>
      </c>
      <c r="M822">
        <v>18.9516993572699</v>
      </c>
      <c r="N822">
        <v>42.6936371392476</v>
      </c>
      <c r="O822">
        <v>41.4820773469269</v>
      </c>
      <c r="P822">
        <v>-0.0979947271432231</v>
      </c>
      <c r="Q822">
        <v>0.142058770339544</v>
      </c>
      <c r="R822">
        <v>0.98336391120917</v>
      </c>
      <c r="S822" t="s">
        <v>3015</v>
      </c>
      <c r="T822" t="s">
        <v>4362</v>
      </c>
      <c r="U822" t="s">
        <v>4362</v>
      </c>
      <c r="V822" t="s">
        <v>4362</v>
      </c>
      <c r="W822" t="s">
        <v>5182</v>
      </c>
      <c r="X822">
        <v>5</v>
      </c>
      <c r="Y822" t="s">
        <v>7343</v>
      </c>
      <c r="Z822" t="s">
        <v>9510</v>
      </c>
      <c r="AA822">
        <v>0.2980969704393535</v>
      </c>
      <c r="AB822">
        <f>HYPERLINK("Melting_Curves/meltCurve_P0ADX9_rsmD.pdf", "Melting_Curves/meltCurve_P0ADX9_rsmD.pdf")</f>
        <v>0</v>
      </c>
    </row>
    <row r="823" spans="1:28">
      <c r="A823" t="s">
        <v>849</v>
      </c>
      <c r="B823">
        <v>0.999739202189716</v>
      </c>
      <c r="C823">
        <v>1.11465560538683</v>
      </c>
      <c r="D823">
        <v>1.06684275136036</v>
      </c>
      <c r="E823">
        <v>1.04830891297698</v>
      </c>
      <c r="F823">
        <v>1.04791492000106</v>
      </c>
      <c r="G823">
        <v>0.878301208953104</v>
      </c>
      <c r="H823">
        <v>0.77273442334735</v>
      </c>
      <c r="I823">
        <v>0.374661134589217</v>
      </c>
      <c r="J823">
        <v>0.274506885075952</v>
      </c>
      <c r="K823">
        <v>0.169410772891964</v>
      </c>
      <c r="L823">
        <v>1548.21585951745</v>
      </c>
      <c r="M823">
        <v>26.1751281008492</v>
      </c>
      <c r="N823">
        <v>59.9214524162691</v>
      </c>
      <c r="O823">
        <v>58.8063438055191</v>
      </c>
      <c r="P823">
        <v>-0.09533180715053351</v>
      </c>
      <c r="Q823">
        <v>0.143300676267726</v>
      </c>
      <c r="R823">
        <v>0.9739766211562449</v>
      </c>
      <c r="S823" t="s">
        <v>3016</v>
      </c>
      <c r="T823" t="s">
        <v>4362</v>
      </c>
      <c r="U823" t="s">
        <v>4362</v>
      </c>
      <c r="V823" t="s">
        <v>4362</v>
      </c>
      <c r="W823" t="s">
        <v>5183</v>
      </c>
      <c r="X823">
        <v>24</v>
      </c>
      <c r="Y823" t="s">
        <v>7344</v>
      </c>
      <c r="Z823" t="s">
        <v>9511</v>
      </c>
      <c r="AA823">
        <v>0.779916735816429</v>
      </c>
      <c r="AB823">
        <f>HYPERLINK("Melting_Curves/meltCurve_P0ADY1_ppiD.pdf", "Melting_Curves/meltCurve_P0ADY1_ppiD.pdf")</f>
        <v>0</v>
      </c>
    </row>
    <row r="824" spans="1:28">
      <c r="A824" t="s">
        <v>850</v>
      </c>
      <c r="B824">
        <v>0.999739202189716</v>
      </c>
      <c r="C824">
        <v>0.599723396194014</v>
      </c>
      <c r="D824">
        <v>0.368181050237644</v>
      </c>
      <c r="E824">
        <v>0.249826834625241</v>
      </c>
      <c r="F824">
        <v>0.154201804066895</v>
      </c>
      <c r="G824">
        <v>0.087202471577161</v>
      </c>
      <c r="H824">
        <v>0.072089612499122</v>
      </c>
      <c r="I824">
        <v>0.0638621265907134</v>
      </c>
      <c r="J824">
        <v>0.0753076846776812</v>
      </c>
      <c r="K824">
        <v>0.0722036064812407</v>
      </c>
      <c r="L824">
        <v>726.623947900088</v>
      </c>
      <c r="M824">
        <v>17.6346080717846</v>
      </c>
      <c r="N824">
        <v>41.6298937569668</v>
      </c>
      <c r="O824">
        <v>40.6855213438766</v>
      </c>
      <c r="P824">
        <v>-0.0994291987073299</v>
      </c>
      <c r="Q824">
        <v>0.0824604925036402</v>
      </c>
      <c r="R824">
        <v>0.9732085091364709</v>
      </c>
      <c r="S824" t="s">
        <v>3017</v>
      </c>
      <c r="T824" t="s">
        <v>4362</v>
      </c>
      <c r="U824" t="s">
        <v>4362</v>
      </c>
      <c r="V824" t="s">
        <v>4362</v>
      </c>
      <c r="W824" t="s">
        <v>5184</v>
      </c>
      <c r="X824">
        <v>3</v>
      </c>
      <c r="Y824" t="s">
        <v>7345</v>
      </c>
      <c r="Z824" t="s">
        <v>9512</v>
      </c>
      <c r="AA824">
        <v>0.2314014457485571</v>
      </c>
      <c r="AB824">
        <f>HYPERLINK("Melting_Curves/meltCurve_P0ADY3_rplN.pdf", "Melting_Curves/meltCurve_P0ADY3_rplN.pdf")</f>
        <v>0</v>
      </c>
    </row>
    <row r="825" spans="1:28">
      <c r="A825" t="s">
        <v>851</v>
      </c>
      <c r="B825">
        <v>0.999739202189716</v>
      </c>
      <c r="C825">
        <v>0.932121148247646</v>
      </c>
      <c r="D825">
        <v>0.885437603884856</v>
      </c>
      <c r="E825">
        <v>0.683666183954352</v>
      </c>
      <c r="F825">
        <v>0.6187327501616769</v>
      </c>
      <c r="G825">
        <v>0.551894301458247</v>
      </c>
      <c r="H825">
        <v>0.399726287126311</v>
      </c>
      <c r="I825">
        <v>0.375371195599233</v>
      </c>
      <c r="J825">
        <v>0.384831730107454</v>
      </c>
      <c r="K825">
        <v>0.394110183265687</v>
      </c>
      <c r="L825">
        <v>529.758405887034</v>
      </c>
      <c r="M825">
        <v>10.9954521141934</v>
      </c>
      <c r="N825">
        <v>53.8558882221152</v>
      </c>
      <c r="O825">
        <v>46.6684118197923</v>
      </c>
      <c r="P825">
        <v>-0.0387071156403631</v>
      </c>
      <c r="Q825">
        <v>0.343077789477629</v>
      </c>
      <c r="R825">
        <v>0.982922951868569</v>
      </c>
      <c r="S825" t="s">
        <v>3018</v>
      </c>
      <c r="T825" t="s">
        <v>4362</v>
      </c>
      <c r="U825" t="s">
        <v>4362</v>
      </c>
      <c r="V825" t="s">
        <v>4362</v>
      </c>
      <c r="W825" t="s">
        <v>5185</v>
      </c>
      <c r="X825">
        <v>3</v>
      </c>
      <c r="Y825" t="s">
        <v>7346</v>
      </c>
      <c r="Z825" t="s">
        <v>9513</v>
      </c>
      <c r="AA825">
        <v>0.6109075162054954</v>
      </c>
      <c r="AB825">
        <f>HYPERLINK("Melting_Curves/meltCurve_P0ADY7_rplP.pdf", "Melting_Curves/meltCurve_P0ADY7_rplP.pdf")</f>
        <v>0</v>
      </c>
    </row>
    <row r="826" spans="1:28">
      <c r="A826" t="s">
        <v>852</v>
      </c>
      <c r="B826">
        <v>0.999739202189716</v>
      </c>
      <c r="C826">
        <v>1.11424746346047</v>
      </c>
      <c r="D826">
        <v>0.450976249259425</v>
      </c>
      <c r="E826">
        <v>0.351581361010531</v>
      </c>
      <c r="F826">
        <v>0.17605224268014</v>
      </c>
      <c r="G826">
        <v>0.132237716083212</v>
      </c>
      <c r="H826">
        <v>0.0985100045997763</v>
      </c>
      <c r="I826">
        <v>0.07428007459851931</v>
      </c>
      <c r="J826">
        <v>0.0678625700684526</v>
      </c>
      <c r="K826">
        <v>0.06743527777114069</v>
      </c>
      <c r="L826">
        <v>10725.7949105743</v>
      </c>
      <c r="M826">
        <v>250</v>
      </c>
      <c r="N826">
        <v>42.9588090612071</v>
      </c>
      <c r="O826">
        <v>42.9004325965743</v>
      </c>
      <c r="P826">
        <v>-1.25540703640693</v>
      </c>
      <c r="Q826">
        <v>0.138279891178544</v>
      </c>
      <c r="R826">
        <v>0.945668419602775</v>
      </c>
      <c r="S826" t="s">
        <v>3019</v>
      </c>
      <c r="T826" t="s">
        <v>4362</v>
      </c>
      <c r="U826" t="s">
        <v>4362</v>
      </c>
      <c r="V826" t="s">
        <v>4362</v>
      </c>
      <c r="W826" t="s">
        <v>5186</v>
      </c>
      <c r="X826">
        <v>4</v>
      </c>
      <c r="Y826" t="s">
        <v>7347</v>
      </c>
      <c r="Z826" t="s">
        <v>9514</v>
      </c>
      <c r="AA826">
        <v>0.3079077273463527</v>
      </c>
      <c r="AB826">
        <f>HYPERLINK("Melting_Curves/meltCurve_P0ADZ0_rplW.pdf", "Melting_Curves/meltCurve_P0ADZ0_rplW.pdf")</f>
        <v>0</v>
      </c>
    </row>
    <row r="827" spans="1:28">
      <c r="A827" t="s">
        <v>853</v>
      </c>
      <c r="B827">
        <v>0.999739202189716</v>
      </c>
      <c r="C827">
        <v>1.12211028411825</v>
      </c>
      <c r="D827">
        <v>0.951451928711107</v>
      </c>
      <c r="E827">
        <v>0.987948834713404</v>
      </c>
      <c r="F827">
        <v>0.550140179622014</v>
      </c>
      <c r="G827">
        <v>0.263975476173436</v>
      </c>
      <c r="H827">
        <v>0.165235344945895</v>
      </c>
      <c r="I827">
        <v>0.107406338250241</v>
      </c>
      <c r="J827">
        <v>0.0970078506253834</v>
      </c>
      <c r="K827">
        <v>0.100992943677207</v>
      </c>
      <c r="L827">
        <v>1495.98096132692</v>
      </c>
      <c r="M827">
        <v>29.6761717566134</v>
      </c>
      <c r="N827">
        <v>50.8531442939757</v>
      </c>
      <c r="O827">
        <v>50.1829303892553</v>
      </c>
      <c r="P827">
        <v>-0.131002394005985</v>
      </c>
      <c r="Q827">
        <v>0.113896588361429</v>
      </c>
      <c r="R827">
        <v>0.985938630454776</v>
      </c>
      <c r="S827" t="s">
        <v>3020</v>
      </c>
      <c r="T827" t="s">
        <v>4362</v>
      </c>
      <c r="U827" t="s">
        <v>4362</v>
      </c>
      <c r="V827" t="s">
        <v>4362</v>
      </c>
      <c r="W827" t="s">
        <v>5187</v>
      </c>
      <c r="X827">
        <v>4</v>
      </c>
      <c r="Y827" t="s">
        <v>7348</v>
      </c>
      <c r="Z827" t="s">
        <v>9515</v>
      </c>
      <c r="AA827">
        <v>0.515580232157463</v>
      </c>
      <c r="AB827">
        <f>HYPERLINK("Melting_Curves/meltCurve_P0ADZ4_rpsO.pdf", "Melting_Curves/meltCurve_P0ADZ4_rpsO.pdf")</f>
        <v>0</v>
      </c>
    </row>
    <row r="828" spans="1:28">
      <c r="A828" t="s">
        <v>854</v>
      </c>
      <c r="B828">
        <v>0.999739202189716</v>
      </c>
      <c r="C828">
        <v>1.22091457720758</v>
      </c>
      <c r="D828">
        <v>1.00490320804742</v>
      </c>
      <c r="E828">
        <v>0.964151422767544</v>
      </c>
      <c r="F828">
        <v>1.09727452148012</v>
      </c>
      <c r="G828">
        <v>0.902811259346802</v>
      </c>
      <c r="H828">
        <v>0.912264820164571</v>
      </c>
      <c r="I828">
        <v>1.1122164948888</v>
      </c>
      <c r="J828">
        <v>1.23645805867495</v>
      </c>
      <c r="K828">
        <v>0.9338719792814409</v>
      </c>
      <c r="L828">
        <v>14833.8968162516</v>
      </c>
      <c r="M828">
        <v>250</v>
      </c>
      <c r="O828">
        <v>59.3318124695256</v>
      </c>
      <c r="P828">
        <v>0.09923370739588371</v>
      </c>
      <c r="Q828">
        <v>1.09420341619461</v>
      </c>
      <c r="R828">
        <v>0.08761922221891991</v>
      </c>
      <c r="S828" t="s">
        <v>3021</v>
      </c>
      <c r="T828" t="s">
        <v>4362</v>
      </c>
      <c r="U828" t="s">
        <v>4362</v>
      </c>
      <c r="V828" t="s">
        <v>4362</v>
      </c>
      <c r="W828" t="s">
        <v>5188</v>
      </c>
      <c r="X828">
        <v>5</v>
      </c>
      <c r="Y828" t="s">
        <v>7349</v>
      </c>
      <c r="Z828" t="s">
        <v>9516</v>
      </c>
      <c r="AA828">
        <v>1.024057319071362</v>
      </c>
      <c r="AB828">
        <f>HYPERLINK("Melting_Curves/meltCurve_P0ADZ7_yajC.pdf", "Melting_Curves/meltCurve_P0ADZ7_yajC.pdf")</f>
        <v>0</v>
      </c>
    </row>
    <row r="829" spans="1:28">
      <c r="A829" t="s">
        <v>855</v>
      </c>
      <c r="B829">
        <v>0.999739202189716</v>
      </c>
      <c r="C829">
        <v>0.8248701721220369</v>
      </c>
      <c r="D829">
        <v>0.8962586830386809</v>
      </c>
      <c r="E829">
        <v>0.430877605986066</v>
      </c>
      <c r="F829">
        <v>0.169557478483316</v>
      </c>
      <c r="G829">
        <v>0.09397697155606199</v>
      </c>
      <c r="H829">
        <v>0.0736370788285932</v>
      </c>
      <c r="I829">
        <v>0.0548443702012035</v>
      </c>
      <c r="J829">
        <v>0.0495017035820455</v>
      </c>
      <c r="K829">
        <v>0.0581047152342157</v>
      </c>
      <c r="L829">
        <v>1048.81535949158</v>
      </c>
      <c r="M829">
        <v>22.8408732347646</v>
      </c>
      <c r="N829">
        <v>46.1538923170916</v>
      </c>
      <c r="O829">
        <v>45.570738264595</v>
      </c>
      <c r="P829">
        <v>-0.118413438693339</v>
      </c>
      <c r="Q829">
        <v>0.0550129016249139</v>
      </c>
      <c r="R829">
        <v>0.981509877151557</v>
      </c>
      <c r="S829" t="s">
        <v>3022</v>
      </c>
      <c r="T829" t="s">
        <v>4362</v>
      </c>
      <c r="U829" t="s">
        <v>4362</v>
      </c>
      <c r="V829" t="s">
        <v>4362</v>
      </c>
      <c r="W829" t="s">
        <v>5189</v>
      </c>
      <c r="X829">
        <v>7</v>
      </c>
      <c r="Y829" t="s">
        <v>7350</v>
      </c>
      <c r="Z829" t="s">
        <v>9517</v>
      </c>
      <c r="AA829">
        <v>0.3453539346329941</v>
      </c>
      <c r="AB829">
        <f>HYPERLINK("Melting_Curves/meltCurve_P0AE01_trmJ.pdf", "Melting_Curves/meltCurve_P0AE01_trmJ.pdf")</f>
        <v>0</v>
      </c>
    </row>
    <row r="830" spans="1:28">
      <c r="A830" t="s">
        <v>856</v>
      </c>
      <c r="B830">
        <v>0.999739202189716</v>
      </c>
      <c r="C830">
        <v>0.927018871549715</v>
      </c>
      <c r="D830">
        <v>1.02231682928592</v>
      </c>
      <c r="E830">
        <v>0.939636150653571</v>
      </c>
      <c r="F830">
        <v>0.45701144262972</v>
      </c>
      <c r="G830">
        <v>0.177618022652065</v>
      </c>
      <c r="H830">
        <v>0.0949268456359454</v>
      </c>
      <c r="I830">
        <v>0.0618278161956259</v>
      </c>
      <c r="J830">
        <v>0.0450437014408584</v>
      </c>
      <c r="K830">
        <v>0.0421897451064444</v>
      </c>
      <c r="L830">
        <v>1608.55511621467</v>
      </c>
      <c r="M830">
        <v>32.2636465222506</v>
      </c>
      <c r="N830">
        <v>50.0629203922629</v>
      </c>
      <c r="O830">
        <v>49.6662031476683</v>
      </c>
      <c r="P830">
        <v>-0.152292280231397</v>
      </c>
      <c r="Q830">
        <v>0.0622579463936073</v>
      </c>
      <c r="R830">
        <v>0.994515136223204</v>
      </c>
      <c r="S830" t="s">
        <v>3023</v>
      </c>
      <c r="T830" t="s">
        <v>4362</v>
      </c>
      <c r="U830" t="s">
        <v>4362</v>
      </c>
      <c r="V830" t="s">
        <v>4362</v>
      </c>
      <c r="W830" t="s">
        <v>5190</v>
      </c>
      <c r="X830">
        <v>12</v>
      </c>
      <c r="Y830" t="s">
        <v>7351</v>
      </c>
      <c r="Z830" t="s">
        <v>9518</v>
      </c>
      <c r="AA830">
        <v>0.4690981465248014</v>
      </c>
      <c r="AB830">
        <f>HYPERLINK("Melting_Curves/meltCurve_P0AE06_acrA.pdf", "Melting_Curves/meltCurve_P0AE06_acrA.pdf")</f>
        <v>0</v>
      </c>
    </row>
    <row r="831" spans="1:28">
      <c r="A831" t="s">
        <v>857</v>
      </c>
      <c r="B831">
        <v>0.999739202189716</v>
      </c>
      <c r="C831">
        <v>0.797792413328673</v>
      </c>
      <c r="D831">
        <v>1.03359014889746</v>
      </c>
      <c r="E831">
        <v>0.958902951994164</v>
      </c>
      <c r="F831">
        <v>1.01600807089831</v>
      </c>
      <c r="G831">
        <v>0.888449711380206</v>
      </c>
      <c r="H831">
        <v>0.726540739543303</v>
      </c>
      <c r="I831">
        <v>0.595031879148694</v>
      </c>
      <c r="J831">
        <v>0.382396615414587</v>
      </c>
      <c r="K831">
        <v>0.393366762683475</v>
      </c>
      <c r="L831">
        <v>1084.50481970125</v>
      </c>
      <c r="M831">
        <v>18.3475613588838</v>
      </c>
      <c r="N831">
        <v>62.1834264922285</v>
      </c>
      <c r="O831">
        <v>58.4201804741604</v>
      </c>
      <c r="P831">
        <v>-0.0551076573439599</v>
      </c>
      <c r="Q831">
        <v>0.298162426871325</v>
      </c>
      <c r="R831">
        <v>0.909269472279661</v>
      </c>
      <c r="S831" t="s">
        <v>3024</v>
      </c>
      <c r="T831" t="s">
        <v>4362</v>
      </c>
      <c r="U831" t="s">
        <v>4362</v>
      </c>
      <c r="V831" t="s">
        <v>4362</v>
      </c>
      <c r="W831" t="s">
        <v>5191</v>
      </c>
      <c r="X831">
        <v>6</v>
      </c>
      <c r="Y831" t="s">
        <v>7352</v>
      </c>
      <c r="Z831" t="s">
        <v>9519</v>
      </c>
      <c r="AA831">
        <v>0.8172762034984326</v>
      </c>
      <c r="AB831">
        <f>HYPERLINK("Melting_Curves/meltCurve_P0AE08_ahpC.pdf", "Melting_Curves/meltCurve_P0AE08_ahpC.pdf")</f>
        <v>0</v>
      </c>
    </row>
    <row r="832" spans="1:28">
      <c r="A832" t="s">
        <v>858</v>
      </c>
      <c r="B832">
        <v>0.999739202189716</v>
      </c>
      <c r="C832">
        <v>1.3503685380139</v>
      </c>
      <c r="D832">
        <v>1.22532974466534</v>
      </c>
      <c r="E832">
        <v>1.22747618771058</v>
      </c>
      <c r="F832">
        <v>0.8547093966962001</v>
      </c>
      <c r="G832">
        <v>0.9624469520492031</v>
      </c>
      <c r="H832">
        <v>0.578410408184592</v>
      </c>
      <c r="I832">
        <v>0.496847781902002</v>
      </c>
      <c r="J832">
        <v>0.137499968898085</v>
      </c>
      <c r="K832">
        <v>0.0952948915132409</v>
      </c>
      <c r="L832">
        <v>1152.88312294021</v>
      </c>
      <c r="M832">
        <v>19.3633457206362</v>
      </c>
      <c r="N832">
        <v>59.5394630411265</v>
      </c>
      <c r="O832">
        <v>58.9153404982752</v>
      </c>
      <c r="P832">
        <v>-0.0821690214412439</v>
      </c>
      <c r="Q832">
        <v>0</v>
      </c>
      <c r="R832">
        <v>0.849445251612722</v>
      </c>
      <c r="S832" t="s">
        <v>3025</v>
      </c>
      <c r="T832" t="s">
        <v>4362</v>
      </c>
      <c r="U832" t="s">
        <v>4362</v>
      </c>
      <c r="V832" t="s">
        <v>4362</v>
      </c>
      <c r="W832" t="s">
        <v>5192</v>
      </c>
      <c r="X832">
        <v>12</v>
      </c>
      <c r="Y832" t="s">
        <v>7353</v>
      </c>
      <c r="Z832" t="s">
        <v>9520</v>
      </c>
      <c r="AA832">
        <v>0.7531153566432067</v>
      </c>
      <c r="AB832">
        <f>HYPERLINK("Melting_Curves/meltCurve_P0AE12_amn.pdf", "Melting_Curves/meltCurve_P0AE12_amn.pdf")</f>
        <v>0</v>
      </c>
    </row>
    <row r="833" spans="1:28">
      <c r="A833" t="s">
        <v>859</v>
      </c>
      <c r="B833">
        <v>0.999739202189716</v>
      </c>
      <c r="C833">
        <v>0.969906264093956</v>
      </c>
      <c r="D833">
        <v>0.821916987043214</v>
      </c>
      <c r="E833">
        <v>0.376446742077</v>
      </c>
      <c r="F833">
        <v>0.156484242670995</v>
      </c>
      <c r="G833">
        <v>0.0985613740206292</v>
      </c>
      <c r="H833">
        <v>0.0764663473857804</v>
      </c>
      <c r="I833">
        <v>0.06502514212851131</v>
      </c>
      <c r="J833">
        <v>0.0580787281583918</v>
      </c>
      <c r="K833">
        <v>0.0503085622603445</v>
      </c>
      <c r="L833">
        <v>1131.50908263333</v>
      </c>
      <c r="M833">
        <v>24.9235168598031</v>
      </c>
      <c r="N833">
        <v>45.6562272591283</v>
      </c>
      <c r="O833">
        <v>45.1100123575261</v>
      </c>
      <c r="P833">
        <v>-0.129088699977106</v>
      </c>
      <c r="Q833">
        <v>0.0654427099850578</v>
      </c>
      <c r="R833">
        <v>0.999383741108736</v>
      </c>
      <c r="S833" t="s">
        <v>3026</v>
      </c>
      <c r="T833" t="s">
        <v>4362</v>
      </c>
      <c r="U833" t="s">
        <v>4362</v>
      </c>
      <c r="V833" t="s">
        <v>4362</v>
      </c>
      <c r="W833" t="s">
        <v>5193</v>
      </c>
      <c r="X833">
        <v>2</v>
      </c>
      <c r="Y833" t="s">
        <v>7354</v>
      </c>
      <c r="Z833" t="s">
        <v>9521</v>
      </c>
      <c r="AA833">
        <v>0.334839191486531</v>
      </c>
      <c r="AB833">
        <f>HYPERLINK("Melting_Curves/meltCurve_P0AE14_ampE.pdf", "Melting_Curves/meltCurve_P0AE14_ampE.pdf")</f>
        <v>0</v>
      </c>
    </row>
    <row r="834" spans="1:28">
      <c r="A834" t="s">
        <v>860</v>
      </c>
      <c r="B834">
        <v>0.999739202189716</v>
      </c>
      <c r="C834">
        <v>1.03561801480226</v>
      </c>
      <c r="D834">
        <v>0.476263010001373</v>
      </c>
      <c r="E834">
        <v>0.365409946487913</v>
      </c>
      <c r="F834">
        <v>0.293626125678406</v>
      </c>
      <c r="G834">
        <v>0.112056616644323</v>
      </c>
      <c r="H834">
        <v>0.0919162872800028</v>
      </c>
      <c r="I834">
        <v>0.06495761678102061</v>
      </c>
      <c r="J834">
        <v>0.0608966355138072</v>
      </c>
      <c r="K834">
        <v>0.0547165939726881</v>
      </c>
      <c r="L834">
        <v>754.523380601176</v>
      </c>
      <c r="M834">
        <v>17.1310958401865</v>
      </c>
      <c r="N834">
        <v>44.4945005828397</v>
      </c>
      <c r="O834">
        <v>43.4570588614109</v>
      </c>
      <c r="P834">
        <v>-0.0907118606763931</v>
      </c>
      <c r="Q834">
        <v>0.07960719888545829</v>
      </c>
      <c r="R834">
        <v>0.945601830554028</v>
      </c>
      <c r="S834" t="s">
        <v>3027</v>
      </c>
      <c r="T834" t="s">
        <v>4362</v>
      </c>
      <c r="U834" t="s">
        <v>4362</v>
      </c>
      <c r="V834" t="s">
        <v>4362</v>
      </c>
      <c r="W834" t="s">
        <v>5194</v>
      </c>
      <c r="X834">
        <v>10</v>
      </c>
      <c r="Y834" t="s">
        <v>7355</v>
      </c>
      <c r="Z834" t="s">
        <v>9522</v>
      </c>
      <c r="AA834">
        <v>0.3129415651491089</v>
      </c>
      <c r="AB834">
        <f>HYPERLINK("Melting_Curves/meltCurve_P0AE18_map.pdf", "Melting_Curves/meltCurve_P0AE18_map.pdf")</f>
        <v>0</v>
      </c>
    </row>
    <row r="835" spans="1:28">
      <c r="A835" t="s">
        <v>861</v>
      </c>
      <c r="B835">
        <v>0.999739202189716</v>
      </c>
      <c r="C835">
        <v>0.950206763034977</v>
      </c>
      <c r="D835">
        <v>1.07755225008812</v>
      </c>
      <c r="E835">
        <v>1.02458623756431</v>
      </c>
      <c r="F835">
        <v>1.04959845053955</v>
      </c>
      <c r="G835">
        <v>0.935839295870168</v>
      </c>
      <c r="H835">
        <v>0.750205466702577</v>
      </c>
      <c r="I835">
        <v>0.626419492121571</v>
      </c>
      <c r="J835">
        <v>0.591765782934234</v>
      </c>
      <c r="K835">
        <v>0.540682166512684</v>
      </c>
      <c r="L835">
        <v>1735.17670587289</v>
      </c>
      <c r="M835">
        <v>30.419498622588</v>
      </c>
      <c r="O835">
        <v>56.7967821875112</v>
      </c>
      <c r="P835">
        <v>-0.0589500393415308</v>
      </c>
      <c r="Q835">
        <v>0.559736082874873</v>
      </c>
      <c r="R835">
        <v>0.965028413871819</v>
      </c>
      <c r="S835" t="s">
        <v>3028</v>
      </c>
      <c r="T835" t="s">
        <v>4362</v>
      </c>
      <c r="U835" t="s">
        <v>4362</v>
      </c>
      <c r="V835" t="s">
        <v>4362</v>
      </c>
      <c r="W835" t="s">
        <v>5195</v>
      </c>
      <c r="X835">
        <v>5</v>
      </c>
      <c r="Y835" t="s">
        <v>7356</v>
      </c>
      <c r="Z835" t="s">
        <v>9523</v>
      </c>
      <c r="AA835">
        <v>0.8564311588875777</v>
      </c>
      <c r="AB835">
        <f>HYPERLINK("Melting_Curves/meltCurve_P0AE22_aphA.pdf", "Melting_Curves/meltCurve_P0AE22_aphA.pdf")</f>
        <v>0</v>
      </c>
    </row>
    <row r="836" spans="1:28">
      <c r="A836" t="s">
        <v>862</v>
      </c>
      <c r="B836">
        <v>0.999739202189716</v>
      </c>
      <c r="C836">
        <v>0.950175793077614</v>
      </c>
      <c r="D836">
        <v>0.81950779521936</v>
      </c>
      <c r="E836">
        <v>0.7107882614550201</v>
      </c>
      <c r="F836">
        <v>0.689130156347601</v>
      </c>
      <c r="G836">
        <v>0.5715167951389371</v>
      </c>
      <c r="H836">
        <v>0.508979089515024</v>
      </c>
      <c r="I836">
        <v>0.424088262332031</v>
      </c>
      <c r="J836">
        <v>0.413550347242224</v>
      </c>
      <c r="K836">
        <v>0.190496006985891</v>
      </c>
      <c r="L836">
        <v>319.251459592632</v>
      </c>
      <c r="M836">
        <v>5.63731271446742</v>
      </c>
      <c r="N836">
        <v>56.6318650798251</v>
      </c>
      <c r="O836">
        <v>50.7113615688695</v>
      </c>
      <c r="P836">
        <v>-0.0279034309553452</v>
      </c>
      <c r="Q836">
        <v>0</v>
      </c>
      <c r="R836">
        <v>0.95521797734476</v>
      </c>
      <c r="S836" t="s">
        <v>3029</v>
      </c>
      <c r="T836" t="s">
        <v>4362</v>
      </c>
      <c r="U836" t="s">
        <v>4362</v>
      </c>
      <c r="V836" t="s">
        <v>4362</v>
      </c>
      <c r="W836" t="s">
        <v>5196</v>
      </c>
      <c r="X836">
        <v>2</v>
      </c>
      <c r="Y836" t="s">
        <v>7357</v>
      </c>
      <c r="Z836" t="s">
        <v>9524</v>
      </c>
      <c r="AA836">
        <v>0.6261406156299851</v>
      </c>
      <c r="AB836">
        <f>HYPERLINK("Melting_Curves/meltCurve_P0AE26_araH.pdf", "Melting_Curves/meltCurve_P0AE26_araH.pdf")</f>
        <v>0</v>
      </c>
    </row>
    <row r="837" spans="1:28">
      <c r="A837" t="s">
        <v>863</v>
      </c>
      <c r="B837">
        <v>0.999739202189716</v>
      </c>
      <c r="C837">
        <v>0.978248776510257</v>
      </c>
      <c r="D837">
        <v>0.812889603646388</v>
      </c>
      <c r="E837">
        <v>0.761806509913844</v>
      </c>
      <c r="F837">
        <v>0.5775744941590319</v>
      </c>
      <c r="G837">
        <v>0.415211940512854</v>
      </c>
      <c r="H837">
        <v>0.370274814223304</v>
      </c>
      <c r="I837">
        <v>0.19701393682556</v>
      </c>
      <c r="J837">
        <v>0.166279989641332</v>
      </c>
      <c r="K837">
        <v>0.111490608556211</v>
      </c>
      <c r="L837">
        <v>457.179656812123</v>
      </c>
      <c r="M837">
        <v>8.754612947199529</v>
      </c>
      <c r="N837">
        <v>52.2215727169948</v>
      </c>
      <c r="O837">
        <v>49.7117385216252</v>
      </c>
      <c r="P837">
        <v>-0.0440623849785863</v>
      </c>
      <c r="Q837">
        <v>0</v>
      </c>
      <c r="R837">
        <v>0.989701932841626</v>
      </c>
      <c r="S837" t="s">
        <v>3030</v>
      </c>
      <c r="T837" t="s">
        <v>4362</v>
      </c>
      <c r="U837" t="s">
        <v>4362</v>
      </c>
      <c r="V837" t="s">
        <v>4362</v>
      </c>
      <c r="W837" t="s">
        <v>5197</v>
      </c>
      <c r="X837">
        <v>1</v>
      </c>
      <c r="Y837" t="s">
        <v>7358</v>
      </c>
      <c r="Z837" t="s">
        <v>9525</v>
      </c>
      <c r="AA837">
        <v>0.5342033381726623</v>
      </c>
      <c r="AB837">
        <f>HYPERLINK("Melting_Curves/meltCurve_P0AE28_aroM.pdf", "Melting_Curves/meltCurve_P0AE28_aroM.pdf")</f>
        <v>0</v>
      </c>
    </row>
    <row r="838" spans="1:28">
      <c r="A838" t="s">
        <v>864</v>
      </c>
      <c r="B838">
        <v>0.999739202189716</v>
      </c>
      <c r="C838">
        <v>1.04242147902805</v>
      </c>
      <c r="D838">
        <v>0.736921687031055</v>
      </c>
      <c r="E838">
        <v>0.749023204102012</v>
      </c>
      <c r="F838">
        <v>0.5286708462926319</v>
      </c>
      <c r="G838">
        <v>0.397306636084179</v>
      </c>
      <c r="H838">
        <v>0.277263025596308</v>
      </c>
      <c r="I838">
        <v>0.231362863872785</v>
      </c>
      <c r="J838">
        <v>0.222637661154809</v>
      </c>
      <c r="K838">
        <v>0.196160722220504</v>
      </c>
      <c r="L838">
        <v>548.072735058282</v>
      </c>
      <c r="M838">
        <v>11.1425620234887</v>
      </c>
      <c r="N838">
        <v>50.8444676296356</v>
      </c>
      <c r="O838">
        <v>47.6827850290124</v>
      </c>
      <c r="P838">
        <v>-0.0495408844900851</v>
      </c>
      <c r="Q838">
        <v>0.152263480510695</v>
      </c>
      <c r="R838">
        <v>0.97042565492264</v>
      </c>
      <c r="S838" t="s">
        <v>3031</v>
      </c>
      <c r="T838" t="s">
        <v>4362</v>
      </c>
      <c r="U838" t="s">
        <v>4362</v>
      </c>
      <c r="V838" t="s">
        <v>4362</v>
      </c>
      <c r="W838" t="s">
        <v>5198</v>
      </c>
      <c r="X838">
        <v>1</v>
      </c>
      <c r="Y838" t="s">
        <v>7359</v>
      </c>
      <c r="Z838" t="s">
        <v>9526</v>
      </c>
      <c r="AA838">
        <v>0.5240108364172814</v>
      </c>
      <c r="AB838">
        <f>HYPERLINK("Melting_Curves/meltCurve_P0AE34_artQ.pdf", "Melting_Curves/meltCurve_P0AE34_artQ.pdf")</f>
        <v>0</v>
      </c>
    </row>
    <row r="839" spans="1:28">
      <c r="A839" t="s">
        <v>865</v>
      </c>
      <c r="B839">
        <v>0.999739202189716</v>
      </c>
      <c r="C839">
        <v>0.757117698535696</v>
      </c>
      <c r="D839">
        <v>0.537568925554836</v>
      </c>
      <c r="E839">
        <v>0.214687496197289</v>
      </c>
      <c r="F839">
        <v>0.104820639747472</v>
      </c>
      <c r="G839">
        <v>0.0614504648982846</v>
      </c>
      <c r="H839">
        <v>0.0466078394652628</v>
      </c>
      <c r="I839">
        <v>0.0372536150982657</v>
      </c>
      <c r="J839">
        <v>0.0354198591867689</v>
      </c>
      <c r="K839">
        <v>0.028538328025067</v>
      </c>
      <c r="L839">
        <v>757.464900022558</v>
      </c>
      <c r="M839">
        <v>17.6292854467402</v>
      </c>
      <c r="N839">
        <v>43.1273487517548</v>
      </c>
      <c r="O839">
        <v>42.4248700067807</v>
      </c>
      <c r="P839">
        <v>-0.100581016341746</v>
      </c>
      <c r="Q839">
        <v>0.0318591157284188</v>
      </c>
      <c r="R839">
        <v>0.9950397178457701</v>
      </c>
      <c r="S839" t="s">
        <v>3032</v>
      </c>
      <c r="T839" t="s">
        <v>4362</v>
      </c>
      <c r="U839" t="s">
        <v>4362</v>
      </c>
      <c r="V839" t="s">
        <v>4362</v>
      </c>
      <c r="W839" t="s">
        <v>5199</v>
      </c>
      <c r="X839">
        <v>12</v>
      </c>
      <c r="Y839" t="s">
        <v>7360</v>
      </c>
      <c r="Z839" t="s">
        <v>9527</v>
      </c>
      <c r="AA839">
        <v>0.2423985077168158</v>
      </c>
      <c r="AB839">
        <f>HYPERLINK("Melting_Curves/meltCurve_P0AE37_astA.pdf", "Melting_Curves/meltCurve_P0AE37_astA.pdf")</f>
        <v>0</v>
      </c>
    </row>
    <row r="840" spans="1:28">
      <c r="A840" t="s">
        <v>866</v>
      </c>
      <c r="B840">
        <v>0.999739202189716</v>
      </c>
      <c r="C840">
        <v>0.623321176471312</v>
      </c>
      <c r="D840">
        <v>0.684064165763376</v>
      </c>
      <c r="E840">
        <v>0.314469596275212</v>
      </c>
      <c r="F840">
        <v>0.187993182587943</v>
      </c>
      <c r="G840">
        <v>0.132038845193649</v>
      </c>
      <c r="H840">
        <v>0.0798728287873806</v>
      </c>
      <c r="I840">
        <v>0.06376996986810141</v>
      </c>
      <c r="J840">
        <v>0.0440795198079725</v>
      </c>
      <c r="K840">
        <v>0.0358232223846499</v>
      </c>
      <c r="L840">
        <v>521.204176392857</v>
      </c>
      <c r="M840">
        <v>11.8677657094648</v>
      </c>
      <c r="N840">
        <v>44.0887863876569</v>
      </c>
      <c r="O840">
        <v>42.7263499636077</v>
      </c>
      <c r="P840">
        <v>-0.0678945369446767</v>
      </c>
      <c r="Q840">
        <v>0.022509710326636</v>
      </c>
      <c r="R840">
        <v>0.9552984868543301</v>
      </c>
      <c r="S840" t="s">
        <v>3033</v>
      </c>
      <c r="T840" t="s">
        <v>4362</v>
      </c>
      <c r="U840" t="s">
        <v>4362</v>
      </c>
      <c r="V840" t="s">
        <v>4362</v>
      </c>
      <c r="W840" t="s">
        <v>5200</v>
      </c>
      <c r="X840">
        <v>2</v>
      </c>
      <c r="Y840" t="s">
        <v>7361</v>
      </c>
      <c r="Z840" t="s">
        <v>9528</v>
      </c>
      <c r="AA840">
        <v>0.2866897912045387</v>
      </c>
      <c r="AB840">
        <f>HYPERLINK("Melting_Curves/meltCurve_P0AE39_ypdB.pdf", "Melting_Curves/meltCurve_P0AE39_ypdB.pdf")</f>
        <v>0</v>
      </c>
    </row>
    <row r="841" spans="1:28">
      <c r="A841" t="s">
        <v>867</v>
      </c>
      <c r="B841">
        <v>0.999739202189716</v>
      </c>
      <c r="C841">
        <v>0.857741657280803</v>
      </c>
      <c r="D841">
        <v>0.600754822221448</v>
      </c>
      <c r="E841">
        <v>0.498458824681936</v>
      </c>
      <c r="F841">
        <v>0.421667610224486</v>
      </c>
      <c r="G841">
        <v>0.235256013555485</v>
      </c>
      <c r="H841">
        <v>0.17337738375748</v>
      </c>
      <c r="I841">
        <v>0.134371561953223</v>
      </c>
      <c r="J841">
        <v>0.144082793886637</v>
      </c>
      <c r="K841">
        <v>0.103277630620558</v>
      </c>
      <c r="L841">
        <v>463.097328738298</v>
      </c>
      <c r="M841">
        <v>10.0989810465829</v>
      </c>
      <c r="N841">
        <v>46.6458098585077</v>
      </c>
      <c r="O841">
        <v>44.166746954777</v>
      </c>
      <c r="P841">
        <v>-0.0526954153466446</v>
      </c>
      <c r="Q841">
        <v>0.0786017431575091</v>
      </c>
      <c r="R841">
        <v>0.978261974432459</v>
      </c>
      <c r="S841" t="s">
        <v>3034</v>
      </c>
      <c r="T841" t="s">
        <v>4362</v>
      </c>
      <c r="U841" t="s">
        <v>4362</v>
      </c>
      <c r="V841" t="s">
        <v>4362</v>
      </c>
      <c r="W841" t="s">
        <v>5201</v>
      </c>
      <c r="X841">
        <v>3</v>
      </c>
      <c r="Y841" t="s">
        <v>7362</v>
      </c>
      <c r="Z841" t="s">
        <v>9529</v>
      </c>
      <c r="AA841">
        <v>0.392984460579889</v>
      </c>
      <c r="AB841">
        <f>HYPERLINK("Melting_Curves/meltCurve_P0AE45_ytfL.pdf", "Melting_Curves/meltCurve_P0AE45_ytfL.pdf")</f>
        <v>0</v>
      </c>
    </row>
    <row r="842" spans="1:28">
      <c r="A842" t="s">
        <v>868</v>
      </c>
      <c r="B842">
        <v>0.999739202189716</v>
      </c>
      <c r="C842">
        <v>1.1480060385572</v>
      </c>
      <c r="D842">
        <v>1.33929001903838</v>
      </c>
      <c r="E842">
        <v>1.21686679088241</v>
      </c>
      <c r="F842">
        <v>1.22108047144065</v>
      </c>
      <c r="G842">
        <v>0.794632973661983</v>
      </c>
      <c r="H842">
        <v>0.448262212157251</v>
      </c>
      <c r="I842">
        <v>0.211873395581292</v>
      </c>
      <c r="J842">
        <v>0.156725058607628</v>
      </c>
      <c r="K842">
        <v>0.157379737463836</v>
      </c>
      <c r="L842">
        <v>1959.08447135167</v>
      </c>
      <c r="M842">
        <v>34.8718962122055</v>
      </c>
      <c r="N842">
        <v>56.7891203385589</v>
      </c>
      <c r="O842">
        <v>55.9956939951608</v>
      </c>
      <c r="P842">
        <v>-0.131381693114177</v>
      </c>
      <c r="Q842">
        <v>0.156136431432682</v>
      </c>
      <c r="R842">
        <v>0.883769610766551</v>
      </c>
      <c r="S842" t="s">
        <v>3035</v>
      </c>
      <c r="T842" t="s">
        <v>4362</v>
      </c>
      <c r="U842" t="s">
        <v>4362</v>
      </c>
      <c r="V842" t="s">
        <v>4362</v>
      </c>
      <c r="W842" t="s">
        <v>5202</v>
      </c>
      <c r="X842">
        <v>1</v>
      </c>
      <c r="Y842" t="s">
        <v>7363</v>
      </c>
      <c r="Z842" t="s">
        <v>9530</v>
      </c>
      <c r="AA842">
        <v>0.6997084439888216</v>
      </c>
      <c r="AB842">
        <f>HYPERLINK("Melting_Curves/meltCurve_P0AE48_ytfP.pdf", "Melting_Curves/meltCurve_P0AE48_ytfP.pdf")</f>
        <v>0</v>
      </c>
    </row>
    <row r="843" spans="1:28">
      <c r="A843" t="s">
        <v>869</v>
      </c>
      <c r="B843">
        <v>0.999739202189716</v>
      </c>
      <c r="C843">
        <v>0.974988756534985</v>
      </c>
      <c r="D843">
        <v>1.15179964528999</v>
      </c>
      <c r="E843">
        <v>1.15356955871646</v>
      </c>
      <c r="F843">
        <v>0.9494912784509369</v>
      </c>
      <c r="G843">
        <v>0.845447915033628</v>
      </c>
      <c r="H843">
        <v>0.6785133668237699</v>
      </c>
      <c r="I843">
        <v>0.713078661299091</v>
      </c>
      <c r="J843">
        <v>0.517956789994663</v>
      </c>
      <c r="K843">
        <v>0.657283366402847</v>
      </c>
      <c r="L843">
        <v>1560.42336311366</v>
      </c>
      <c r="M843">
        <v>28.6119023841284</v>
      </c>
      <c r="O843">
        <v>54.2732315432417</v>
      </c>
      <c r="P843">
        <v>-0.0504930277929083</v>
      </c>
      <c r="Q843">
        <v>0.616886955006292</v>
      </c>
      <c r="R843">
        <v>0.841523977493391</v>
      </c>
      <c r="S843" t="s">
        <v>3036</v>
      </c>
      <c r="T843" t="s">
        <v>4362</v>
      </c>
      <c r="U843" t="s">
        <v>4362</v>
      </c>
      <c r="V843" t="s">
        <v>4362</v>
      </c>
      <c r="W843" t="s">
        <v>5203</v>
      </c>
      <c r="X843">
        <v>9</v>
      </c>
      <c r="Y843" t="s">
        <v>7364</v>
      </c>
      <c r="Z843" t="s">
        <v>9531</v>
      </c>
      <c r="AA843">
        <v>0.8435005587993103</v>
      </c>
      <c r="AB843">
        <f>HYPERLINK("Melting_Curves/meltCurve_P0AE52_bcp.pdf", "Melting_Curves/meltCurve_P0AE52_bcp.pdf")</f>
        <v>0</v>
      </c>
    </row>
    <row r="844" spans="1:28">
      <c r="A844" t="s">
        <v>870</v>
      </c>
      <c r="B844">
        <v>0.999739202189716</v>
      </c>
      <c r="C844">
        <v>1.04811155671898</v>
      </c>
      <c r="D844">
        <v>0.850057358434629</v>
      </c>
      <c r="E844">
        <v>0.948664915734952</v>
      </c>
      <c r="F844">
        <v>0.7945364686104101</v>
      </c>
      <c r="G844">
        <v>0.5871520395476379</v>
      </c>
      <c r="H844">
        <v>0.413424475324844</v>
      </c>
      <c r="I844">
        <v>0.288671988153959</v>
      </c>
      <c r="J844">
        <v>0.259797947905659</v>
      </c>
      <c r="K844">
        <v>0.19954148442472</v>
      </c>
      <c r="L844">
        <v>724.688424571459</v>
      </c>
      <c r="M844">
        <v>13.3720858782308</v>
      </c>
      <c r="N844">
        <v>55.6020119642849</v>
      </c>
      <c r="O844">
        <v>53.0251550953662</v>
      </c>
      <c r="P844">
        <v>-0.0540003191570111</v>
      </c>
      <c r="Q844">
        <v>0.143612446426812</v>
      </c>
      <c r="R844">
        <v>0.978844460267983</v>
      </c>
      <c r="S844" t="s">
        <v>3037</v>
      </c>
      <c r="T844" t="s">
        <v>4362</v>
      </c>
      <c r="U844" t="s">
        <v>4362</v>
      </c>
      <c r="V844" t="s">
        <v>4362</v>
      </c>
      <c r="W844" t="s">
        <v>5204</v>
      </c>
      <c r="X844">
        <v>3</v>
      </c>
      <c r="Y844" t="s">
        <v>7365</v>
      </c>
      <c r="Z844" t="s">
        <v>9532</v>
      </c>
      <c r="AA844">
        <v>0.648835887661017</v>
      </c>
      <c r="AB844">
        <f>HYPERLINK("Melting_Curves/meltCurve_P0AE60_cedA.pdf", "Melting_Curves/meltCurve_P0AE60_cedA.pdf")</f>
        <v>0</v>
      </c>
    </row>
    <row r="845" spans="1:28">
      <c r="A845" t="s">
        <v>871</v>
      </c>
      <c r="B845">
        <v>0.999739202189716</v>
      </c>
      <c r="C845">
        <v>1.1872957801765</v>
      </c>
      <c r="D845">
        <v>0.6817907364407449</v>
      </c>
      <c r="E845">
        <v>0.8714739990470231</v>
      </c>
      <c r="F845">
        <v>0.927756013774334</v>
      </c>
      <c r="G845">
        <v>0.683059167083123</v>
      </c>
      <c r="H845">
        <v>0.569492725419548</v>
      </c>
      <c r="I845">
        <v>0.535950022827439</v>
      </c>
      <c r="J845">
        <v>0.484070578808181</v>
      </c>
      <c r="K845">
        <v>0.566051605053087</v>
      </c>
      <c r="L845">
        <v>495.359750809655</v>
      </c>
      <c r="M845">
        <v>9.32560728618799</v>
      </c>
      <c r="N845">
        <v>66.9725249943033</v>
      </c>
      <c r="O845">
        <v>50.8472528879551</v>
      </c>
      <c r="P845">
        <v>-0.0262726546895913</v>
      </c>
      <c r="Q845">
        <v>0.427363828497986</v>
      </c>
      <c r="R845">
        <v>0.712695945314716</v>
      </c>
      <c r="S845" t="s">
        <v>3038</v>
      </c>
      <c r="T845" t="s">
        <v>4362</v>
      </c>
      <c r="U845" t="s">
        <v>4362</v>
      </c>
      <c r="V845" t="s">
        <v>4362</v>
      </c>
      <c r="W845" t="s">
        <v>5205</v>
      </c>
      <c r="X845">
        <v>4</v>
      </c>
      <c r="Y845" t="s">
        <v>7366</v>
      </c>
      <c r="Z845" t="s">
        <v>9533</v>
      </c>
      <c r="AA845">
        <v>0.7475471339580796</v>
      </c>
      <c r="AB845">
        <f>HYPERLINK("Melting_Curves/meltCurve_P0AE63_chaB.pdf", "Melting_Curves/meltCurve_P0AE63_chaB.pdf")</f>
        <v>0</v>
      </c>
    </row>
    <row r="846" spans="1:28">
      <c r="A846" t="s">
        <v>872</v>
      </c>
      <c r="B846">
        <v>0.999739202189716</v>
      </c>
      <c r="C846">
        <v>1.11885161921838</v>
      </c>
      <c r="D846">
        <v>0.577900497151556</v>
      </c>
      <c r="E846">
        <v>0.808372066738054</v>
      </c>
      <c r="F846">
        <v>0.743365612940726</v>
      </c>
      <c r="G846">
        <v>0.470602888507097</v>
      </c>
      <c r="H846">
        <v>0.460559105226586</v>
      </c>
      <c r="I846">
        <v>0.304641152088582</v>
      </c>
      <c r="J846">
        <v>0.284796323827305</v>
      </c>
      <c r="K846">
        <v>0.303479086577969</v>
      </c>
      <c r="L846">
        <v>388.75586192402</v>
      </c>
      <c r="M846">
        <v>7.36526341382956</v>
      </c>
      <c r="N846">
        <v>54.6958323693965</v>
      </c>
      <c r="O846">
        <v>49.3098177371275</v>
      </c>
      <c r="P846">
        <v>-0.0331516201258592</v>
      </c>
      <c r="Q846">
        <v>0.113574013773976</v>
      </c>
      <c r="R846">
        <v>0.825666826261781</v>
      </c>
      <c r="S846" t="s">
        <v>3039</v>
      </c>
      <c r="T846" t="s">
        <v>4362</v>
      </c>
      <c r="U846" t="s">
        <v>4362</v>
      </c>
      <c r="V846" t="s">
        <v>4362</v>
      </c>
      <c r="W846" t="s">
        <v>5206</v>
      </c>
      <c r="X846">
        <v>4</v>
      </c>
      <c r="Y846" t="s">
        <v>7367</v>
      </c>
      <c r="Z846" t="s">
        <v>9534</v>
      </c>
      <c r="AA846">
        <v>0.6000509231412041</v>
      </c>
      <c r="AB846">
        <f>HYPERLINK("Melting_Curves/meltCurve_P0AE67_cheY.pdf", "Melting_Curves/meltCurve_P0AE67_cheY.pdf")</f>
        <v>0</v>
      </c>
    </row>
    <row r="847" spans="1:28">
      <c r="A847" t="s">
        <v>873</v>
      </c>
      <c r="B847">
        <v>0.999739202189716</v>
      </c>
      <c r="C847">
        <v>1.02864094403947</v>
      </c>
      <c r="D847">
        <v>0.862447472910997</v>
      </c>
      <c r="E847">
        <v>0.956116284810363</v>
      </c>
      <c r="F847">
        <v>0.937117068177708</v>
      </c>
      <c r="G847">
        <v>0.677696218929295</v>
      </c>
      <c r="H847">
        <v>0.49386326726257</v>
      </c>
      <c r="I847">
        <v>0.271214230678255</v>
      </c>
      <c r="J847">
        <v>0.261303657477732</v>
      </c>
      <c r="K847">
        <v>0.199874876753798</v>
      </c>
      <c r="L847">
        <v>1014.51813580517</v>
      </c>
      <c r="M847">
        <v>18.2600546251313</v>
      </c>
      <c r="N847">
        <v>56.8514949117515</v>
      </c>
      <c r="O847">
        <v>54.9059137075974</v>
      </c>
      <c r="P847">
        <v>-0.0690256585443937</v>
      </c>
      <c r="Q847">
        <v>0.169829128594467</v>
      </c>
      <c r="R847">
        <v>0.9760709661304</v>
      </c>
      <c r="S847" t="s">
        <v>3040</v>
      </c>
      <c r="T847" t="s">
        <v>4362</v>
      </c>
      <c r="U847" t="s">
        <v>4362</v>
      </c>
      <c r="V847" t="s">
        <v>4362</v>
      </c>
      <c r="W847" t="s">
        <v>5207</v>
      </c>
      <c r="X847">
        <v>3</v>
      </c>
      <c r="Y847" t="s">
        <v>7368</v>
      </c>
      <c r="Z847" t="s">
        <v>9535</v>
      </c>
      <c r="AA847">
        <v>0.6930777836918355</v>
      </c>
      <c r="AB847">
        <f>HYPERLINK("Melting_Curves/meltCurve_P0AE70_mazF.pdf", "Melting_Curves/meltCurve_P0AE70_mazF.pdf")</f>
        <v>0</v>
      </c>
    </row>
    <row r="848" spans="1:28">
      <c r="A848" t="s">
        <v>874</v>
      </c>
      <c r="B848">
        <v>0.999739202189716</v>
      </c>
      <c r="C848">
        <v>0.975646393234184</v>
      </c>
      <c r="D848">
        <v>0.579444163900692</v>
      </c>
      <c r="E848">
        <v>0.732868580018541</v>
      </c>
      <c r="F848">
        <v>0.539691857312064</v>
      </c>
      <c r="G848">
        <v>0.508410779191584</v>
      </c>
      <c r="H848">
        <v>0.366241931628118</v>
      </c>
      <c r="I848">
        <v>0.370146899704755</v>
      </c>
      <c r="J848">
        <v>0.283658108278851</v>
      </c>
      <c r="K848">
        <v>0.388425883113773</v>
      </c>
      <c r="L848">
        <v>428.122512354023</v>
      </c>
      <c r="M848">
        <v>9.180864434743359</v>
      </c>
      <c r="N848">
        <v>51.6917528985489</v>
      </c>
      <c r="O848">
        <v>44.5795645177497</v>
      </c>
      <c r="P848">
        <v>-0.036247809040474</v>
      </c>
      <c r="Q848">
        <v>0.296439248259201</v>
      </c>
      <c r="R848">
        <v>0.87728502341725</v>
      </c>
      <c r="S848" t="s">
        <v>3041</v>
      </c>
      <c r="T848" t="s">
        <v>4362</v>
      </c>
      <c r="U848" t="s">
        <v>4362</v>
      </c>
      <c r="V848" t="s">
        <v>4362</v>
      </c>
      <c r="W848" t="s">
        <v>5208</v>
      </c>
      <c r="X848">
        <v>2</v>
      </c>
      <c r="Y848" t="s">
        <v>7369</v>
      </c>
      <c r="Z848" t="s">
        <v>9536</v>
      </c>
      <c r="AA848">
        <v>0.557416395273417</v>
      </c>
      <c r="AB848">
        <f>HYPERLINK("Melting_Curves/meltCurve_P0AE72_mazE.pdf", "Melting_Curves/meltCurve_P0AE72_mazE.pdf")</f>
        <v>0</v>
      </c>
    </row>
    <row r="849" spans="1:28">
      <c r="A849" t="s">
        <v>875</v>
      </c>
      <c r="B849">
        <v>0.999739202189716</v>
      </c>
      <c r="C849">
        <v>0.8511591956501739</v>
      </c>
      <c r="D849">
        <v>0.95406508913346</v>
      </c>
      <c r="E849">
        <v>0.519758130683187</v>
      </c>
      <c r="F849">
        <v>0.270078524145339</v>
      </c>
      <c r="G849">
        <v>0.153682724166275</v>
      </c>
      <c r="H849">
        <v>0.10439119497691</v>
      </c>
      <c r="I849">
        <v>0.0865917079754112</v>
      </c>
      <c r="J849">
        <v>0.08432259349146209</v>
      </c>
      <c r="K849">
        <v>0.0745779498363849</v>
      </c>
      <c r="L849">
        <v>990.785873300041</v>
      </c>
      <c r="M849">
        <v>21.1992252554001</v>
      </c>
      <c r="N849">
        <v>47.1478811027135</v>
      </c>
      <c r="O849">
        <v>46.3269711110328</v>
      </c>
      <c r="P849">
        <v>-0.104751722038152</v>
      </c>
      <c r="Q849">
        <v>0.0843619116166382</v>
      </c>
      <c r="R849">
        <v>0.9823052895190419</v>
      </c>
      <c r="S849" t="s">
        <v>3042</v>
      </c>
      <c r="T849" t="s">
        <v>4362</v>
      </c>
      <c r="U849" t="s">
        <v>4362</v>
      </c>
      <c r="V849" t="s">
        <v>4362</v>
      </c>
      <c r="W849" t="s">
        <v>5209</v>
      </c>
      <c r="X849">
        <v>9</v>
      </c>
      <c r="Y849" t="s">
        <v>7370</v>
      </c>
      <c r="Z849" t="s">
        <v>9537</v>
      </c>
      <c r="AA849">
        <v>0.3922152176020066</v>
      </c>
      <c r="AB849">
        <f>HYPERLINK("Melting_Curves/meltCurve_P0AE78_corC.pdf", "Melting_Curves/meltCurve_P0AE78_corC.pdf")</f>
        <v>0</v>
      </c>
    </row>
    <row r="850" spans="1:28">
      <c r="A850" t="s">
        <v>876</v>
      </c>
      <c r="B850">
        <v>0.999739202189716</v>
      </c>
      <c r="C850">
        <v>0.782785763248329</v>
      </c>
      <c r="D850">
        <v>0.709630650986303</v>
      </c>
      <c r="E850">
        <v>0.486694397996906</v>
      </c>
      <c r="F850">
        <v>0.388978980337737</v>
      </c>
      <c r="G850">
        <v>0.272096194744208</v>
      </c>
      <c r="H850">
        <v>0.228149730395632</v>
      </c>
      <c r="I850">
        <v>0.201932369711953</v>
      </c>
      <c r="J850">
        <v>0.187424179659664</v>
      </c>
      <c r="K850">
        <v>0.163022527545919</v>
      </c>
      <c r="L850">
        <v>494.768723133698</v>
      </c>
      <c r="M850">
        <v>10.9482948840342</v>
      </c>
      <c r="N850">
        <v>46.7342652918116</v>
      </c>
      <c r="O850">
        <v>43.7621799092747</v>
      </c>
      <c r="P850">
        <v>-0.0530767405648285</v>
      </c>
      <c r="Q850">
        <v>0.151664999700242</v>
      </c>
      <c r="R850">
        <v>0.987924096882696</v>
      </c>
      <c r="S850" t="s">
        <v>3043</v>
      </c>
      <c r="T850" t="s">
        <v>4362</v>
      </c>
      <c r="U850" t="s">
        <v>4362</v>
      </c>
      <c r="V850" t="s">
        <v>4362</v>
      </c>
      <c r="W850" t="s">
        <v>5210</v>
      </c>
      <c r="X850">
        <v>6</v>
      </c>
      <c r="Y850" t="s">
        <v>7371</v>
      </c>
      <c r="Z850" t="s">
        <v>9538</v>
      </c>
      <c r="AA850">
        <v>0.4190887380624109</v>
      </c>
      <c r="AB850">
        <f>HYPERLINK("Melting_Curves/meltCurve_P0AE82_cpxA.pdf", "Melting_Curves/meltCurve_P0AE82_cpxA.pdf")</f>
        <v>0</v>
      </c>
    </row>
    <row r="851" spans="1:28">
      <c r="A851" t="s">
        <v>877</v>
      </c>
      <c r="B851">
        <v>0.999739202189716</v>
      </c>
      <c r="C851">
        <v>1.0626358627515</v>
      </c>
      <c r="D851">
        <v>0.810906991239598</v>
      </c>
      <c r="E851">
        <v>0.986970939836651</v>
      </c>
      <c r="F851">
        <v>1.03103504575519</v>
      </c>
      <c r="G851">
        <v>0.809212797401721</v>
      </c>
      <c r="H851">
        <v>0.8279664251643341</v>
      </c>
      <c r="I851">
        <v>0.763286069506022</v>
      </c>
      <c r="J851">
        <v>0.66607366753856</v>
      </c>
      <c r="K851">
        <v>0.628157029173856</v>
      </c>
      <c r="L851">
        <v>406.77010144464</v>
      </c>
      <c r="M851">
        <v>5.57539727267555</v>
      </c>
      <c r="O851">
        <v>65.1890479414333</v>
      </c>
      <c r="P851">
        <v>-0.0214714312416253</v>
      </c>
      <c r="Q851">
        <v>0</v>
      </c>
      <c r="R851">
        <v>0.759520974101639</v>
      </c>
      <c r="S851" t="s">
        <v>3044</v>
      </c>
      <c r="T851" t="s">
        <v>4362</v>
      </c>
      <c r="U851" t="s">
        <v>4362</v>
      </c>
      <c r="V851" t="s">
        <v>4362</v>
      </c>
      <c r="W851" t="s">
        <v>5211</v>
      </c>
      <c r="X851">
        <v>4</v>
      </c>
      <c r="Y851" t="s">
        <v>7372</v>
      </c>
      <c r="Z851" t="s">
        <v>9539</v>
      </c>
      <c r="AA851">
        <v>0.8693063588964475</v>
      </c>
      <c r="AB851">
        <f>HYPERLINK("Melting_Curves/meltCurve_P0AE85_cpxP.pdf", "Melting_Curves/meltCurve_P0AE85_cpxP.pdf")</f>
        <v>0</v>
      </c>
    </row>
    <row r="852" spans="1:28">
      <c r="A852" t="s">
        <v>878</v>
      </c>
      <c r="B852">
        <v>0.999739202189716</v>
      </c>
      <c r="C852">
        <v>0.898388669961911</v>
      </c>
      <c r="D852">
        <v>0.783312989723466</v>
      </c>
      <c r="E852">
        <v>0.937528678541964</v>
      </c>
      <c r="F852">
        <v>0.863958679661411</v>
      </c>
      <c r="G852">
        <v>0.665924940691055</v>
      </c>
      <c r="H852">
        <v>0.413524392565053</v>
      </c>
      <c r="I852">
        <v>0.265937434667071</v>
      </c>
      <c r="J852">
        <v>0.201850339688907</v>
      </c>
      <c r="K852">
        <v>0.176066911743722</v>
      </c>
      <c r="L852">
        <v>688.942285197009</v>
      </c>
      <c r="M852">
        <v>12.3062460115101</v>
      </c>
      <c r="N852">
        <v>56.332420957872</v>
      </c>
      <c r="O852">
        <v>54.5664457602876</v>
      </c>
      <c r="P852">
        <v>-0.054322759715737</v>
      </c>
      <c r="Q852">
        <v>0.0367323830950994</v>
      </c>
      <c r="R852">
        <v>0.944452611660087</v>
      </c>
      <c r="S852" t="s">
        <v>3045</v>
      </c>
      <c r="T852" t="s">
        <v>4362</v>
      </c>
      <c r="U852" t="s">
        <v>4362</v>
      </c>
      <c r="V852" t="s">
        <v>4362</v>
      </c>
      <c r="W852" t="s">
        <v>5212</v>
      </c>
      <c r="X852">
        <v>4</v>
      </c>
      <c r="Y852" t="s">
        <v>7373</v>
      </c>
      <c r="Z852" t="s">
        <v>9540</v>
      </c>
      <c r="AA852">
        <v>0.6560931797513112</v>
      </c>
      <c r="AB852">
        <f>HYPERLINK("Melting_Curves/meltCurve_P0AE88_cpxR.pdf", "Melting_Curves/meltCurve_P0AE88_cpxR.pdf")</f>
        <v>0</v>
      </c>
    </row>
    <row r="853" spans="1:28">
      <c r="A853" t="s">
        <v>879</v>
      </c>
      <c r="B853">
        <v>0.999739202189716</v>
      </c>
      <c r="C853">
        <v>0.975636273477537</v>
      </c>
      <c r="D853">
        <v>0.86329202583093</v>
      </c>
      <c r="E853">
        <v>0.891478673786088</v>
      </c>
      <c r="F853">
        <v>0.885068576123379</v>
      </c>
      <c r="G853">
        <v>0.730860597688721</v>
      </c>
      <c r="H853">
        <v>0.77004943569435</v>
      </c>
      <c r="I853">
        <v>0.6779741858482961</v>
      </c>
      <c r="J853">
        <v>0.808377428652874</v>
      </c>
      <c r="K853">
        <v>0.567308541718651</v>
      </c>
      <c r="L853">
        <v>247.28439978676</v>
      </c>
      <c r="M853">
        <v>3.64828984071556</v>
      </c>
      <c r="O853">
        <v>53.9489882261265</v>
      </c>
      <c r="P853">
        <v>-0.0123957845833124</v>
      </c>
      <c r="Q853">
        <v>0.279182394261563</v>
      </c>
      <c r="R853">
        <v>0.774115079999203</v>
      </c>
      <c r="S853" t="s">
        <v>3046</v>
      </c>
      <c r="T853" t="s">
        <v>4362</v>
      </c>
      <c r="U853" t="s">
        <v>4362</v>
      </c>
      <c r="V853" t="s">
        <v>4362</v>
      </c>
      <c r="W853" t="s">
        <v>5213</v>
      </c>
      <c r="X853">
        <v>9</v>
      </c>
      <c r="Y853" t="s">
        <v>7374</v>
      </c>
      <c r="Z853" t="s">
        <v>9541</v>
      </c>
      <c r="AA853">
        <v>0.8166971386629149</v>
      </c>
      <c r="AB853">
        <f>HYPERLINK("Melting_Curves/meltCurve_P0AE91_creA.pdf", "Melting_Curves/meltCurve_P0AE91_creA.pdf")</f>
        <v>0</v>
      </c>
    </row>
    <row r="854" spans="1:28">
      <c r="A854" t="s">
        <v>880</v>
      </c>
      <c r="B854">
        <v>0.999739202189716</v>
      </c>
      <c r="C854">
        <v>1.01353745790331</v>
      </c>
      <c r="D854">
        <v>1.05506835684273</v>
      </c>
      <c r="E854">
        <v>0.976148293174932</v>
      </c>
      <c r="F854">
        <v>0.834280042257594</v>
      </c>
      <c r="G854">
        <v>0.616384605057512</v>
      </c>
      <c r="H854">
        <v>0.396594345530834</v>
      </c>
      <c r="I854">
        <v>0.237101314475251</v>
      </c>
      <c r="J854">
        <v>0.112177685045027</v>
      </c>
      <c r="K854">
        <v>0.0706650223230357</v>
      </c>
      <c r="L854">
        <v>855.108524044756</v>
      </c>
      <c r="M854">
        <v>15.357542634788</v>
      </c>
      <c r="N854">
        <v>55.7345721513188</v>
      </c>
      <c r="O854">
        <v>54.7615747316122</v>
      </c>
      <c r="P854">
        <v>-0.06959450870356761</v>
      </c>
      <c r="Q854">
        <v>0.00745739342703701</v>
      </c>
      <c r="R854">
        <v>0.99557800355185</v>
      </c>
      <c r="S854" t="s">
        <v>3047</v>
      </c>
      <c r="T854" t="s">
        <v>4362</v>
      </c>
      <c r="U854" t="s">
        <v>4362</v>
      </c>
      <c r="V854" t="s">
        <v>4362</v>
      </c>
      <c r="W854" t="s">
        <v>5214</v>
      </c>
      <c r="X854">
        <v>15</v>
      </c>
      <c r="Y854" t="s">
        <v>7375</v>
      </c>
      <c r="Z854" t="s">
        <v>9542</v>
      </c>
      <c r="AA854">
        <v>0.6377320827793407</v>
      </c>
      <c r="AB854">
        <f>HYPERLINK("Melting_Curves/meltCurve_P0AEA8_cysG.pdf", "Melting_Curves/meltCurve_P0AEA8_cysG.pdf")</f>
        <v>0</v>
      </c>
    </row>
    <row r="855" spans="1:28">
      <c r="A855" t="s">
        <v>881</v>
      </c>
      <c r="B855">
        <v>0.999739202189716</v>
      </c>
      <c r="C855">
        <v>0.911689351467306</v>
      </c>
      <c r="D855">
        <v>0.819426185455002</v>
      </c>
      <c r="E855">
        <v>0.423228987707293</v>
      </c>
      <c r="F855">
        <v>0.127129100106665</v>
      </c>
      <c r="G855">
        <v>0.08366872205375719</v>
      </c>
      <c r="H855">
        <v>0.0682056158267275</v>
      </c>
      <c r="I855">
        <v>0.0569662873995844</v>
      </c>
      <c r="J855">
        <v>0.0486787097500625</v>
      </c>
      <c r="K855">
        <v>0.0407914867288944</v>
      </c>
      <c r="L855">
        <v>1027.53699211832</v>
      </c>
      <c r="M855">
        <v>22.523043259996</v>
      </c>
      <c r="N855">
        <v>45.822487643849</v>
      </c>
      <c r="O855">
        <v>45.2664907742861</v>
      </c>
      <c r="P855">
        <v>-0.118545524726833</v>
      </c>
      <c r="Q855">
        <v>0.0470144598374541</v>
      </c>
      <c r="R855">
        <v>0.997174957934397</v>
      </c>
      <c r="S855" t="s">
        <v>3048</v>
      </c>
      <c r="T855" t="s">
        <v>4362</v>
      </c>
      <c r="U855" t="s">
        <v>4362</v>
      </c>
      <c r="V855" t="s">
        <v>4362</v>
      </c>
      <c r="W855" t="s">
        <v>5215</v>
      </c>
      <c r="X855">
        <v>14</v>
      </c>
      <c r="Y855" t="s">
        <v>7376</v>
      </c>
      <c r="Z855" t="s">
        <v>9543</v>
      </c>
      <c r="AA855">
        <v>0.3306468670235932</v>
      </c>
      <c r="AB855">
        <f>HYPERLINK("Melting_Curves/meltCurve_P0AEB2_dacA.pdf", "Melting_Curves/meltCurve_P0AEB2_dacA.pdf")</f>
        <v>0</v>
      </c>
    </row>
    <row r="856" spans="1:28">
      <c r="A856" t="s">
        <v>882</v>
      </c>
      <c r="B856">
        <v>0.999739202189716</v>
      </c>
      <c r="C856">
        <v>0.795538071377374</v>
      </c>
      <c r="D856">
        <v>1.81884864282914</v>
      </c>
      <c r="E856">
        <v>1.13147112490979</v>
      </c>
      <c r="F856">
        <v>1.30951460885599</v>
      </c>
      <c r="G856">
        <v>1.34257328753604</v>
      </c>
      <c r="H856">
        <v>1.05157585382013</v>
      </c>
      <c r="I856">
        <v>1.10686396347846</v>
      </c>
      <c r="J856">
        <v>0.895729230934653</v>
      </c>
      <c r="K856">
        <v>0.630347370602486</v>
      </c>
      <c r="L856">
        <v>15000</v>
      </c>
      <c r="M856">
        <v>233.075020772634</v>
      </c>
      <c r="O856">
        <v>64.35222249079401</v>
      </c>
      <c r="P856">
        <v>-0.334742030336497</v>
      </c>
      <c r="Q856">
        <v>0.630309698834473</v>
      </c>
      <c r="R856">
        <v>0.0307922492139205</v>
      </c>
      <c r="S856" t="s">
        <v>3049</v>
      </c>
      <c r="T856" t="s">
        <v>4362</v>
      </c>
      <c r="U856" t="s">
        <v>4362</v>
      </c>
      <c r="V856" t="s">
        <v>4362</v>
      </c>
      <c r="W856" t="s">
        <v>5216</v>
      </c>
      <c r="X856">
        <v>3</v>
      </c>
      <c r="Y856" t="s">
        <v>7377</v>
      </c>
      <c r="Z856" t="s">
        <v>9544</v>
      </c>
      <c r="AA856">
        <v>0.9674774653928372</v>
      </c>
      <c r="AB856">
        <f>HYPERLINK("Melting_Curves/meltCurve_P0AEB7_yoaB.pdf", "Melting_Curves/meltCurve_P0AEB7_yoaB.pdf")</f>
        <v>0</v>
      </c>
    </row>
    <row r="857" spans="1:28">
      <c r="A857" t="s">
        <v>883</v>
      </c>
      <c r="B857">
        <v>0.999739202189716</v>
      </c>
      <c r="C857">
        <v>1.11437239823843</v>
      </c>
      <c r="D857">
        <v>0.763423314685119</v>
      </c>
      <c r="E857">
        <v>0.552452695450829</v>
      </c>
      <c r="F857">
        <v>0.316094085151816</v>
      </c>
      <c r="G857">
        <v>0.168197708404728</v>
      </c>
      <c r="H857">
        <v>0.12058200772438</v>
      </c>
      <c r="I857">
        <v>0.0929725787856111</v>
      </c>
      <c r="J857">
        <v>0.0793449506360633</v>
      </c>
      <c r="K857">
        <v>0.07060214148965389</v>
      </c>
      <c r="L857">
        <v>813.202144191137</v>
      </c>
      <c r="M857">
        <v>17.3776219741894</v>
      </c>
      <c r="N857">
        <v>47.255525135196</v>
      </c>
      <c r="O857">
        <v>46.1894239648547</v>
      </c>
      <c r="P857">
        <v>-0.0867484649332248</v>
      </c>
      <c r="Q857">
        <v>0.0777483000932713</v>
      </c>
      <c r="R857">
        <v>0.978745329710498</v>
      </c>
      <c r="S857" t="s">
        <v>3050</v>
      </c>
      <c r="T857" t="s">
        <v>4362</v>
      </c>
      <c r="U857" t="s">
        <v>4362</v>
      </c>
      <c r="V857" t="s">
        <v>4362</v>
      </c>
      <c r="W857" t="s">
        <v>5217</v>
      </c>
      <c r="X857">
        <v>2</v>
      </c>
      <c r="Y857" t="s">
        <v>7378</v>
      </c>
      <c r="Z857" t="s">
        <v>9545</v>
      </c>
      <c r="AA857">
        <v>0.3947481591535419</v>
      </c>
      <c r="AB857">
        <f>HYPERLINK("Melting_Curves/meltCurve_P0AEC0_yoaE.pdf", "Melting_Curves/meltCurve_P0AEC0_yoaE.pdf")</f>
        <v>0</v>
      </c>
    </row>
    <row r="858" spans="1:28">
      <c r="A858" t="s">
        <v>884</v>
      </c>
      <c r="B858">
        <v>0.999739202189716</v>
      </c>
      <c r="C858">
        <v>1.00352637916886</v>
      </c>
      <c r="D858">
        <v>0.540634026234599</v>
      </c>
      <c r="E858">
        <v>0.451560860732536</v>
      </c>
      <c r="F858">
        <v>0.305225730620135</v>
      </c>
      <c r="G858">
        <v>0.207459627925925</v>
      </c>
      <c r="H858">
        <v>0.176262643089703</v>
      </c>
      <c r="I858">
        <v>0.152472214749229</v>
      </c>
      <c r="J858">
        <v>0.121093401620654</v>
      </c>
      <c r="K858">
        <v>0.117421760649603</v>
      </c>
      <c r="L858">
        <v>700.1736408971871</v>
      </c>
      <c r="M858">
        <v>15.7886869446633</v>
      </c>
      <c r="N858">
        <v>45.3086718629753</v>
      </c>
      <c r="O858">
        <v>43.6534027267267</v>
      </c>
      <c r="P858">
        <v>-0.0775487124738518</v>
      </c>
      <c r="Q858">
        <v>0.142427353409176</v>
      </c>
      <c r="R858">
        <v>0.960922917030838</v>
      </c>
      <c r="S858" t="s">
        <v>3051</v>
      </c>
      <c r="T858" t="s">
        <v>4362</v>
      </c>
      <c r="U858" t="s">
        <v>4362</v>
      </c>
      <c r="V858" t="s">
        <v>4362</v>
      </c>
      <c r="W858" t="s">
        <v>5218</v>
      </c>
      <c r="X858">
        <v>10</v>
      </c>
      <c r="Y858" t="s">
        <v>7379</v>
      </c>
      <c r="Z858" t="s">
        <v>9546</v>
      </c>
      <c r="AA858">
        <v>0.3712754041880716</v>
      </c>
      <c r="AB858">
        <f>HYPERLINK("Melting_Curves/meltCurve_P0AEC3_arcB.pdf", "Melting_Curves/meltCurve_P0AEC3_arcB.pdf")</f>
        <v>0</v>
      </c>
    </row>
    <row r="859" spans="1:28">
      <c r="A859" t="s">
        <v>885</v>
      </c>
      <c r="B859">
        <v>0.999739202189716</v>
      </c>
      <c r="C859">
        <v>1.10114846441916</v>
      </c>
      <c r="D859">
        <v>0.738382536131903</v>
      </c>
      <c r="E859">
        <v>0.583930690563398</v>
      </c>
      <c r="F859">
        <v>0.327463051090296</v>
      </c>
      <c r="G859">
        <v>0.212674255158722</v>
      </c>
      <c r="H859">
        <v>0.169693107197932</v>
      </c>
      <c r="I859">
        <v>0.119281431402835</v>
      </c>
      <c r="J859">
        <v>0.11982670316859</v>
      </c>
      <c r="K859">
        <v>0.0991983410305909</v>
      </c>
      <c r="L859">
        <v>769.747561887842</v>
      </c>
      <c r="M859">
        <v>16.4679553456772</v>
      </c>
      <c r="N859">
        <v>47.4619855439733</v>
      </c>
      <c r="O859">
        <v>46.0691773007431</v>
      </c>
      <c r="P859">
        <v>-0.0794953632034565</v>
      </c>
      <c r="Q859">
        <v>0.110507367903715</v>
      </c>
      <c r="R859">
        <v>0.97553411219209</v>
      </c>
      <c r="S859" t="s">
        <v>3052</v>
      </c>
      <c r="T859" t="s">
        <v>4362</v>
      </c>
      <c r="U859" t="s">
        <v>4362</v>
      </c>
      <c r="V859" t="s">
        <v>4362</v>
      </c>
      <c r="W859" t="s">
        <v>5219</v>
      </c>
      <c r="X859">
        <v>5</v>
      </c>
      <c r="Y859" t="s">
        <v>7380</v>
      </c>
      <c r="Z859" t="s">
        <v>9547</v>
      </c>
      <c r="AA859">
        <v>0.4163036189696088</v>
      </c>
      <c r="AB859">
        <f>HYPERLINK("Melting_Curves/meltCurve_P0AEC5_barA.pdf", "Melting_Curves/meltCurve_P0AEC5_barA.pdf")</f>
        <v>0</v>
      </c>
    </row>
    <row r="860" spans="1:28">
      <c r="A860" t="s">
        <v>886</v>
      </c>
      <c r="B860">
        <v>0.999739202189716</v>
      </c>
      <c r="C860">
        <v>0.895443406743912</v>
      </c>
      <c r="D860">
        <v>0.814490311345993</v>
      </c>
      <c r="E860">
        <v>0.530131985001604</v>
      </c>
      <c r="F860">
        <v>0.426567275773183</v>
      </c>
      <c r="G860">
        <v>0.245402827213529</v>
      </c>
      <c r="H860">
        <v>0.154184311418516</v>
      </c>
      <c r="I860">
        <v>0.140385397408475</v>
      </c>
      <c r="J860">
        <v>0.09782100865852029</v>
      </c>
      <c r="K860">
        <v>0.06429065845553809</v>
      </c>
      <c r="L860">
        <v>549.314064299742</v>
      </c>
      <c r="M860">
        <v>11.5378821707189</v>
      </c>
      <c r="N860">
        <v>48.0420536974893</v>
      </c>
      <c r="O860">
        <v>46.2468272347418</v>
      </c>
      <c r="P860">
        <v>-0.0593115516908507</v>
      </c>
      <c r="Q860">
        <v>0.0493227781836119</v>
      </c>
      <c r="R860">
        <v>0.993495592843731</v>
      </c>
      <c r="S860" t="s">
        <v>3053</v>
      </c>
      <c r="T860" t="s">
        <v>4362</v>
      </c>
      <c r="U860" t="s">
        <v>4362</v>
      </c>
      <c r="V860" t="s">
        <v>4362</v>
      </c>
      <c r="W860" t="s">
        <v>5220</v>
      </c>
      <c r="X860">
        <v>3</v>
      </c>
      <c r="Y860" t="s">
        <v>7381</v>
      </c>
      <c r="Z860" t="s">
        <v>9548</v>
      </c>
      <c r="AA860">
        <v>0.4177037441335776</v>
      </c>
      <c r="AB860">
        <f>HYPERLINK("Melting_Curves/meltCurve_P0AEC8_dcuS.pdf", "Melting_Curves/meltCurve_P0AEC8_dcuS.pdf")</f>
        <v>0</v>
      </c>
    </row>
    <row r="861" spans="1:28">
      <c r="A861" t="s">
        <v>887</v>
      </c>
      <c r="B861">
        <v>0.999739202189716</v>
      </c>
      <c r="C861">
        <v>0.966427175999131</v>
      </c>
      <c r="D861">
        <v>0.377201546846623</v>
      </c>
      <c r="E861">
        <v>0.819718632939099</v>
      </c>
      <c r="F861">
        <v>0.554959108705823</v>
      </c>
      <c r="G861">
        <v>0.425217942252016</v>
      </c>
      <c r="H861">
        <v>0.533697390347659</v>
      </c>
      <c r="I861">
        <v>0.329847111635536</v>
      </c>
      <c r="J861">
        <v>0.278410990493286</v>
      </c>
      <c r="K861">
        <v>0.191153904434864</v>
      </c>
      <c r="L861">
        <v>264.062007130722</v>
      </c>
      <c r="M861">
        <v>5.01720220977472</v>
      </c>
      <c r="N861">
        <v>52.6313263909853</v>
      </c>
      <c r="O861">
        <v>45.9720370840743</v>
      </c>
      <c r="P861">
        <v>-0.0274492278247273</v>
      </c>
      <c r="Q861">
        <v>0</v>
      </c>
      <c r="R861">
        <v>0.70001330915088</v>
      </c>
      <c r="S861" t="s">
        <v>3054</v>
      </c>
      <c r="T861" t="s">
        <v>4362</v>
      </c>
      <c r="U861" t="s">
        <v>4362</v>
      </c>
      <c r="V861" t="s">
        <v>4362</v>
      </c>
      <c r="W861" t="s">
        <v>5221</v>
      </c>
      <c r="X861">
        <v>3</v>
      </c>
      <c r="Y861" t="s">
        <v>7382</v>
      </c>
      <c r="Z861" t="s">
        <v>9549</v>
      </c>
      <c r="AA861">
        <v>0.5394051244151737</v>
      </c>
      <c r="AB861">
        <f>HYPERLINK("Melting_Curves/meltCurve_P0AED0_uspA.pdf", "Melting_Curves/meltCurve_P0AED0_uspA.pdf")</f>
        <v>0</v>
      </c>
    </row>
    <row r="862" spans="1:28">
      <c r="A862" t="s">
        <v>888</v>
      </c>
      <c r="B862">
        <v>0.999739202189716</v>
      </c>
      <c r="C862">
        <v>0.716037151690112</v>
      </c>
      <c r="D862">
        <v>0.536699266160265</v>
      </c>
      <c r="E862">
        <v>0.464014377204454</v>
      </c>
      <c r="F862">
        <v>0.56559741613476</v>
      </c>
      <c r="G862">
        <v>0.374351212599057</v>
      </c>
      <c r="H862">
        <v>0.402062271645606</v>
      </c>
      <c r="I862">
        <v>0.368181412340984</v>
      </c>
      <c r="J862">
        <v>0.382651609059724</v>
      </c>
      <c r="K862">
        <v>0.319557468302633</v>
      </c>
      <c r="L862">
        <v>806.8095487489149</v>
      </c>
      <c r="M862">
        <v>19.836914758437</v>
      </c>
      <c r="N862">
        <v>44.2190204330342</v>
      </c>
      <c r="O862">
        <v>40.26556331302</v>
      </c>
      <c r="P862">
        <v>-0.07412753997363369</v>
      </c>
      <c r="Q862">
        <v>0.398155045964599</v>
      </c>
      <c r="R862">
        <v>0.89874774525178</v>
      </c>
      <c r="S862" t="s">
        <v>3055</v>
      </c>
      <c r="T862" t="s">
        <v>4362</v>
      </c>
      <c r="U862" t="s">
        <v>4362</v>
      </c>
      <c r="V862" t="s">
        <v>4362</v>
      </c>
      <c r="W862" t="s">
        <v>5222</v>
      </c>
      <c r="X862">
        <v>2</v>
      </c>
      <c r="Y862" t="s">
        <v>7383</v>
      </c>
      <c r="Z862" t="s">
        <v>9550</v>
      </c>
      <c r="AA862">
        <v>0.4829283947516238</v>
      </c>
      <c r="AB862">
        <f>HYPERLINK("Melting_Curves/meltCurve_P0AED5_uvrY.pdf", "Melting_Curves/meltCurve_P0AED5_uvrY.pdf")</f>
        <v>0</v>
      </c>
    </row>
    <row r="863" spans="1:28">
      <c r="A863" t="s">
        <v>889</v>
      </c>
      <c r="B863">
        <v>0.999739202189716</v>
      </c>
      <c r="C863">
        <v>0.87051135820217</v>
      </c>
      <c r="D863">
        <v>0.985903591150407</v>
      </c>
      <c r="E863">
        <v>0.752100903927614</v>
      </c>
      <c r="F863">
        <v>0.750729534583634</v>
      </c>
      <c r="G863">
        <v>0.502797596100552</v>
      </c>
      <c r="H863">
        <v>0.261966796838814</v>
      </c>
      <c r="I863">
        <v>0.167922035209113</v>
      </c>
      <c r="J863">
        <v>0.164296891036208</v>
      </c>
      <c r="K863">
        <v>0.13840880823799</v>
      </c>
      <c r="L863">
        <v>613.001052262834</v>
      </c>
      <c r="M863">
        <v>11.5460270284199</v>
      </c>
      <c r="N863">
        <v>53.3646586055418</v>
      </c>
      <c r="O863">
        <v>51.5742596145616</v>
      </c>
      <c r="P863">
        <v>-0.0543798773792709</v>
      </c>
      <c r="Q863">
        <v>0.0286469228407414</v>
      </c>
      <c r="R863">
        <v>0.969710282776575</v>
      </c>
      <c r="S863" t="s">
        <v>3056</v>
      </c>
      <c r="T863" t="s">
        <v>4362</v>
      </c>
      <c r="U863" t="s">
        <v>4362</v>
      </c>
      <c r="V863" t="s">
        <v>4362</v>
      </c>
      <c r="W863" t="s">
        <v>5223</v>
      </c>
      <c r="X863">
        <v>10</v>
      </c>
      <c r="Y863" t="s">
        <v>7384</v>
      </c>
      <c r="Z863" t="s">
        <v>9551</v>
      </c>
      <c r="AA863">
        <v>0.5702491104593439</v>
      </c>
      <c r="AB863">
        <f>HYPERLINK("Melting_Curves/meltCurve_P0AED7_dapE.pdf", "Melting_Curves/meltCurve_P0AED7_dapE.pdf")</f>
        <v>0</v>
      </c>
    </row>
    <row r="864" spans="1:28">
      <c r="A864" t="s">
        <v>890</v>
      </c>
      <c r="B864">
        <v>0.999739202189716</v>
      </c>
      <c r="C864">
        <v>0.810413280400859</v>
      </c>
      <c r="D864">
        <v>1.03710511580862</v>
      </c>
      <c r="E864">
        <v>0.9925076419164089</v>
      </c>
      <c r="F864">
        <v>1.05786009628139</v>
      </c>
      <c r="G864">
        <v>0.9403175320552269</v>
      </c>
      <c r="H864">
        <v>0.819235639764711</v>
      </c>
      <c r="I864">
        <v>0.8590521309781149</v>
      </c>
      <c r="J864">
        <v>0.701784781203743</v>
      </c>
      <c r="K864">
        <v>0.641833952560467</v>
      </c>
      <c r="L864">
        <v>752.3777946810141</v>
      </c>
      <c r="M864">
        <v>11.6531586005465</v>
      </c>
      <c r="O864">
        <v>62.7508649925877</v>
      </c>
      <c r="P864">
        <v>-0.0274163682489896</v>
      </c>
      <c r="Q864">
        <v>0.409623977977136</v>
      </c>
      <c r="R864">
        <v>0.718807609415519</v>
      </c>
      <c r="S864" t="s">
        <v>3057</v>
      </c>
      <c r="T864" t="s">
        <v>4362</v>
      </c>
      <c r="U864" t="s">
        <v>4362</v>
      </c>
      <c r="V864" t="s">
        <v>4362</v>
      </c>
      <c r="W864" t="s">
        <v>5224</v>
      </c>
      <c r="X864">
        <v>6</v>
      </c>
      <c r="Y864" t="s">
        <v>7385</v>
      </c>
      <c r="Z864" t="s">
        <v>9552</v>
      </c>
      <c r="AA864">
        <v>0.9100654730165983</v>
      </c>
      <c r="AB864">
        <f>HYPERLINK("Melting_Curves/meltCurve_P0AEE1_dcrB.pdf", "Melting_Curves/meltCurve_P0AEE1_dcrB.pdf")</f>
        <v>0</v>
      </c>
    </row>
    <row r="865" spans="1:28">
      <c r="A865" t="s">
        <v>891</v>
      </c>
      <c r="B865">
        <v>0.999739202189716</v>
      </c>
      <c r="C865">
        <v>0.877051171756203</v>
      </c>
      <c r="D865">
        <v>1.0444716501017</v>
      </c>
      <c r="E865">
        <v>0.785488393254936</v>
      </c>
      <c r="F865">
        <v>0.842817154323499</v>
      </c>
      <c r="G865">
        <v>0.7175821753684301</v>
      </c>
      <c r="H865">
        <v>0.598785364479222</v>
      </c>
      <c r="I865">
        <v>0.535924944224781</v>
      </c>
      <c r="J865">
        <v>0.44097145943156</v>
      </c>
      <c r="K865">
        <v>0.187362814352371</v>
      </c>
      <c r="L865">
        <v>464.559068584885</v>
      </c>
      <c r="M865">
        <v>7.72445675511262</v>
      </c>
      <c r="N865">
        <v>60.1413230383938</v>
      </c>
      <c r="O865">
        <v>56.5090068443293</v>
      </c>
      <c r="P865">
        <v>-0.0342175996716194</v>
      </c>
      <c r="Q865">
        <v>0</v>
      </c>
      <c r="R865">
        <v>0.911676385760249</v>
      </c>
      <c r="S865" t="s">
        <v>3058</v>
      </c>
      <c r="T865" t="s">
        <v>4362</v>
      </c>
      <c r="U865" t="s">
        <v>4362</v>
      </c>
      <c r="V865" t="s">
        <v>4362</v>
      </c>
      <c r="W865" t="s">
        <v>5225</v>
      </c>
      <c r="X865">
        <v>6</v>
      </c>
      <c r="Y865" t="s">
        <v>7386</v>
      </c>
      <c r="Z865" t="s">
        <v>9553</v>
      </c>
      <c r="AA865">
        <v>0.7233087819061708</v>
      </c>
      <c r="AB865">
        <f>HYPERLINK("Melting_Curves/meltCurve_P0AEE3_degS.pdf", "Melting_Curves/meltCurve_P0AEE3_degS.pdf")</f>
        <v>0</v>
      </c>
    </row>
    <row r="866" spans="1:28">
      <c r="A866" t="s">
        <v>892</v>
      </c>
      <c r="B866">
        <v>0.999739202189716</v>
      </c>
      <c r="C866">
        <v>0.995214210846517</v>
      </c>
      <c r="D866">
        <v>0.934851392721243</v>
      </c>
      <c r="E866">
        <v>1.01423825218536</v>
      </c>
      <c r="F866">
        <v>0.977948969661525</v>
      </c>
      <c r="G866">
        <v>0.83301050313208</v>
      </c>
      <c r="H866">
        <v>0.853748302012007</v>
      </c>
      <c r="I866">
        <v>0.789189494311009</v>
      </c>
      <c r="J866">
        <v>0.721151386229121</v>
      </c>
      <c r="K866">
        <v>0.671211932886794</v>
      </c>
      <c r="L866">
        <v>481.999544819138</v>
      </c>
      <c r="M866">
        <v>7.44391845444327</v>
      </c>
      <c r="O866">
        <v>60.5710632353784</v>
      </c>
      <c r="P866">
        <v>-0.017770847447622</v>
      </c>
      <c r="Q866">
        <v>0.422449213428927</v>
      </c>
      <c r="R866">
        <v>0.924240795823975</v>
      </c>
      <c r="S866" t="s">
        <v>3059</v>
      </c>
      <c r="T866" t="s">
        <v>4362</v>
      </c>
      <c r="U866" t="s">
        <v>4362</v>
      </c>
      <c r="V866" t="s">
        <v>4362</v>
      </c>
      <c r="W866" t="s">
        <v>5226</v>
      </c>
      <c r="X866">
        <v>33</v>
      </c>
      <c r="Y866" t="s">
        <v>7387</v>
      </c>
      <c r="Z866" t="s">
        <v>9554</v>
      </c>
      <c r="AA866">
        <v>0.8873666844713722</v>
      </c>
      <c r="AB866">
        <f>HYPERLINK("Melting_Curves/meltCurve_P0AEE5_mglB.pdf", "Melting_Curves/meltCurve_P0AEE5_mglB.pdf")</f>
        <v>0</v>
      </c>
    </row>
    <row r="867" spans="1:28">
      <c r="A867" t="s">
        <v>893</v>
      </c>
      <c r="B867">
        <v>0.999739202189716</v>
      </c>
      <c r="C867">
        <v>0.375268903191229</v>
      </c>
      <c r="D867">
        <v>0.316369677631417</v>
      </c>
      <c r="E867">
        <v>0.225096268397549</v>
      </c>
      <c r="F867">
        <v>0.132530197458283</v>
      </c>
      <c r="G867">
        <v>0.094748104193749</v>
      </c>
      <c r="H867">
        <v>0.0671405447183625</v>
      </c>
      <c r="I867">
        <v>0.0625921271276557</v>
      </c>
      <c r="J867">
        <v>0.0540205359784872</v>
      </c>
      <c r="K867">
        <v>0.0453812084871046</v>
      </c>
      <c r="L867">
        <v>1664.04616298222</v>
      </c>
      <c r="M867">
        <v>42.3969118919143</v>
      </c>
      <c r="N867">
        <v>39.5019933160232</v>
      </c>
      <c r="O867">
        <v>39.1622125085575</v>
      </c>
      <c r="P867">
        <v>-0.238499022156118</v>
      </c>
      <c r="Q867">
        <v>0.118791130015002</v>
      </c>
      <c r="R867">
        <v>0.917220095457818</v>
      </c>
      <c r="S867" t="s">
        <v>3060</v>
      </c>
      <c r="T867" t="s">
        <v>4362</v>
      </c>
      <c r="U867" t="s">
        <v>4362</v>
      </c>
      <c r="V867" t="s">
        <v>4362</v>
      </c>
      <c r="W867" t="s">
        <v>5227</v>
      </c>
      <c r="X867">
        <v>1</v>
      </c>
      <c r="Y867" t="s">
        <v>7388</v>
      </c>
      <c r="Z867" t="s">
        <v>9555</v>
      </c>
      <c r="AA867">
        <v>0.1886802348643059</v>
      </c>
      <c r="AB867">
        <f>HYPERLINK("Melting_Curves/meltCurve_P0AEF0_dnaC.pdf", "Melting_Curves/meltCurve_P0AEF0_dnaC.pdf")</f>
        <v>0</v>
      </c>
    </row>
    <row r="868" spans="1:28">
      <c r="A868" t="s">
        <v>894</v>
      </c>
      <c r="B868">
        <v>0.999739202189716</v>
      </c>
      <c r="C868">
        <v>0.824858975776615</v>
      </c>
      <c r="D868">
        <v>0.911581947251294</v>
      </c>
      <c r="E868">
        <v>0.767928919111457</v>
      </c>
      <c r="F868">
        <v>0.7194369825489469</v>
      </c>
      <c r="G868">
        <v>0.573305283277771</v>
      </c>
      <c r="H868">
        <v>0.519446538175847</v>
      </c>
      <c r="I868">
        <v>0.451837061842298</v>
      </c>
      <c r="J868">
        <v>0.433041909669519</v>
      </c>
      <c r="K868">
        <v>0.392336321996374</v>
      </c>
      <c r="L868">
        <v>342.950525094488</v>
      </c>
      <c r="M868">
        <v>6.45931381860026</v>
      </c>
      <c r="N868">
        <v>58.6987250619</v>
      </c>
      <c r="O868">
        <v>48.691884313065</v>
      </c>
      <c r="P868">
        <v>-0.0255947567609239</v>
      </c>
      <c r="Q868">
        <v>0.230154592564901</v>
      </c>
      <c r="R868">
        <v>0.962988721592123</v>
      </c>
      <c r="S868" t="s">
        <v>3061</v>
      </c>
      <c r="T868" t="s">
        <v>4362</v>
      </c>
      <c r="U868" t="s">
        <v>4362</v>
      </c>
      <c r="V868" t="s">
        <v>4362</v>
      </c>
      <c r="W868" t="s">
        <v>5228</v>
      </c>
      <c r="X868">
        <v>4</v>
      </c>
      <c r="Y868" t="s">
        <v>7389</v>
      </c>
      <c r="Z868" t="s">
        <v>9556</v>
      </c>
      <c r="AA868">
        <v>0.6571141576480616</v>
      </c>
      <c r="AB868">
        <f>HYPERLINK("Melting_Curves/meltCurve_P0AEG1_dppC.pdf", "Melting_Curves/meltCurve_P0AEG1_dppC.pdf")</f>
        <v>0</v>
      </c>
    </row>
    <row r="869" spans="1:28">
      <c r="A869" t="s">
        <v>895</v>
      </c>
      <c r="B869">
        <v>0.999739202189716</v>
      </c>
      <c r="C869">
        <v>0.780871570085844</v>
      </c>
      <c r="D869">
        <v>1.36706244838257</v>
      </c>
      <c r="E869">
        <v>0.930516664300136</v>
      </c>
      <c r="F869">
        <v>1.22393966863301</v>
      </c>
      <c r="G869">
        <v>1.02530610156631</v>
      </c>
      <c r="H869">
        <v>0.9043630548374491</v>
      </c>
      <c r="I869">
        <v>0.9071622470227531</v>
      </c>
      <c r="J869">
        <v>0.800410547996711</v>
      </c>
      <c r="K869">
        <v>0.626570508136048</v>
      </c>
      <c r="L869">
        <v>1155.1129259322</v>
      </c>
      <c r="M869">
        <v>16.7038180985028</v>
      </c>
      <c r="Q869">
        <v>0</v>
      </c>
      <c r="R869">
        <v>0.414429543715779</v>
      </c>
      <c r="S869" t="s">
        <v>3062</v>
      </c>
      <c r="T869" t="s">
        <v>4362</v>
      </c>
      <c r="U869" t="s">
        <v>4362</v>
      </c>
      <c r="V869" t="s">
        <v>4362</v>
      </c>
      <c r="W869" t="s">
        <v>5229</v>
      </c>
      <c r="X869">
        <v>8</v>
      </c>
      <c r="Y869" t="s">
        <v>7390</v>
      </c>
      <c r="Z869" t="s">
        <v>9557</v>
      </c>
      <c r="AA869">
        <v>0.9469512210587023</v>
      </c>
      <c r="AB869">
        <f>HYPERLINK("Melting_Curves/meltCurve_P0AEG4_dsbA.pdf", "Melting_Curves/meltCurve_P0AEG4_dsbA.pdf")</f>
        <v>0</v>
      </c>
    </row>
    <row r="870" spans="1:28">
      <c r="A870" t="s">
        <v>896</v>
      </c>
      <c r="B870">
        <v>0.999739202189716</v>
      </c>
      <c r="C870">
        <v>0.995183946128394</v>
      </c>
      <c r="D870">
        <v>0.9902804337515561</v>
      </c>
      <c r="E870">
        <v>0.994947545496214</v>
      </c>
      <c r="F870">
        <v>0.86393232585107</v>
      </c>
      <c r="G870">
        <v>0.775720307003533</v>
      </c>
      <c r="H870">
        <v>0.6023611340032889</v>
      </c>
      <c r="I870">
        <v>0.5975795324573701</v>
      </c>
      <c r="J870">
        <v>0.476215818427956</v>
      </c>
      <c r="K870">
        <v>0.6227400990834649</v>
      </c>
      <c r="L870">
        <v>1093.90877495967</v>
      </c>
      <c r="M870">
        <v>20.6038140484649</v>
      </c>
      <c r="O870">
        <v>52.5999916875588</v>
      </c>
      <c r="P870">
        <v>-0.0443675977597415</v>
      </c>
      <c r="Q870">
        <v>0.546944515641393</v>
      </c>
      <c r="R870">
        <v>0.959017866294134</v>
      </c>
      <c r="S870" t="s">
        <v>3063</v>
      </c>
      <c r="T870" t="s">
        <v>4362</v>
      </c>
      <c r="U870" t="s">
        <v>4362</v>
      </c>
      <c r="V870" t="s">
        <v>4362</v>
      </c>
      <c r="W870" t="s">
        <v>5230</v>
      </c>
      <c r="X870">
        <v>10</v>
      </c>
      <c r="Y870" t="s">
        <v>7391</v>
      </c>
      <c r="Z870" t="s">
        <v>9558</v>
      </c>
      <c r="AA870">
        <v>0.7954209754318842</v>
      </c>
      <c r="AB870">
        <f>HYPERLINK("Melting_Curves/meltCurve_P0AEG6_dsbC.pdf", "Melting_Curves/meltCurve_P0AEG6_dsbC.pdf")</f>
        <v>0</v>
      </c>
    </row>
    <row r="871" spans="1:28">
      <c r="A871" t="s">
        <v>897</v>
      </c>
      <c r="B871">
        <v>0.999739202189716</v>
      </c>
      <c r="C871">
        <v>1.03996087188443</v>
      </c>
      <c r="D871">
        <v>0.793617859905572</v>
      </c>
      <c r="E871">
        <v>0.506205872680057</v>
      </c>
      <c r="F871">
        <v>0.26704563124642</v>
      </c>
      <c r="G871">
        <v>0.145332552594881</v>
      </c>
      <c r="H871">
        <v>0.112675175180154</v>
      </c>
      <c r="I871">
        <v>0.0794590107972253</v>
      </c>
      <c r="J871">
        <v>0.07422492939269421</v>
      </c>
      <c r="K871">
        <v>0.0558581623340003</v>
      </c>
      <c r="L871">
        <v>860.297478613942</v>
      </c>
      <c r="M871">
        <v>18.5545559770655</v>
      </c>
      <c r="N871">
        <v>46.7586439382001</v>
      </c>
      <c r="O871">
        <v>45.8373191080972</v>
      </c>
      <c r="P871">
        <v>-0.0938989349251763</v>
      </c>
      <c r="Q871">
        <v>0.0721658232610936</v>
      </c>
      <c r="R871">
        <v>0.993747147907828</v>
      </c>
      <c r="S871" t="s">
        <v>3064</v>
      </c>
      <c r="T871" t="s">
        <v>4362</v>
      </c>
      <c r="U871" t="s">
        <v>4362</v>
      </c>
      <c r="V871" t="s">
        <v>4362</v>
      </c>
      <c r="W871" t="s">
        <v>5231</v>
      </c>
      <c r="X871">
        <v>9</v>
      </c>
      <c r="Y871" t="s">
        <v>7392</v>
      </c>
      <c r="Z871" t="s">
        <v>9559</v>
      </c>
      <c r="AA871">
        <v>0.3759136742811385</v>
      </c>
      <c r="AB871">
        <f>HYPERLINK("Melting_Curves/meltCurve_P0AEH1_rseP.pdf", "Melting_Curves/meltCurve_P0AEH1_rseP.pdf")</f>
        <v>0</v>
      </c>
    </row>
    <row r="872" spans="1:28">
      <c r="A872" t="s">
        <v>898</v>
      </c>
      <c r="B872">
        <v>0.999739202189716</v>
      </c>
      <c r="C872">
        <v>0.805109614472359</v>
      </c>
      <c r="D872">
        <v>0.729610226559138</v>
      </c>
      <c r="E872">
        <v>0.407385443644987</v>
      </c>
      <c r="F872">
        <v>0.192977035204508</v>
      </c>
      <c r="G872">
        <v>0.106897386682842</v>
      </c>
      <c r="H872">
        <v>0.06631687723844421</v>
      </c>
      <c r="I872">
        <v>0.0497334411438499</v>
      </c>
      <c r="J872">
        <v>0.0403028595428938</v>
      </c>
      <c r="K872">
        <v>0.0455627184481643</v>
      </c>
      <c r="L872">
        <v>661.718202984388</v>
      </c>
      <c r="M872">
        <v>14.6444782378666</v>
      </c>
      <c r="N872">
        <v>45.3551564261583</v>
      </c>
      <c r="O872">
        <v>44.3680368207899</v>
      </c>
      <c r="P872">
        <v>-0.08032677522305311</v>
      </c>
      <c r="Q872">
        <v>0.0266515007624567</v>
      </c>
      <c r="R872">
        <v>0.992720451479403</v>
      </c>
      <c r="S872" t="s">
        <v>3065</v>
      </c>
      <c r="T872" t="s">
        <v>4362</v>
      </c>
      <c r="U872" t="s">
        <v>4362</v>
      </c>
      <c r="V872" t="s">
        <v>4362</v>
      </c>
      <c r="W872" t="s">
        <v>5232</v>
      </c>
      <c r="X872">
        <v>3</v>
      </c>
      <c r="Y872" t="s">
        <v>7393</v>
      </c>
      <c r="Z872" t="s">
        <v>9560</v>
      </c>
      <c r="AA872">
        <v>0.3163440939022353</v>
      </c>
      <c r="AB872">
        <f>HYPERLINK("Melting_Curves/meltCurve_P0AEH3_elaA.pdf", "Melting_Curves/meltCurve_P0AEH3_elaA.pdf")</f>
        <v>0</v>
      </c>
    </row>
    <row r="873" spans="1:28">
      <c r="A873" t="s">
        <v>899</v>
      </c>
      <c r="B873">
        <v>0.999739202189716</v>
      </c>
      <c r="C873">
        <v>1.42107421895237</v>
      </c>
      <c r="D873">
        <v>0.791341424320357</v>
      </c>
      <c r="E873">
        <v>1.05431249773019</v>
      </c>
      <c r="F873">
        <v>0.756888115480272</v>
      </c>
      <c r="G873">
        <v>0.6032606868834</v>
      </c>
      <c r="H873">
        <v>0.498026119206218</v>
      </c>
      <c r="I873">
        <v>0.368286546894702</v>
      </c>
      <c r="J873">
        <v>0.272737091758432</v>
      </c>
      <c r="K873">
        <v>0.267388765779053</v>
      </c>
      <c r="L873">
        <v>806.255934658258</v>
      </c>
      <c r="M873">
        <v>14.9301154918647</v>
      </c>
      <c r="N873">
        <v>56.357549467673</v>
      </c>
      <c r="O873">
        <v>53.0609626947486</v>
      </c>
      <c r="P873">
        <v>-0.0540221948960111</v>
      </c>
      <c r="Q873">
        <v>0.232109133737378</v>
      </c>
      <c r="R873">
        <v>0.813311606591276</v>
      </c>
      <c r="S873" t="s">
        <v>3066</v>
      </c>
      <c r="T873" t="s">
        <v>4362</v>
      </c>
      <c r="U873" t="s">
        <v>4362</v>
      </c>
      <c r="V873" t="s">
        <v>4362</v>
      </c>
      <c r="W873" t="s">
        <v>5233</v>
      </c>
      <c r="X873">
        <v>8</v>
      </c>
      <c r="Y873" t="s">
        <v>7394</v>
      </c>
      <c r="Z873" t="s">
        <v>9561</v>
      </c>
      <c r="AA873">
        <v>0.6797745584925446</v>
      </c>
      <c r="AB873">
        <f>HYPERLINK("Melting_Curves/meltCurve_P0AEH5_elaB.pdf", "Melting_Curves/meltCurve_P0AEH5_elaB.pdf")</f>
        <v>0</v>
      </c>
    </row>
    <row r="874" spans="1:28">
      <c r="A874" t="s">
        <v>900</v>
      </c>
      <c r="B874">
        <v>0.999739202189716</v>
      </c>
      <c r="C874">
        <v>0.974970987086363</v>
      </c>
      <c r="D874">
        <v>0.6701331356278371</v>
      </c>
      <c r="E874">
        <v>0.303541650850632</v>
      </c>
      <c r="F874">
        <v>0.206011894188012</v>
      </c>
      <c r="G874">
        <v>0.13040970081491</v>
      </c>
      <c r="H874">
        <v>0.0942456648018266</v>
      </c>
      <c r="I874">
        <v>0.0726310399404512</v>
      </c>
      <c r="J874">
        <v>0.07356193516060611</v>
      </c>
      <c r="K874">
        <v>0.0574802436758516</v>
      </c>
      <c r="L874">
        <v>959.9636995756269</v>
      </c>
      <c r="M874">
        <v>21.6557129382893</v>
      </c>
      <c r="N874">
        <v>44.7182605528005</v>
      </c>
      <c r="O874">
        <v>43.9556239654815</v>
      </c>
      <c r="P874">
        <v>-0.112576620963408</v>
      </c>
      <c r="Q874">
        <v>0.08601337043650201</v>
      </c>
      <c r="R874">
        <v>0.993683281365126</v>
      </c>
      <c r="S874" t="s">
        <v>3067</v>
      </c>
      <c r="T874" t="s">
        <v>4362</v>
      </c>
      <c r="U874" t="s">
        <v>4362</v>
      </c>
      <c r="V874" t="s">
        <v>4362</v>
      </c>
      <c r="W874" t="s">
        <v>5234</v>
      </c>
      <c r="X874">
        <v>6</v>
      </c>
      <c r="Y874" t="s">
        <v>7395</v>
      </c>
      <c r="Z874" t="s">
        <v>9562</v>
      </c>
      <c r="AA874">
        <v>0.3194975294466357</v>
      </c>
      <c r="AB874">
        <f>HYPERLINK("Melting_Curves/meltCurve_P0AEI1_miaB.pdf", "Melting_Curves/meltCurve_P0AEI1_miaB.pdf")</f>
        <v>0</v>
      </c>
    </row>
    <row r="875" spans="1:28">
      <c r="A875" t="s">
        <v>901</v>
      </c>
      <c r="B875">
        <v>0.999739202189716</v>
      </c>
      <c r="C875">
        <v>0.874387910195631</v>
      </c>
      <c r="D875">
        <v>0.842427585653466</v>
      </c>
      <c r="E875">
        <v>0.642879716022433</v>
      </c>
      <c r="F875">
        <v>0.581840906994358</v>
      </c>
      <c r="G875">
        <v>0.401772054409082</v>
      </c>
      <c r="H875">
        <v>0.315415713527266</v>
      </c>
      <c r="I875">
        <v>0.247608565792546</v>
      </c>
      <c r="J875">
        <v>0.200396410642197</v>
      </c>
      <c r="K875">
        <v>0.173318572944226</v>
      </c>
      <c r="L875">
        <v>419.066070864147</v>
      </c>
      <c r="M875">
        <v>8.314951817449479</v>
      </c>
      <c r="N875">
        <v>51.2984117388476</v>
      </c>
      <c r="O875">
        <v>47.7364918165934</v>
      </c>
      <c r="P875">
        <v>-0.0406324502668561</v>
      </c>
      <c r="Q875">
        <v>0.067821886144353</v>
      </c>
      <c r="R875">
        <v>0.991523009331129</v>
      </c>
      <c r="S875" t="s">
        <v>3068</v>
      </c>
      <c r="T875" t="s">
        <v>4362</v>
      </c>
      <c r="U875" t="s">
        <v>4362</v>
      </c>
      <c r="V875" t="s">
        <v>4362</v>
      </c>
      <c r="W875" t="s">
        <v>5235</v>
      </c>
      <c r="X875">
        <v>8</v>
      </c>
      <c r="Y875" t="s">
        <v>7396</v>
      </c>
      <c r="Z875" t="s">
        <v>9563</v>
      </c>
      <c r="AA875">
        <v>0.519115389928937</v>
      </c>
      <c r="AB875">
        <f>HYPERLINK("Melting_Curves/meltCurve_P0AEI4_rimO.pdf", "Melting_Curves/meltCurve_P0AEI4_rimO.pdf")</f>
        <v>0</v>
      </c>
    </row>
    <row r="876" spans="1:28">
      <c r="A876" t="s">
        <v>902</v>
      </c>
      <c r="B876">
        <v>0.999739202189716</v>
      </c>
      <c r="C876">
        <v>0.880728970159015</v>
      </c>
      <c r="D876">
        <v>0.60397761497952</v>
      </c>
      <c r="E876">
        <v>0.346822525284894</v>
      </c>
      <c r="F876">
        <v>0.270141806646791</v>
      </c>
      <c r="G876">
        <v>0.201077322345964</v>
      </c>
      <c r="H876">
        <v>0.166340645109441</v>
      </c>
      <c r="I876">
        <v>0.141808039494855</v>
      </c>
      <c r="J876">
        <v>0.120702149035232</v>
      </c>
      <c r="K876">
        <v>0.139101621536076</v>
      </c>
      <c r="L876">
        <v>758.823765601747</v>
      </c>
      <c r="M876">
        <v>17.3866354425576</v>
      </c>
      <c r="N876">
        <v>44.5379671776628</v>
      </c>
      <c r="O876">
        <v>43.0790124692735</v>
      </c>
      <c r="P876">
        <v>-0.0860434310077809</v>
      </c>
      <c r="Q876">
        <v>0.147286332216009</v>
      </c>
      <c r="R876">
        <v>0.993713407041328</v>
      </c>
      <c r="S876" t="s">
        <v>3069</v>
      </c>
      <c r="T876" t="s">
        <v>4362</v>
      </c>
      <c r="U876" t="s">
        <v>4362</v>
      </c>
      <c r="V876" t="s">
        <v>4362</v>
      </c>
      <c r="W876" t="s">
        <v>5236</v>
      </c>
      <c r="X876">
        <v>2</v>
      </c>
      <c r="Y876" t="s">
        <v>7397</v>
      </c>
      <c r="Z876" t="s">
        <v>9564</v>
      </c>
      <c r="AA876">
        <v>0.351863927376077</v>
      </c>
      <c r="AB876">
        <f>HYPERLINK("Melting_Curves/meltCurve_P0AEI6_nudJ.pdf", "Melting_Curves/meltCurve_P0AEI6_nudJ.pdf")</f>
        <v>0</v>
      </c>
    </row>
    <row r="877" spans="1:28">
      <c r="A877" t="s">
        <v>903</v>
      </c>
      <c r="B877">
        <v>0.999739202189716</v>
      </c>
      <c r="C877">
        <v>0.86401196699233</v>
      </c>
      <c r="D877">
        <v>0.598024747611358</v>
      </c>
      <c r="E877">
        <v>0.344287242163385</v>
      </c>
      <c r="F877">
        <v>0.187034294374868</v>
      </c>
      <c r="G877">
        <v>0.123133094512691</v>
      </c>
      <c r="H877">
        <v>0.0993843591662654</v>
      </c>
      <c r="I877">
        <v>0.0884826811288941</v>
      </c>
      <c r="J877">
        <v>0.0757931298009779</v>
      </c>
      <c r="K877">
        <v>0.0729234865689254</v>
      </c>
      <c r="L877">
        <v>738.115119524874</v>
      </c>
      <c r="M877">
        <v>16.8057582147327</v>
      </c>
      <c r="N877">
        <v>44.3738877125723</v>
      </c>
      <c r="O877">
        <v>43.3126312065472</v>
      </c>
      <c r="P877">
        <v>-0.08935394278893639</v>
      </c>
      <c r="Q877">
        <v>0.0789098336362629</v>
      </c>
      <c r="R877">
        <v>0.997848050362281</v>
      </c>
      <c r="S877" t="s">
        <v>3070</v>
      </c>
      <c r="T877" t="s">
        <v>4362</v>
      </c>
      <c r="U877" t="s">
        <v>4362</v>
      </c>
      <c r="V877" t="s">
        <v>4362</v>
      </c>
      <c r="W877" t="s">
        <v>5237</v>
      </c>
      <c r="X877">
        <v>3</v>
      </c>
      <c r="Y877" t="s">
        <v>7398</v>
      </c>
      <c r="Z877" t="s">
        <v>9565</v>
      </c>
      <c r="AA877">
        <v>0.3094422896096294</v>
      </c>
      <c r="AB877">
        <f>HYPERLINK("Melting_Curves/meltCurve_P0AEJ2_entC.pdf", "Melting_Curves/meltCurve_P0AEJ2_entC.pdf")</f>
        <v>0</v>
      </c>
    </row>
    <row r="878" spans="1:28">
      <c r="A878" t="s">
        <v>904</v>
      </c>
      <c r="B878">
        <v>0.999739202189716</v>
      </c>
      <c r="C878">
        <v>0.810973746616457</v>
      </c>
      <c r="D878">
        <v>0.753387789870707</v>
      </c>
      <c r="E878">
        <v>0.466975816372602</v>
      </c>
      <c r="F878">
        <v>0.432842564991661</v>
      </c>
      <c r="G878">
        <v>0.350204407696141</v>
      </c>
      <c r="H878">
        <v>0.200049172052326</v>
      </c>
      <c r="I878">
        <v>0.169779043289181</v>
      </c>
      <c r="J878">
        <v>0.234946957172069</v>
      </c>
      <c r="K878">
        <v>0.218424247898113</v>
      </c>
      <c r="L878">
        <v>516.739633771222</v>
      </c>
      <c r="M878">
        <v>11.3817577614756</v>
      </c>
      <c r="N878">
        <v>47.2510419453365</v>
      </c>
      <c r="O878">
        <v>44.0669335652904</v>
      </c>
      <c r="P878">
        <v>-0.052975664433968</v>
      </c>
      <c r="Q878">
        <v>0.179815365467213</v>
      </c>
      <c r="R878">
        <v>0.971588553225687</v>
      </c>
      <c r="S878" t="s">
        <v>3071</v>
      </c>
      <c r="T878" t="s">
        <v>4362</v>
      </c>
      <c r="U878" t="s">
        <v>4362</v>
      </c>
      <c r="V878" t="s">
        <v>4362</v>
      </c>
      <c r="W878" t="s">
        <v>5238</v>
      </c>
      <c r="X878">
        <v>4</v>
      </c>
      <c r="Y878" t="s">
        <v>7399</v>
      </c>
      <c r="Z878" t="s">
        <v>9566</v>
      </c>
      <c r="AA878">
        <v>0.44147364702709</v>
      </c>
      <c r="AB878">
        <f>HYPERLINK("Melting_Curves/meltCurve_P0AEJ4_envZ.pdf", "Melting_Curves/meltCurve_P0AEJ4_envZ.pdf")</f>
        <v>0</v>
      </c>
    </row>
    <row r="879" spans="1:28">
      <c r="A879" t="s">
        <v>905</v>
      </c>
      <c r="B879">
        <v>0.999739202189716</v>
      </c>
      <c r="C879">
        <v>0.939144639481797</v>
      </c>
      <c r="D879">
        <v>0.886541065423325</v>
      </c>
      <c r="E879">
        <v>0.6641893918542729</v>
      </c>
      <c r="F879">
        <v>0.581302431151823</v>
      </c>
      <c r="G879">
        <v>0.402492493950399</v>
      </c>
      <c r="H879">
        <v>0.348897000671421</v>
      </c>
      <c r="I879">
        <v>0.310226008232227</v>
      </c>
      <c r="J879">
        <v>0.315678824397726</v>
      </c>
      <c r="K879">
        <v>0.280765628608887</v>
      </c>
      <c r="L879">
        <v>603.022057774646</v>
      </c>
      <c r="M879">
        <v>12.5459085761075</v>
      </c>
      <c r="N879">
        <v>51.2031556146979</v>
      </c>
      <c r="O879">
        <v>46.893106511085</v>
      </c>
      <c r="P879">
        <v>-0.0489549180996484</v>
      </c>
      <c r="Q879">
        <v>0.26822937422642</v>
      </c>
      <c r="R879">
        <v>0.992972656999787</v>
      </c>
      <c r="S879" t="s">
        <v>3072</v>
      </c>
      <c r="T879" t="s">
        <v>4362</v>
      </c>
      <c r="U879" t="s">
        <v>4362</v>
      </c>
      <c r="V879" t="s">
        <v>4362</v>
      </c>
      <c r="W879" t="s">
        <v>5239</v>
      </c>
      <c r="X879">
        <v>7</v>
      </c>
      <c r="Y879" t="s">
        <v>7400</v>
      </c>
      <c r="Z879" t="s">
        <v>9567</v>
      </c>
      <c r="AA879">
        <v>0.5595189916906197</v>
      </c>
      <c r="AB879">
        <f>HYPERLINK("Melting_Curves/meltCurve_P0AEJ6_eutB.pdf", "Melting_Curves/meltCurve_P0AEJ6_eutB.pdf")</f>
        <v>0</v>
      </c>
    </row>
    <row r="880" spans="1:28">
      <c r="A880" t="s">
        <v>906</v>
      </c>
      <c r="B880">
        <v>0.999739202189716</v>
      </c>
      <c r="C880">
        <v>0.926766575006811</v>
      </c>
      <c r="D880">
        <v>0.929349402842794</v>
      </c>
      <c r="E880">
        <v>0.896842514699259</v>
      </c>
      <c r="F880">
        <v>0.367764540333714</v>
      </c>
      <c r="G880">
        <v>0.154376824631395</v>
      </c>
      <c r="H880">
        <v>0.102134782815365</v>
      </c>
      <c r="I880">
        <v>0.06572569409331851</v>
      </c>
      <c r="J880">
        <v>0.0460999676713797</v>
      </c>
      <c r="K880">
        <v>0.0437941503394911</v>
      </c>
      <c r="L880">
        <v>1597.91885650992</v>
      </c>
      <c r="M880">
        <v>32.4720627602862</v>
      </c>
      <c r="N880">
        <v>49.4266869398242</v>
      </c>
      <c r="O880">
        <v>49.023539562332</v>
      </c>
      <c r="P880">
        <v>-0.154563253480131</v>
      </c>
      <c r="Q880">
        <v>0.06661913156995029</v>
      </c>
      <c r="R880">
        <v>0.992067776014057</v>
      </c>
      <c r="S880" t="s">
        <v>3073</v>
      </c>
      <c r="T880" t="s">
        <v>4362</v>
      </c>
      <c r="U880" t="s">
        <v>4362</v>
      </c>
      <c r="V880" t="s">
        <v>4362</v>
      </c>
      <c r="W880" t="s">
        <v>5240</v>
      </c>
      <c r="X880">
        <v>6</v>
      </c>
      <c r="Y880" t="s">
        <v>7401</v>
      </c>
      <c r="Z880" t="s">
        <v>9568</v>
      </c>
      <c r="AA880">
        <v>0.4512998239555298</v>
      </c>
      <c r="AB880">
        <f>HYPERLINK("Melting_Curves/meltCurve_P0AEK2_fabG.pdf", "Melting_Curves/meltCurve_P0AEK2_fabG.pdf")</f>
        <v>0</v>
      </c>
    </row>
    <row r="881" spans="1:28">
      <c r="A881" t="s">
        <v>907</v>
      </c>
      <c r="B881">
        <v>0.999739202189716</v>
      </c>
      <c r="C881">
        <v>0.878850408330169</v>
      </c>
      <c r="D881">
        <v>1.00186193468112</v>
      </c>
      <c r="E881">
        <v>0.336160393644789</v>
      </c>
      <c r="F881">
        <v>0.208112801930767</v>
      </c>
      <c r="G881">
        <v>0.117952097250224</v>
      </c>
      <c r="H881">
        <v>0.0900405302853529</v>
      </c>
      <c r="I881">
        <v>0.0572055329493927</v>
      </c>
      <c r="J881">
        <v>0.0486523685862045</v>
      </c>
      <c r="K881">
        <v>0.0371439884829464</v>
      </c>
      <c r="L881">
        <v>2407.70429211783</v>
      </c>
      <c r="M881">
        <v>52.6073351852583</v>
      </c>
      <c r="N881">
        <v>45.9418136131681</v>
      </c>
      <c r="O881">
        <v>45.7014742345752</v>
      </c>
      <c r="P881">
        <v>-0.261736362403453</v>
      </c>
      <c r="Q881">
        <v>0.0904896420882665</v>
      </c>
      <c r="R881">
        <v>0.977859971108185</v>
      </c>
      <c r="S881" t="s">
        <v>3074</v>
      </c>
      <c r="T881" t="s">
        <v>4362</v>
      </c>
      <c r="U881" t="s">
        <v>4362</v>
      </c>
      <c r="V881" t="s">
        <v>4362</v>
      </c>
      <c r="W881" t="s">
        <v>5241</v>
      </c>
      <c r="X881">
        <v>14</v>
      </c>
      <c r="Y881" t="s">
        <v>7402</v>
      </c>
      <c r="Z881" t="s">
        <v>9569</v>
      </c>
      <c r="AA881">
        <v>0.3579507400008562</v>
      </c>
      <c r="AB881">
        <f>HYPERLINK("Melting_Curves/meltCurve_P0AEK4_fabI.pdf", "Melting_Curves/meltCurve_P0AEK4_fabI.pdf")</f>
        <v>0</v>
      </c>
    </row>
    <row r="882" spans="1:28">
      <c r="A882" t="s">
        <v>908</v>
      </c>
      <c r="B882">
        <v>0.999739202189716</v>
      </c>
      <c r="C882">
        <v>1.31756648531353</v>
      </c>
      <c r="D882">
        <v>1.05708088713043</v>
      </c>
      <c r="E882">
        <v>1.13226443779994</v>
      </c>
      <c r="F882">
        <v>0.810919130793446</v>
      </c>
      <c r="G882">
        <v>0.808456700978942</v>
      </c>
      <c r="H882">
        <v>0.566453998207167</v>
      </c>
      <c r="I882">
        <v>0.497124443544835</v>
      </c>
      <c r="J882">
        <v>0.485162576736321</v>
      </c>
      <c r="K882">
        <v>0.371758400171998</v>
      </c>
      <c r="L882">
        <v>1021.04195807366</v>
      </c>
      <c r="M882">
        <v>18.5152329875889</v>
      </c>
      <c r="N882">
        <v>60.2565677504413</v>
      </c>
      <c r="O882">
        <v>54.5148382845215</v>
      </c>
      <c r="P882">
        <v>-0.0512864678960615</v>
      </c>
      <c r="Q882">
        <v>0.396010833688115</v>
      </c>
      <c r="R882">
        <v>0.840214232672203</v>
      </c>
      <c r="S882" t="s">
        <v>3075</v>
      </c>
      <c r="T882" t="s">
        <v>4362</v>
      </c>
      <c r="U882" t="s">
        <v>4362</v>
      </c>
      <c r="V882" t="s">
        <v>4362</v>
      </c>
      <c r="W882" t="s">
        <v>5242</v>
      </c>
      <c r="X882">
        <v>1</v>
      </c>
      <c r="Y882" t="s">
        <v>7403</v>
      </c>
      <c r="Z882" t="s">
        <v>9570</v>
      </c>
      <c r="AA882">
        <v>0.7686401692736951</v>
      </c>
      <c r="AB882">
        <f>HYPERLINK("Melting_Curves/meltCurve_P0AEL0_fdoI.pdf", "Melting_Curves/meltCurve_P0AEL0_fdoI.pdf")</f>
        <v>0</v>
      </c>
    </row>
    <row r="883" spans="1:28">
      <c r="A883" t="s">
        <v>909</v>
      </c>
      <c r="B883">
        <v>0.999739202189716</v>
      </c>
      <c r="C883">
        <v>0.786325786886797</v>
      </c>
      <c r="D883">
        <v>1.01708223819912</v>
      </c>
      <c r="E883">
        <v>0.877289018874807</v>
      </c>
      <c r="F883">
        <v>0.94854658333075</v>
      </c>
      <c r="G883">
        <v>0.490844087735209</v>
      </c>
      <c r="H883">
        <v>0.107861942965884</v>
      </c>
      <c r="I883">
        <v>0.0649639966669434</v>
      </c>
      <c r="J883">
        <v>0.0499335937981774</v>
      </c>
      <c r="K883">
        <v>0.0313718861439782</v>
      </c>
      <c r="L883">
        <v>2094.79988929191</v>
      </c>
      <c r="M883">
        <v>39.064491574449</v>
      </c>
      <c r="N883">
        <v>53.7508184295901</v>
      </c>
      <c r="O883">
        <v>53.4841960273056</v>
      </c>
      <c r="P883">
        <v>-0.174568063001043</v>
      </c>
      <c r="Q883">
        <v>0.0439797501071966</v>
      </c>
      <c r="R883">
        <v>0.964080287184494</v>
      </c>
      <c r="S883" t="s">
        <v>3076</v>
      </c>
      <c r="T883" t="s">
        <v>4362</v>
      </c>
      <c r="U883" t="s">
        <v>4362</v>
      </c>
      <c r="V883" t="s">
        <v>4362</v>
      </c>
      <c r="W883" t="s">
        <v>5243</v>
      </c>
      <c r="X883">
        <v>4</v>
      </c>
      <c r="Y883" t="s">
        <v>7404</v>
      </c>
      <c r="Z883" t="s">
        <v>9571</v>
      </c>
      <c r="AA883">
        <v>0.5774350753829379</v>
      </c>
      <c r="AB883">
        <f>HYPERLINK("Melting_Curves/meltCurve_P0AEL6_fepB.pdf", "Melting_Curves/meltCurve_P0AEL6_fepB.pdf")</f>
        <v>0</v>
      </c>
    </row>
    <row r="884" spans="1:28">
      <c r="A884" t="s">
        <v>910</v>
      </c>
      <c r="B884">
        <v>0.999739202189716</v>
      </c>
      <c r="C884">
        <v>1.29029745276489</v>
      </c>
      <c r="D884">
        <v>0.757886388152254</v>
      </c>
      <c r="E884">
        <v>0.915926098526029</v>
      </c>
      <c r="F884">
        <v>0.857513109835549</v>
      </c>
      <c r="G884">
        <v>0.692277084668407</v>
      </c>
      <c r="H884">
        <v>0.56716914002265</v>
      </c>
      <c r="I884">
        <v>0.515099517761219</v>
      </c>
      <c r="J884">
        <v>0.412115379872201</v>
      </c>
      <c r="K884">
        <v>0.459245395597454</v>
      </c>
      <c r="L884">
        <v>630.141459809279</v>
      </c>
      <c r="M884">
        <v>11.6486796876758</v>
      </c>
      <c r="N884">
        <v>61.0192040434949</v>
      </c>
      <c r="O884">
        <v>52.5750323016082</v>
      </c>
      <c r="P884">
        <v>-0.0350903846148278</v>
      </c>
      <c r="Q884">
        <v>0.366664947255947</v>
      </c>
      <c r="R884">
        <v>0.795255863792513</v>
      </c>
      <c r="S884" t="s">
        <v>3077</v>
      </c>
      <c r="T884" t="s">
        <v>4362</v>
      </c>
      <c r="U884" t="s">
        <v>4362</v>
      </c>
      <c r="V884" t="s">
        <v>4362</v>
      </c>
      <c r="W884" t="s">
        <v>5244</v>
      </c>
      <c r="X884">
        <v>4</v>
      </c>
      <c r="Y884" t="s">
        <v>7405</v>
      </c>
      <c r="Z884" t="s">
        <v>9572</v>
      </c>
      <c r="AA884">
        <v>0.7387364569438174</v>
      </c>
      <c r="AB884">
        <f>HYPERLINK("Melting_Curves/meltCurve_P0AEM4_flgM.pdf", "Melting_Curves/meltCurve_P0AEM4_flgM.pdf")</f>
        <v>0</v>
      </c>
    </row>
    <row r="885" spans="1:28">
      <c r="A885" t="s">
        <v>911</v>
      </c>
      <c r="B885">
        <v>0.999739202189716</v>
      </c>
      <c r="C885">
        <v>1.13256617639385</v>
      </c>
      <c r="D885">
        <v>0.515450688665143</v>
      </c>
      <c r="E885">
        <v>0.8646530554969249</v>
      </c>
      <c r="F885">
        <v>0.486127821789625</v>
      </c>
      <c r="G885">
        <v>0.236596166169255</v>
      </c>
      <c r="H885">
        <v>0.10326487449056</v>
      </c>
      <c r="I885">
        <v>0.0605774600530796</v>
      </c>
      <c r="J885">
        <v>0.0542974797977627</v>
      </c>
      <c r="K885">
        <v>0.0509149721545583</v>
      </c>
      <c r="L885">
        <v>613.6606520388131</v>
      </c>
      <c r="M885">
        <v>12.4014338423265</v>
      </c>
      <c r="N885">
        <v>49.4830653923256</v>
      </c>
      <c r="O885">
        <v>48.2492255387607</v>
      </c>
      <c r="P885">
        <v>-0.0642708329106851</v>
      </c>
      <c r="Q885">
        <v>0</v>
      </c>
      <c r="R885">
        <v>0.8767450691099909</v>
      </c>
      <c r="S885" t="s">
        <v>3078</v>
      </c>
      <c r="T885" t="s">
        <v>4362</v>
      </c>
      <c r="U885" t="s">
        <v>4362</v>
      </c>
      <c r="V885" t="s">
        <v>4362</v>
      </c>
      <c r="W885" t="s">
        <v>5245</v>
      </c>
      <c r="X885">
        <v>4</v>
      </c>
      <c r="Y885" t="s">
        <v>7406</v>
      </c>
      <c r="Z885" t="s">
        <v>9573</v>
      </c>
      <c r="AA885">
        <v>0.4438258523230826</v>
      </c>
      <c r="AB885">
        <f>HYPERLINK("Melting_Curves/meltCurve_P0AEM6_fliA.pdf", "Melting_Curves/meltCurve_P0AEM6_fliA.pdf")</f>
        <v>0</v>
      </c>
    </row>
    <row r="886" spans="1:28">
      <c r="A886" t="s">
        <v>912</v>
      </c>
      <c r="B886">
        <v>0.999739202189716</v>
      </c>
      <c r="C886">
        <v>0.962391797808053</v>
      </c>
      <c r="D886">
        <v>0.924517556577289</v>
      </c>
      <c r="E886">
        <v>0.873557082411736</v>
      </c>
      <c r="F886">
        <v>1.01407785666247</v>
      </c>
      <c r="G886">
        <v>0.802239097374444</v>
      </c>
      <c r="H886">
        <v>0.9334416323031191</v>
      </c>
      <c r="I886">
        <v>0.790489933513032</v>
      </c>
      <c r="J886">
        <v>0.81913688642113</v>
      </c>
      <c r="K886">
        <v>0.479100353204311</v>
      </c>
      <c r="L886">
        <v>682.347829845502</v>
      </c>
      <c r="M886">
        <v>9.85229798527673</v>
      </c>
      <c r="O886">
        <v>66.5854405302895</v>
      </c>
      <c r="P886">
        <v>-0.0370102262672147</v>
      </c>
      <c r="Q886">
        <v>0</v>
      </c>
      <c r="R886">
        <v>0.668654239872057</v>
      </c>
      <c r="S886" t="s">
        <v>3079</v>
      </c>
      <c r="T886" t="s">
        <v>4362</v>
      </c>
      <c r="U886" t="s">
        <v>4362</v>
      </c>
      <c r="V886" t="s">
        <v>4362</v>
      </c>
      <c r="W886" t="s">
        <v>5246</v>
      </c>
      <c r="X886">
        <v>20</v>
      </c>
      <c r="Y886" t="s">
        <v>7407</v>
      </c>
      <c r="Z886" t="s">
        <v>9574</v>
      </c>
      <c r="AA886">
        <v>0.9019472367973489</v>
      </c>
      <c r="AB886">
        <f>HYPERLINK("Melting_Curves/meltCurve_P0AEM9_fliY.pdf", "Melting_Curves/meltCurve_P0AEM9_fliY.pdf")</f>
        <v>0</v>
      </c>
    </row>
    <row r="887" spans="1:28">
      <c r="A887" t="s">
        <v>913</v>
      </c>
      <c r="B887">
        <v>0.999739202189716</v>
      </c>
      <c r="C887">
        <v>0.760182654256536</v>
      </c>
      <c r="D887">
        <v>0.680439175044505</v>
      </c>
      <c r="E887">
        <v>0.284051461792576</v>
      </c>
      <c r="F887">
        <v>0.149463106103766</v>
      </c>
      <c r="G887">
        <v>0.080821411555732</v>
      </c>
      <c r="H887">
        <v>0.0651676757044007</v>
      </c>
      <c r="I887">
        <v>0.0503188104293056</v>
      </c>
      <c r="J887">
        <v>0.0478313676068755</v>
      </c>
      <c r="K887">
        <v>0.0364380426958968</v>
      </c>
      <c r="L887">
        <v>704.8440680060449</v>
      </c>
      <c r="M887">
        <v>16.0054035947855</v>
      </c>
      <c r="N887">
        <v>44.239000393473</v>
      </c>
      <c r="O887">
        <v>43.3676131435919</v>
      </c>
      <c r="P887">
        <v>-0.08903523777782051</v>
      </c>
      <c r="Q887">
        <v>0.0350896844381943</v>
      </c>
      <c r="R887">
        <v>0.986644703337185</v>
      </c>
      <c r="S887" t="s">
        <v>3080</v>
      </c>
      <c r="T887" t="s">
        <v>4362</v>
      </c>
      <c r="U887" t="s">
        <v>4362</v>
      </c>
      <c r="V887" t="s">
        <v>4362</v>
      </c>
      <c r="W887" t="s">
        <v>5247</v>
      </c>
      <c r="X887">
        <v>4</v>
      </c>
      <c r="Y887" t="s">
        <v>7408</v>
      </c>
      <c r="Z887" t="s">
        <v>9575</v>
      </c>
      <c r="AA887">
        <v>0.2823336377305611</v>
      </c>
      <c r="AB887">
        <f>HYPERLINK("Melting_Curves/meltCurve_P0AEN1_fre.pdf", "Melting_Curves/meltCurve_P0AEN1_fre.pdf")</f>
        <v>0</v>
      </c>
    </row>
    <row r="888" spans="1:28">
      <c r="A888" t="s">
        <v>914</v>
      </c>
      <c r="B888">
        <v>0.999739202189716</v>
      </c>
      <c r="C888">
        <v>1.05737131321184</v>
      </c>
      <c r="D888">
        <v>1.21295612471447</v>
      </c>
      <c r="E888">
        <v>1.19316951572142</v>
      </c>
      <c r="F888">
        <v>1.10595795900619</v>
      </c>
      <c r="G888">
        <v>1.02664762567443</v>
      </c>
      <c r="H888">
        <v>0.82179486658516</v>
      </c>
      <c r="I888">
        <v>0.768982586048565</v>
      </c>
      <c r="J888">
        <v>0.794486653115489</v>
      </c>
      <c r="K888">
        <v>0.702308018016753</v>
      </c>
      <c r="L888">
        <v>14293.4498360502</v>
      </c>
      <c r="M888">
        <v>250</v>
      </c>
      <c r="O888">
        <v>57.1701251102659</v>
      </c>
      <c r="P888">
        <v>-0.267557648455085</v>
      </c>
      <c r="Q888">
        <v>0.755259065912033</v>
      </c>
      <c r="R888">
        <v>0.6629146821810989</v>
      </c>
      <c r="S888" t="s">
        <v>3081</v>
      </c>
      <c r="T888" t="s">
        <v>4362</v>
      </c>
      <c r="U888" t="s">
        <v>4362</v>
      </c>
      <c r="V888" t="s">
        <v>4362</v>
      </c>
      <c r="W888" t="s">
        <v>5248</v>
      </c>
      <c r="X888">
        <v>5</v>
      </c>
      <c r="Y888" t="s">
        <v>7409</v>
      </c>
      <c r="Z888" t="s">
        <v>9576</v>
      </c>
      <c r="AA888">
        <v>0.9198621061907158</v>
      </c>
      <c r="AB888">
        <f>HYPERLINK("Melting_Curves/meltCurve_P0AEN8_fucU.pdf", "Melting_Curves/meltCurve_P0AEN8_fucU.pdf")</f>
        <v>0</v>
      </c>
    </row>
    <row r="889" spans="1:28">
      <c r="A889" t="s">
        <v>915</v>
      </c>
      <c r="B889">
        <v>0.999739202189716</v>
      </c>
      <c r="C889">
        <v>1.00340098367819</v>
      </c>
      <c r="D889">
        <v>0.868516408626302</v>
      </c>
      <c r="E889">
        <v>0.8154177151244409</v>
      </c>
      <c r="F889">
        <v>0.742054387264269</v>
      </c>
      <c r="G889">
        <v>0.277567794719911</v>
      </c>
      <c r="H889">
        <v>0.106859305819648</v>
      </c>
      <c r="I889">
        <v>0.0722914443421996</v>
      </c>
      <c r="J889">
        <v>0.063799697565542</v>
      </c>
      <c r="K889">
        <v>0.0533865967082521</v>
      </c>
      <c r="L889">
        <v>1042.41858632076</v>
      </c>
      <c r="M889">
        <v>20.2048309908219</v>
      </c>
      <c r="N889">
        <v>51.7390132198744</v>
      </c>
      <c r="O889">
        <v>51.0951273294263</v>
      </c>
      <c r="P889">
        <v>-0.09611391649498539</v>
      </c>
      <c r="Q889">
        <v>0.0277970188331541</v>
      </c>
      <c r="R889">
        <v>0.978950457780757</v>
      </c>
      <c r="S889" t="s">
        <v>3082</v>
      </c>
      <c r="T889" t="s">
        <v>4362</v>
      </c>
      <c r="U889" t="s">
        <v>4362</v>
      </c>
      <c r="V889" t="s">
        <v>4362</v>
      </c>
      <c r="W889" t="s">
        <v>4914</v>
      </c>
      <c r="X889">
        <v>7</v>
      </c>
      <c r="Y889" t="s">
        <v>7410</v>
      </c>
      <c r="Z889" t="s">
        <v>9577</v>
      </c>
      <c r="AA889">
        <v>0.5131279545583808</v>
      </c>
      <c r="AB889">
        <f>HYPERLINK("Melting_Curves/meltCurve_P0AEP3_galU.pdf", "Melting_Curves/meltCurve_P0AEP3_galU.pdf")</f>
        <v>0</v>
      </c>
    </row>
    <row r="890" spans="1:28">
      <c r="A890" t="s">
        <v>916</v>
      </c>
      <c r="B890">
        <v>0.999739202189716</v>
      </c>
      <c r="C890">
        <v>1.39096354983171</v>
      </c>
      <c r="D890">
        <v>0.938342247292826</v>
      </c>
      <c r="E890">
        <v>1.21766858878281</v>
      </c>
      <c r="F890">
        <v>0.8819550911648359</v>
      </c>
      <c r="G890">
        <v>0.8933352306617171</v>
      </c>
      <c r="H890">
        <v>0.682409599913593</v>
      </c>
      <c r="I890">
        <v>0.578728660104418</v>
      </c>
      <c r="J890">
        <v>0.47464844348478</v>
      </c>
      <c r="K890">
        <v>0.357860760864421</v>
      </c>
      <c r="L890">
        <v>938.80866428945</v>
      </c>
      <c r="M890">
        <v>15.9317524177867</v>
      </c>
      <c r="N890">
        <v>62.4188237220912</v>
      </c>
      <c r="O890">
        <v>58.0219307014862</v>
      </c>
      <c r="P890">
        <v>-0.0484033539772483</v>
      </c>
      <c r="Q890">
        <v>0.294934545876007</v>
      </c>
      <c r="R890">
        <v>0.768820237357054</v>
      </c>
      <c r="S890" t="s">
        <v>3083</v>
      </c>
      <c r="T890" t="s">
        <v>4362</v>
      </c>
      <c r="U890" t="s">
        <v>4362</v>
      </c>
      <c r="V890" t="s">
        <v>4362</v>
      </c>
      <c r="W890" t="s">
        <v>5249</v>
      </c>
      <c r="X890">
        <v>7</v>
      </c>
      <c r="Y890" t="s">
        <v>7411</v>
      </c>
      <c r="Z890" t="s">
        <v>9578</v>
      </c>
      <c r="AA890">
        <v>0.8109698967671098</v>
      </c>
      <c r="AB890">
        <f>HYPERLINK("Melting_Curves/meltCurve_P0AEP7_gcl.pdf", "Melting_Curves/meltCurve_P0AEP7_gcl.pdf")</f>
        <v>0</v>
      </c>
    </row>
    <row r="891" spans="1:28">
      <c r="A891" t="s">
        <v>917</v>
      </c>
      <c r="B891">
        <v>0.999739202189716</v>
      </c>
      <c r="C891">
        <v>1.22974876241657</v>
      </c>
      <c r="D891">
        <v>1.09613847055912</v>
      </c>
      <c r="E891">
        <v>1.21089414195102</v>
      </c>
      <c r="F891">
        <v>0.874167057131538</v>
      </c>
      <c r="G891">
        <v>0.8310969567459841</v>
      </c>
      <c r="H891">
        <v>0.588969708978627</v>
      </c>
      <c r="I891">
        <v>0.53756718630566</v>
      </c>
      <c r="J891">
        <v>0.452202197517526</v>
      </c>
      <c r="K891">
        <v>0.55123214666388</v>
      </c>
      <c r="L891">
        <v>1519.07716646074</v>
      </c>
      <c r="M891">
        <v>27.8078791758241</v>
      </c>
      <c r="O891">
        <v>54.3474315081552</v>
      </c>
      <c r="P891">
        <v>-0.0640026697883056</v>
      </c>
      <c r="Q891">
        <v>0.499659922817351</v>
      </c>
      <c r="R891">
        <v>0.8410936803958849</v>
      </c>
      <c r="S891" t="s">
        <v>3084</v>
      </c>
      <c r="T891" t="s">
        <v>4362</v>
      </c>
      <c r="U891" t="s">
        <v>4362</v>
      </c>
      <c r="V891" t="s">
        <v>4362</v>
      </c>
      <c r="W891" t="s">
        <v>5250</v>
      </c>
      <c r="X891">
        <v>4</v>
      </c>
      <c r="Y891" t="s">
        <v>7412</v>
      </c>
      <c r="Z891" t="s">
        <v>9579</v>
      </c>
      <c r="AA891">
        <v>0.7972822251726678</v>
      </c>
      <c r="AB891">
        <f>HYPERLINK("Melting_Curves/meltCurve_P0AEQ1_glcG.pdf", "Melting_Curves/meltCurve_P0AEQ1_glcG.pdf")</f>
        <v>0</v>
      </c>
    </row>
    <row r="892" spans="1:28">
      <c r="A892" t="s">
        <v>918</v>
      </c>
      <c r="B892">
        <v>0.999739202189716</v>
      </c>
      <c r="C892">
        <v>1.00241798637383</v>
      </c>
      <c r="D892">
        <v>0.9506269021593901</v>
      </c>
      <c r="E892">
        <v>1.06258283515672</v>
      </c>
      <c r="F892">
        <v>0.958227213446272</v>
      </c>
      <c r="G892">
        <v>0.841954123035133</v>
      </c>
      <c r="H892">
        <v>0.838330611280241</v>
      </c>
      <c r="I892">
        <v>0.674711081453766</v>
      </c>
      <c r="J892">
        <v>0.553143034594098</v>
      </c>
      <c r="K892">
        <v>0.453937021107939</v>
      </c>
      <c r="L892">
        <v>665.613174952439</v>
      </c>
      <c r="M892">
        <v>10.252304165564</v>
      </c>
      <c r="N892">
        <v>65.6517488368157</v>
      </c>
      <c r="O892">
        <v>62.5986840401643</v>
      </c>
      <c r="P892">
        <v>-0.0387603683037052</v>
      </c>
      <c r="Q892">
        <v>0.0537638084306028</v>
      </c>
      <c r="R892">
        <v>0.967235385662667</v>
      </c>
      <c r="S892" t="s">
        <v>3085</v>
      </c>
      <c r="T892" t="s">
        <v>4362</v>
      </c>
      <c r="U892" t="s">
        <v>4362</v>
      </c>
      <c r="V892" t="s">
        <v>4362</v>
      </c>
      <c r="W892" t="s">
        <v>5251</v>
      </c>
      <c r="X892">
        <v>22</v>
      </c>
      <c r="Y892" t="s">
        <v>7413</v>
      </c>
      <c r="Z892" t="s">
        <v>9580</v>
      </c>
      <c r="AA892">
        <v>0.8508388295978371</v>
      </c>
      <c r="AB892">
        <f>HYPERLINK("Melting_Curves/meltCurve_P0AEQ3_glnH.pdf", "Melting_Curves/meltCurve_P0AEQ3_glnH.pdf")</f>
        <v>0</v>
      </c>
    </row>
    <row r="893" spans="1:28">
      <c r="A893" t="s">
        <v>919</v>
      </c>
      <c r="B893">
        <v>0.999739202189716</v>
      </c>
      <c r="C893">
        <v>0.888095181317346</v>
      </c>
      <c r="D893">
        <v>0.49930424509841</v>
      </c>
      <c r="E893">
        <v>0.285581896597828</v>
      </c>
      <c r="F893">
        <v>0.159701878336307</v>
      </c>
      <c r="G893">
        <v>0.0970089964420186</v>
      </c>
      <c r="H893">
        <v>0.0733294705075762</v>
      </c>
      <c r="I893">
        <v>0.0417494807455451</v>
      </c>
      <c r="J893">
        <v>0.0412148643073511</v>
      </c>
      <c r="K893">
        <v>0.0308204587284423</v>
      </c>
      <c r="L893">
        <v>801.427600622031</v>
      </c>
      <c r="M893">
        <v>18.492333945818</v>
      </c>
      <c r="N893">
        <v>43.6128228178057</v>
      </c>
      <c r="O893">
        <v>42.84112419569</v>
      </c>
      <c r="P893">
        <v>-0.10198947480764</v>
      </c>
      <c r="Q893">
        <v>0.0549277545623609</v>
      </c>
      <c r="R893">
        <v>0.99064664838438</v>
      </c>
      <c r="S893" t="s">
        <v>3086</v>
      </c>
      <c r="T893" t="s">
        <v>4362</v>
      </c>
      <c r="U893" t="s">
        <v>4362</v>
      </c>
      <c r="V893" t="s">
        <v>4362</v>
      </c>
      <c r="W893" t="s">
        <v>5252</v>
      </c>
      <c r="X893">
        <v>1</v>
      </c>
      <c r="Y893" t="s">
        <v>7414</v>
      </c>
      <c r="Z893" t="s">
        <v>9581</v>
      </c>
      <c r="AA893">
        <v>0.2700452734527279</v>
      </c>
      <c r="AB893">
        <f>HYPERLINK("Melting_Curves/meltCurve_P0AEQ6_glnP.pdf", "Melting_Curves/meltCurve_P0AEQ6_glnP.pdf")</f>
        <v>0</v>
      </c>
    </row>
    <row r="894" spans="1:28">
      <c r="A894" t="s">
        <v>920</v>
      </c>
      <c r="B894">
        <v>0.999739202189716</v>
      </c>
      <c r="C894">
        <v>1.13447544525976</v>
      </c>
      <c r="D894">
        <v>0.918667132844214</v>
      </c>
      <c r="E894">
        <v>0.922218296840429</v>
      </c>
      <c r="F894">
        <v>0.76858742931938</v>
      </c>
      <c r="G894">
        <v>0.614271887961612</v>
      </c>
      <c r="H894">
        <v>0.480573115938344</v>
      </c>
      <c r="I894">
        <v>0.320364413180558</v>
      </c>
      <c r="J894">
        <v>0.21481178202182</v>
      </c>
      <c r="K894">
        <v>0.133567957496182</v>
      </c>
      <c r="L894">
        <v>607.9282306045581</v>
      </c>
      <c r="M894">
        <v>10.77217003512</v>
      </c>
      <c r="N894">
        <v>56.4350756482126</v>
      </c>
      <c r="O894">
        <v>54.594558792391</v>
      </c>
      <c r="P894">
        <v>-0.049346077270456</v>
      </c>
      <c r="Q894">
        <v>0</v>
      </c>
      <c r="R894">
        <v>0.976764988161859</v>
      </c>
      <c r="S894" t="s">
        <v>3087</v>
      </c>
      <c r="T894" t="s">
        <v>4362</v>
      </c>
      <c r="U894" t="s">
        <v>4362</v>
      </c>
      <c r="V894" t="s">
        <v>4362</v>
      </c>
      <c r="W894" t="s">
        <v>5253</v>
      </c>
      <c r="X894">
        <v>1</v>
      </c>
      <c r="Y894" t="s">
        <v>7415</v>
      </c>
      <c r="Z894" t="s">
        <v>9582</v>
      </c>
      <c r="AA894">
        <v>0.6531156937537794</v>
      </c>
      <c r="AB894">
        <f>HYPERLINK("Melting_Curves/meltCurve_P0AER0_glpF.pdf", "Melting_Curves/meltCurve_P0AER0_glpF.pdf")</f>
        <v>0</v>
      </c>
    </row>
    <row r="895" spans="1:28">
      <c r="A895" t="s">
        <v>921</v>
      </c>
      <c r="B895">
        <v>0.999739202189716</v>
      </c>
      <c r="C895">
        <v>1.0864426199082</v>
      </c>
      <c r="D895">
        <v>0.953585016615536</v>
      </c>
      <c r="E895">
        <v>0.917955056294101</v>
      </c>
      <c r="F895">
        <v>0.757512011708022</v>
      </c>
      <c r="G895">
        <v>0.551463651935479</v>
      </c>
      <c r="H895">
        <v>0.468486553104532</v>
      </c>
      <c r="I895">
        <v>0.344633842882565</v>
      </c>
      <c r="J895">
        <v>0.342071263863006</v>
      </c>
      <c r="K895">
        <v>0.275762440789006</v>
      </c>
      <c r="L895">
        <v>780.762924431594</v>
      </c>
      <c r="M895">
        <v>14.8433570010754</v>
      </c>
      <c r="N895">
        <v>55.5365510235819</v>
      </c>
      <c r="O895">
        <v>51.6731275999243</v>
      </c>
      <c r="P895">
        <v>-0.0522931874096248</v>
      </c>
      <c r="Q895">
        <v>0.271898366437623</v>
      </c>
      <c r="R895">
        <v>0.985759553172459</v>
      </c>
      <c r="S895" t="s">
        <v>3088</v>
      </c>
      <c r="T895" t="s">
        <v>4362</v>
      </c>
      <c r="U895" t="s">
        <v>4362</v>
      </c>
      <c r="V895" t="s">
        <v>4362</v>
      </c>
      <c r="W895" t="s">
        <v>5254</v>
      </c>
      <c r="X895">
        <v>2</v>
      </c>
      <c r="Y895" t="s">
        <v>7416</v>
      </c>
      <c r="Z895" t="s">
        <v>9583</v>
      </c>
      <c r="AA895">
        <v>0.6640598317047052</v>
      </c>
      <c r="AB895">
        <f>HYPERLINK("Melting_Curves/meltCurve_P0AER3_gltJ.pdf", "Melting_Curves/meltCurve_P0AER3_gltJ.pdf")</f>
        <v>0</v>
      </c>
    </row>
    <row r="896" spans="1:28">
      <c r="A896" t="s">
        <v>922</v>
      </c>
      <c r="B896">
        <v>0.999739202189716</v>
      </c>
      <c r="C896">
        <v>1.23822665115324</v>
      </c>
      <c r="D896">
        <v>0.940865645471417</v>
      </c>
      <c r="E896">
        <v>1.10674084866618</v>
      </c>
      <c r="F896">
        <v>0.812099067998425</v>
      </c>
      <c r="G896">
        <v>0.267932262385414</v>
      </c>
      <c r="H896">
        <v>0.169398082955678</v>
      </c>
      <c r="I896">
        <v>0.136867661198281</v>
      </c>
      <c r="J896">
        <v>0.13959349932051</v>
      </c>
      <c r="K896">
        <v>0.112798755568061</v>
      </c>
      <c r="L896">
        <v>2325.72886408272</v>
      </c>
      <c r="M896">
        <v>44.9870305161006</v>
      </c>
      <c r="N896">
        <v>52.0696583926287</v>
      </c>
      <c r="O896">
        <v>51.5959284526006</v>
      </c>
      <c r="P896">
        <v>-0.188027688912506</v>
      </c>
      <c r="Q896">
        <v>0.137400350600456</v>
      </c>
      <c r="R896">
        <v>0.961827285828296</v>
      </c>
      <c r="S896" t="s">
        <v>3089</v>
      </c>
      <c r="T896" t="s">
        <v>4362</v>
      </c>
      <c r="U896" t="s">
        <v>4362</v>
      </c>
      <c r="V896" t="s">
        <v>4362</v>
      </c>
      <c r="W896" t="s">
        <v>5255</v>
      </c>
      <c r="X896">
        <v>10</v>
      </c>
      <c r="Y896" t="s">
        <v>7417</v>
      </c>
      <c r="Z896" t="s">
        <v>9584</v>
      </c>
      <c r="AA896">
        <v>0.562440967037901</v>
      </c>
      <c r="AB896">
        <f>HYPERLINK("Melting_Curves/meltCurve_P0AES0_gss.pdf", "Melting_Curves/meltCurve_P0AES0_gss.pdf")</f>
        <v>0</v>
      </c>
    </row>
    <row r="897" spans="1:28">
      <c r="A897" t="s">
        <v>923</v>
      </c>
      <c r="B897">
        <v>0.999739202189716</v>
      </c>
      <c r="C897">
        <v>0.8669285104377</v>
      </c>
      <c r="D897">
        <v>0.714056621278825</v>
      </c>
      <c r="E897">
        <v>0.583014299990197</v>
      </c>
      <c r="F897">
        <v>0.475548997758854</v>
      </c>
      <c r="G897">
        <v>0.256496631502018</v>
      </c>
      <c r="H897">
        <v>0.191015075779759</v>
      </c>
      <c r="I897">
        <v>0.152715145317565</v>
      </c>
      <c r="J897">
        <v>0.13707307453128</v>
      </c>
      <c r="K897">
        <v>0.109818112962244</v>
      </c>
      <c r="L897">
        <v>458.399728210406</v>
      </c>
      <c r="M897">
        <v>9.594279836180011</v>
      </c>
      <c r="N897">
        <v>48.3005547934564</v>
      </c>
      <c r="O897">
        <v>45.8410959323876</v>
      </c>
      <c r="P897">
        <v>-0.0497745997583963</v>
      </c>
      <c r="Q897">
        <v>0.0492572104578268</v>
      </c>
      <c r="R897">
        <v>0.989709763421656</v>
      </c>
      <c r="S897" t="s">
        <v>3090</v>
      </c>
      <c r="T897" t="s">
        <v>4362</v>
      </c>
      <c r="U897" t="s">
        <v>4362</v>
      </c>
      <c r="V897" t="s">
        <v>4362</v>
      </c>
      <c r="W897" t="s">
        <v>5256</v>
      </c>
      <c r="X897">
        <v>4</v>
      </c>
      <c r="Y897" t="s">
        <v>7418</v>
      </c>
      <c r="Z897" t="s">
        <v>9585</v>
      </c>
      <c r="AA897">
        <v>0.4317613807326015</v>
      </c>
      <c r="AB897">
        <f>HYPERLINK("Melting_Curves/meltCurve_P0AES2_gudD.pdf", "Melting_Curves/meltCurve_P0AES2_gudD.pdf")</f>
        <v>0</v>
      </c>
    </row>
    <row r="898" spans="1:28">
      <c r="A898" t="s">
        <v>924</v>
      </c>
      <c r="B898">
        <v>0.999739202189716</v>
      </c>
      <c r="C898">
        <v>1.62093254994143</v>
      </c>
      <c r="D898">
        <v>1.17033791482181</v>
      </c>
      <c r="E898">
        <v>1.49844095018061</v>
      </c>
      <c r="F898">
        <v>0.94414029589919</v>
      </c>
      <c r="G898">
        <v>0.593185603629044</v>
      </c>
      <c r="H898">
        <v>0.194311641318977</v>
      </c>
      <c r="I898">
        <v>0.124366952460941</v>
      </c>
      <c r="J898">
        <v>0.09459572983714599</v>
      </c>
      <c r="K898">
        <v>0.07794211153375789</v>
      </c>
      <c r="L898">
        <v>2142.45020972071</v>
      </c>
      <c r="M898">
        <v>39.6001301582402</v>
      </c>
      <c r="N898">
        <v>54.4009477835329</v>
      </c>
      <c r="O898">
        <v>53.9646832357955</v>
      </c>
      <c r="P898">
        <v>-0.165521755634543</v>
      </c>
      <c r="Q898">
        <v>0.09774944116036879</v>
      </c>
      <c r="R898">
        <v>0.79184270249051</v>
      </c>
      <c r="S898" t="s">
        <v>3091</v>
      </c>
      <c r="T898" t="s">
        <v>4362</v>
      </c>
      <c r="U898" t="s">
        <v>4362</v>
      </c>
      <c r="V898" t="s">
        <v>4362</v>
      </c>
      <c r="W898" t="s">
        <v>5257</v>
      </c>
      <c r="X898">
        <v>24</v>
      </c>
      <c r="Y898" t="s">
        <v>7419</v>
      </c>
      <c r="Z898" t="s">
        <v>9586</v>
      </c>
      <c r="AA898">
        <v>0.6155067269125346</v>
      </c>
      <c r="AB898">
        <f>HYPERLINK("Melting_Curves/meltCurve_P0AES4_gyrA.pdf", "Melting_Curves/meltCurve_P0AES4_gyrA.pdf")</f>
        <v>0</v>
      </c>
    </row>
    <row r="899" spans="1:28">
      <c r="A899" t="s">
        <v>925</v>
      </c>
      <c r="B899">
        <v>0.999739202189716</v>
      </c>
      <c r="C899">
        <v>0.968376202566961</v>
      </c>
      <c r="D899">
        <v>0.834014404115225</v>
      </c>
      <c r="E899">
        <v>0.427214569108418</v>
      </c>
      <c r="F899">
        <v>0.226547267892317</v>
      </c>
      <c r="G899">
        <v>0.1485666945834</v>
      </c>
      <c r="H899">
        <v>0.09714887727996099</v>
      </c>
      <c r="I899">
        <v>0.098269009134424</v>
      </c>
      <c r="J899">
        <v>0.0692458685734868</v>
      </c>
      <c r="K899">
        <v>0.07643443371763251</v>
      </c>
      <c r="L899">
        <v>990.06623064357</v>
      </c>
      <c r="M899">
        <v>21.6488461043598</v>
      </c>
      <c r="N899">
        <v>46.1495701010635</v>
      </c>
      <c r="O899">
        <v>45.3481456510656</v>
      </c>
      <c r="P899">
        <v>-0.108757724839856</v>
      </c>
      <c r="Q899">
        <v>0.0887567327726017</v>
      </c>
      <c r="R899">
        <v>0.997878612672972</v>
      </c>
      <c r="S899" t="s">
        <v>3092</v>
      </c>
      <c r="T899" t="s">
        <v>4362</v>
      </c>
      <c r="U899" t="s">
        <v>4362</v>
      </c>
      <c r="V899" t="s">
        <v>4362</v>
      </c>
      <c r="W899" t="s">
        <v>5258</v>
      </c>
      <c r="X899">
        <v>21</v>
      </c>
      <c r="Y899" t="s">
        <v>7420</v>
      </c>
      <c r="Z899" t="s">
        <v>9587</v>
      </c>
      <c r="AA899">
        <v>0.364147768078379</v>
      </c>
      <c r="AB899">
        <f>HYPERLINK("Melting_Curves/meltCurve_P0AES6_gyrB.pdf", "Melting_Curves/meltCurve_P0AES6_gyrB.pdf")</f>
        <v>0</v>
      </c>
    </row>
    <row r="900" spans="1:28">
      <c r="A900" t="s">
        <v>926</v>
      </c>
      <c r="B900">
        <v>0.999739202189716</v>
      </c>
      <c r="C900">
        <v>1.19353158495759</v>
      </c>
      <c r="D900">
        <v>0.692012052606324</v>
      </c>
      <c r="E900">
        <v>0.941749376000386</v>
      </c>
      <c r="F900">
        <v>0.821735384576879</v>
      </c>
      <c r="G900">
        <v>0.685298510376562</v>
      </c>
      <c r="H900">
        <v>0.413950221925427</v>
      </c>
      <c r="I900">
        <v>0.421109061353833</v>
      </c>
      <c r="J900">
        <v>0.275896765890118</v>
      </c>
      <c r="K900">
        <v>0.420336214397856</v>
      </c>
      <c r="L900">
        <v>721.863316537043</v>
      </c>
      <c r="M900">
        <v>13.5067208559672</v>
      </c>
      <c r="N900">
        <v>57.1247378121813</v>
      </c>
      <c r="O900">
        <v>52.3139968689683</v>
      </c>
      <c r="P900">
        <v>-0.0457996748433991</v>
      </c>
      <c r="Q900">
        <v>0.290545711318874</v>
      </c>
      <c r="R900">
        <v>0.823311920827513</v>
      </c>
      <c r="S900" t="s">
        <v>3093</v>
      </c>
      <c r="T900" t="s">
        <v>4362</v>
      </c>
      <c r="U900" t="s">
        <v>4362</v>
      </c>
      <c r="V900" t="s">
        <v>4362</v>
      </c>
      <c r="W900" t="s">
        <v>5259</v>
      </c>
      <c r="X900">
        <v>3</v>
      </c>
      <c r="Y900" t="s">
        <v>7421</v>
      </c>
      <c r="Z900" t="s">
        <v>9588</v>
      </c>
      <c r="AA900">
        <v>0.6926166964509138</v>
      </c>
      <c r="AB900">
        <f>HYPERLINK("Melting_Curves/meltCurve_P0AES9_hdeA.pdf", "Melting_Curves/meltCurve_P0AES9_hdeA.pdf")</f>
        <v>0</v>
      </c>
    </row>
    <row r="901" spans="1:28">
      <c r="A901" t="s">
        <v>927</v>
      </c>
      <c r="B901">
        <v>0.999739202189716</v>
      </c>
      <c r="C901">
        <v>1.31539500439759</v>
      </c>
      <c r="D901">
        <v>0.692796592156972</v>
      </c>
      <c r="E901">
        <v>1.0384735298927</v>
      </c>
      <c r="F901">
        <v>0.716983804204867</v>
      </c>
      <c r="G901">
        <v>0.590517842717351</v>
      </c>
      <c r="H901">
        <v>0.422077836631915</v>
      </c>
      <c r="I901">
        <v>0.38062820310953</v>
      </c>
      <c r="J901">
        <v>0.258558431017668</v>
      </c>
      <c r="K901">
        <v>0.395184990227608</v>
      </c>
      <c r="L901">
        <v>906.443621569103</v>
      </c>
      <c r="M901">
        <v>17.4097082564307</v>
      </c>
      <c r="N901">
        <v>55.2395767544654</v>
      </c>
      <c r="O901">
        <v>51.3930461914362</v>
      </c>
      <c r="P901">
        <v>-0.057919333815149</v>
      </c>
      <c r="Q901">
        <v>0.31613253980981</v>
      </c>
      <c r="R901">
        <v>0.798017590707837</v>
      </c>
      <c r="S901" t="s">
        <v>3094</v>
      </c>
      <c r="T901" t="s">
        <v>4362</v>
      </c>
      <c r="U901" t="s">
        <v>4362</v>
      </c>
      <c r="V901" t="s">
        <v>4362</v>
      </c>
      <c r="W901" t="s">
        <v>5260</v>
      </c>
      <c r="X901">
        <v>2</v>
      </c>
      <c r="Y901" t="s">
        <v>7422</v>
      </c>
      <c r="Z901" t="s">
        <v>9589</v>
      </c>
      <c r="AA901">
        <v>0.6703670316416681</v>
      </c>
      <c r="AB901">
        <f>HYPERLINK("Melting_Curves/meltCurve_P0AET2_hdeB.pdf", "Melting_Curves/meltCurve_P0AET2_hdeB.pdf")</f>
        <v>0</v>
      </c>
    </row>
    <row r="902" spans="1:28">
      <c r="A902" t="s">
        <v>928</v>
      </c>
      <c r="B902">
        <v>0.999739202189716</v>
      </c>
      <c r="C902">
        <v>1.03365776160304</v>
      </c>
      <c r="D902">
        <v>1.4282876342716</v>
      </c>
      <c r="E902">
        <v>1.05463111963995</v>
      </c>
      <c r="F902">
        <v>1.14062447428759</v>
      </c>
      <c r="G902">
        <v>0.892325672937616</v>
      </c>
      <c r="H902">
        <v>0.935770798795495</v>
      </c>
      <c r="I902">
        <v>1.22456268458793</v>
      </c>
      <c r="J902">
        <v>1.3145824064976</v>
      </c>
      <c r="K902">
        <v>0.684632635017287</v>
      </c>
      <c r="L902">
        <v>15000</v>
      </c>
      <c r="M902">
        <v>223.105328746795</v>
      </c>
      <c r="Q902">
        <v>0</v>
      </c>
      <c r="R902">
        <v>0.116692806246125</v>
      </c>
      <c r="S902" t="s">
        <v>3095</v>
      </c>
      <c r="T902" t="s">
        <v>4362</v>
      </c>
      <c r="U902" t="s">
        <v>4362</v>
      </c>
      <c r="V902" t="s">
        <v>4362</v>
      </c>
      <c r="W902" t="s">
        <v>5261</v>
      </c>
      <c r="X902">
        <v>2</v>
      </c>
      <c r="Y902" t="s">
        <v>7423</v>
      </c>
      <c r="Z902" t="s">
        <v>9590</v>
      </c>
      <c r="AA902">
        <v>0.9962575016690501</v>
      </c>
      <c r="AB902">
        <f>HYPERLINK("Melting_Curves/meltCurve_P0AET5_hdeD.pdf", "Melting_Curves/meltCurve_P0AET5_hdeD.pdf")</f>
        <v>0</v>
      </c>
    </row>
    <row r="903" spans="1:28">
      <c r="A903" t="s">
        <v>929</v>
      </c>
      <c r="B903">
        <v>0.999739202189716</v>
      </c>
      <c r="C903">
        <v>0.8379203101391181</v>
      </c>
      <c r="D903">
        <v>1.18730303474147</v>
      </c>
      <c r="E903">
        <v>0.96631179884105</v>
      </c>
      <c r="F903">
        <v>1.04416502769573</v>
      </c>
      <c r="G903">
        <v>0.954197862248224</v>
      </c>
      <c r="H903">
        <v>0.615114698743274</v>
      </c>
      <c r="I903">
        <v>0.321771337287725</v>
      </c>
      <c r="J903">
        <v>0.0962811362610308</v>
      </c>
      <c r="K903">
        <v>0.0748724730418012</v>
      </c>
      <c r="L903">
        <v>1598.20856755411</v>
      </c>
      <c r="M903">
        <v>27.280683994511</v>
      </c>
      <c r="N903">
        <v>58.7598775975856</v>
      </c>
      <c r="O903">
        <v>58.2718339752467</v>
      </c>
      <c r="P903">
        <v>-0.11245032791795</v>
      </c>
      <c r="Q903">
        <v>0.0392290389386539</v>
      </c>
      <c r="R903">
        <v>0.953483246201657</v>
      </c>
      <c r="S903" t="s">
        <v>3096</v>
      </c>
      <c r="T903" t="s">
        <v>4362</v>
      </c>
      <c r="U903" t="s">
        <v>4362</v>
      </c>
      <c r="V903" t="s">
        <v>4362</v>
      </c>
      <c r="W903" t="s">
        <v>5262</v>
      </c>
      <c r="X903">
        <v>13</v>
      </c>
      <c r="Y903" t="s">
        <v>7424</v>
      </c>
      <c r="Z903" t="s">
        <v>9591</v>
      </c>
      <c r="AA903">
        <v>0.7357663139870922</v>
      </c>
      <c r="AB903">
        <f>HYPERLINK("Melting_Curves/meltCurve_P0AET8_hdhA.pdf", "Melting_Curves/meltCurve_P0AET8_hdhA.pdf")</f>
        <v>0</v>
      </c>
    </row>
    <row r="904" spans="1:28">
      <c r="A904" t="s">
        <v>930</v>
      </c>
      <c r="B904">
        <v>0.999739202189716</v>
      </c>
      <c r="C904">
        <v>1.0416606640804</v>
      </c>
      <c r="D904">
        <v>0.913260393127044</v>
      </c>
      <c r="E904">
        <v>1.0735470320663</v>
      </c>
      <c r="F904">
        <v>0.917623792059406</v>
      </c>
      <c r="G904">
        <v>0.81754006687369</v>
      </c>
      <c r="H904">
        <v>0.762058615056636</v>
      </c>
      <c r="I904">
        <v>0.6938549959292371</v>
      </c>
      <c r="J904">
        <v>0.593789270556724</v>
      </c>
      <c r="K904">
        <v>0.716668730251293</v>
      </c>
      <c r="L904">
        <v>1132.97396086071</v>
      </c>
      <c r="M904">
        <v>21.0406868345407</v>
      </c>
      <c r="O904">
        <v>53.3675080805876</v>
      </c>
      <c r="P904">
        <v>-0.0335876502161738</v>
      </c>
      <c r="Q904">
        <v>0.65924285917878</v>
      </c>
      <c r="R904">
        <v>0.886370413181838</v>
      </c>
      <c r="S904" t="s">
        <v>3097</v>
      </c>
      <c r="T904" t="s">
        <v>4362</v>
      </c>
      <c r="U904" t="s">
        <v>4362</v>
      </c>
      <c r="V904" t="s">
        <v>4362</v>
      </c>
      <c r="W904" t="s">
        <v>5263</v>
      </c>
      <c r="X904">
        <v>18</v>
      </c>
      <c r="Y904" t="s">
        <v>7425</v>
      </c>
      <c r="Z904" t="s">
        <v>9592</v>
      </c>
      <c r="AA904">
        <v>0.8544748139760222</v>
      </c>
      <c r="AB904">
        <f>HYPERLINK("Melting_Curves/meltCurve_P0AEU0_hisJ.pdf", "Melting_Curves/meltCurve_P0AEU0_hisJ.pdf")</f>
        <v>0</v>
      </c>
    </row>
    <row r="905" spans="1:28">
      <c r="A905" t="s">
        <v>931</v>
      </c>
      <c r="B905">
        <v>0.999739202189716</v>
      </c>
      <c r="C905">
        <v>0.98587137670189</v>
      </c>
      <c r="D905">
        <v>1.16969832445813</v>
      </c>
      <c r="E905">
        <v>1.03397389076112</v>
      </c>
      <c r="F905">
        <v>0.977376183444767</v>
      </c>
      <c r="G905">
        <v>0.862448712009843</v>
      </c>
      <c r="H905">
        <v>0.710491210693588</v>
      </c>
      <c r="I905">
        <v>0.69682465616059</v>
      </c>
      <c r="J905">
        <v>0.637077105237031</v>
      </c>
      <c r="K905">
        <v>0.697983715053735</v>
      </c>
      <c r="L905">
        <v>1959.57075042991</v>
      </c>
      <c r="M905">
        <v>36.1243120539631</v>
      </c>
      <c r="O905">
        <v>54.0797761535704</v>
      </c>
      <c r="P905">
        <v>-0.0544377058274514</v>
      </c>
      <c r="Q905">
        <v>0.674017891017286</v>
      </c>
      <c r="R905">
        <v>0.890460096834001</v>
      </c>
      <c r="S905" t="s">
        <v>3098</v>
      </c>
      <c r="T905" t="s">
        <v>4362</v>
      </c>
      <c r="U905" t="s">
        <v>4362</v>
      </c>
      <c r="V905" t="s">
        <v>4362</v>
      </c>
      <c r="W905" t="s">
        <v>5264</v>
      </c>
      <c r="X905">
        <v>8</v>
      </c>
      <c r="Y905" t="s">
        <v>7426</v>
      </c>
      <c r="Z905" t="s">
        <v>9593</v>
      </c>
      <c r="AA905">
        <v>0.8628799998720249</v>
      </c>
      <c r="AB905">
        <f>HYPERLINK("Melting_Curves/meltCurve_P0AEU7_skp.pdf", "Melting_Curves/meltCurve_P0AEU7_skp.pdf")</f>
        <v>0</v>
      </c>
    </row>
    <row r="906" spans="1:28">
      <c r="A906" t="s">
        <v>932</v>
      </c>
      <c r="B906">
        <v>0.999739202189716</v>
      </c>
      <c r="C906">
        <v>0.798339868553827</v>
      </c>
      <c r="D906">
        <v>0.604006537535457</v>
      </c>
      <c r="E906">
        <v>0.345895760693496</v>
      </c>
      <c r="F906">
        <v>0.240174073549731</v>
      </c>
      <c r="G906">
        <v>0.166325783850214</v>
      </c>
      <c r="H906">
        <v>0.170695081888004</v>
      </c>
      <c r="I906">
        <v>0.115242327486499</v>
      </c>
      <c r="J906">
        <v>0.0845170931688176</v>
      </c>
      <c r="K906">
        <v>0.0914360978548308</v>
      </c>
      <c r="L906">
        <v>640.161139882892</v>
      </c>
      <c r="M906">
        <v>14.6531168434597</v>
      </c>
      <c r="N906">
        <v>44.4011982938344</v>
      </c>
      <c r="O906">
        <v>42.8982501460486</v>
      </c>
      <c r="P906">
        <v>-0.07644544047328029</v>
      </c>
      <c r="Q906">
        <v>0.104897259820235</v>
      </c>
      <c r="R906">
        <v>0.992253968507528</v>
      </c>
      <c r="S906" t="s">
        <v>3099</v>
      </c>
      <c r="T906" t="s">
        <v>4362</v>
      </c>
      <c r="U906" t="s">
        <v>4362</v>
      </c>
      <c r="V906" t="s">
        <v>4362</v>
      </c>
      <c r="W906" t="s">
        <v>5265</v>
      </c>
      <c r="X906">
        <v>1</v>
      </c>
      <c r="Y906" t="s">
        <v>7427</v>
      </c>
      <c r="Z906" t="s">
        <v>9594</v>
      </c>
      <c r="AA906">
        <v>0.3281844539098879</v>
      </c>
      <c r="AB906">
        <f>HYPERLINK("Melting_Curves/meltCurve_P0AEV1_rssB.pdf", "Melting_Curves/meltCurve_P0AEV1_rssB.pdf")</f>
        <v>0</v>
      </c>
    </row>
    <row r="907" spans="1:28">
      <c r="A907" t="s">
        <v>933</v>
      </c>
      <c r="B907">
        <v>0.999739202189716</v>
      </c>
      <c r="C907">
        <v>1.01193696216577</v>
      </c>
      <c r="D907">
        <v>0.846813880942951</v>
      </c>
      <c r="E907">
        <v>0.902119551448594</v>
      </c>
      <c r="F907">
        <v>0.9592565979387651</v>
      </c>
      <c r="G907">
        <v>0.66549169344833</v>
      </c>
      <c r="H907">
        <v>0.58585410224087</v>
      </c>
      <c r="I907">
        <v>0.522192484478476</v>
      </c>
      <c r="J907">
        <v>0.494379555867189</v>
      </c>
      <c r="K907">
        <v>0.601564826612206</v>
      </c>
      <c r="L907">
        <v>2188.65554965409</v>
      </c>
      <c r="M907">
        <v>41.6154140321479</v>
      </c>
      <c r="O907">
        <v>52.4714294649731</v>
      </c>
      <c r="P907">
        <v>-0.0900565566100292</v>
      </c>
      <c r="Q907">
        <v>0.545804161120058</v>
      </c>
      <c r="R907">
        <v>0.894320466970893</v>
      </c>
      <c r="S907" t="s">
        <v>3100</v>
      </c>
      <c r="T907" t="s">
        <v>4362</v>
      </c>
      <c r="U907" t="s">
        <v>4362</v>
      </c>
      <c r="V907" t="s">
        <v>4362</v>
      </c>
      <c r="W907" t="s">
        <v>5266</v>
      </c>
      <c r="X907">
        <v>1</v>
      </c>
      <c r="Y907" t="s">
        <v>7428</v>
      </c>
      <c r="Z907" t="s">
        <v>9595</v>
      </c>
      <c r="AA907">
        <v>0.78339187235654</v>
      </c>
      <c r="AB907">
        <f>HYPERLINK("Melting_Curves/meltCurve_P0AEV9_hycI.pdf", "Melting_Curves/meltCurve_P0AEV9_hycI.pdf")</f>
        <v>0</v>
      </c>
    </row>
    <row r="908" spans="1:28">
      <c r="A908" t="s">
        <v>934</v>
      </c>
      <c r="B908">
        <v>0.999739202189716</v>
      </c>
      <c r="C908">
        <v>0.788798874880233</v>
      </c>
      <c r="D908">
        <v>0.923683521182758</v>
      </c>
      <c r="E908">
        <v>0.777810173712437</v>
      </c>
      <c r="F908">
        <v>0.811148585689891</v>
      </c>
      <c r="G908">
        <v>0.75302987204996</v>
      </c>
      <c r="H908">
        <v>0.69325060252557</v>
      </c>
      <c r="I908">
        <v>0.686630849158371</v>
      </c>
      <c r="J908">
        <v>0.626004653591576</v>
      </c>
      <c r="K908">
        <v>0.403060667998999</v>
      </c>
      <c r="L908">
        <v>228.968852543469</v>
      </c>
      <c r="M908">
        <v>3.27669227810413</v>
      </c>
      <c r="O908">
        <v>53.4009379924155</v>
      </c>
      <c r="P908">
        <v>-0.0157058962957778</v>
      </c>
      <c r="Q908">
        <v>0</v>
      </c>
      <c r="R908">
        <v>0.783756780977046</v>
      </c>
      <c r="S908" t="s">
        <v>3101</v>
      </c>
      <c r="T908" t="s">
        <v>4362</v>
      </c>
      <c r="U908" t="s">
        <v>4362</v>
      </c>
      <c r="V908" t="s">
        <v>4362</v>
      </c>
      <c r="W908" t="s">
        <v>5267</v>
      </c>
      <c r="X908">
        <v>6</v>
      </c>
      <c r="Y908" t="s">
        <v>7429</v>
      </c>
      <c r="Z908" t="s">
        <v>9596</v>
      </c>
      <c r="AA908">
        <v>0.7513036751580738</v>
      </c>
      <c r="AB908">
        <f>HYPERLINK("Melting_Curves/meltCurve_P0AEW4_cpdA.pdf", "Melting_Curves/meltCurve_P0AEW4_cpdA.pdf")</f>
        <v>0</v>
      </c>
    </row>
    <row r="909" spans="1:28">
      <c r="A909" t="s">
        <v>935</v>
      </c>
      <c r="B909">
        <v>0.999739202189716</v>
      </c>
      <c r="C909">
        <v>0.75638809116133</v>
      </c>
      <c r="D909">
        <v>0.286532143685778</v>
      </c>
      <c r="E909">
        <v>0.310233965808477</v>
      </c>
      <c r="F909">
        <v>0.209421796607695</v>
      </c>
      <c r="G909">
        <v>0.162224617277468</v>
      </c>
      <c r="H909">
        <v>0.152171271498426</v>
      </c>
      <c r="I909">
        <v>0.122914022286869</v>
      </c>
      <c r="J909">
        <v>0.129350542678568</v>
      </c>
      <c r="K909">
        <v>0.133033258766645</v>
      </c>
      <c r="L909">
        <v>1319.27533506259</v>
      </c>
      <c r="M909">
        <v>32.2105754939695</v>
      </c>
      <c r="N909">
        <v>41.484934903666</v>
      </c>
      <c r="O909">
        <v>40.8009201456919</v>
      </c>
      <c r="P909">
        <v>-0.164221759244735</v>
      </c>
      <c r="Q909">
        <v>0.167929423518387</v>
      </c>
      <c r="R909">
        <v>0.9711198135814501</v>
      </c>
      <c r="S909" t="s">
        <v>3102</v>
      </c>
      <c r="T909" t="s">
        <v>4362</v>
      </c>
      <c r="U909" t="s">
        <v>4362</v>
      </c>
      <c r="V909" t="s">
        <v>4362</v>
      </c>
      <c r="W909" t="s">
        <v>5268</v>
      </c>
      <c r="X909">
        <v>3</v>
      </c>
      <c r="Y909" t="s">
        <v>7430</v>
      </c>
      <c r="Z909" t="s">
        <v>9597</v>
      </c>
      <c r="AA909">
        <v>0.28221009788491</v>
      </c>
      <c r="AB909">
        <f>HYPERLINK("Melting_Curves/meltCurve_P0AEW6_gsk.pdf", "Melting_Curves/meltCurve_P0AEW6_gsk.pdf")</f>
        <v>0</v>
      </c>
    </row>
    <row r="910" spans="1:28">
      <c r="A910" t="s">
        <v>936</v>
      </c>
      <c r="B910">
        <v>0.999739202189716</v>
      </c>
      <c r="C910">
        <v>0.752286283204218</v>
      </c>
      <c r="D910">
        <v>0.855176030734438</v>
      </c>
      <c r="E910">
        <v>0.589887569385238</v>
      </c>
      <c r="F910">
        <v>0.37983960526679</v>
      </c>
      <c r="G910">
        <v>0.240242812866774</v>
      </c>
      <c r="H910">
        <v>0.140671041428554</v>
      </c>
      <c r="I910">
        <v>0.136744619332049</v>
      </c>
      <c r="J910">
        <v>0.0885247219728074</v>
      </c>
      <c r="K910">
        <v>0.07580635905077859</v>
      </c>
      <c r="L910">
        <v>504.879913478501</v>
      </c>
      <c r="M910">
        <v>10.562038709731</v>
      </c>
      <c r="N910">
        <v>48.0266843484232</v>
      </c>
      <c r="O910">
        <v>46.1832409600563</v>
      </c>
      <c r="P910">
        <v>-0.0558146075496722</v>
      </c>
      <c r="Q910">
        <v>0.0241718397667694</v>
      </c>
      <c r="R910">
        <v>0.971990472687611</v>
      </c>
      <c r="S910" t="s">
        <v>3103</v>
      </c>
      <c r="T910" t="s">
        <v>4362</v>
      </c>
      <c r="U910" t="s">
        <v>4362</v>
      </c>
      <c r="V910" t="s">
        <v>4362</v>
      </c>
      <c r="W910" t="s">
        <v>5269</v>
      </c>
      <c r="X910">
        <v>4</v>
      </c>
      <c r="Y910" t="s">
        <v>7431</v>
      </c>
      <c r="Z910" t="s">
        <v>9598</v>
      </c>
      <c r="AA910">
        <v>0.4125063115561429</v>
      </c>
      <c r="AB910">
        <f>HYPERLINK("Melting_Curves/meltCurve_P0AEW9_fruK.pdf", "Melting_Curves/meltCurve_P0AEW9_fruK.pdf")</f>
        <v>0</v>
      </c>
    </row>
    <row r="911" spans="1:28">
      <c r="A911" t="s">
        <v>937</v>
      </c>
      <c r="B911">
        <v>0.999739202189716</v>
      </c>
      <c r="C911">
        <v>1.00562171039966</v>
      </c>
      <c r="D911">
        <v>0.609509586395278</v>
      </c>
      <c r="E911">
        <v>0.547138465146128</v>
      </c>
      <c r="F911">
        <v>0.3037972186955</v>
      </c>
      <c r="G911">
        <v>0.264243966832056</v>
      </c>
      <c r="H911">
        <v>0.211058699983393</v>
      </c>
      <c r="I911">
        <v>0.180083692406962</v>
      </c>
      <c r="J911">
        <v>0.145907196729378</v>
      </c>
      <c r="K911">
        <v>0.125029281625452</v>
      </c>
      <c r="L911">
        <v>640.484348913348</v>
      </c>
      <c r="M911">
        <v>14.1180008409015</v>
      </c>
      <c r="N911">
        <v>46.5316489170568</v>
      </c>
      <c r="O911">
        <v>44.4853942754096</v>
      </c>
      <c r="P911">
        <v>-0.0675361669008054</v>
      </c>
      <c r="Q911">
        <v>0.148891305623004</v>
      </c>
      <c r="R911">
        <v>0.966263283492323</v>
      </c>
      <c r="S911" t="s">
        <v>3104</v>
      </c>
      <c r="T911" t="s">
        <v>4362</v>
      </c>
      <c r="U911" t="s">
        <v>4362</v>
      </c>
      <c r="V911" t="s">
        <v>4362</v>
      </c>
      <c r="W911" t="s">
        <v>5270</v>
      </c>
      <c r="X911">
        <v>4</v>
      </c>
      <c r="Y911" t="s">
        <v>7432</v>
      </c>
      <c r="Z911" t="s">
        <v>9599</v>
      </c>
      <c r="AA911">
        <v>0.4087351152121752</v>
      </c>
      <c r="AB911">
        <f>HYPERLINK("Melting_Curves/meltCurve_P0AEX5_prkB.pdf", "Melting_Curves/meltCurve_P0AEX5_prkB.pdf")</f>
        <v>0</v>
      </c>
    </row>
    <row r="912" spans="1:28">
      <c r="A912" t="s">
        <v>938</v>
      </c>
      <c r="B912">
        <v>0.999739202189716</v>
      </c>
      <c r="C912">
        <v>0.893976857355381</v>
      </c>
      <c r="D912">
        <v>1.08489253390449</v>
      </c>
      <c r="E912">
        <v>0.89979454162299</v>
      </c>
      <c r="F912">
        <v>1.06361869868807</v>
      </c>
      <c r="G912">
        <v>0.912797991999219</v>
      </c>
      <c r="H912">
        <v>0.916886535657338</v>
      </c>
      <c r="I912">
        <v>0.653476501955758</v>
      </c>
      <c r="J912">
        <v>0.421010334779092</v>
      </c>
      <c r="K912">
        <v>0.267296556129134</v>
      </c>
      <c r="L912">
        <v>1429.17821911088</v>
      </c>
      <c r="M912">
        <v>22.9663181408953</v>
      </c>
      <c r="N912">
        <v>63.0090523497182</v>
      </c>
      <c r="O912">
        <v>61.7632688069455</v>
      </c>
      <c r="P912">
        <v>-0.08146384814282009</v>
      </c>
      <c r="Q912">
        <v>0.123694306990398</v>
      </c>
      <c r="R912">
        <v>0.94462488656983</v>
      </c>
      <c r="S912" t="s">
        <v>3105</v>
      </c>
      <c r="T912" t="s">
        <v>4362</v>
      </c>
      <c r="U912" t="s">
        <v>4362</v>
      </c>
      <c r="V912" t="s">
        <v>4362</v>
      </c>
      <c r="W912" t="s">
        <v>5271</v>
      </c>
      <c r="X912">
        <v>19</v>
      </c>
      <c r="Y912" t="s">
        <v>7433</v>
      </c>
      <c r="Z912" t="s">
        <v>9600</v>
      </c>
      <c r="AA912">
        <v>0.8540754163599509</v>
      </c>
      <c r="AB912">
        <f>HYPERLINK("Melting_Curves/meltCurve_P0AEX9_malE.pdf", "Melting_Curves/meltCurve_P0AEX9_malE.pdf")</f>
        <v>0</v>
      </c>
    </row>
    <row r="913" spans="1:28">
      <c r="A913" t="s">
        <v>939</v>
      </c>
      <c r="B913">
        <v>0.999739202189716</v>
      </c>
      <c r="C913">
        <v>1.32084749584415</v>
      </c>
      <c r="D913">
        <v>0.727805868881707</v>
      </c>
      <c r="E913">
        <v>0.8135118853771079</v>
      </c>
      <c r="F913">
        <v>0.53624944860653</v>
      </c>
      <c r="G913">
        <v>0.5168977946778049</v>
      </c>
      <c r="H913">
        <v>0.523210958399434</v>
      </c>
      <c r="I913">
        <v>0.566340042122666</v>
      </c>
      <c r="J913">
        <v>0.619557230805837</v>
      </c>
      <c r="K913">
        <v>0.628059195642261</v>
      </c>
      <c r="L913">
        <v>1115.09758237399</v>
      </c>
      <c r="M913">
        <v>24.7153002067395</v>
      </c>
      <c r="O913">
        <v>44.8254442771169</v>
      </c>
      <c r="P913">
        <v>-0.0596886962708974</v>
      </c>
      <c r="Q913">
        <v>0.566983265636537</v>
      </c>
      <c r="R913">
        <v>0.714973127289058</v>
      </c>
      <c r="S913" t="s">
        <v>3106</v>
      </c>
      <c r="T913" t="s">
        <v>4362</v>
      </c>
      <c r="U913" t="s">
        <v>4362</v>
      </c>
      <c r="V913" t="s">
        <v>4362</v>
      </c>
      <c r="W913" t="s">
        <v>5272</v>
      </c>
      <c r="X913">
        <v>2</v>
      </c>
      <c r="Y913" t="s">
        <v>7434</v>
      </c>
      <c r="Z913" t="s">
        <v>9601</v>
      </c>
      <c r="AA913">
        <v>0.6877969926530874</v>
      </c>
      <c r="AB913">
        <f>HYPERLINK("Melting_Curves/meltCurve_P0AEY1_marC.pdf", "Melting_Curves/meltCurve_P0AEY1_marC.pdf")</f>
        <v>0</v>
      </c>
    </row>
    <row r="914" spans="1:28">
      <c r="A914" t="s">
        <v>940</v>
      </c>
      <c r="B914">
        <v>0.999739202189716</v>
      </c>
      <c r="C914">
        <v>0.905345332167578</v>
      </c>
      <c r="D914">
        <v>0.628290801093035</v>
      </c>
      <c r="E914">
        <v>0.602019128860161</v>
      </c>
      <c r="F914">
        <v>0.4028937150544</v>
      </c>
      <c r="G914">
        <v>0.31608112480381</v>
      </c>
      <c r="H914">
        <v>0.278138819689985</v>
      </c>
      <c r="I914">
        <v>0.232034275343195</v>
      </c>
      <c r="J914">
        <v>0.240299093890173</v>
      </c>
      <c r="K914">
        <v>0.262262562717181</v>
      </c>
      <c r="L914">
        <v>548.267564506216</v>
      </c>
      <c r="M914">
        <v>12.1505141705495</v>
      </c>
      <c r="N914">
        <v>47.4682707754922</v>
      </c>
      <c r="O914">
        <v>43.9529083127952</v>
      </c>
      <c r="P914">
        <v>-0.0535260813998906</v>
      </c>
      <c r="Q914">
        <v>0.225682990722753</v>
      </c>
      <c r="R914">
        <v>0.974653971760984</v>
      </c>
      <c r="S914" t="s">
        <v>3107</v>
      </c>
      <c r="T914" t="s">
        <v>4362</v>
      </c>
      <c r="U914" t="s">
        <v>4362</v>
      </c>
      <c r="V914" t="s">
        <v>4362</v>
      </c>
      <c r="W914" t="s">
        <v>5273</v>
      </c>
      <c r="X914">
        <v>5</v>
      </c>
      <c r="Y914" t="s">
        <v>7435</v>
      </c>
      <c r="Z914" t="s">
        <v>9602</v>
      </c>
      <c r="AA914">
        <v>0.4626907625944998</v>
      </c>
      <c r="AB914">
        <f>HYPERLINK("Melting_Curves/meltCurve_P0AEY3_mazG.pdf", "Melting_Curves/meltCurve_P0AEY3_mazG.pdf")</f>
        <v>0</v>
      </c>
    </row>
    <row r="915" spans="1:28">
      <c r="A915" t="s">
        <v>941</v>
      </c>
      <c r="B915">
        <v>0.999739202189716</v>
      </c>
      <c r="C915">
        <v>0.88595884028396</v>
      </c>
      <c r="D915">
        <v>1.04500433779358</v>
      </c>
      <c r="E915">
        <v>1.05480039268454</v>
      </c>
      <c r="F915">
        <v>1.00964217281312</v>
      </c>
      <c r="G915">
        <v>0.808171650576627</v>
      </c>
      <c r="H915">
        <v>0.611322416433725</v>
      </c>
      <c r="I915">
        <v>0.536940907988178</v>
      </c>
      <c r="J915">
        <v>0.50699630481804</v>
      </c>
      <c r="K915">
        <v>0.429583761998914</v>
      </c>
      <c r="L915">
        <v>1506.66872757368</v>
      </c>
      <c r="M915">
        <v>27.2618262826472</v>
      </c>
      <c r="N915">
        <v>61.7002858440094</v>
      </c>
      <c r="O915">
        <v>54.9718018796205</v>
      </c>
      <c r="P915">
        <v>-0.0656032795825074</v>
      </c>
      <c r="Q915">
        <v>0.470865073877614</v>
      </c>
      <c r="R915">
        <v>0.955692464028816</v>
      </c>
      <c r="S915" t="s">
        <v>3108</v>
      </c>
      <c r="T915" t="s">
        <v>4362</v>
      </c>
      <c r="U915" t="s">
        <v>4362</v>
      </c>
      <c r="V915" t="s">
        <v>4362</v>
      </c>
      <c r="W915" t="s">
        <v>5274</v>
      </c>
      <c r="X915">
        <v>4</v>
      </c>
      <c r="Y915" t="s">
        <v>7436</v>
      </c>
      <c r="Z915" t="s">
        <v>9603</v>
      </c>
      <c r="AA915">
        <v>0.7969595486368857</v>
      </c>
      <c r="AB915">
        <f>HYPERLINK("Melting_Curves/meltCurve_P0AEY5_mdaB.pdf", "Melting_Curves/meltCurve_P0AEY5_mdaB.pdf")</f>
        <v>0</v>
      </c>
    </row>
    <row r="916" spans="1:28">
      <c r="A916" t="s">
        <v>942</v>
      </c>
      <c r="B916">
        <v>0.999739202189716</v>
      </c>
      <c r="C916">
        <v>0.898274023929352</v>
      </c>
      <c r="D916">
        <v>0.894837818189782</v>
      </c>
      <c r="E916">
        <v>0.767278160056951</v>
      </c>
      <c r="F916">
        <v>0.596477871632114</v>
      </c>
      <c r="G916">
        <v>0.397889516819652</v>
      </c>
      <c r="H916">
        <v>0.27317865293352</v>
      </c>
      <c r="I916">
        <v>0.184406159848313</v>
      </c>
      <c r="J916">
        <v>0.134170371677185</v>
      </c>
      <c r="K916">
        <v>0.104723113864511</v>
      </c>
      <c r="L916">
        <v>520.275855713345</v>
      </c>
      <c r="M916">
        <v>10.04215000377</v>
      </c>
      <c r="N916">
        <v>51.8783294051529</v>
      </c>
      <c r="O916">
        <v>49.8804833280425</v>
      </c>
      <c r="P916">
        <v>-0.0500205237818187</v>
      </c>
      <c r="Q916">
        <v>0.00664523999386992</v>
      </c>
      <c r="R916">
        <v>0.996420896049707</v>
      </c>
      <c r="S916" t="s">
        <v>3109</v>
      </c>
      <c r="T916" t="s">
        <v>4362</v>
      </c>
      <c r="U916" t="s">
        <v>4362</v>
      </c>
      <c r="V916" t="s">
        <v>4362</v>
      </c>
      <c r="W916" t="s">
        <v>5275</v>
      </c>
      <c r="X916">
        <v>13</v>
      </c>
      <c r="Y916" t="s">
        <v>7437</v>
      </c>
      <c r="Z916" t="s">
        <v>9604</v>
      </c>
      <c r="AA916">
        <v>0.5241826438913149</v>
      </c>
      <c r="AB916">
        <f>HYPERLINK("Melting_Curves/meltCurve_P0AEZ3_minD.pdf", "Melting_Curves/meltCurve_P0AEZ3_minD.pdf")</f>
        <v>0</v>
      </c>
    </row>
    <row r="917" spans="1:28">
      <c r="A917" t="s">
        <v>943</v>
      </c>
      <c r="B917">
        <v>0.999739202189716</v>
      </c>
      <c r="C917">
        <v>1.00356468875297</v>
      </c>
      <c r="D917">
        <v>1.01578697973781</v>
      </c>
      <c r="E917">
        <v>0.958815316142986</v>
      </c>
      <c r="F917">
        <v>0.8324277998055331</v>
      </c>
      <c r="G917">
        <v>0.723998971416617</v>
      </c>
      <c r="H917">
        <v>0.611592424144224</v>
      </c>
      <c r="I917">
        <v>0.564861346537931</v>
      </c>
      <c r="J917">
        <v>0.529272909649013</v>
      </c>
      <c r="K917">
        <v>0.393091173477637</v>
      </c>
      <c r="L917">
        <v>622.140132163689</v>
      </c>
      <c r="M917">
        <v>11.1900734249949</v>
      </c>
      <c r="N917">
        <v>62.8634872639089</v>
      </c>
      <c r="O917">
        <v>53.9105895814307</v>
      </c>
      <c r="P917">
        <v>-0.0330743410590317</v>
      </c>
      <c r="Q917">
        <v>0.362830185160223</v>
      </c>
      <c r="R917">
        <v>0.980826711406165</v>
      </c>
      <c r="S917" t="s">
        <v>3110</v>
      </c>
      <c r="T917" t="s">
        <v>4362</v>
      </c>
      <c r="U917" t="s">
        <v>4362</v>
      </c>
      <c r="V917" t="s">
        <v>4362</v>
      </c>
      <c r="W917" t="s">
        <v>5276</v>
      </c>
      <c r="X917">
        <v>6</v>
      </c>
      <c r="Y917" t="s">
        <v>7438</v>
      </c>
      <c r="Z917" t="s">
        <v>9605</v>
      </c>
      <c r="AA917">
        <v>0.7646671480524518</v>
      </c>
      <c r="AB917">
        <f>HYPERLINK("Melting_Curves/meltCurve_P0AEZ9_moaB.pdf", "Melting_Curves/meltCurve_P0AEZ9_moaB.pdf")</f>
        <v>0</v>
      </c>
    </row>
    <row r="918" spans="1:28">
      <c r="A918" t="s">
        <v>944</v>
      </c>
      <c r="B918">
        <v>0.999739202189716</v>
      </c>
      <c r="C918">
        <v>1.08972905877401</v>
      </c>
      <c r="D918">
        <v>0.5631221566243561</v>
      </c>
      <c r="E918">
        <v>0.523535468049442</v>
      </c>
      <c r="F918">
        <v>0.309154370563227</v>
      </c>
      <c r="G918">
        <v>0.215191227193999</v>
      </c>
      <c r="H918">
        <v>0.148150619418512</v>
      </c>
      <c r="I918">
        <v>0.159224077632001</v>
      </c>
      <c r="J918">
        <v>0.0997753605178479</v>
      </c>
      <c r="K918">
        <v>0.102601974824357</v>
      </c>
      <c r="L918">
        <v>681.663719440928</v>
      </c>
      <c r="M918">
        <v>15.014259319796</v>
      </c>
      <c r="N918">
        <v>46.2301850402444</v>
      </c>
      <c r="O918">
        <v>44.6185317195833</v>
      </c>
      <c r="P918">
        <v>-0.07420377096835019</v>
      </c>
      <c r="Q918">
        <v>0.118030394645873</v>
      </c>
      <c r="R918">
        <v>0.941920329341881</v>
      </c>
      <c r="S918" t="s">
        <v>3111</v>
      </c>
      <c r="T918" t="s">
        <v>4362</v>
      </c>
      <c r="U918" t="s">
        <v>4362</v>
      </c>
      <c r="V918" t="s">
        <v>4362</v>
      </c>
      <c r="W918" t="s">
        <v>5277</v>
      </c>
      <c r="X918">
        <v>1</v>
      </c>
      <c r="Y918" t="s">
        <v>7439</v>
      </c>
      <c r="Z918" t="s">
        <v>9606</v>
      </c>
      <c r="AA918">
        <v>0.3856720627392309</v>
      </c>
      <c r="AB918">
        <f>HYPERLINK("Melting_Curves/meltCurve_P0AF01_modB.pdf", "Melting_Curves/meltCurve_P0AF01_modB.pdf")</f>
        <v>0</v>
      </c>
    </row>
    <row r="919" spans="1:28">
      <c r="A919" t="s">
        <v>945</v>
      </c>
      <c r="B919">
        <v>0.999739202189716</v>
      </c>
      <c r="C919">
        <v>0.866913475562313</v>
      </c>
      <c r="D919">
        <v>1.08856438061977</v>
      </c>
      <c r="E919">
        <v>1.06598547480919</v>
      </c>
      <c r="F919">
        <v>1.15919000403639</v>
      </c>
      <c r="G919">
        <v>1.03838853180772</v>
      </c>
      <c r="H919">
        <v>1.01530017435714</v>
      </c>
      <c r="I919">
        <v>0.896528770051362</v>
      </c>
      <c r="J919">
        <v>0.816246520086068</v>
      </c>
      <c r="K919">
        <v>0.522757945881668</v>
      </c>
      <c r="L919">
        <v>1797.56282167532</v>
      </c>
      <c r="M919">
        <v>26.7076994260067</v>
      </c>
      <c r="O919">
        <v>66.9311027902047</v>
      </c>
      <c r="P919">
        <v>-0.0997592090943315</v>
      </c>
      <c r="Q919">
        <v>0</v>
      </c>
      <c r="R919">
        <v>0.800428160356934</v>
      </c>
      <c r="S919" t="s">
        <v>3112</v>
      </c>
      <c r="T919" t="s">
        <v>4362</v>
      </c>
      <c r="U919" t="s">
        <v>4362</v>
      </c>
      <c r="V919" t="s">
        <v>4362</v>
      </c>
      <c r="W919" t="s">
        <v>5278</v>
      </c>
      <c r="X919">
        <v>4</v>
      </c>
      <c r="Y919" t="s">
        <v>7440</v>
      </c>
      <c r="Z919" t="s">
        <v>9607</v>
      </c>
      <c r="AA919">
        <v>0.9513251622174592</v>
      </c>
      <c r="AB919">
        <f>HYPERLINK("Melting_Curves/meltCurve_P0AF03_mog.pdf", "Melting_Curves/meltCurve_P0AF03_mog.pdf")</f>
        <v>0</v>
      </c>
    </row>
    <row r="920" spans="1:28">
      <c r="A920" t="s">
        <v>946</v>
      </c>
      <c r="B920">
        <v>0.999739202189716</v>
      </c>
      <c r="C920">
        <v>1.00858608731461</v>
      </c>
      <c r="D920">
        <v>0.990777748230469</v>
      </c>
      <c r="E920">
        <v>0.827505480075496</v>
      </c>
      <c r="F920">
        <v>0.763812619290394</v>
      </c>
      <c r="G920">
        <v>0.511955658977182</v>
      </c>
      <c r="H920">
        <v>0.462498403649679</v>
      </c>
      <c r="I920">
        <v>0.33052083766098</v>
      </c>
      <c r="J920">
        <v>0.279351114941684</v>
      </c>
      <c r="K920">
        <v>0.187979933614387</v>
      </c>
      <c r="L920">
        <v>581.702985521054</v>
      </c>
      <c r="M920">
        <v>10.7700160653145</v>
      </c>
      <c r="N920">
        <v>55.4578338665986</v>
      </c>
      <c r="O920">
        <v>52.2492000107032</v>
      </c>
      <c r="P920">
        <v>-0.0452382902726862</v>
      </c>
      <c r="Q920">
        <v>0.122452644670712</v>
      </c>
      <c r="R920">
        <v>0.987513719473944</v>
      </c>
      <c r="S920" t="s">
        <v>3113</v>
      </c>
      <c r="T920" t="s">
        <v>4362</v>
      </c>
      <c r="U920" t="s">
        <v>4362</v>
      </c>
      <c r="V920" t="s">
        <v>4362</v>
      </c>
      <c r="W920" t="s">
        <v>5279</v>
      </c>
      <c r="X920">
        <v>1</v>
      </c>
      <c r="Y920" t="s">
        <v>7441</v>
      </c>
      <c r="Z920" t="s">
        <v>9608</v>
      </c>
      <c r="AA920">
        <v>0.6357616917801576</v>
      </c>
      <c r="AB920">
        <f>HYPERLINK("Melting_Curves/meltCurve_P0AF06_motB.pdf", "Melting_Curves/meltCurve_P0AF06_motB.pdf")</f>
        <v>0</v>
      </c>
    </row>
    <row r="921" spans="1:28">
      <c r="A921" t="s">
        <v>947</v>
      </c>
      <c r="B921">
        <v>0.999739202189716</v>
      </c>
      <c r="C921">
        <v>0.824271406107432</v>
      </c>
      <c r="D921">
        <v>1.03946550695495</v>
      </c>
      <c r="E921">
        <v>0.477077201843802</v>
      </c>
      <c r="F921">
        <v>0.31990652091779</v>
      </c>
      <c r="G921">
        <v>0.125352440184096</v>
      </c>
      <c r="H921">
        <v>0.0904457092783664</v>
      </c>
      <c r="I921">
        <v>0.0664027345500515</v>
      </c>
      <c r="J921">
        <v>0.0603015113477735</v>
      </c>
      <c r="K921">
        <v>0.0566707867924271</v>
      </c>
      <c r="L921">
        <v>1025.67739741651</v>
      </c>
      <c r="M921">
        <v>21.8493166976545</v>
      </c>
      <c r="N921">
        <v>47.2641236111526</v>
      </c>
      <c r="O921">
        <v>46.555301120651</v>
      </c>
      <c r="P921">
        <v>-0.109244507662267</v>
      </c>
      <c r="Q921">
        <v>0.06893302841307269</v>
      </c>
      <c r="R921">
        <v>0.958537011763237</v>
      </c>
      <c r="S921" t="s">
        <v>3114</v>
      </c>
      <c r="T921" t="s">
        <v>4362</v>
      </c>
      <c r="U921" t="s">
        <v>4362</v>
      </c>
      <c r="V921" t="s">
        <v>4362</v>
      </c>
      <c r="W921" t="s">
        <v>5280</v>
      </c>
      <c r="X921">
        <v>7</v>
      </c>
      <c r="Y921" t="s">
        <v>7442</v>
      </c>
      <c r="Z921" t="s">
        <v>9609</v>
      </c>
      <c r="AA921">
        <v>0.3877594851777705</v>
      </c>
      <c r="AB921">
        <f>HYPERLINK("Melting_Curves/meltCurve_P0AF08_mrp.pdf", "Melting_Curves/meltCurve_P0AF08_mrp.pdf")</f>
        <v>0</v>
      </c>
    </row>
    <row r="922" spans="1:28">
      <c r="A922" t="s">
        <v>948</v>
      </c>
      <c r="B922">
        <v>0.999739202189716</v>
      </c>
      <c r="C922">
        <v>0.801264413838054</v>
      </c>
      <c r="D922">
        <v>1.09745483512331</v>
      </c>
      <c r="E922">
        <v>0.960352462235726</v>
      </c>
      <c r="F922">
        <v>0.881263322691224</v>
      </c>
      <c r="G922">
        <v>0.650382335593496</v>
      </c>
      <c r="H922">
        <v>0.187407618741163</v>
      </c>
      <c r="I922">
        <v>0.0728402734931899</v>
      </c>
      <c r="J922">
        <v>0.0535779126461038</v>
      </c>
      <c r="K922">
        <v>0.048180895878456</v>
      </c>
      <c r="L922">
        <v>1619.09651925797</v>
      </c>
      <c r="M922">
        <v>29.6732637276004</v>
      </c>
      <c r="N922">
        <v>54.6976341163991</v>
      </c>
      <c r="O922">
        <v>54.3181165970682</v>
      </c>
      <c r="P922">
        <v>-0.131802545326796</v>
      </c>
      <c r="Q922">
        <v>0.0349265197162717</v>
      </c>
      <c r="R922">
        <v>0.967856431545258</v>
      </c>
      <c r="S922" t="s">
        <v>3115</v>
      </c>
      <c r="T922" t="s">
        <v>4362</v>
      </c>
      <c r="U922" t="s">
        <v>4362</v>
      </c>
      <c r="V922" t="s">
        <v>4362</v>
      </c>
      <c r="W922" t="s">
        <v>5281</v>
      </c>
      <c r="X922">
        <v>1</v>
      </c>
      <c r="Y922" t="s">
        <v>7443</v>
      </c>
      <c r="Z922" t="s">
        <v>9610</v>
      </c>
      <c r="AA922">
        <v>0.6062196102289316</v>
      </c>
      <c r="AB922">
        <f>HYPERLINK("Melting_Curves/meltCurve_P0AF12_mtnN.pdf", "Melting_Curves/meltCurve_P0AF12_mtnN.pdf")</f>
        <v>0</v>
      </c>
    </row>
    <row r="923" spans="1:28">
      <c r="A923" t="s">
        <v>949</v>
      </c>
      <c r="B923">
        <v>0.999739202189716</v>
      </c>
      <c r="C923">
        <v>0.892115566457314</v>
      </c>
      <c r="D923">
        <v>0.509973209531987</v>
      </c>
      <c r="E923">
        <v>0.556930324403442</v>
      </c>
      <c r="F923">
        <v>0.375753639168786</v>
      </c>
      <c r="G923">
        <v>0.209232825347694</v>
      </c>
      <c r="H923">
        <v>0.174074082855428</v>
      </c>
      <c r="I923">
        <v>0.0645255483496919</v>
      </c>
      <c r="J923">
        <v>0.0576355326379917</v>
      </c>
      <c r="K923">
        <v>0.0502883604119762</v>
      </c>
      <c r="L923">
        <v>435.686185834951</v>
      </c>
      <c r="M923">
        <v>9.363290354467271</v>
      </c>
      <c r="N923">
        <v>46.5312951422548</v>
      </c>
      <c r="O923">
        <v>44.5568218098894</v>
      </c>
      <c r="P923">
        <v>-0.0525685078700128</v>
      </c>
      <c r="Q923">
        <v>0</v>
      </c>
      <c r="R923">
        <v>0.954789750468273</v>
      </c>
      <c r="S923" t="s">
        <v>3116</v>
      </c>
      <c r="T923" t="s">
        <v>4362</v>
      </c>
      <c r="U923" t="s">
        <v>4362</v>
      </c>
      <c r="V923" t="s">
        <v>4362</v>
      </c>
      <c r="W923" t="s">
        <v>5282</v>
      </c>
      <c r="X923">
        <v>5</v>
      </c>
      <c r="Y923" t="s">
        <v>7444</v>
      </c>
      <c r="Z923" t="s">
        <v>9611</v>
      </c>
      <c r="AA923">
        <v>0.3666411092748884</v>
      </c>
      <c r="AB923">
        <f>HYPERLINK("Melting_Curves/meltCurve_P0AF18_nagA.pdf", "Melting_Curves/meltCurve_P0AF18_nagA.pdf")</f>
        <v>0</v>
      </c>
    </row>
    <row r="924" spans="1:28">
      <c r="A924" t="s">
        <v>950</v>
      </c>
      <c r="B924">
        <v>0.999739202189716</v>
      </c>
      <c r="C924">
        <v>0.863638842968152</v>
      </c>
      <c r="D924">
        <v>0.808252835496036</v>
      </c>
      <c r="E924">
        <v>0.408752162033811</v>
      </c>
      <c r="F924">
        <v>0.311264304460851</v>
      </c>
      <c r="G924">
        <v>0.213557856277579</v>
      </c>
      <c r="H924">
        <v>0.171958758640663</v>
      </c>
      <c r="I924">
        <v>0.146996742956667</v>
      </c>
      <c r="J924">
        <v>0.152966327017273</v>
      </c>
      <c r="K924">
        <v>0.124890095542273</v>
      </c>
      <c r="L924">
        <v>756.555592821923</v>
      </c>
      <c r="M924">
        <v>16.7272844189327</v>
      </c>
      <c r="N924">
        <v>46.1535205353855</v>
      </c>
      <c r="O924">
        <v>44.5972469767678</v>
      </c>
      <c r="P924">
        <v>-0.08042346619993219</v>
      </c>
      <c r="Q924">
        <v>0.142376278035199</v>
      </c>
      <c r="R924">
        <v>0.988044959014823</v>
      </c>
      <c r="S924" t="s">
        <v>3117</v>
      </c>
      <c r="T924" t="s">
        <v>4362</v>
      </c>
      <c r="U924" t="s">
        <v>4362</v>
      </c>
      <c r="V924" t="s">
        <v>4362</v>
      </c>
      <c r="W924" t="s">
        <v>5283</v>
      </c>
      <c r="X924">
        <v>12</v>
      </c>
      <c r="Y924" t="s">
        <v>7445</v>
      </c>
      <c r="Z924" t="s">
        <v>9612</v>
      </c>
      <c r="AA924">
        <v>0.393884817943708</v>
      </c>
      <c r="AB924">
        <f>HYPERLINK("Melting_Curves/meltCurve_P0AF20_nagC.pdf", "Melting_Curves/meltCurve_P0AF20_nagC.pdf")</f>
        <v>0</v>
      </c>
    </row>
    <row r="925" spans="1:28">
      <c r="A925" t="s">
        <v>951</v>
      </c>
      <c r="B925">
        <v>0.999739202189716</v>
      </c>
      <c r="C925">
        <v>0.829947966258716</v>
      </c>
      <c r="D925">
        <v>0.557175207915076</v>
      </c>
      <c r="E925">
        <v>0.555840993854656</v>
      </c>
      <c r="F925">
        <v>0.433862315533656</v>
      </c>
      <c r="G925">
        <v>0.300682888852975</v>
      </c>
      <c r="H925">
        <v>0.295329581171522</v>
      </c>
      <c r="I925">
        <v>0.246449350149232</v>
      </c>
      <c r="J925">
        <v>0.268504077795051</v>
      </c>
      <c r="K925">
        <v>0.204111224788977</v>
      </c>
      <c r="L925">
        <v>476.68382059826</v>
      </c>
      <c r="M925">
        <v>10.7738429263279</v>
      </c>
      <c r="N925">
        <v>46.7656110154322</v>
      </c>
      <c r="O925">
        <v>42.8020473326475</v>
      </c>
      <c r="P925">
        <v>-0.0490846851108569</v>
      </c>
      <c r="Q925">
        <v>0.220275835117458</v>
      </c>
      <c r="R925">
        <v>0.958376063737636</v>
      </c>
      <c r="S925" t="s">
        <v>3118</v>
      </c>
      <c r="T925" t="s">
        <v>4362</v>
      </c>
      <c r="U925" t="s">
        <v>4362</v>
      </c>
      <c r="V925" t="s">
        <v>4362</v>
      </c>
      <c r="W925" t="s">
        <v>5284</v>
      </c>
      <c r="X925">
        <v>5</v>
      </c>
      <c r="Y925" t="s">
        <v>7446</v>
      </c>
      <c r="Z925" t="s">
        <v>9613</v>
      </c>
      <c r="AA925">
        <v>0.444569889870705</v>
      </c>
      <c r="AB925">
        <f>HYPERLINK("Melting_Curves/meltCurve_P0AF24_nagD.pdf", "Melting_Curves/meltCurve_P0AF24_nagD.pdf")</f>
        <v>0</v>
      </c>
    </row>
    <row r="926" spans="1:28">
      <c r="A926" t="s">
        <v>952</v>
      </c>
      <c r="B926">
        <v>0.999739202189716</v>
      </c>
      <c r="C926">
        <v>0.964787708103763</v>
      </c>
      <c r="D926">
        <v>0.858012880158703</v>
      </c>
      <c r="E926">
        <v>0.927931973554275</v>
      </c>
      <c r="F926">
        <v>1.20854963897542</v>
      </c>
      <c r="G926">
        <v>0.880777463703394</v>
      </c>
      <c r="H926">
        <v>1.04607494873292</v>
      </c>
      <c r="I926">
        <v>1.15994781809899</v>
      </c>
      <c r="J926">
        <v>1.12663833289268</v>
      </c>
      <c r="K926">
        <v>0.888118051817786</v>
      </c>
      <c r="L926">
        <v>14273.536173969</v>
      </c>
      <c r="M926">
        <v>250</v>
      </c>
      <c r="O926">
        <v>57.0905073251556</v>
      </c>
      <c r="P926">
        <v>0.06375268365412411</v>
      </c>
      <c r="Q926">
        <v>1.05823475225401</v>
      </c>
      <c r="R926">
        <v>0.0850940938466207</v>
      </c>
      <c r="S926" t="s">
        <v>3119</v>
      </c>
      <c r="T926" t="s">
        <v>4362</v>
      </c>
      <c r="U926" t="s">
        <v>4362</v>
      </c>
      <c r="V926" t="s">
        <v>4362</v>
      </c>
      <c r="W926" t="s">
        <v>5285</v>
      </c>
      <c r="X926">
        <v>2</v>
      </c>
      <c r="Y926" t="s">
        <v>7447</v>
      </c>
      <c r="Z926" t="s">
        <v>9614</v>
      </c>
      <c r="AA926">
        <v>1.019222999233187</v>
      </c>
      <c r="AB926">
        <f>HYPERLINK("Melting_Curves/meltCurve_P0AF26_narJ.pdf", "Melting_Curves/meltCurve_P0AF26_narJ.pdf")</f>
        <v>0</v>
      </c>
    </row>
    <row r="927" spans="1:28">
      <c r="A927" t="s">
        <v>953</v>
      </c>
      <c r="B927">
        <v>0.999739202189716</v>
      </c>
      <c r="C927">
        <v>0.996053921661907</v>
      </c>
      <c r="D927">
        <v>0.972974987367753</v>
      </c>
      <c r="E927">
        <v>0.916935837198143</v>
      </c>
      <c r="F927">
        <v>1.01068017094343</v>
      </c>
      <c r="G927">
        <v>0.843017905645128</v>
      </c>
      <c r="H927">
        <v>0.863689206011883</v>
      </c>
      <c r="I927">
        <v>0.698234290675136</v>
      </c>
      <c r="J927">
        <v>0.382598086638647</v>
      </c>
      <c r="K927">
        <v>0.15908860191475</v>
      </c>
      <c r="L927">
        <v>1363.72490776056</v>
      </c>
      <c r="M927">
        <v>21.7500584641316</v>
      </c>
      <c r="N927">
        <v>62.6998271673185</v>
      </c>
      <c r="O927">
        <v>62.1770207311191</v>
      </c>
      <c r="P927">
        <v>-0.08745419978714861</v>
      </c>
      <c r="Q927">
        <v>0</v>
      </c>
      <c r="R927">
        <v>0.96175512321336</v>
      </c>
      <c r="S927" t="s">
        <v>3120</v>
      </c>
      <c r="T927" t="s">
        <v>4362</v>
      </c>
      <c r="U927" t="s">
        <v>4362</v>
      </c>
      <c r="V927" t="s">
        <v>4362</v>
      </c>
      <c r="W927" t="s">
        <v>5286</v>
      </c>
      <c r="X927">
        <v>8</v>
      </c>
      <c r="Y927" t="s">
        <v>7448</v>
      </c>
      <c r="Z927" t="s">
        <v>9615</v>
      </c>
      <c r="AA927">
        <v>0.8443730077251016</v>
      </c>
      <c r="AB927">
        <f>HYPERLINK("Melting_Curves/meltCurve_P0AF28_narL.pdf", "Melting_Curves/meltCurve_P0AF28_narL.pdf")</f>
        <v>0</v>
      </c>
    </row>
    <row r="928" spans="1:28">
      <c r="A928" t="s">
        <v>954</v>
      </c>
      <c r="B928">
        <v>0.999739202189716</v>
      </c>
      <c r="C928">
        <v>1.00283900286533</v>
      </c>
      <c r="D928">
        <v>0.642005102620032</v>
      </c>
      <c r="E928">
        <v>1.11912482066231</v>
      </c>
      <c r="F928">
        <v>0.955005538799074</v>
      </c>
      <c r="G928">
        <v>0.784369180426155</v>
      </c>
      <c r="H928">
        <v>0.664640437847988</v>
      </c>
      <c r="I928">
        <v>0.744406805830929</v>
      </c>
      <c r="J928">
        <v>0.516375656126921</v>
      </c>
      <c r="K928">
        <v>0.575340619730634</v>
      </c>
      <c r="L928">
        <v>354.809079262734</v>
      </c>
      <c r="M928">
        <v>5.13853519864186</v>
      </c>
      <c r="O928">
        <v>60.6421934554295</v>
      </c>
      <c r="P928">
        <v>-0.0213020064080386</v>
      </c>
      <c r="Q928">
        <v>0</v>
      </c>
      <c r="R928">
        <v>0.566904704490909</v>
      </c>
      <c r="S928" t="s">
        <v>3121</v>
      </c>
      <c r="T928" t="s">
        <v>4362</v>
      </c>
      <c r="U928" t="s">
        <v>4362</v>
      </c>
      <c r="V928" t="s">
        <v>4362</v>
      </c>
      <c r="W928" t="s">
        <v>5287</v>
      </c>
      <c r="X928">
        <v>3</v>
      </c>
      <c r="Y928" t="s">
        <v>7449</v>
      </c>
      <c r="Z928" t="s">
        <v>9616</v>
      </c>
      <c r="AA928">
        <v>0.8144010504961999</v>
      </c>
      <c r="AB928">
        <f>HYPERLINK("Melting_Curves/meltCurve_P0AF36_zapB.pdf", "Melting_Curves/meltCurve_P0AF36_zapB.pdf")</f>
        <v>0</v>
      </c>
    </row>
    <row r="929" spans="1:28">
      <c r="A929" t="s">
        <v>955</v>
      </c>
      <c r="B929">
        <v>0.999739202189716</v>
      </c>
      <c r="C929">
        <v>0.989352682252276</v>
      </c>
      <c r="D929">
        <v>0.845435400594868</v>
      </c>
      <c r="E929">
        <v>0.719034600745128</v>
      </c>
      <c r="F929">
        <v>0.457244268811359</v>
      </c>
      <c r="G929">
        <v>0.261148091963271</v>
      </c>
      <c r="H929">
        <v>0.200485150492265</v>
      </c>
      <c r="I929">
        <v>0.176196225781872</v>
      </c>
      <c r="J929">
        <v>0.157205457148719</v>
      </c>
      <c r="K929">
        <v>0.0629928110498261</v>
      </c>
      <c r="L929">
        <v>688.111779245645</v>
      </c>
      <c r="M929">
        <v>14.0974455431099</v>
      </c>
      <c r="N929">
        <v>49.5482017188186</v>
      </c>
      <c r="O929">
        <v>47.8604086235976</v>
      </c>
      <c r="P929">
        <v>-0.0666811604831743</v>
      </c>
      <c r="Q929">
        <v>0.0945943918641875</v>
      </c>
      <c r="R929">
        <v>0.993277300710911</v>
      </c>
      <c r="S929" t="s">
        <v>3122</v>
      </c>
      <c r="T929" t="s">
        <v>4362</v>
      </c>
      <c r="U929" t="s">
        <v>4362</v>
      </c>
      <c r="V929" t="s">
        <v>4362</v>
      </c>
      <c r="W929" t="s">
        <v>5288</v>
      </c>
      <c r="X929">
        <v>3</v>
      </c>
      <c r="Y929" t="s">
        <v>7450</v>
      </c>
      <c r="Z929" t="s">
        <v>9617</v>
      </c>
      <c r="AA929">
        <v>0.4726137367185524</v>
      </c>
      <c r="AB929">
        <f>HYPERLINK("Melting_Curves/meltCurve_P0AF48_yjbQ.pdf", "Melting_Curves/meltCurve_P0AF48_yjbQ.pdf")</f>
        <v>0</v>
      </c>
    </row>
    <row r="930" spans="1:28">
      <c r="A930" t="s">
        <v>956</v>
      </c>
      <c r="B930">
        <v>0.999739202189716</v>
      </c>
      <c r="C930">
        <v>1.04887367280305</v>
      </c>
      <c r="D930">
        <v>0.900274687545747</v>
      </c>
      <c r="E930">
        <v>1.07368397595793</v>
      </c>
      <c r="F930">
        <v>0.970130847430859</v>
      </c>
      <c r="G930">
        <v>0.8293814411702209</v>
      </c>
      <c r="H930">
        <v>0.7732979327478881</v>
      </c>
      <c r="I930">
        <v>0.760062715439095</v>
      </c>
      <c r="J930">
        <v>0.622603642024011</v>
      </c>
      <c r="K930">
        <v>0.618893253527026</v>
      </c>
      <c r="L930">
        <v>801.909535326317</v>
      </c>
      <c r="M930">
        <v>13.9975834336712</v>
      </c>
      <c r="O930">
        <v>56.1578682193244</v>
      </c>
      <c r="P930">
        <v>-0.0265854179493804</v>
      </c>
      <c r="Q930">
        <v>0.573417009581919</v>
      </c>
      <c r="R930">
        <v>0.8907270895282819</v>
      </c>
      <c r="S930" t="s">
        <v>3123</v>
      </c>
      <c r="T930" t="s">
        <v>4362</v>
      </c>
      <c r="U930" t="s">
        <v>4362</v>
      </c>
      <c r="V930" t="s">
        <v>4362</v>
      </c>
      <c r="W930" t="s">
        <v>5289</v>
      </c>
      <c r="X930">
        <v>5</v>
      </c>
      <c r="Y930" t="s">
        <v>7451</v>
      </c>
      <c r="Z930" t="s">
        <v>9618</v>
      </c>
      <c r="AA930">
        <v>0.8645559869383403</v>
      </c>
      <c r="AB930">
        <f>HYPERLINK("Melting_Curves/meltCurve_P0AF50_yjbR.pdf", "Melting_Curves/meltCurve_P0AF50_yjbR.pdf")</f>
        <v>0</v>
      </c>
    </row>
    <row r="931" spans="1:28">
      <c r="A931" t="s">
        <v>957</v>
      </c>
      <c r="B931">
        <v>0.999739202189716</v>
      </c>
      <c r="C931">
        <v>1.11973020171196</v>
      </c>
      <c r="D931">
        <v>0.709360867865015</v>
      </c>
      <c r="E931">
        <v>0.875550374721252</v>
      </c>
      <c r="F931">
        <v>0.748376576407099</v>
      </c>
      <c r="G931">
        <v>0.623422231110923</v>
      </c>
      <c r="H931">
        <v>0.641280661156554</v>
      </c>
      <c r="I931">
        <v>0.709472829827674</v>
      </c>
      <c r="J931">
        <v>0.535918203380886</v>
      </c>
      <c r="K931">
        <v>0.466337751077017</v>
      </c>
      <c r="L931">
        <v>384.464513242303</v>
      </c>
      <c r="M931">
        <v>7.48508247478735</v>
      </c>
      <c r="O931">
        <v>48.0811193596862</v>
      </c>
      <c r="P931">
        <v>-0.0212775689051297</v>
      </c>
      <c r="Q931">
        <v>0.454077007840617</v>
      </c>
      <c r="R931">
        <v>0.746033742333332</v>
      </c>
      <c r="S931" t="s">
        <v>3124</v>
      </c>
      <c r="T931" t="s">
        <v>4362</v>
      </c>
      <c r="U931" t="s">
        <v>4362</v>
      </c>
      <c r="V931" t="s">
        <v>4362</v>
      </c>
      <c r="W931" t="s">
        <v>5290</v>
      </c>
      <c r="X931">
        <v>5</v>
      </c>
      <c r="Y931" t="s">
        <v>7452</v>
      </c>
      <c r="Z931" t="s">
        <v>9619</v>
      </c>
      <c r="AA931">
        <v>0.7336408619209034</v>
      </c>
      <c r="AB931">
        <f>HYPERLINK("Melting_Curves/meltCurve_P0AF54_yjcH.pdf", "Melting_Curves/meltCurve_P0AF54_yjcH.pdf")</f>
        <v>0</v>
      </c>
    </row>
    <row r="932" spans="1:28">
      <c r="A932" t="s">
        <v>958</v>
      </c>
      <c r="B932">
        <v>0.999739202189716</v>
      </c>
      <c r="C932">
        <v>0.807234608207513</v>
      </c>
      <c r="D932">
        <v>0.778946207536315</v>
      </c>
      <c r="E932">
        <v>0.545603886141829</v>
      </c>
      <c r="F932">
        <v>0.611533375941349</v>
      </c>
      <c r="G932">
        <v>0.341317900499626</v>
      </c>
      <c r="H932">
        <v>0.280545610492251</v>
      </c>
      <c r="I932">
        <v>0.252760113022818</v>
      </c>
      <c r="J932">
        <v>0.281558612461879</v>
      </c>
      <c r="K932">
        <v>0.282337683577997</v>
      </c>
      <c r="L932">
        <v>435.260089363239</v>
      </c>
      <c r="M932">
        <v>9.29422049780907</v>
      </c>
      <c r="N932">
        <v>49.6153588192998</v>
      </c>
      <c r="O932">
        <v>44.8164800852271</v>
      </c>
      <c r="P932">
        <v>-0.0413377348880175</v>
      </c>
      <c r="Q932">
        <v>0.203194467916872</v>
      </c>
      <c r="R932">
        <v>0.946012797679161</v>
      </c>
      <c r="S932" t="s">
        <v>3125</v>
      </c>
      <c r="T932" t="s">
        <v>4362</v>
      </c>
      <c r="U932" t="s">
        <v>4362</v>
      </c>
      <c r="V932" t="s">
        <v>4362</v>
      </c>
      <c r="W932" t="s">
        <v>5291</v>
      </c>
      <c r="X932">
        <v>1</v>
      </c>
      <c r="Y932" t="s">
        <v>7453</v>
      </c>
      <c r="Z932" t="s">
        <v>9620</v>
      </c>
      <c r="AA932">
        <v>0.5027975349359544</v>
      </c>
      <c r="AB932">
        <f>HYPERLINK("Melting_Curves/meltCurve_P0AF56_yjcO.pdf", "Melting_Curves/meltCurve_P0AF56_yjcO.pdf")</f>
        <v>0</v>
      </c>
    </row>
    <row r="933" spans="1:28">
      <c r="A933" t="s">
        <v>959</v>
      </c>
      <c r="B933">
        <v>0.999739202189716</v>
      </c>
      <c r="C933">
        <v>0.916409667592687</v>
      </c>
      <c r="D933">
        <v>0.933684320744285</v>
      </c>
      <c r="E933">
        <v>1.07885712763587</v>
      </c>
      <c r="F933">
        <v>0.84811199451501</v>
      </c>
      <c r="G933">
        <v>0.795364815098309</v>
      </c>
      <c r="H933">
        <v>0.647210819333242</v>
      </c>
      <c r="I933">
        <v>0.540183690140372</v>
      </c>
      <c r="J933">
        <v>0.526550249095034</v>
      </c>
      <c r="K933">
        <v>0.508723696288387</v>
      </c>
      <c r="L933">
        <v>944.8155666357439</v>
      </c>
      <c r="M933">
        <v>17.3014892883663</v>
      </c>
      <c r="O933">
        <v>53.8950409292049</v>
      </c>
      <c r="P933">
        <v>-0.041329672150898</v>
      </c>
      <c r="Q933">
        <v>0.485053364926857</v>
      </c>
      <c r="R933">
        <v>0.9353347436435731</v>
      </c>
      <c r="S933" t="s">
        <v>3126</v>
      </c>
      <c r="T933" t="s">
        <v>4362</v>
      </c>
      <c r="U933" t="s">
        <v>4362</v>
      </c>
      <c r="V933" t="s">
        <v>4362</v>
      </c>
      <c r="W933" t="s">
        <v>5292</v>
      </c>
      <c r="X933">
        <v>2</v>
      </c>
      <c r="Y933" t="s">
        <v>7454</v>
      </c>
      <c r="Z933" t="s">
        <v>9621</v>
      </c>
      <c r="AA933">
        <v>0.7942819811138263</v>
      </c>
      <c r="AB933">
        <f>HYPERLINK("Melting_Curves/meltCurve_P0AF59_yjdI.pdf", "Melting_Curves/meltCurve_P0AF59_yjdI.pdf")</f>
        <v>0</v>
      </c>
    </row>
    <row r="934" spans="1:28">
      <c r="A934" t="s">
        <v>960</v>
      </c>
      <c r="B934">
        <v>0.999739202189716</v>
      </c>
      <c r="C934">
        <v>0.961484410494811</v>
      </c>
      <c r="D934">
        <v>1.02227652307561</v>
      </c>
      <c r="E934">
        <v>0.691798799162496</v>
      </c>
      <c r="F934">
        <v>0.506813363358541</v>
      </c>
      <c r="G934">
        <v>0.298330226934373</v>
      </c>
      <c r="H934">
        <v>0.205075407661509</v>
      </c>
      <c r="I934">
        <v>0.159412955124073</v>
      </c>
      <c r="J934">
        <v>0.131429926643471</v>
      </c>
      <c r="K934">
        <v>0.127645626333251</v>
      </c>
      <c r="L934">
        <v>828.034792017726</v>
      </c>
      <c r="M934">
        <v>16.8325448829311</v>
      </c>
      <c r="N934">
        <v>50.0415797954242</v>
      </c>
      <c r="O934">
        <v>48.5139207325186</v>
      </c>
      <c r="P934">
        <v>-0.0759707702189267</v>
      </c>
      <c r="Q934">
        <v>0.124219623742524</v>
      </c>
      <c r="R934">
        <v>0.989456874286101</v>
      </c>
      <c r="S934" t="s">
        <v>3127</v>
      </c>
      <c r="T934" t="s">
        <v>4362</v>
      </c>
      <c r="U934" t="s">
        <v>4362</v>
      </c>
      <c r="V934" t="s">
        <v>4362</v>
      </c>
      <c r="W934" t="s">
        <v>5293</v>
      </c>
      <c r="X934">
        <v>2</v>
      </c>
      <c r="Y934" t="s">
        <v>7455</v>
      </c>
      <c r="Z934" t="s">
        <v>9622</v>
      </c>
      <c r="AA934">
        <v>0.4957294034656227</v>
      </c>
      <c r="AB934">
        <f>HYPERLINK("Melting_Curves/meltCurve_P0AF63_nsrR.pdf", "Melting_Curves/meltCurve_P0AF63_nsrR.pdf")</f>
        <v>0</v>
      </c>
    </row>
    <row r="935" spans="1:28">
      <c r="A935" t="s">
        <v>961</v>
      </c>
      <c r="B935">
        <v>0.999739202189716</v>
      </c>
      <c r="C935">
        <v>1.15069859675431</v>
      </c>
      <c r="D935">
        <v>0.904676944085915</v>
      </c>
      <c r="E935">
        <v>1.11878753899373</v>
      </c>
      <c r="F935">
        <v>0.863524683840533</v>
      </c>
      <c r="G935">
        <v>0.691769103647668</v>
      </c>
      <c r="H935">
        <v>0.550787940498868</v>
      </c>
      <c r="I935">
        <v>0.367967696723352</v>
      </c>
      <c r="J935">
        <v>0.255901721320743</v>
      </c>
      <c r="K935">
        <v>0.265003037753671</v>
      </c>
      <c r="L935">
        <v>949.9282393825021</v>
      </c>
      <c r="M935">
        <v>17.0111671272379</v>
      </c>
      <c r="N935">
        <v>57.6665937091768</v>
      </c>
      <c r="O935">
        <v>55.086897313943</v>
      </c>
      <c r="P935">
        <v>-0.061135018872435</v>
      </c>
      <c r="Q935">
        <v>0.208159953591651</v>
      </c>
      <c r="R935">
        <v>0.945650798894121</v>
      </c>
      <c r="S935" t="s">
        <v>3128</v>
      </c>
      <c r="T935" t="s">
        <v>4362</v>
      </c>
      <c r="U935" t="s">
        <v>4362</v>
      </c>
      <c r="V935" t="s">
        <v>4362</v>
      </c>
      <c r="W935" t="s">
        <v>5294</v>
      </c>
      <c r="X935">
        <v>1</v>
      </c>
      <c r="Y935" t="s">
        <v>7456</v>
      </c>
      <c r="Z935" t="s">
        <v>9623</v>
      </c>
      <c r="AA935">
        <v>0.7146772855726574</v>
      </c>
      <c r="AB935">
        <f>HYPERLINK("Melting_Curves/meltCurve_P0AF67_tsaE.pdf", "Melting_Curves/meltCurve_P0AF67_tsaE.pdf")</f>
        <v>0</v>
      </c>
    </row>
    <row r="936" spans="1:28">
      <c r="A936" t="s">
        <v>962</v>
      </c>
      <c r="B936">
        <v>0.999739202189716</v>
      </c>
      <c r="C936">
        <v>0.948049353855913</v>
      </c>
      <c r="D936">
        <v>0.602367316142465</v>
      </c>
      <c r="E936">
        <v>0.873446555299058</v>
      </c>
      <c r="F936">
        <v>0.799345396046876</v>
      </c>
      <c r="G936">
        <v>0.6379185354857601</v>
      </c>
      <c r="H936">
        <v>0.517841118710695</v>
      </c>
      <c r="I936">
        <v>0.507828439101357</v>
      </c>
      <c r="J936">
        <v>0.373136742146435</v>
      </c>
      <c r="K936">
        <v>0.446862157629708</v>
      </c>
      <c r="L936">
        <v>255.61393934587</v>
      </c>
      <c r="M936">
        <v>4.21443749269494</v>
      </c>
      <c r="N936">
        <v>60.6519718608441</v>
      </c>
      <c r="O936">
        <v>50.5970023640815</v>
      </c>
      <c r="P936">
        <v>-0.021049607114476</v>
      </c>
      <c r="Q936">
        <v>0</v>
      </c>
      <c r="R936">
        <v>0.7859226885395389</v>
      </c>
      <c r="S936" t="s">
        <v>3129</v>
      </c>
      <c r="T936" t="s">
        <v>4362</v>
      </c>
      <c r="U936" t="s">
        <v>4362</v>
      </c>
      <c r="V936" t="s">
        <v>4362</v>
      </c>
      <c r="W936" t="s">
        <v>5295</v>
      </c>
      <c r="X936">
        <v>2</v>
      </c>
      <c r="Y936" t="s">
        <v>7457</v>
      </c>
      <c r="Z936" t="s">
        <v>9624</v>
      </c>
      <c r="AA936">
        <v>0.6703771912819811</v>
      </c>
      <c r="AB936">
        <f>HYPERLINK("Melting_Curves/meltCurve_P0AF70_yjeI.pdf", "Melting_Curves/meltCurve_P0AF70_yjeI.pdf")</f>
        <v>0</v>
      </c>
    </row>
    <row r="937" spans="1:28">
      <c r="A937" t="s">
        <v>963</v>
      </c>
      <c r="B937">
        <v>0.999739202189716</v>
      </c>
      <c r="C937">
        <v>1.07533650013725</v>
      </c>
      <c r="D937">
        <v>1.05911390096082</v>
      </c>
      <c r="E937">
        <v>1.1579115683347</v>
      </c>
      <c r="F937">
        <v>0.99950144351401</v>
      </c>
      <c r="G937">
        <v>1.00463498674211</v>
      </c>
      <c r="H937">
        <v>0.824198422481882</v>
      </c>
      <c r="I937">
        <v>0.9047290333075479</v>
      </c>
      <c r="J937">
        <v>0.70992757905196</v>
      </c>
      <c r="K937">
        <v>1.00107441537878</v>
      </c>
      <c r="L937">
        <v>13831.0572905223</v>
      </c>
      <c r="M937">
        <v>250</v>
      </c>
      <c r="O937">
        <v>55.3207116224379</v>
      </c>
      <c r="P937">
        <v>-0.158190961731441</v>
      </c>
      <c r="Q937">
        <v>0.8599802724073971</v>
      </c>
      <c r="R937">
        <v>0.472306486481875</v>
      </c>
      <c r="S937" t="s">
        <v>3130</v>
      </c>
      <c r="T937" t="s">
        <v>4362</v>
      </c>
      <c r="U937" t="s">
        <v>4362</v>
      </c>
      <c r="V937" t="s">
        <v>4362</v>
      </c>
      <c r="W937" t="s">
        <v>5296</v>
      </c>
      <c r="X937">
        <v>1</v>
      </c>
      <c r="Y937" t="s">
        <v>7458</v>
      </c>
      <c r="Z937" t="s">
        <v>9625</v>
      </c>
      <c r="AA937">
        <v>0.945518986552711</v>
      </c>
      <c r="AB937">
        <f>HYPERLINK("Melting_Curves/meltCurve_P0AF90_rraB.pdf", "Melting_Curves/meltCurve_P0AF90_rraB.pdf")</f>
        <v>0</v>
      </c>
    </row>
    <row r="938" spans="1:28">
      <c r="A938" t="s">
        <v>964</v>
      </c>
      <c r="B938">
        <v>0.999739202189716</v>
      </c>
      <c r="C938">
        <v>1.00909427146728</v>
      </c>
      <c r="D938">
        <v>0.885364375660221</v>
      </c>
      <c r="E938">
        <v>1.10084687903075</v>
      </c>
      <c r="F938">
        <v>0.88069589402782</v>
      </c>
      <c r="G938">
        <v>0.790055339932667</v>
      </c>
      <c r="H938">
        <v>0.707863889317406</v>
      </c>
      <c r="I938">
        <v>0.709416769046899</v>
      </c>
      <c r="J938">
        <v>0.539141352648987</v>
      </c>
      <c r="K938">
        <v>0.6484461710592599</v>
      </c>
      <c r="L938">
        <v>1017.88979233206</v>
      </c>
      <c r="M938">
        <v>18.9595368803314</v>
      </c>
      <c r="O938">
        <v>53.1009145421335</v>
      </c>
      <c r="P938">
        <v>-0.0347831919726097</v>
      </c>
      <c r="Q938">
        <v>0.610339635965703</v>
      </c>
      <c r="R938">
        <v>0.8565363011556359</v>
      </c>
      <c r="S938" t="s">
        <v>3131</v>
      </c>
      <c r="T938" t="s">
        <v>4362</v>
      </c>
      <c r="U938" t="s">
        <v>4362</v>
      </c>
      <c r="V938" t="s">
        <v>4362</v>
      </c>
      <c r="W938" t="s">
        <v>5297</v>
      </c>
      <c r="X938">
        <v>7</v>
      </c>
      <c r="Y938" t="s">
        <v>7459</v>
      </c>
      <c r="Z938" t="s">
        <v>9626</v>
      </c>
      <c r="AA938">
        <v>0.8322132801013318</v>
      </c>
      <c r="AB938">
        <f>HYPERLINK("Melting_Curves/meltCurve_P0AF93_ridA.pdf", "Melting_Curves/meltCurve_P0AF93_ridA.pdf")</f>
        <v>0</v>
      </c>
    </row>
    <row r="939" spans="1:28">
      <c r="A939" t="s">
        <v>965</v>
      </c>
      <c r="B939">
        <v>0.999739202189716</v>
      </c>
      <c r="C939">
        <v>1.06315331372904</v>
      </c>
      <c r="D939">
        <v>0.962350363573596</v>
      </c>
      <c r="E939">
        <v>1.12282359066336</v>
      </c>
      <c r="F939">
        <v>1.06353696064924</v>
      </c>
      <c r="G939">
        <v>1.00912662399086</v>
      </c>
      <c r="H939">
        <v>0.902298518202609</v>
      </c>
      <c r="I939">
        <v>0.717725931976541</v>
      </c>
      <c r="J939">
        <v>0.490927702144919</v>
      </c>
      <c r="K939">
        <v>0.304604103670285</v>
      </c>
      <c r="L939">
        <v>1442.5150261171</v>
      </c>
      <c r="M939">
        <v>22.8944499686262</v>
      </c>
      <c r="N939">
        <v>63.8611769479382</v>
      </c>
      <c r="O939">
        <v>62.532394412836</v>
      </c>
      <c r="P939">
        <v>-0.0794623134610136</v>
      </c>
      <c r="Q939">
        <v>0.131864037232251</v>
      </c>
      <c r="R939">
        <v>0.961374488926251</v>
      </c>
      <c r="S939" t="s">
        <v>3132</v>
      </c>
      <c r="T939" t="s">
        <v>4362</v>
      </c>
      <c r="U939" t="s">
        <v>4362</v>
      </c>
      <c r="V939" t="s">
        <v>4362</v>
      </c>
      <c r="W939" t="s">
        <v>5298</v>
      </c>
      <c r="X939">
        <v>1</v>
      </c>
      <c r="Y939" t="s">
        <v>7460</v>
      </c>
      <c r="Z939" t="s">
        <v>9627</v>
      </c>
      <c r="AA939">
        <v>0.8733532986276005</v>
      </c>
      <c r="AB939">
        <f>HYPERLINK("Melting_Curves/meltCurve_P0AF96_tabA.pdf", "Melting_Curves/meltCurve_P0AF96_tabA.pdf")</f>
        <v>0</v>
      </c>
    </row>
    <row r="940" spans="1:28">
      <c r="A940" t="s">
        <v>966</v>
      </c>
      <c r="B940">
        <v>0.999739202189716</v>
      </c>
      <c r="C940">
        <v>0.72933669711611</v>
      </c>
      <c r="D940">
        <v>0.551823821648493</v>
      </c>
      <c r="E940">
        <v>0.435260475185523</v>
      </c>
      <c r="F940">
        <v>0.382328203628381</v>
      </c>
      <c r="G940">
        <v>0.274112929445811</v>
      </c>
      <c r="H940">
        <v>0.271096251921104</v>
      </c>
      <c r="I940">
        <v>0.23420593611253</v>
      </c>
      <c r="J940">
        <v>0.228321277355724</v>
      </c>
      <c r="K940">
        <v>0.194356699298767</v>
      </c>
      <c r="L940">
        <v>540.969734035683</v>
      </c>
      <c r="M940">
        <v>12.6780434220882</v>
      </c>
      <c r="N940">
        <v>44.7738959829053</v>
      </c>
      <c r="O940">
        <v>41.6499714068989</v>
      </c>
      <c r="P940">
        <v>-0.0590309802506848</v>
      </c>
      <c r="Q940">
        <v>0.224435571895569</v>
      </c>
      <c r="R940">
        <v>0.9703036362383179</v>
      </c>
      <c r="S940" t="s">
        <v>3133</v>
      </c>
      <c r="T940" t="s">
        <v>4362</v>
      </c>
      <c r="U940" t="s">
        <v>4362</v>
      </c>
      <c r="V940" t="s">
        <v>4362</v>
      </c>
      <c r="W940" t="s">
        <v>5299</v>
      </c>
      <c r="X940">
        <v>3</v>
      </c>
      <c r="Y940" t="s">
        <v>7461</v>
      </c>
      <c r="Z940" t="s">
        <v>9628</v>
      </c>
      <c r="AA940">
        <v>0.4007711393793335</v>
      </c>
      <c r="AB940">
        <f>HYPERLINK("Melting_Curves/meltCurve_P0AF98_lptF.pdf", "Melting_Curves/meltCurve_P0AF98_lptF.pdf")</f>
        <v>0</v>
      </c>
    </row>
    <row r="941" spans="1:28">
      <c r="A941" t="s">
        <v>967</v>
      </c>
      <c r="B941">
        <v>0.999739202189716</v>
      </c>
      <c r="C941">
        <v>1.03403046154693</v>
      </c>
      <c r="D941">
        <v>0.7373036936963629</v>
      </c>
      <c r="E941">
        <v>0.466256147264163</v>
      </c>
      <c r="F941">
        <v>0.330645930481472</v>
      </c>
      <c r="G941">
        <v>0.230475232595819</v>
      </c>
      <c r="H941">
        <v>0.201451620745862</v>
      </c>
      <c r="I941">
        <v>0.1427487495706</v>
      </c>
      <c r="J941">
        <v>0.14173104872957</v>
      </c>
      <c r="K941">
        <v>0.1008023509937</v>
      </c>
      <c r="L941">
        <v>777.606650550316</v>
      </c>
      <c r="M941">
        <v>17.0370349548007</v>
      </c>
      <c r="N941">
        <v>46.5668766973494</v>
      </c>
      <c r="O941">
        <v>45.0272277304358</v>
      </c>
      <c r="P941">
        <v>-0.0810220292361056</v>
      </c>
      <c r="Q941">
        <v>0.143519072584696</v>
      </c>
      <c r="R941">
        <v>0.98385621377009</v>
      </c>
      <c r="S941" t="s">
        <v>3134</v>
      </c>
      <c r="T941" t="s">
        <v>4362</v>
      </c>
      <c r="U941" t="s">
        <v>4362</v>
      </c>
      <c r="V941" t="s">
        <v>4362</v>
      </c>
      <c r="W941" t="s">
        <v>5300</v>
      </c>
      <c r="X941">
        <v>3</v>
      </c>
      <c r="Y941" t="s">
        <v>7462</v>
      </c>
      <c r="Z941" t="s">
        <v>9629</v>
      </c>
      <c r="AA941">
        <v>0.4057715522082729</v>
      </c>
      <c r="AB941">
        <f>HYPERLINK("Melting_Curves/meltCurve_P0AFA2_narX.pdf", "Melting_Curves/meltCurve_P0AFA2_narX.pdf")</f>
        <v>0</v>
      </c>
    </row>
    <row r="942" spans="1:28">
      <c r="A942" t="s">
        <v>968</v>
      </c>
      <c r="B942">
        <v>0.999739202189716</v>
      </c>
      <c r="C942">
        <v>1.41120248342238</v>
      </c>
      <c r="D942">
        <v>0.5224639191052129</v>
      </c>
      <c r="E942">
        <v>0.442389170827116</v>
      </c>
      <c r="F942">
        <v>0.196854750546656</v>
      </c>
      <c r="G942">
        <v>0.135252177652213</v>
      </c>
      <c r="H942">
        <v>0.108896832509415</v>
      </c>
      <c r="I942">
        <v>0.0925705269436909</v>
      </c>
      <c r="J942">
        <v>0.0737908372324859</v>
      </c>
      <c r="K942">
        <v>0.0678329679957024</v>
      </c>
      <c r="L942">
        <v>1076.19515128933</v>
      </c>
      <c r="M942">
        <v>24.1105941235917</v>
      </c>
      <c r="N942">
        <v>45.0754513310361</v>
      </c>
      <c r="O942">
        <v>44.3321218582032</v>
      </c>
      <c r="P942">
        <v>-0.121720127794419</v>
      </c>
      <c r="Q942">
        <v>0.104787260136543</v>
      </c>
      <c r="R942">
        <v>0.8560069871520271</v>
      </c>
      <c r="S942" t="s">
        <v>3135</v>
      </c>
      <c r="T942" t="s">
        <v>4362</v>
      </c>
      <c r="U942" t="s">
        <v>4362</v>
      </c>
      <c r="V942" t="s">
        <v>4362</v>
      </c>
      <c r="W942" t="s">
        <v>5301</v>
      </c>
      <c r="X942">
        <v>3</v>
      </c>
      <c r="Y942" t="s">
        <v>7463</v>
      </c>
      <c r="Z942" t="s">
        <v>9630</v>
      </c>
      <c r="AA942">
        <v>0.3405687458703388</v>
      </c>
      <c r="AB942">
        <f>HYPERLINK("Melting_Curves/meltCurve_P0AFA7_nhaB.pdf", "Melting_Curves/meltCurve_P0AFA7_nhaB.pdf")</f>
        <v>0</v>
      </c>
    </row>
    <row r="943" spans="1:28">
      <c r="A943" t="s">
        <v>969</v>
      </c>
      <c r="B943">
        <v>0.999739202189716</v>
      </c>
      <c r="C943">
        <v>0.905807039020099</v>
      </c>
      <c r="D943">
        <v>0.959640222610715</v>
      </c>
      <c r="E943">
        <v>0.90812257595621</v>
      </c>
      <c r="F943">
        <v>0.724490330107028</v>
      </c>
      <c r="G943">
        <v>0.565255879928993</v>
      </c>
      <c r="H943">
        <v>0.435922051178789</v>
      </c>
      <c r="I943">
        <v>0.32473938137057</v>
      </c>
      <c r="J943">
        <v>0.264290680041913</v>
      </c>
      <c r="K943">
        <v>0.215204925947417</v>
      </c>
      <c r="L943">
        <v>590.0922762634</v>
      </c>
      <c r="M943">
        <v>10.9058546337561</v>
      </c>
      <c r="N943">
        <v>55.5710278456093</v>
      </c>
      <c r="O943">
        <v>52.3839706170164</v>
      </c>
      <c r="P943">
        <v>-0.0455679622879897</v>
      </c>
      <c r="Q943">
        <v>0.124800788599704</v>
      </c>
      <c r="R943">
        <v>0.990911876364705</v>
      </c>
      <c r="S943" t="s">
        <v>3136</v>
      </c>
      <c r="T943" t="s">
        <v>4362</v>
      </c>
      <c r="U943" t="s">
        <v>4362</v>
      </c>
      <c r="V943" t="s">
        <v>4362</v>
      </c>
      <c r="W943" t="s">
        <v>5302</v>
      </c>
      <c r="X943">
        <v>3</v>
      </c>
      <c r="Y943" t="s">
        <v>7464</v>
      </c>
      <c r="Z943" t="s">
        <v>9631</v>
      </c>
      <c r="AA943">
        <v>0.6392147292706422</v>
      </c>
      <c r="AB943">
        <f>HYPERLINK("Melting_Curves/meltCurve_P0AFB1_nlpI.pdf", "Melting_Curves/meltCurve_P0AFB1_nlpI.pdf")</f>
        <v>0</v>
      </c>
    </row>
    <row r="944" spans="1:28">
      <c r="A944" t="s">
        <v>970</v>
      </c>
      <c r="B944">
        <v>0.999739202189716</v>
      </c>
      <c r="C944">
        <v>0.954170461432902</v>
      </c>
      <c r="D944">
        <v>0.790025571440419</v>
      </c>
      <c r="E944">
        <v>0.804131292916669</v>
      </c>
      <c r="F944">
        <v>0.714493931042294</v>
      </c>
      <c r="G944">
        <v>0.611656746675621</v>
      </c>
      <c r="H944">
        <v>0.564267641688356</v>
      </c>
      <c r="I944">
        <v>0.526094715022042</v>
      </c>
      <c r="J944">
        <v>0.414396672908934</v>
      </c>
      <c r="K944">
        <v>0.316489614959445</v>
      </c>
      <c r="L944">
        <v>294.271230775879</v>
      </c>
      <c r="M944">
        <v>4.94279971248265</v>
      </c>
      <c r="N944">
        <v>59.5353347958317</v>
      </c>
      <c r="O944">
        <v>51.820270569928</v>
      </c>
      <c r="P944">
        <v>-0.0239978773639301</v>
      </c>
      <c r="Q944">
        <v>0</v>
      </c>
      <c r="R944">
        <v>0.964414297528265</v>
      </c>
      <c r="S944" t="s">
        <v>3137</v>
      </c>
      <c r="T944" t="s">
        <v>4362</v>
      </c>
      <c r="U944" t="s">
        <v>4362</v>
      </c>
      <c r="V944" t="s">
        <v>4362</v>
      </c>
      <c r="W944" t="s">
        <v>5303</v>
      </c>
      <c r="X944">
        <v>2</v>
      </c>
      <c r="Y944" t="s">
        <v>7465</v>
      </c>
      <c r="Z944" t="s">
        <v>9632</v>
      </c>
      <c r="AA944">
        <v>0.6692482723400316</v>
      </c>
      <c r="AB944">
        <f>HYPERLINK("Melting_Curves/meltCurve_P0AFB5_glnL.pdf", "Melting_Curves/meltCurve_P0AFB5_glnL.pdf")</f>
        <v>0</v>
      </c>
    </row>
    <row r="945" spans="1:28">
      <c r="A945" t="s">
        <v>971</v>
      </c>
      <c r="B945">
        <v>0.999739202189716</v>
      </c>
      <c r="C945">
        <v>0.8813077805856701</v>
      </c>
      <c r="D945">
        <v>0.445003139007513</v>
      </c>
      <c r="E945">
        <v>0.23377934613616</v>
      </c>
      <c r="F945">
        <v>0.156560968571455</v>
      </c>
      <c r="G945">
        <v>0.0951426442059122</v>
      </c>
      <c r="H945">
        <v>0.0816154116536397</v>
      </c>
      <c r="I945">
        <v>0.0662360913533119</v>
      </c>
      <c r="J945">
        <v>0.0576115626154099</v>
      </c>
      <c r="K945">
        <v>0.0534344386467468</v>
      </c>
      <c r="L945">
        <v>990.315230520481</v>
      </c>
      <c r="M945">
        <v>23.2388291950254</v>
      </c>
      <c r="N945">
        <v>42.9433723300488</v>
      </c>
      <c r="O945">
        <v>42.3028641449913</v>
      </c>
      <c r="P945">
        <v>-0.126148709171886</v>
      </c>
      <c r="Q945">
        <v>0.08147558940937261</v>
      </c>
      <c r="R945">
        <v>0.9910262529660669</v>
      </c>
      <c r="S945" t="s">
        <v>3138</v>
      </c>
      <c r="T945" t="s">
        <v>4362</v>
      </c>
      <c r="U945" t="s">
        <v>4362</v>
      </c>
      <c r="V945" t="s">
        <v>4362</v>
      </c>
      <c r="W945" t="s">
        <v>5304</v>
      </c>
      <c r="X945">
        <v>9</v>
      </c>
      <c r="Y945" t="s">
        <v>7466</v>
      </c>
      <c r="Z945" t="s">
        <v>9633</v>
      </c>
      <c r="AA945">
        <v>0.2626568516037952</v>
      </c>
      <c r="AB945">
        <f>HYPERLINK("Melting_Curves/meltCurve_P0AFB8_glnG.pdf", "Melting_Curves/meltCurve_P0AFB8_glnG.pdf")</f>
        <v>0</v>
      </c>
    </row>
    <row r="946" spans="1:28">
      <c r="A946" t="s">
        <v>972</v>
      </c>
      <c r="B946">
        <v>0.999739202189716</v>
      </c>
      <c r="C946">
        <v>1.00063462908763</v>
      </c>
      <c r="D946">
        <v>0.909910054611873</v>
      </c>
      <c r="E946">
        <v>0.676665264487325</v>
      </c>
      <c r="F946">
        <v>0.484642330634312</v>
      </c>
      <c r="G946">
        <v>0.353998552526772</v>
      </c>
      <c r="H946">
        <v>0.282396911900981</v>
      </c>
      <c r="I946">
        <v>0.291944374829831</v>
      </c>
      <c r="J946">
        <v>0.255109198507172</v>
      </c>
      <c r="K946">
        <v>0.297459174598509</v>
      </c>
      <c r="L946">
        <v>863.316039556328</v>
      </c>
      <c r="M946">
        <v>18.1951939500923</v>
      </c>
      <c r="N946">
        <v>49.583759343591</v>
      </c>
      <c r="O946">
        <v>46.8854883620876</v>
      </c>
      <c r="P946">
        <v>-0.070662976981401</v>
      </c>
      <c r="Q946">
        <v>0.271695250166034</v>
      </c>
      <c r="R946">
        <v>0.996925863088131</v>
      </c>
      <c r="S946" t="s">
        <v>3139</v>
      </c>
      <c r="T946" t="s">
        <v>4362</v>
      </c>
      <c r="U946" t="s">
        <v>4362</v>
      </c>
      <c r="V946" t="s">
        <v>4362</v>
      </c>
      <c r="W946" t="s">
        <v>5305</v>
      </c>
      <c r="X946">
        <v>3</v>
      </c>
      <c r="Y946" t="s">
        <v>7467</v>
      </c>
      <c r="Z946" t="s">
        <v>9634</v>
      </c>
      <c r="AA946">
        <v>0.5367611315856577</v>
      </c>
      <c r="AB946">
        <f>HYPERLINK("Melting_Curves/meltCurve_P0AFC0_nudB.pdf", "Melting_Curves/meltCurve_P0AFC0_nudB.pdf")</f>
        <v>0</v>
      </c>
    </row>
    <row r="947" spans="1:28">
      <c r="A947" t="s">
        <v>973</v>
      </c>
      <c r="B947">
        <v>0.999739202189716</v>
      </c>
      <c r="C947">
        <v>0.98784186872383</v>
      </c>
      <c r="D947">
        <v>0.574653755708021</v>
      </c>
      <c r="E947">
        <v>0.435485669885706</v>
      </c>
      <c r="F947">
        <v>0.204023627907468</v>
      </c>
      <c r="G947">
        <v>0.133232638721686</v>
      </c>
      <c r="H947">
        <v>0.0779137380523383</v>
      </c>
      <c r="I947">
        <v>0.0548476789918548</v>
      </c>
      <c r="J947">
        <v>0.0425650129473033</v>
      </c>
      <c r="K947">
        <v>0.035202290018514</v>
      </c>
      <c r="L947">
        <v>700.413449361472</v>
      </c>
      <c r="M947">
        <v>15.5872412000163</v>
      </c>
      <c r="N947">
        <v>45.2041917183288</v>
      </c>
      <c r="O947">
        <v>44.2149357517609</v>
      </c>
      <c r="P947">
        <v>-0.0842349425950996</v>
      </c>
      <c r="Q947">
        <v>0.0443159816386782</v>
      </c>
      <c r="R947">
        <v>0.979732646148382</v>
      </c>
      <c r="S947" t="s">
        <v>3140</v>
      </c>
      <c r="T947" t="s">
        <v>4362</v>
      </c>
      <c r="U947" t="s">
        <v>4362</v>
      </c>
      <c r="V947" t="s">
        <v>4362</v>
      </c>
      <c r="W947" t="s">
        <v>5306</v>
      </c>
      <c r="X947">
        <v>4</v>
      </c>
      <c r="Y947" t="s">
        <v>7468</v>
      </c>
      <c r="Z947" t="s">
        <v>9635</v>
      </c>
      <c r="AA947">
        <v>0.3181889569759365</v>
      </c>
      <c r="AB947">
        <f>HYPERLINK("Melting_Curves/meltCurve_P0AFC3_nuoA.pdf", "Melting_Curves/meltCurve_P0AFC3_nuoA.pdf")</f>
        <v>0</v>
      </c>
    </row>
    <row r="948" spans="1:28">
      <c r="A948" t="s">
        <v>974</v>
      </c>
      <c r="B948">
        <v>0.999739202189716</v>
      </c>
      <c r="C948">
        <v>0.722278966836329</v>
      </c>
      <c r="D948">
        <v>0.645430453501694</v>
      </c>
      <c r="E948">
        <v>0.413520589112764</v>
      </c>
      <c r="F948">
        <v>0.309853280685344</v>
      </c>
      <c r="G948">
        <v>0.185463118580291</v>
      </c>
      <c r="H948">
        <v>0.122590011059608</v>
      </c>
      <c r="I948">
        <v>0.09271681577032261</v>
      </c>
      <c r="J948">
        <v>0.0976785226860713</v>
      </c>
      <c r="K948">
        <v>0.0790810152069087</v>
      </c>
      <c r="L948">
        <v>482.343483371381</v>
      </c>
      <c r="M948">
        <v>10.7793616571022</v>
      </c>
      <c r="N948">
        <v>45.225315375781</v>
      </c>
      <c r="O948">
        <v>43.2894552652928</v>
      </c>
      <c r="P948">
        <v>-0.0589192046041461</v>
      </c>
      <c r="Q948">
        <v>0.0538771049461631</v>
      </c>
      <c r="R948">
        <v>0.983177768886739</v>
      </c>
      <c r="S948" t="s">
        <v>3141</v>
      </c>
      <c r="T948" t="s">
        <v>4362</v>
      </c>
      <c r="U948" t="s">
        <v>4362</v>
      </c>
      <c r="V948" t="s">
        <v>4362</v>
      </c>
      <c r="W948" t="s">
        <v>5307</v>
      </c>
      <c r="X948">
        <v>7</v>
      </c>
      <c r="Y948" t="s">
        <v>7469</v>
      </c>
      <c r="Z948" t="s">
        <v>9636</v>
      </c>
      <c r="AA948">
        <v>0.3403702933330676</v>
      </c>
      <c r="AB948">
        <f>HYPERLINK("Melting_Curves/meltCurve_P0AFC7_nuoB.pdf", "Melting_Curves/meltCurve_P0AFC7_nuoB.pdf")</f>
        <v>0</v>
      </c>
    </row>
    <row r="949" spans="1:28">
      <c r="A949" t="s">
        <v>975</v>
      </c>
      <c r="B949">
        <v>0.999739202189716</v>
      </c>
      <c r="C949">
        <v>0.9718692114069321</v>
      </c>
      <c r="D949">
        <v>1.00953366135644</v>
      </c>
      <c r="E949">
        <v>1.08579489919496</v>
      </c>
      <c r="F949">
        <v>1.12414366872121</v>
      </c>
      <c r="G949">
        <v>0.995233221779118</v>
      </c>
      <c r="H949">
        <v>0.8958838144080959</v>
      </c>
      <c r="I949">
        <v>1.00581045454719</v>
      </c>
      <c r="J949">
        <v>0.739840671409392</v>
      </c>
      <c r="K949">
        <v>0.876986862061626</v>
      </c>
      <c r="L949">
        <v>15000</v>
      </c>
      <c r="M949">
        <v>241.080797740049</v>
      </c>
      <c r="O949">
        <v>62.215522423693</v>
      </c>
      <c r="P949">
        <v>-0.185617878336331</v>
      </c>
      <c r="Q949">
        <v>0.808390989967412</v>
      </c>
      <c r="R949">
        <v>0.595060815721519</v>
      </c>
      <c r="S949" t="s">
        <v>3142</v>
      </c>
      <c r="T949" t="s">
        <v>4362</v>
      </c>
      <c r="U949" t="s">
        <v>4362</v>
      </c>
      <c r="V949" t="s">
        <v>4362</v>
      </c>
      <c r="W949" t="s">
        <v>5308</v>
      </c>
      <c r="X949">
        <v>3</v>
      </c>
      <c r="Y949" t="s">
        <v>7470</v>
      </c>
      <c r="Z949" t="s">
        <v>9637</v>
      </c>
      <c r="AA949">
        <v>0.969491546121762</v>
      </c>
      <c r="AB949">
        <f>HYPERLINK("Melting_Curves/meltCurve_P0AFD1_nuoE.pdf", "Melting_Curves/meltCurve_P0AFD1_nuoE.pdf")</f>
        <v>0</v>
      </c>
    </row>
    <row r="950" spans="1:28">
      <c r="A950" t="s">
        <v>976</v>
      </c>
      <c r="B950">
        <v>0.999739202189716</v>
      </c>
      <c r="C950">
        <v>1.24547857318052</v>
      </c>
      <c r="D950">
        <v>0.565802793416325</v>
      </c>
      <c r="E950">
        <v>0.485170330248882</v>
      </c>
      <c r="F950">
        <v>0.217867929107542</v>
      </c>
      <c r="G950">
        <v>0.141827107818672</v>
      </c>
      <c r="H950">
        <v>0.106280123021576</v>
      </c>
      <c r="I950">
        <v>0.0782589407108405</v>
      </c>
      <c r="J950">
        <v>0.0671880871727535</v>
      </c>
      <c r="K950">
        <v>0.0585155804808416</v>
      </c>
      <c r="L950">
        <v>873.0132235911919</v>
      </c>
      <c r="M950">
        <v>19.2696744218145</v>
      </c>
      <c r="N950">
        <v>45.726267476621</v>
      </c>
      <c r="O950">
        <v>44.8255746265447</v>
      </c>
      <c r="P950">
        <v>-0.098733964844163</v>
      </c>
      <c r="Q950">
        <v>0.081325452265856</v>
      </c>
      <c r="R950">
        <v>0.914932810974058</v>
      </c>
      <c r="S950" t="s">
        <v>3143</v>
      </c>
      <c r="T950" t="s">
        <v>4362</v>
      </c>
      <c r="U950" t="s">
        <v>4362</v>
      </c>
      <c r="V950" t="s">
        <v>4362</v>
      </c>
      <c r="W950" t="s">
        <v>5309</v>
      </c>
      <c r="X950">
        <v>1</v>
      </c>
      <c r="Y950" t="s">
        <v>7471</v>
      </c>
      <c r="Z950" t="s">
        <v>9638</v>
      </c>
      <c r="AA950">
        <v>0.3486546036188262</v>
      </c>
      <c r="AB950">
        <f>HYPERLINK("Melting_Curves/meltCurve_P0AFD4_nuoH.pdf", "Melting_Curves/meltCurve_P0AFD4_nuoH.pdf")</f>
        <v>0</v>
      </c>
    </row>
    <row r="951" spans="1:28">
      <c r="A951" t="s">
        <v>977</v>
      </c>
      <c r="B951">
        <v>0.999739202189716</v>
      </c>
      <c r="C951">
        <v>0.865348778240452</v>
      </c>
      <c r="D951">
        <v>0.452399683974148</v>
      </c>
      <c r="E951">
        <v>0.373139360850966</v>
      </c>
      <c r="F951">
        <v>0.224587993123038</v>
      </c>
      <c r="G951">
        <v>0.135796093261854</v>
      </c>
      <c r="H951">
        <v>0.101872120969769</v>
      </c>
      <c r="I951">
        <v>0.0765889316570072</v>
      </c>
      <c r="J951">
        <v>0.0778931079547022</v>
      </c>
      <c r="K951">
        <v>0.0578163159025882</v>
      </c>
      <c r="L951">
        <v>661.9306919499051</v>
      </c>
      <c r="M951">
        <v>15.2713221744111</v>
      </c>
      <c r="N951">
        <v>43.8509977109054</v>
      </c>
      <c r="O951">
        <v>42.6218294884369</v>
      </c>
      <c r="P951">
        <v>-0.0823422286396247</v>
      </c>
      <c r="Q951">
        <v>0.08082721442761701</v>
      </c>
      <c r="R951">
        <v>0.974334605753825</v>
      </c>
      <c r="S951" t="s">
        <v>3144</v>
      </c>
      <c r="T951" t="s">
        <v>4362</v>
      </c>
      <c r="U951" t="s">
        <v>4362</v>
      </c>
      <c r="V951" t="s">
        <v>4362</v>
      </c>
      <c r="W951" t="s">
        <v>5310</v>
      </c>
      <c r="X951">
        <v>2</v>
      </c>
      <c r="Y951" t="s">
        <v>7472</v>
      </c>
      <c r="Z951" t="s">
        <v>9639</v>
      </c>
      <c r="AA951">
        <v>0.298052399541551</v>
      </c>
      <c r="AB951">
        <f>HYPERLINK("Melting_Curves/meltCurve_P0AFD6_nuoI.pdf", "Melting_Curves/meltCurve_P0AFD6_nuoI.pdf")</f>
        <v>0</v>
      </c>
    </row>
    <row r="952" spans="1:28">
      <c r="A952" t="s">
        <v>978</v>
      </c>
      <c r="B952">
        <v>0.999739202189716</v>
      </c>
      <c r="C952">
        <v>1.30316428317452</v>
      </c>
      <c r="D952">
        <v>0.99187014530183</v>
      </c>
      <c r="E952">
        <v>1.37752870788961</v>
      </c>
      <c r="F952">
        <v>1.23466391611479</v>
      </c>
      <c r="G952">
        <v>0.93652771354704</v>
      </c>
      <c r="H952">
        <v>0.9877341675367181</v>
      </c>
      <c r="I952">
        <v>0.893139284194261</v>
      </c>
      <c r="J952">
        <v>1.09899229502464</v>
      </c>
      <c r="K952">
        <v>0.753957062085151</v>
      </c>
      <c r="L952">
        <v>15000</v>
      </c>
      <c r="M952">
        <v>222.760730187082</v>
      </c>
      <c r="Q952">
        <v>0</v>
      </c>
      <c r="R952">
        <v>0.07950625880301319</v>
      </c>
      <c r="S952" t="s">
        <v>3145</v>
      </c>
      <c r="T952" t="s">
        <v>4362</v>
      </c>
      <c r="U952" t="s">
        <v>4362</v>
      </c>
      <c r="V952" t="s">
        <v>4362</v>
      </c>
      <c r="W952" t="s">
        <v>5311</v>
      </c>
      <c r="X952">
        <v>1</v>
      </c>
      <c r="Y952" t="s">
        <v>7473</v>
      </c>
      <c r="Z952" t="s">
        <v>9640</v>
      </c>
      <c r="AA952">
        <v>0.9972094281021852</v>
      </c>
      <c r="AB952">
        <f>HYPERLINK("Melting_Curves/meltCurve_P0AFE0_nuoJ.pdf", "Melting_Curves/meltCurve_P0AFE0_nuoJ.pdf")</f>
        <v>0</v>
      </c>
    </row>
    <row r="953" spans="1:28">
      <c r="A953" t="s">
        <v>979</v>
      </c>
      <c r="B953">
        <v>0.999739202189716</v>
      </c>
      <c r="C953">
        <v>1.09637173989882</v>
      </c>
      <c r="D953">
        <v>0.612675438898172</v>
      </c>
      <c r="E953">
        <v>0.6315187369954119</v>
      </c>
      <c r="F953">
        <v>0.329523876143785</v>
      </c>
      <c r="G953">
        <v>0.180591805863863</v>
      </c>
      <c r="H953">
        <v>0.107522619948852</v>
      </c>
      <c r="I953">
        <v>0.072883550273995</v>
      </c>
      <c r="J953">
        <v>0.0583593553941152</v>
      </c>
      <c r="K953">
        <v>0.0475053705788159</v>
      </c>
      <c r="L953">
        <v>628.229221563381</v>
      </c>
      <c r="M953">
        <v>13.3049531523276</v>
      </c>
      <c r="N953">
        <v>47.424637161268</v>
      </c>
      <c r="O953">
        <v>46.1892766525222</v>
      </c>
      <c r="P953">
        <v>-0.0699935872458415</v>
      </c>
      <c r="Q953">
        <v>0.0282021340606522</v>
      </c>
      <c r="R953">
        <v>0.951686941546468</v>
      </c>
      <c r="S953" t="s">
        <v>3146</v>
      </c>
      <c r="T953" t="s">
        <v>4362</v>
      </c>
      <c r="U953" t="s">
        <v>4362</v>
      </c>
      <c r="V953" t="s">
        <v>4362</v>
      </c>
      <c r="W953" t="s">
        <v>5312</v>
      </c>
      <c r="X953">
        <v>3</v>
      </c>
      <c r="Y953" t="s">
        <v>7474</v>
      </c>
      <c r="Z953" t="s">
        <v>9641</v>
      </c>
      <c r="AA953">
        <v>0.3859372540663609</v>
      </c>
      <c r="AB953">
        <f>HYPERLINK("Melting_Curves/meltCurve_P0AFE4_nuoK.pdf", "Melting_Curves/meltCurve_P0AFE4_nuoK.pdf")</f>
        <v>0</v>
      </c>
    </row>
    <row r="954" spans="1:28">
      <c r="A954" t="s">
        <v>980</v>
      </c>
      <c r="B954">
        <v>0.999739202189716</v>
      </c>
      <c r="C954">
        <v>1.24382509092068</v>
      </c>
      <c r="D954">
        <v>0.462378992463961</v>
      </c>
      <c r="E954">
        <v>0.31475327247063</v>
      </c>
      <c r="F954">
        <v>0.130593766624855</v>
      </c>
      <c r="G954">
        <v>0.08923626224459209</v>
      </c>
      <c r="H954">
        <v>0.130699933967572</v>
      </c>
      <c r="I954">
        <v>0.0469107162192196</v>
      </c>
      <c r="J954">
        <v>0.0497303950469074</v>
      </c>
      <c r="K954">
        <v>0.16339279197179</v>
      </c>
      <c r="L954">
        <v>10729.0382284531</v>
      </c>
      <c r="M954">
        <v>250</v>
      </c>
      <c r="N954">
        <v>42.9689236017593</v>
      </c>
      <c r="O954">
        <v>42.9133923520701</v>
      </c>
      <c r="P954">
        <v>-1.26389965783647</v>
      </c>
      <c r="Q954">
        <v>0.132188161548748</v>
      </c>
      <c r="R954">
        <v>0.932060329671246</v>
      </c>
      <c r="S954" t="s">
        <v>3147</v>
      </c>
      <c r="T954" t="s">
        <v>4362</v>
      </c>
      <c r="U954" t="s">
        <v>4362</v>
      </c>
      <c r="V954" t="s">
        <v>4362</v>
      </c>
      <c r="W954" t="s">
        <v>5313</v>
      </c>
      <c r="X954">
        <v>1</v>
      </c>
      <c r="Y954" t="s">
        <v>7475</v>
      </c>
      <c r="Z954" t="s">
        <v>9642</v>
      </c>
      <c r="AA954">
        <v>0.3033904405793824</v>
      </c>
      <c r="AB954">
        <f>HYPERLINK("Melting_Curves/meltCurve_P0AFE8_nuoM.pdf", "Melting_Curves/meltCurve_P0AFE8_nuoM.pdf")</f>
        <v>0</v>
      </c>
    </row>
    <row r="955" spans="1:28">
      <c r="A955" t="s">
        <v>981</v>
      </c>
      <c r="B955">
        <v>0.999739202189716</v>
      </c>
      <c r="C955">
        <v>1.44151078142625</v>
      </c>
      <c r="D955">
        <v>0.883408564382851</v>
      </c>
      <c r="E955">
        <v>0.959221043304725</v>
      </c>
      <c r="F955">
        <v>0.599074707389208</v>
      </c>
      <c r="G955">
        <v>0.334305131315707</v>
      </c>
      <c r="H955">
        <v>0.191977283468361</v>
      </c>
      <c r="I955">
        <v>0.108588178120163</v>
      </c>
      <c r="J955">
        <v>0.0737157053815892</v>
      </c>
      <c r="K955">
        <v>0.0467884779944147</v>
      </c>
      <c r="L955">
        <v>1066.78459145782</v>
      </c>
      <c r="M955">
        <v>20.7826514344426</v>
      </c>
      <c r="N955">
        <v>51.6844317480071</v>
      </c>
      <c r="O955">
        <v>50.8623632190046</v>
      </c>
      <c r="P955">
        <v>-0.0953793049240769</v>
      </c>
      <c r="Q955">
        <v>0.0663208831698533</v>
      </c>
      <c r="R955">
        <v>0.899137360560944</v>
      </c>
      <c r="S955" t="s">
        <v>3148</v>
      </c>
      <c r="T955" t="s">
        <v>4362</v>
      </c>
      <c r="U955" t="s">
        <v>4362</v>
      </c>
      <c r="V955" t="s">
        <v>4362</v>
      </c>
      <c r="W955" t="s">
        <v>5314</v>
      </c>
      <c r="X955">
        <v>1</v>
      </c>
      <c r="Y955" t="s">
        <v>7476</v>
      </c>
      <c r="Z955" t="s">
        <v>9643</v>
      </c>
      <c r="AA955">
        <v>0.5237562438748566</v>
      </c>
      <c r="AB955">
        <f>HYPERLINK("Melting_Curves/meltCurve_P0AFF0_nuoN.pdf", "Melting_Curves/meltCurve_P0AFF0_nuoN.pdf")</f>
        <v>0</v>
      </c>
    </row>
    <row r="956" spans="1:28">
      <c r="A956" t="s">
        <v>982</v>
      </c>
      <c r="B956">
        <v>0.999739202189716</v>
      </c>
      <c r="C956">
        <v>1.03375252533467</v>
      </c>
      <c r="D956">
        <v>0.707227085143904</v>
      </c>
      <c r="E956">
        <v>0.37652240088085</v>
      </c>
      <c r="F956">
        <v>0.175532044693778</v>
      </c>
      <c r="G956">
        <v>0.121862247391076</v>
      </c>
      <c r="H956">
        <v>0.112249989872249</v>
      </c>
      <c r="I956">
        <v>0.09729353346115301</v>
      </c>
      <c r="J956">
        <v>0.101882113368452</v>
      </c>
      <c r="K956">
        <v>0.0234430558994592</v>
      </c>
      <c r="L956">
        <v>998.144982171495</v>
      </c>
      <c r="M956">
        <v>22.2397671322119</v>
      </c>
      <c r="N956">
        <v>45.2679102699418</v>
      </c>
      <c r="O956">
        <v>44.5229442150106</v>
      </c>
      <c r="P956">
        <v>-0.114073977914787</v>
      </c>
      <c r="Q956">
        <v>0.0865370745621237</v>
      </c>
      <c r="R956">
        <v>0.989503631296659</v>
      </c>
      <c r="S956" t="s">
        <v>3149</v>
      </c>
      <c r="T956" t="s">
        <v>4362</v>
      </c>
      <c r="U956" t="s">
        <v>4362</v>
      </c>
      <c r="V956" t="s">
        <v>4362</v>
      </c>
      <c r="W956" t="s">
        <v>5315</v>
      </c>
      <c r="X956">
        <v>1</v>
      </c>
      <c r="Y956" t="s">
        <v>7477</v>
      </c>
      <c r="Z956" t="s">
        <v>9644</v>
      </c>
      <c r="AA956">
        <v>0.3361044725234757</v>
      </c>
      <c r="AB956">
        <f>HYPERLINK("Melting_Curves/meltCurve_P0AFF2_nupC.pdf", "Melting_Curves/meltCurve_P0AFF2_nupC.pdf")</f>
        <v>0</v>
      </c>
    </row>
    <row r="957" spans="1:28">
      <c r="A957" t="s">
        <v>983</v>
      </c>
      <c r="B957">
        <v>0.999739202189716</v>
      </c>
      <c r="C957">
        <v>1.041354016306</v>
      </c>
      <c r="D957">
        <v>1.08152762521199</v>
      </c>
      <c r="E957">
        <v>0.878363687145542</v>
      </c>
      <c r="F957">
        <v>0.786643905252813</v>
      </c>
      <c r="G957">
        <v>0.599654716587992</v>
      </c>
      <c r="H957">
        <v>0.58566756546084</v>
      </c>
      <c r="I957">
        <v>0.550116110392262</v>
      </c>
      <c r="J957">
        <v>0.621047630767688</v>
      </c>
      <c r="K957">
        <v>0.50882950014659</v>
      </c>
      <c r="L957">
        <v>1171.76674880063</v>
      </c>
      <c r="M957">
        <v>23.520593663051</v>
      </c>
      <c r="O957">
        <v>49.462829012033</v>
      </c>
      <c r="P957">
        <v>-0.0527023574468243</v>
      </c>
      <c r="Q957">
        <v>0.556684147585063</v>
      </c>
      <c r="R957">
        <v>0.953192386814988</v>
      </c>
      <c r="S957" t="s">
        <v>3150</v>
      </c>
      <c r="T957" t="s">
        <v>4362</v>
      </c>
      <c r="U957" t="s">
        <v>4362</v>
      </c>
      <c r="V957" t="s">
        <v>4362</v>
      </c>
      <c r="W957" t="s">
        <v>5316</v>
      </c>
      <c r="X957">
        <v>17</v>
      </c>
      <c r="Y957" t="s">
        <v>7478</v>
      </c>
      <c r="Z957" t="s">
        <v>9645</v>
      </c>
      <c r="AA957">
        <v>0.7504534222000615</v>
      </c>
      <c r="AB957">
        <f>HYPERLINK("Melting_Curves/meltCurve_P0AFF6_nusA.pdf", "Melting_Curves/meltCurve_P0AFF6_nusA.pdf")</f>
        <v>0</v>
      </c>
    </row>
    <row r="958" spans="1:28">
      <c r="A958" t="s">
        <v>984</v>
      </c>
      <c r="B958">
        <v>0.999739202189716</v>
      </c>
      <c r="C958">
        <v>0.996280079064537</v>
      </c>
      <c r="D958">
        <v>0.949857794370958</v>
      </c>
      <c r="E958">
        <v>0.9005302543375659</v>
      </c>
      <c r="F958">
        <v>0.739748753364754</v>
      </c>
      <c r="G958">
        <v>0.444510466469027</v>
      </c>
      <c r="H958">
        <v>0.259624164252662</v>
      </c>
      <c r="I958">
        <v>0.186497150385635</v>
      </c>
      <c r="J958">
        <v>0.154600763629119</v>
      </c>
      <c r="K958">
        <v>0.143380667804632</v>
      </c>
      <c r="L958">
        <v>953.434814961539</v>
      </c>
      <c r="M958">
        <v>18.2385122272086</v>
      </c>
      <c r="N958">
        <v>53.1069473365676</v>
      </c>
      <c r="O958">
        <v>51.6596365462218</v>
      </c>
      <c r="P958">
        <v>-0.0773093287980489</v>
      </c>
      <c r="Q958">
        <v>0.124142849745038</v>
      </c>
      <c r="R958">
        <v>0.998546519483747</v>
      </c>
      <c r="S958" t="s">
        <v>3151</v>
      </c>
      <c r="T958" t="s">
        <v>4362</v>
      </c>
      <c r="U958" t="s">
        <v>4362</v>
      </c>
      <c r="V958" t="s">
        <v>4362</v>
      </c>
      <c r="W958" t="s">
        <v>5317</v>
      </c>
      <c r="X958">
        <v>7</v>
      </c>
      <c r="Y958" t="s">
        <v>7479</v>
      </c>
      <c r="Z958" t="s">
        <v>9646</v>
      </c>
      <c r="AA958">
        <v>0.583009444300388</v>
      </c>
      <c r="AB958">
        <f>HYPERLINK("Melting_Curves/meltCurve_P0AFG0_nusG.pdf", "Melting_Curves/meltCurve_P0AFG0_nusG.pdf")</f>
        <v>0</v>
      </c>
    </row>
    <row r="959" spans="1:28">
      <c r="A959" t="s">
        <v>985</v>
      </c>
      <c r="B959">
        <v>0.999739202189716</v>
      </c>
      <c r="C959">
        <v>0.871402708858139</v>
      </c>
      <c r="D959">
        <v>0.163680627410935</v>
      </c>
      <c r="E959">
        <v>0.133369478263249</v>
      </c>
      <c r="F959">
        <v>0.100545293900269</v>
      </c>
      <c r="G959">
        <v>0.0701833450692948</v>
      </c>
      <c r="H959">
        <v>0.055960155877393</v>
      </c>
      <c r="I959">
        <v>0.0422241497580415</v>
      </c>
      <c r="J959">
        <v>0.0387043376506804</v>
      </c>
      <c r="K959">
        <v>0.0357719344009372</v>
      </c>
      <c r="L959">
        <v>2184.70461257317</v>
      </c>
      <c r="M959">
        <v>52.9324758866248</v>
      </c>
      <c r="N959">
        <v>41.3866047340247</v>
      </c>
      <c r="O959">
        <v>41.2146423908153</v>
      </c>
      <c r="P959">
        <v>-0.299443367575833</v>
      </c>
      <c r="Q959">
        <v>0.06738215079241131</v>
      </c>
      <c r="R959">
        <v>0.993497940747379</v>
      </c>
      <c r="S959" t="s">
        <v>3152</v>
      </c>
      <c r="T959" t="s">
        <v>4362</v>
      </c>
      <c r="U959" t="s">
        <v>4362</v>
      </c>
      <c r="V959" t="s">
        <v>4362</v>
      </c>
      <c r="W959" t="s">
        <v>5318</v>
      </c>
      <c r="X959">
        <v>22</v>
      </c>
      <c r="Y959" t="s">
        <v>7480</v>
      </c>
      <c r="Z959" t="s">
        <v>9647</v>
      </c>
      <c r="AA959">
        <v>0.201786995366703</v>
      </c>
      <c r="AB959">
        <f>HYPERLINK("Melting_Curves/meltCurve_P0AFG3_sucA.pdf", "Melting_Curves/meltCurve_P0AFG3_sucA.pdf")</f>
        <v>0</v>
      </c>
    </row>
    <row r="960" spans="1:28">
      <c r="A960" t="s">
        <v>986</v>
      </c>
      <c r="B960">
        <v>0.999739202189716</v>
      </c>
      <c r="C960">
        <v>1.51825906774819</v>
      </c>
      <c r="D960">
        <v>1.537953768231</v>
      </c>
      <c r="E960">
        <v>1.55748720188671</v>
      </c>
      <c r="F960">
        <v>0.880664185384694</v>
      </c>
      <c r="G960">
        <v>0.843100656493176</v>
      </c>
      <c r="H960">
        <v>0.369182679578348</v>
      </c>
      <c r="I960">
        <v>0.203856740001191</v>
      </c>
      <c r="J960">
        <v>0.118857540453942</v>
      </c>
      <c r="K960">
        <v>0.0836122373136628</v>
      </c>
      <c r="L960">
        <v>1829.53210188884</v>
      </c>
      <c r="M960">
        <v>32.6273183374627</v>
      </c>
      <c r="N960">
        <v>56.4790529630074</v>
      </c>
      <c r="O960">
        <v>55.8642381078111</v>
      </c>
      <c r="P960">
        <v>-0.130768888712887</v>
      </c>
      <c r="Q960">
        <v>0.104398260425773</v>
      </c>
      <c r="R960">
        <v>0.723896387683479</v>
      </c>
      <c r="S960" t="s">
        <v>3153</v>
      </c>
      <c r="T960" t="s">
        <v>4362</v>
      </c>
      <c r="U960" t="s">
        <v>4362</v>
      </c>
      <c r="V960" t="s">
        <v>4362</v>
      </c>
      <c r="W960" t="s">
        <v>5319</v>
      </c>
      <c r="X960">
        <v>21</v>
      </c>
      <c r="Y960" t="s">
        <v>7481</v>
      </c>
      <c r="Z960" t="s">
        <v>9648</v>
      </c>
      <c r="AA960">
        <v>0.6786664667875484</v>
      </c>
      <c r="AB960">
        <f>HYPERLINK("Melting_Curves/meltCurve_P0AFG6_sucB.pdf", "Melting_Curves/meltCurve_P0AFG6_sucB.pdf")</f>
        <v>0</v>
      </c>
    </row>
    <row r="961" spans="1:28">
      <c r="A961" t="s">
        <v>987</v>
      </c>
      <c r="B961">
        <v>0.999739202189716</v>
      </c>
      <c r="C961">
        <v>2.15277380047169</v>
      </c>
      <c r="D961">
        <v>1.51513734116439</v>
      </c>
      <c r="E961">
        <v>0.899424218145474</v>
      </c>
      <c r="F961">
        <v>0.244212062705282</v>
      </c>
      <c r="G961">
        <v>0.13291999207457</v>
      </c>
      <c r="H961">
        <v>0.09610313492134299</v>
      </c>
      <c r="I961">
        <v>0.0689728922291501</v>
      </c>
      <c r="J961">
        <v>0.0676770884869182</v>
      </c>
      <c r="K961">
        <v>0.057621364547951</v>
      </c>
      <c r="L961">
        <v>2472.9790145608</v>
      </c>
      <c r="M961">
        <v>50.8166372359362</v>
      </c>
      <c r="N961">
        <v>48.8395291887326</v>
      </c>
      <c r="O961">
        <v>48.5895497203454</v>
      </c>
      <c r="P961">
        <v>-0.239721665224121</v>
      </c>
      <c r="Q961">
        <v>0.0831379168357005</v>
      </c>
      <c r="R961">
        <v>0.677077144728458</v>
      </c>
      <c r="S961" t="s">
        <v>3154</v>
      </c>
      <c r="T961" t="s">
        <v>4362</v>
      </c>
      <c r="U961" t="s">
        <v>4362</v>
      </c>
      <c r="V961" t="s">
        <v>4362</v>
      </c>
      <c r="W961" t="s">
        <v>5320</v>
      </c>
      <c r="X961">
        <v>29</v>
      </c>
      <c r="Y961" t="s">
        <v>7482</v>
      </c>
      <c r="Z961" t="s">
        <v>9649</v>
      </c>
      <c r="AA961">
        <v>0.4415418715070808</v>
      </c>
      <c r="AB961">
        <f>HYPERLINK("Melting_Curves/meltCurve_P0AFG8_aceE.pdf", "Melting_Curves/meltCurve_P0AFG8_aceE.pdf")</f>
        <v>0</v>
      </c>
    </row>
    <row r="962" spans="1:28">
      <c r="A962" t="s">
        <v>988</v>
      </c>
      <c r="B962">
        <v>0.999739202189716</v>
      </c>
      <c r="C962">
        <v>0.768297970861781</v>
      </c>
      <c r="D962">
        <v>0.416937063638277</v>
      </c>
      <c r="E962">
        <v>0.402455471476805</v>
      </c>
      <c r="F962">
        <v>0.280031799057682</v>
      </c>
      <c r="G962">
        <v>0.193617181003254</v>
      </c>
      <c r="H962">
        <v>0.156650344558609</v>
      </c>
      <c r="I962">
        <v>0.12361863136693</v>
      </c>
      <c r="J962">
        <v>0.113999133902907</v>
      </c>
      <c r="K962">
        <v>0.0831102495005044</v>
      </c>
      <c r="L962">
        <v>574.042361964117</v>
      </c>
      <c r="M962">
        <v>13.4401763512352</v>
      </c>
      <c r="N962">
        <v>43.6127600482324</v>
      </c>
      <c r="O962">
        <v>41.7986326479435</v>
      </c>
      <c r="P962">
        <v>-0.0706448525932853</v>
      </c>
      <c r="Q962">
        <v>0.121321023491499</v>
      </c>
      <c r="R962">
        <v>0.958440522805784</v>
      </c>
      <c r="S962" t="s">
        <v>3155</v>
      </c>
      <c r="T962" t="s">
        <v>4362</v>
      </c>
      <c r="U962" t="s">
        <v>4362</v>
      </c>
      <c r="V962" t="s">
        <v>4362</v>
      </c>
      <c r="W962" t="s">
        <v>5321</v>
      </c>
      <c r="X962">
        <v>4</v>
      </c>
      <c r="Y962" t="s">
        <v>7483</v>
      </c>
      <c r="Z962" t="s">
        <v>9650</v>
      </c>
      <c r="AA962">
        <v>0.3184688581228771</v>
      </c>
      <c r="AB962">
        <f>HYPERLINK("Melting_Curves/meltCurve_P0AFH2_oppB.pdf", "Melting_Curves/meltCurve_P0AFH2_oppB.pdf")</f>
        <v>0</v>
      </c>
    </row>
    <row r="963" spans="1:28">
      <c r="A963" t="s">
        <v>989</v>
      </c>
      <c r="B963">
        <v>0.999739202189716</v>
      </c>
      <c r="C963">
        <v>1.05842219856921</v>
      </c>
      <c r="D963">
        <v>0.818982490873131</v>
      </c>
      <c r="E963">
        <v>0.652781533553024</v>
      </c>
      <c r="F963">
        <v>0.437038008674638</v>
      </c>
      <c r="G963">
        <v>0.306436380188644</v>
      </c>
      <c r="H963">
        <v>0.194381535858061</v>
      </c>
      <c r="I963">
        <v>0.127297040934411</v>
      </c>
      <c r="J963">
        <v>0.0994909629005603</v>
      </c>
      <c r="K963">
        <v>0.0823341082202281</v>
      </c>
      <c r="L963">
        <v>635.215152894482</v>
      </c>
      <c r="M963">
        <v>13.036141140068</v>
      </c>
      <c r="N963">
        <v>49.2773434333256</v>
      </c>
      <c r="O963">
        <v>47.6233683634908</v>
      </c>
      <c r="P963">
        <v>-0.0638105509545925</v>
      </c>
      <c r="Q963">
        <v>0.0677172252906503</v>
      </c>
      <c r="R963">
        <v>0.98838558279361</v>
      </c>
      <c r="S963" t="s">
        <v>3156</v>
      </c>
      <c r="T963" t="s">
        <v>4362</v>
      </c>
      <c r="U963" t="s">
        <v>4362</v>
      </c>
      <c r="V963" t="s">
        <v>4362</v>
      </c>
      <c r="W963" t="s">
        <v>5322</v>
      </c>
      <c r="X963">
        <v>4</v>
      </c>
      <c r="Y963" t="s">
        <v>7484</v>
      </c>
      <c r="Z963" t="s">
        <v>9651</v>
      </c>
      <c r="AA963">
        <v>0.4571767674305507</v>
      </c>
      <c r="AB963">
        <f>HYPERLINK("Melting_Curves/meltCurve_P0AFH6_oppC.pdf", "Melting_Curves/meltCurve_P0AFH6_oppC.pdf")</f>
        <v>0</v>
      </c>
    </row>
    <row r="964" spans="1:28">
      <c r="A964" t="s">
        <v>990</v>
      </c>
      <c r="B964">
        <v>0.999739202189716</v>
      </c>
      <c r="C964">
        <v>1.0369631247239</v>
      </c>
      <c r="D964">
        <v>0.7975545410250749</v>
      </c>
      <c r="E964">
        <v>1.01902318108605</v>
      </c>
      <c r="F964">
        <v>0.794587550242429</v>
      </c>
      <c r="G964">
        <v>0.684596883102772</v>
      </c>
      <c r="H964">
        <v>0.6841675043754391</v>
      </c>
      <c r="I964">
        <v>0.515531613459511</v>
      </c>
      <c r="J964">
        <v>0.381316605949985</v>
      </c>
      <c r="K964">
        <v>0.564247865795261</v>
      </c>
      <c r="L964">
        <v>578.462473142484</v>
      </c>
      <c r="M964">
        <v>10.6932133645303</v>
      </c>
      <c r="N964">
        <v>63.9179185283377</v>
      </c>
      <c r="O964">
        <v>52.3072519352529</v>
      </c>
      <c r="P964">
        <v>-0.0305067658847932</v>
      </c>
      <c r="Q964">
        <v>0.403313109987205</v>
      </c>
      <c r="R964">
        <v>0.842505474824346</v>
      </c>
      <c r="S964" t="s">
        <v>3157</v>
      </c>
      <c r="T964" t="s">
        <v>4362</v>
      </c>
      <c r="U964" t="s">
        <v>4362</v>
      </c>
      <c r="V964" t="s">
        <v>4362</v>
      </c>
      <c r="W964" t="s">
        <v>5323</v>
      </c>
      <c r="X964">
        <v>20</v>
      </c>
      <c r="Y964" t="s">
        <v>7485</v>
      </c>
      <c r="Z964" t="s">
        <v>9652</v>
      </c>
      <c r="AA964">
        <v>0.7537854862801396</v>
      </c>
      <c r="AB964">
        <f>HYPERLINK("Melting_Curves/meltCurve_P0AFH8_osmY.pdf", "Melting_Curves/meltCurve_P0AFH8_osmY.pdf")</f>
        <v>0</v>
      </c>
    </row>
    <row r="965" spans="1:28">
      <c r="A965" t="s">
        <v>991</v>
      </c>
      <c r="B965">
        <v>0.999739202189716</v>
      </c>
      <c r="C965">
        <v>1.1442629387954</v>
      </c>
      <c r="D965">
        <v>0.5584353422566261</v>
      </c>
      <c r="E965">
        <v>0.302342497058583</v>
      </c>
      <c r="F965">
        <v>0.184709561631779</v>
      </c>
      <c r="G965">
        <v>0.128176560616389</v>
      </c>
      <c r="H965">
        <v>0.107333483081216</v>
      </c>
      <c r="I965">
        <v>0.0895542198704309</v>
      </c>
      <c r="J965">
        <v>0.0827799250335574</v>
      </c>
      <c r="K965">
        <v>0.08085900276234111</v>
      </c>
      <c r="L965">
        <v>1385.95435890545</v>
      </c>
      <c r="M965">
        <v>31.8744272730522</v>
      </c>
      <c r="N965">
        <v>43.8570538954216</v>
      </c>
      <c r="O965">
        <v>43.3116285370091</v>
      </c>
      <c r="P965">
        <v>-0.162020631586314</v>
      </c>
      <c r="Q965">
        <v>0.119376670480815</v>
      </c>
      <c r="R965">
        <v>0.9598846727597889</v>
      </c>
      <c r="S965" t="s">
        <v>3158</v>
      </c>
      <c r="T965" t="s">
        <v>4362</v>
      </c>
      <c r="U965" t="s">
        <v>4362</v>
      </c>
      <c r="V965" t="s">
        <v>4362</v>
      </c>
      <c r="W965" t="s">
        <v>5324</v>
      </c>
      <c r="X965">
        <v>10</v>
      </c>
      <c r="Y965" t="s">
        <v>7486</v>
      </c>
      <c r="Z965" t="s">
        <v>9653</v>
      </c>
      <c r="AA965">
        <v>0.3139342696165318</v>
      </c>
      <c r="AB965">
        <f>HYPERLINK("Melting_Curves/meltCurve_P0AFI2_parC.pdf", "Melting_Curves/meltCurve_P0AFI2_parC.pdf")</f>
        <v>0</v>
      </c>
    </row>
    <row r="966" spans="1:28">
      <c r="A966" t="s">
        <v>992</v>
      </c>
      <c r="B966">
        <v>0.999739202189716</v>
      </c>
      <c r="C966">
        <v>0.896089567369489</v>
      </c>
      <c r="D966">
        <v>1.17190691451318</v>
      </c>
      <c r="E966">
        <v>0.979001845447232</v>
      </c>
      <c r="F966">
        <v>0.903352051540996</v>
      </c>
      <c r="G966">
        <v>0.635670837426809</v>
      </c>
      <c r="H966">
        <v>0.309932018385679</v>
      </c>
      <c r="I966">
        <v>0.165114623390256</v>
      </c>
      <c r="J966">
        <v>0.117428816844766</v>
      </c>
      <c r="K966">
        <v>0.0780134870246552</v>
      </c>
      <c r="L966">
        <v>1290.21854791626</v>
      </c>
      <c r="M966">
        <v>23.5550055773703</v>
      </c>
      <c r="N966">
        <v>55.1817367885785</v>
      </c>
      <c r="O966">
        <v>54.384499795023</v>
      </c>
      <c r="P966">
        <v>-0.0996466720944571</v>
      </c>
      <c r="Q966">
        <v>0.0797468253036788</v>
      </c>
      <c r="R966">
        <v>0.9739605515297169</v>
      </c>
      <c r="S966" t="s">
        <v>3159</v>
      </c>
      <c r="T966" t="s">
        <v>4362</v>
      </c>
      <c r="U966" t="s">
        <v>4362</v>
      </c>
      <c r="V966" t="s">
        <v>4362</v>
      </c>
      <c r="W966" t="s">
        <v>5325</v>
      </c>
      <c r="X966">
        <v>7</v>
      </c>
      <c r="Y966" t="s">
        <v>7487</v>
      </c>
      <c r="Z966" t="s">
        <v>9654</v>
      </c>
      <c r="AA966">
        <v>0.6335931225517953</v>
      </c>
      <c r="AB966">
        <f>HYPERLINK("Melting_Curves/meltCurve_P0AFI7_pdxH.pdf", "Melting_Curves/meltCurve_P0AFI7_pdxH.pdf")</f>
        <v>0</v>
      </c>
    </row>
    <row r="967" spans="1:28">
      <c r="A967" t="s">
        <v>993</v>
      </c>
      <c r="B967">
        <v>0.999739202189716</v>
      </c>
      <c r="C967">
        <v>1.16256267341323</v>
      </c>
      <c r="D967">
        <v>0.79951089151646</v>
      </c>
      <c r="E967">
        <v>0.712617717407889</v>
      </c>
      <c r="F967">
        <v>0.552190116420936</v>
      </c>
      <c r="G967">
        <v>0.315182445433223</v>
      </c>
      <c r="H967">
        <v>0.212972005708568</v>
      </c>
      <c r="I967">
        <v>0.156274511433174</v>
      </c>
      <c r="J967">
        <v>0.135900289522324</v>
      </c>
      <c r="K967">
        <v>0.0922939405218311</v>
      </c>
      <c r="L967">
        <v>656.811881379315</v>
      </c>
      <c r="M967">
        <v>13.190709377388</v>
      </c>
      <c r="N967">
        <v>50.4360954773556</v>
      </c>
      <c r="O967">
        <v>48.6908207883322</v>
      </c>
      <c r="P967">
        <v>-0.0624989103338467</v>
      </c>
      <c r="Q967">
        <v>0.07734595629706729</v>
      </c>
      <c r="R967">
        <v>0.962585366247084</v>
      </c>
      <c r="S967" t="s">
        <v>3160</v>
      </c>
      <c r="T967" t="s">
        <v>4362</v>
      </c>
      <c r="U967" t="s">
        <v>4362</v>
      </c>
      <c r="V967" t="s">
        <v>4362</v>
      </c>
      <c r="W967" t="s">
        <v>5326</v>
      </c>
      <c r="X967">
        <v>3</v>
      </c>
      <c r="Y967" t="s">
        <v>7488</v>
      </c>
      <c r="Z967" t="s">
        <v>9655</v>
      </c>
      <c r="AA967">
        <v>0.49404110666588</v>
      </c>
      <c r="AB967">
        <f>HYPERLINK("Melting_Curves/meltCurve_P0AFI9_perM.pdf", "Melting_Curves/meltCurve_P0AFI9_perM.pdf")</f>
        <v>0</v>
      </c>
    </row>
    <row r="968" spans="1:28">
      <c r="A968" t="s">
        <v>994</v>
      </c>
      <c r="B968">
        <v>0.999739202189716</v>
      </c>
      <c r="C968">
        <v>1.17450075277262</v>
      </c>
      <c r="D968">
        <v>0.754249904643691</v>
      </c>
      <c r="E968">
        <v>1.12554643058871</v>
      </c>
      <c r="F968">
        <v>0.9623887812186041</v>
      </c>
      <c r="G968">
        <v>0.790533749447035</v>
      </c>
      <c r="H968">
        <v>0.777193851705818</v>
      </c>
      <c r="I968">
        <v>0.712109857366238</v>
      </c>
      <c r="J968">
        <v>0.519911853041526</v>
      </c>
      <c r="K968">
        <v>0.631361436842224</v>
      </c>
      <c r="L968">
        <v>910.137317151889</v>
      </c>
      <c r="M968">
        <v>16.1729535799999</v>
      </c>
      <c r="O968">
        <v>55.4359840042783</v>
      </c>
      <c r="P968">
        <v>-0.0321024700332212</v>
      </c>
      <c r="Q968">
        <v>0.559882933255457</v>
      </c>
      <c r="R968">
        <v>0.686266325189504</v>
      </c>
      <c r="S968" t="s">
        <v>3161</v>
      </c>
      <c r="T968" t="s">
        <v>4362</v>
      </c>
      <c r="U968" t="s">
        <v>4362</v>
      </c>
      <c r="V968" t="s">
        <v>4362</v>
      </c>
      <c r="W968" t="s">
        <v>5327</v>
      </c>
      <c r="X968">
        <v>5</v>
      </c>
      <c r="Y968" t="s">
        <v>7489</v>
      </c>
      <c r="Z968" t="s">
        <v>9656</v>
      </c>
      <c r="AA968">
        <v>0.8473956884176864</v>
      </c>
      <c r="AB968">
        <f>HYPERLINK("Melting_Curves/meltCurve_P0AFJ1_phnA.pdf", "Melting_Curves/meltCurve_P0AFJ1_phnA.pdf")</f>
        <v>0</v>
      </c>
    </row>
    <row r="969" spans="1:28">
      <c r="A969" t="s">
        <v>995</v>
      </c>
      <c r="B969">
        <v>0.999739202189716</v>
      </c>
      <c r="C969">
        <v>0.878520360139617</v>
      </c>
      <c r="D969">
        <v>1.00277017765416</v>
      </c>
      <c r="E969">
        <v>0.739395817102783</v>
      </c>
      <c r="F969">
        <v>0.499388183232476</v>
      </c>
      <c r="G969">
        <v>0.262245144062778</v>
      </c>
      <c r="H969">
        <v>0.206926184846424</v>
      </c>
      <c r="I969">
        <v>0.151145192094873</v>
      </c>
      <c r="J969">
        <v>0.154034303351678</v>
      </c>
      <c r="K969">
        <v>0.104010814881416</v>
      </c>
      <c r="L969">
        <v>863.851512488715</v>
      </c>
      <c r="M969">
        <v>17.5488680531411</v>
      </c>
      <c r="N969">
        <v>50.0157587032878</v>
      </c>
      <c r="O969">
        <v>48.5996184812935</v>
      </c>
      <c r="P969">
        <v>-0.0793470555044536</v>
      </c>
      <c r="Q969">
        <v>0.121076901984741</v>
      </c>
      <c r="R969">
        <v>0.985211303787655</v>
      </c>
      <c r="S969" t="s">
        <v>3162</v>
      </c>
      <c r="T969" t="s">
        <v>4362</v>
      </c>
      <c r="U969" t="s">
        <v>4362</v>
      </c>
      <c r="V969" t="s">
        <v>4362</v>
      </c>
      <c r="W969" t="s">
        <v>5328</v>
      </c>
      <c r="X969">
        <v>2</v>
      </c>
      <c r="Y969" t="s">
        <v>7490</v>
      </c>
      <c r="Z969" t="s">
        <v>9657</v>
      </c>
      <c r="AA969">
        <v>0.4938227297773261</v>
      </c>
      <c r="AB969">
        <f>HYPERLINK("Melting_Curves/meltCurve_P0AFJ5_phoB.pdf", "Melting_Curves/meltCurve_P0AFJ5_phoB.pdf")</f>
        <v>0</v>
      </c>
    </row>
    <row r="970" spans="1:28">
      <c r="A970" t="s">
        <v>996</v>
      </c>
      <c r="B970">
        <v>0.999739202189716</v>
      </c>
      <c r="C970">
        <v>1.09288813297501</v>
      </c>
      <c r="D970">
        <v>0.60630908225602</v>
      </c>
      <c r="E970">
        <v>0.401145403182075</v>
      </c>
      <c r="F970">
        <v>0.216689689366129</v>
      </c>
      <c r="G970">
        <v>0.138049774806536</v>
      </c>
      <c r="H970">
        <v>0.105815908923403</v>
      </c>
      <c r="I970">
        <v>0.0835326847100198</v>
      </c>
      <c r="J970">
        <v>0.0702824686103405</v>
      </c>
      <c r="K970">
        <v>0.0701473319882419</v>
      </c>
      <c r="L970">
        <v>889.059671065055</v>
      </c>
      <c r="M970">
        <v>19.8895965930474</v>
      </c>
      <c r="N970">
        <v>45.1507684295771</v>
      </c>
      <c r="O970">
        <v>44.2552320667038</v>
      </c>
      <c r="P970">
        <v>-0.102237681242637</v>
      </c>
      <c r="Q970">
        <v>0.0900968237395727</v>
      </c>
      <c r="R970">
        <v>0.968094956332361</v>
      </c>
      <c r="S970" t="s">
        <v>3163</v>
      </c>
      <c r="T970" t="s">
        <v>4362</v>
      </c>
      <c r="U970" t="s">
        <v>4362</v>
      </c>
      <c r="V970" t="s">
        <v>4362</v>
      </c>
      <c r="W970" t="s">
        <v>5329</v>
      </c>
      <c r="X970">
        <v>3</v>
      </c>
      <c r="Y970" t="s">
        <v>7491</v>
      </c>
      <c r="Z970" t="s">
        <v>9658</v>
      </c>
      <c r="AA970">
        <v>0.3357741596029211</v>
      </c>
      <c r="AB970">
        <f>HYPERLINK("Melting_Curves/meltCurve_P0AFJ7_pitA.pdf", "Melting_Curves/meltCurve_P0AFJ7_pitA.pdf")</f>
        <v>0</v>
      </c>
    </row>
    <row r="971" spans="1:28">
      <c r="A971" t="s">
        <v>997</v>
      </c>
      <c r="B971">
        <v>0.999739202189716</v>
      </c>
      <c r="C971">
        <v>0.999027626752758</v>
      </c>
      <c r="D971">
        <v>0.990226668937033</v>
      </c>
      <c r="E971">
        <v>0.795916808662029</v>
      </c>
      <c r="F971">
        <v>0.779779874033022</v>
      </c>
      <c r="G971">
        <v>0.633438744219717</v>
      </c>
      <c r="H971">
        <v>0.53566590008129</v>
      </c>
      <c r="I971">
        <v>0.391513898310302</v>
      </c>
      <c r="J971">
        <v>0.260708873651578</v>
      </c>
      <c r="K971">
        <v>0.124431240621407</v>
      </c>
      <c r="L971">
        <v>526.413829102474</v>
      </c>
      <c r="M971">
        <v>9.228708870277</v>
      </c>
      <c r="N971">
        <v>57.0408843880277</v>
      </c>
      <c r="O971">
        <v>54.5543923393396</v>
      </c>
      <c r="P971">
        <v>-0.0423192455882897</v>
      </c>
      <c r="Q971">
        <v>0</v>
      </c>
      <c r="R971">
        <v>0.977782603314584</v>
      </c>
      <c r="S971" t="s">
        <v>3164</v>
      </c>
      <c r="T971" t="s">
        <v>4362</v>
      </c>
      <c r="U971" t="s">
        <v>4362</v>
      </c>
      <c r="V971" t="s">
        <v>4362</v>
      </c>
      <c r="W971" t="s">
        <v>5330</v>
      </c>
      <c r="X971">
        <v>16</v>
      </c>
      <c r="Y971" t="s">
        <v>7492</v>
      </c>
      <c r="Z971" t="s">
        <v>9659</v>
      </c>
      <c r="AA971">
        <v>0.6636552264359572</v>
      </c>
      <c r="AB971">
        <f>HYPERLINK("Melting_Curves/meltCurve_P0AFK0_pmbA.pdf", "Melting_Curves/meltCurve_P0AFK0_pmbA.pdf")</f>
        <v>0</v>
      </c>
    </row>
    <row r="972" spans="1:28">
      <c r="A972" t="s">
        <v>998</v>
      </c>
      <c r="B972">
        <v>0.999739202189716</v>
      </c>
      <c r="C972">
        <v>1.18878205775834</v>
      </c>
      <c r="D972">
        <v>0.633979976473908</v>
      </c>
      <c r="E972">
        <v>0.538665690139574</v>
      </c>
      <c r="F972">
        <v>0.401055531610017</v>
      </c>
      <c r="G972">
        <v>0.432019748321016</v>
      </c>
      <c r="H972">
        <v>0.482703208158685</v>
      </c>
      <c r="I972">
        <v>0.46777083457309</v>
      </c>
      <c r="J972">
        <v>0.453140821806065</v>
      </c>
      <c r="K972">
        <v>0.303379045846582</v>
      </c>
      <c r="L972">
        <v>10722.737923846</v>
      </c>
      <c r="M972">
        <v>250</v>
      </c>
      <c r="N972">
        <v>43.2572780802926</v>
      </c>
      <c r="O972">
        <v>42.8882071028088</v>
      </c>
      <c r="P972">
        <v>-0.816338529596262</v>
      </c>
      <c r="Q972">
        <v>0.439819267762094</v>
      </c>
      <c r="R972">
        <v>0.904884994085386</v>
      </c>
      <c r="S972" t="s">
        <v>3165</v>
      </c>
      <c r="T972" t="s">
        <v>4362</v>
      </c>
      <c r="U972" t="s">
        <v>4362</v>
      </c>
      <c r="V972" t="s">
        <v>4362</v>
      </c>
      <c r="W972" t="s">
        <v>5331</v>
      </c>
      <c r="X972">
        <v>1</v>
      </c>
      <c r="Y972" t="s">
        <v>7493</v>
      </c>
      <c r="Z972" t="s">
        <v>9660</v>
      </c>
      <c r="AA972">
        <v>0.5498613553631303</v>
      </c>
      <c r="AB972">
        <f>HYPERLINK("Melting_Curves/meltCurve_P0AFK2_pnuC.pdf", "Melting_Curves/meltCurve_P0AFK2_pnuC.pdf")</f>
        <v>0</v>
      </c>
    </row>
    <row r="973" spans="1:28">
      <c r="A973" t="s">
        <v>999</v>
      </c>
      <c r="B973">
        <v>0.999739202189716</v>
      </c>
      <c r="C973">
        <v>0.965358713362392</v>
      </c>
      <c r="D973">
        <v>0.466169453922457</v>
      </c>
      <c r="E973">
        <v>0.378419371835345</v>
      </c>
      <c r="F973">
        <v>0.207990474376518</v>
      </c>
      <c r="G973">
        <v>0.132176222413944</v>
      </c>
      <c r="H973">
        <v>0.08638322252639891</v>
      </c>
      <c r="I973">
        <v>0.070004236443012</v>
      </c>
      <c r="J973">
        <v>0.0570838833416987</v>
      </c>
      <c r="K973">
        <v>0.0511951672771225</v>
      </c>
      <c r="L973">
        <v>742.811083125217</v>
      </c>
      <c r="M973">
        <v>16.9839483532993</v>
      </c>
      <c r="N973">
        <v>44.1564752566524</v>
      </c>
      <c r="O973">
        <v>43.1432497626655</v>
      </c>
      <c r="P973">
        <v>-0.0910746717108122</v>
      </c>
      <c r="Q973">
        <v>0.07465287493168669</v>
      </c>
      <c r="R973">
        <v>0.965569382043753</v>
      </c>
      <c r="S973" t="s">
        <v>3166</v>
      </c>
      <c r="T973" t="s">
        <v>4362</v>
      </c>
      <c r="U973" t="s">
        <v>4362</v>
      </c>
      <c r="V973" t="s">
        <v>4362</v>
      </c>
      <c r="W973" t="s">
        <v>5332</v>
      </c>
      <c r="X973">
        <v>2</v>
      </c>
      <c r="Y973" t="s">
        <v>7494</v>
      </c>
      <c r="Z973" t="s">
        <v>9661</v>
      </c>
      <c r="AA973">
        <v>0.3003083707656979</v>
      </c>
      <c r="AB973">
        <f>HYPERLINK("Melting_Curves/meltCurve_P0AFK4_potB.pdf", "Melting_Curves/meltCurve_P0AFK4_potB.pdf")</f>
        <v>0</v>
      </c>
    </row>
    <row r="974" spans="1:28">
      <c r="A974" t="s">
        <v>1000</v>
      </c>
      <c r="B974">
        <v>0.999739202189716</v>
      </c>
      <c r="C974">
        <v>1.11745134036823</v>
      </c>
      <c r="D974">
        <v>0.475413719122885</v>
      </c>
      <c r="E974">
        <v>0.295078361579058</v>
      </c>
      <c r="F974">
        <v>0.221081789616409</v>
      </c>
      <c r="G974">
        <v>0.14290021589885</v>
      </c>
      <c r="H974">
        <v>0.163874683046563</v>
      </c>
      <c r="I974">
        <v>0.12523935376361</v>
      </c>
      <c r="J974">
        <v>0.130778536944155</v>
      </c>
      <c r="K974">
        <v>0.0804302972117471</v>
      </c>
      <c r="L974">
        <v>10727.3509035662</v>
      </c>
      <c r="M974">
        <v>250</v>
      </c>
      <c r="N974">
        <v>42.9785950033153</v>
      </c>
      <c r="O974">
        <v>42.9066523005335</v>
      </c>
      <c r="P974">
        <v>-1.21539096382167</v>
      </c>
      <c r="Q974">
        <v>0.165626175926655</v>
      </c>
      <c r="R974">
        <v>0.965668209992571</v>
      </c>
      <c r="S974" t="s">
        <v>3167</v>
      </c>
      <c r="T974" t="s">
        <v>4362</v>
      </c>
      <c r="U974" t="s">
        <v>4362</v>
      </c>
      <c r="V974" t="s">
        <v>4362</v>
      </c>
      <c r="W974" t="s">
        <v>5333</v>
      </c>
      <c r="X974">
        <v>1</v>
      </c>
      <c r="Y974" t="s">
        <v>7495</v>
      </c>
      <c r="Z974" t="s">
        <v>9662</v>
      </c>
      <c r="AA974">
        <v>0.3300440651149957</v>
      </c>
      <c r="AB974">
        <f>HYPERLINK("Melting_Curves/meltCurve_P0AFK6_potC.pdf", "Melting_Curves/meltCurve_P0AFK6_potC.pdf")</f>
        <v>0</v>
      </c>
    </row>
    <row r="975" spans="1:28">
      <c r="A975" t="s">
        <v>1001</v>
      </c>
      <c r="B975">
        <v>0.999739202189716</v>
      </c>
      <c r="C975">
        <v>0.92063596675262</v>
      </c>
      <c r="D975">
        <v>0.947184440428955</v>
      </c>
      <c r="E975">
        <v>0.913230866632908</v>
      </c>
      <c r="F975">
        <v>1.09326776255373</v>
      </c>
      <c r="G975">
        <v>0.889726814272063</v>
      </c>
      <c r="H975">
        <v>0.98127836648857</v>
      </c>
      <c r="I975">
        <v>0.980619607562137</v>
      </c>
      <c r="J975">
        <v>1.06071757838221</v>
      </c>
      <c r="K975">
        <v>0.718115136938219</v>
      </c>
      <c r="L975">
        <v>15000</v>
      </c>
      <c r="M975">
        <v>222.945442580076</v>
      </c>
      <c r="Q975">
        <v>0</v>
      </c>
      <c r="R975">
        <v>0.567232890273046</v>
      </c>
      <c r="S975" t="s">
        <v>3168</v>
      </c>
      <c r="T975" t="s">
        <v>4362</v>
      </c>
      <c r="U975" t="s">
        <v>4362</v>
      </c>
      <c r="V975" t="s">
        <v>4362</v>
      </c>
      <c r="W975" t="s">
        <v>5334</v>
      </c>
      <c r="X975">
        <v>14</v>
      </c>
      <c r="Y975" t="s">
        <v>7496</v>
      </c>
      <c r="Z975" t="s">
        <v>9663</v>
      </c>
      <c r="AA975">
        <v>0.9967285058338727</v>
      </c>
      <c r="AB975">
        <f>HYPERLINK("Melting_Curves/meltCurve_P0AFK9_potD.pdf", "Melting_Curves/meltCurve_P0AFK9_potD.pdf")</f>
        <v>0</v>
      </c>
    </row>
    <row r="976" spans="1:28">
      <c r="A976" t="s">
        <v>1002</v>
      </c>
      <c r="B976">
        <v>0.999739202189716</v>
      </c>
      <c r="C976">
        <v>0.88811364809555</v>
      </c>
      <c r="D976">
        <v>1.26359045395903</v>
      </c>
      <c r="E976">
        <v>0.843141765286659</v>
      </c>
      <c r="F976">
        <v>1.13646459590977</v>
      </c>
      <c r="G976">
        <v>0.802415020392938</v>
      </c>
      <c r="H976">
        <v>0.776872585181506</v>
      </c>
      <c r="I976">
        <v>0.833613958993528</v>
      </c>
      <c r="J976">
        <v>1.07776519558221</v>
      </c>
      <c r="K976">
        <v>0.738739003870686</v>
      </c>
      <c r="L976">
        <v>6134.43607485866</v>
      </c>
      <c r="M976">
        <v>117.57862754815</v>
      </c>
      <c r="O976">
        <v>52.1579899721841</v>
      </c>
      <c r="P976">
        <v>-0.0866512515494184</v>
      </c>
      <c r="Q976">
        <v>0.846245768591853</v>
      </c>
      <c r="R976">
        <v>0.280064625305887</v>
      </c>
      <c r="S976" t="s">
        <v>3169</v>
      </c>
      <c r="T976" t="s">
        <v>4362</v>
      </c>
      <c r="U976" t="s">
        <v>4362</v>
      </c>
      <c r="V976" t="s">
        <v>4362</v>
      </c>
      <c r="W976" t="s">
        <v>5335</v>
      </c>
      <c r="X976">
        <v>4</v>
      </c>
      <c r="Y976" t="s">
        <v>7497</v>
      </c>
      <c r="Z976" t="s">
        <v>9664</v>
      </c>
      <c r="AA976">
        <v>0.9240735055247068</v>
      </c>
      <c r="AB976">
        <f>HYPERLINK("Melting_Curves/meltCurve_P0AFL3_ppiA.pdf", "Melting_Curves/meltCurve_P0AFL3_ppiA.pdf")</f>
        <v>0</v>
      </c>
    </row>
    <row r="977" spans="1:28">
      <c r="A977" t="s">
        <v>1003</v>
      </c>
      <c r="B977">
        <v>0.999739202189716</v>
      </c>
      <c r="C977">
        <v>0.5645402609878321</v>
      </c>
      <c r="D977">
        <v>0.310127917917237</v>
      </c>
      <c r="E977">
        <v>0.232887500361335</v>
      </c>
      <c r="F977">
        <v>0.196402689599313</v>
      </c>
      <c r="G977">
        <v>0.123991283903575</v>
      </c>
      <c r="H977">
        <v>0.10982284230883</v>
      </c>
      <c r="I977">
        <v>0.0941747581071404</v>
      </c>
      <c r="J977">
        <v>0.08501255364953671</v>
      </c>
      <c r="K977">
        <v>0.0753646491083069</v>
      </c>
      <c r="L977">
        <v>925.815713472112</v>
      </c>
      <c r="M977">
        <v>22.9102422687214</v>
      </c>
      <c r="N977">
        <v>40.9093377964063</v>
      </c>
      <c r="O977">
        <v>40.1064547156638</v>
      </c>
      <c r="P977">
        <v>-0.125408885261911</v>
      </c>
      <c r="Q977">
        <v>0.121858247005799</v>
      </c>
      <c r="R977">
        <v>0.965977375756334</v>
      </c>
      <c r="S977" t="s">
        <v>3170</v>
      </c>
      <c r="T977" t="s">
        <v>4362</v>
      </c>
      <c r="U977" t="s">
        <v>4362</v>
      </c>
      <c r="V977" t="s">
        <v>4362</v>
      </c>
      <c r="W977" t="s">
        <v>5336</v>
      </c>
      <c r="X977">
        <v>8</v>
      </c>
      <c r="Y977" t="s">
        <v>7498</v>
      </c>
      <c r="Z977" t="s">
        <v>9665</v>
      </c>
      <c r="AA977">
        <v>0.233874244954925</v>
      </c>
      <c r="AB977">
        <f>HYPERLINK("Melting_Curves/meltCurve_P0AFL6_ppx.pdf", "Melting_Curves/meltCurve_P0AFL6_ppx.pdf")</f>
        <v>0</v>
      </c>
    </row>
    <row r="978" spans="1:28">
      <c r="A978" t="s">
        <v>1004</v>
      </c>
      <c r="B978">
        <v>0.999739202189716</v>
      </c>
      <c r="C978">
        <v>0.707164197815269</v>
      </c>
      <c r="D978">
        <v>0.99193288821356</v>
      </c>
      <c r="E978">
        <v>0.658596823455505</v>
      </c>
      <c r="F978">
        <v>1.24320969586817</v>
      </c>
      <c r="G978">
        <v>0.618235470266883</v>
      </c>
      <c r="H978">
        <v>0.978470853036848</v>
      </c>
      <c r="I978">
        <v>0.410076843157855</v>
      </c>
      <c r="J978">
        <v>0.886616803067609</v>
      </c>
      <c r="K978">
        <v>0.312531500380144</v>
      </c>
      <c r="L978">
        <v>426.898981721599</v>
      </c>
      <c r="M978">
        <v>6.35194148786135</v>
      </c>
      <c r="O978">
        <v>61.4713017751873</v>
      </c>
      <c r="P978">
        <v>-0.0259011419408014</v>
      </c>
      <c r="Q978">
        <v>0</v>
      </c>
      <c r="R978">
        <v>0.247038326104097</v>
      </c>
      <c r="S978" t="s">
        <v>3171</v>
      </c>
      <c r="T978" t="s">
        <v>4362</v>
      </c>
      <c r="U978" t="s">
        <v>4362</v>
      </c>
      <c r="V978" t="s">
        <v>4362</v>
      </c>
      <c r="W978" t="s">
        <v>5337</v>
      </c>
      <c r="X978">
        <v>3</v>
      </c>
      <c r="Y978" t="s">
        <v>7499</v>
      </c>
      <c r="Z978" t="s">
        <v>9666</v>
      </c>
      <c r="AA978">
        <v>0.8214428763748393</v>
      </c>
      <c r="AB978">
        <f>HYPERLINK("Melting_Curves/meltCurve_P0AFM2_proX.pdf", "Melting_Curves/meltCurve_P0AFM2_proX.pdf")</f>
        <v>0</v>
      </c>
    </row>
    <row r="979" spans="1:28">
      <c r="A979" t="s">
        <v>1005</v>
      </c>
      <c r="B979">
        <v>0.999739202189716</v>
      </c>
      <c r="C979">
        <v>1.18136876240983</v>
      </c>
      <c r="D979">
        <v>1.42574236981376</v>
      </c>
      <c r="E979">
        <v>1.19316214924437</v>
      </c>
      <c r="F979">
        <v>1.43162958477896</v>
      </c>
      <c r="G979">
        <v>1.5163089265028</v>
      </c>
      <c r="H979">
        <v>0.967354822174646</v>
      </c>
      <c r="I979">
        <v>0.865112475687344</v>
      </c>
      <c r="J979">
        <v>0.780451310986402</v>
      </c>
      <c r="K979">
        <v>0.737929507384594</v>
      </c>
      <c r="L979">
        <v>3054.64796603906</v>
      </c>
      <c r="M979">
        <v>50.1676949717689</v>
      </c>
      <c r="O979">
        <v>60.7922284262328</v>
      </c>
      <c r="P979">
        <v>-0.0521704038001858</v>
      </c>
      <c r="Q979">
        <v>0.747123925569255</v>
      </c>
      <c r="R979">
        <v>0.0197967712121417</v>
      </c>
      <c r="S979" t="s">
        <v>3172</v>
      </c>
      <c r="T979" t="s">
        <v>4362</v>
      </c>
      <c r="U979" t="s">
        <v>4362</v>
      </c>
      <c r="V979" t="s">
        <v>4362</v>
      </c>
      <c r="W979" t="s">
        <v>5338</v>
      </c>
      <c r="X979">
        <v>7</v>
      </c>
      <c r="Y979" t="s">
        <v>7500</v>
      </c>
      <c r="Z979" t="s">
        <v>9667</v>
      </c>
      <c r="AA979">
        <v>0.9490287342394</v>
      </c>
      <c r="AB979">
        <f>HYPERLINK("Melting_Curves/meltCurve_P0AFM4_psiF.pdf", "Melting_Curves/meltCurve_P0AFM4_psiF.pdf")</f>
        <v>0</v>
      </c>
    </row>
    <row r="980" spans="1:28">
      <c r="A980" t="s">
        <v>1006</v>
      </c>
      <c r="B980">
        <v>0.999739202189716</v>
      </c>
      <c r="C980">
        <v>0.8790833821078869</v>
      </c>
      <c r="D980">
        <v>1.04014859810235</v>
      </c>
      <c r="E980">
        <v>0.86864176952741</v>
      </c>
      <c r="F980">
        <v>0.961447606422932</v>
      </c>
      <c r="G980">
        <v>0.766094252133024</v>
      </c>
      <c r="H980">
        <v>0.730025731273884</v>
      </c>
      <c r="I980">
        <v>0.569909321636035</v>
      </c>
      <c r="J980">
        <v>0.536956235389802</v>
      </c>
      <c r="K980">
        <v>0.497577366154313</v>
      </c>
      <c r="L980">
        <v>539.02990281242</v>
      </c>
      <c r="M980">
        <v>9.13484300090032</v>
      </c>
      <c r="N980">
        <v>66.096544251475</v>
      </c>
      <c r="O980">
        <v>56.3865712877063</v>
      </c>
      <c r="P980">
        <v>-0.0278724785671942</v>
      </c>
      <c r="Q980">
        <v>0.312279168471134</v>
      </c>
      <c r="R980">
        <v>0.910392306030852</v>
      </c>
      <c r="S980" t="s">
        <v>3173</v>
      </c>
      <c r="T980" t="s">
        <v>4362</v>
      </c>
      <c r="U980" t="s">
        <v>4362</v>
      </c>
      <c r="V980" t="s">
        <v>4362</v>
      </c>
      <c r="W980" t="s">
        <v>5339</v>
      </c>
      <c r="X980">
        <v>6</v>
      </c>
      <c r="Y980" t="s">
        <v>7501</v>
      </c>
      <c r="Z980" t="s">
        <v>9668</v>
      </c>
      <c r="AA980">
        <v>0.8011591196116111</v>
      </c>
      <c r="AB980">
        <f>HYPERLINK("Melting_Curves/meltCurve_P0AFM6_pspA.pdf", "Melting_Curves/meltCurve_P0AFM6_pspA.pdf")</f>
        <v>0</v>
      </c>
    </row>
    <row r="981" spans="1:28">
      <c r="A981" t="s">
        <v>1007</v>
      </c>
      <c r="B981">
        <v>0.999739202189716</v>
      </c>
      <c r="C981">
        <v>1.3513304788491</v>
      </c>
      <c r="D981">
        <v>0.7839592369757989</v>
      </c>
      <c r="E981">
        <v>1.14953053376834</v>
      </c>
      <c r="F981">
        <v>0.8828692016365109</v>
      </c>
      <c r="G981">
        <v>0.771119870070182</v>
      </c>
      <c r="H981">
        <v>0.61977474669455</v>
      </c>
      <c r="I981">
        <v>0.733891677483421</v>
      </c>
      <c r="J981">
        <v>0.578852794080232</v>
      </c>
      <c r="K981">
        <v>0.64379551464838</v>
      </c>
      <c r="L981">
        <v>1659.25088077526</v>
      </c>
      <c r="M981">
        <v>31.7406165563127</v>
      </c>
      <c r="O981">
        <v>52.0691136908524</v>
      </c>
      <c r="P981">
        <v>-0.0546493877164262</v>
      </c>
      <c r="Q981">
        <v>0.6414018829704921</v>
      </c>
      <c r="R981">
        <v>0.622385549099311</v>
      </c>
      <c r="S981" t="s">
        <v>3174</v>
      </c>
      <c r="T981" t="s">
        <v>4362</v>
      </c>
      <c r="U981" t="s">
        <v>4362</v>
      </c>
      <c r="V981" t="s">
        <v>4362</v>
      </c>
      <c r="W981" t="s">
        <v>5340</v>
      </c>
      <c r="X981">
        <v>3</v>
      </c>
      <c r="Y981" t="s">
        <v>7502</v>
      </c>
      <c r="Z981" t="s">
        <v>9669</v>
      </c>
      <c r="AA981">
        <v>0.8260283166208355</v>
      </c>
      <c r="AB981">
        <f>HYPERLINK("Melting_Curves/meltCurve_P0AFM9_pspB.pdf", "Melting_Curves/meltCurve_P0AFM9_pspB.pdf")</f>
        <v>0</v>
      </c>
    </row>
    <row r="982" spans="1:28">
      <c r="A982" t="s">
        <v>1008</v>
      </c>
      <c r="B982">
        <v>0.999739202189716</v>
      </c>
      <c r="C982">
        <v>0.969890386114027</v>
      </c>
      <c r="D982">
        <v>0.907000085140551</v>
      </c>
      <c r="E982">
        <v>1.0213049712993</v>
      </c>
      <c r="F982">
        <v>0.951780300320844</v>
      </c>
      <c r="G982">
        <v>0.790186754059527</v>
      </c>
      <c r="H982">
        <v>0.701422853826661</v>
      </c>
      <c r="I982">
        <v>0.545118220874879</v>
      </c>
      <c r="J982">
        <v>0.466220984670955</v>
      </c>
      <c r="K982">
        <v>0.376160539695937</v>
      </c>
      <c r="L982">
        <v>722.079313276852</v>
      </c>
      <c r="M982">
        <v>12.2000298417876</v>
      </c>
      <c r="N982">
        <v>62.4776222010096</v>
      </c>
      <c r="O982">
        <v>57.663832407569</v>
      </c>
      <c r="P982">
        <v>-0.040364017300819</v>
      </c>
      <c r="Q982">
        <v>0.237045124735122</v>
      </c>
      <c r="R982">
        <v>0.974529225322973</v>
      </c>
      <c r="S982" t="s">
        <v>3175</v>
      </c>
      <c r="T982" t="s">
        <v>4362</v>
      </c>
      <c r="U982" t="s">
        <v>4362</v>
      </c>
      <c r="V982" t="s">
        <v>4362</v>
      </c>
      <c r="W982" t="s">
        <v>5341</v>
      </c>
      <c r="X982">
        <v>2</v>
      </c>
      <c r="Y982" t="s">
        <v>7503</v>
      </c>
      <c r="Z982" t="s">
        <v>9670</v>
      </c>
      <c r="AA982">
        <v>0.7944389823614451</v>
      </c>
      <c r="AB982">
        <f>HYPERLINK("Melting_Curves/meltCurve_P0AFN2_pspC.pdf", "Melting_Curves/meltCurve_P0AFN2_pspC.pdf")</f>
        <v>0</v>
      </c>
    </row>
    <row r="983" spans="1:28">
      <c r="A983" t="s">
        <v>1009</v>
      </c>
      <c r="B983">
        <v>0.999739202189716</v>
      </c>
      <c r="C983">
        <v>0.5535048659958181</v>
      </c>
      <c r="D983">
        <v>0.403315224413359</v>
      </c>
      <c r="E983">
        <v>0.263546138075269</v>
      </c>
      <c r="F983">
        <v>0.196990740547989</v>
      </c>
      <c r="G983">
        <v>0.157869902372365</v>
      </c>
      <c r="H983">
        <v>0.127183732769388</v>
      </c>
      <c r="I983">
        <v>0.09737694799873391</v>
      </c>
      <c r="J983">
        <v>0.0690952665481683</v>
      </c>
      <c r="K983">
        <v>0.0846428536232313</v>
      </c>
      <c r="L983">
        <v>675.220352759088</v>
      </c>
      <c r="M983">
        <v>16.4668363311135</v>
      </c>
      <c r="N983">
        <v>41.6530271468522</v>
      </c>
      <c r="O983">
        <v>40.4144373973348</v>
      </c>
      <c r="P983">
        <v>-0.0903557178335936</v>
      </c>
      <c r="Q983">
        <v>0.113024602262593</v>
      </c>
      <c r="R983">
        <v>0.954829412744517</v>
      </c>
      <c r="S983" t="s">
        <v>3176</v>
      </c>
      <c r="T983" t="s">
        <v>4362</v>
      </c>
      <c r="U983" t="s">
        <v>4362</v>
      </c>
      <c r="V983" t="s">
        <v>4362</v>
      </c>
      <c r="W983" t="s">
        <v>5342</v>
      </c>
      <c r="X983">
        <v>5</v>
      </c>
      <c r="Y983" t="s">
        <v>7504</v>
      </c>
      <c r="Z983" t="s">
        <v>9671</v>
      </c>
      <c r="AA983">
        <v>0.2549796894813925</v>
      </c>
      <c r="AB983">
        <f>HYPERLINK("Melting_Curves/meltCurve_P0AFP6_ybgI.pdf", "Melting_Curves/meltCurve_P0AFP6_ybgI.pdf")</f>
        <v>0</v>
      </c>
    </row>
    <row r="984" spans="1:28">
      <c r="A984" t="s">
        <v>1010</v>
      </c>
      <c r="B984">
        <v>0.999739202189716</v>
      </c>
      <c r="C984">
        <v>0.869043822222724</v>
      </c>
      <c r="D984">
        <v>0.780884286278223</v>
      </c>
      <c r="E984">
        <v>0.64567149440232</v>
      </c>
      <c r="F984">
        <v>0.588182728006026</v>
      </c>
      <c r="G984">
        <v>0.425434101966707</v>
      </c>
      <c r="H984">
        <v>0.2768335416986</v>
      </c>
      <c r="I984">
        <v>0.225810348516854</v>
      </c>
      <c r="J984">
        <v>0.238416176447144</v>
      </c>
      <c r="K984">
        <v>0.211349313895713</v>
      </c>
      <c r="L984">
        <v>407.824826675465</v>
      </c>
      <c r="M984">
        <v>8.205747308205099</v>
      </c>
      <c r="N984">
        <v>51.0218812142419</v>
      </c>
      <c r="O984">
        <v>47.0100570775816</v>
      </c>
      <c r="P984">
        <v>-0.0394997726101285</v>
      </c>
      <c r="Q984">
        <v>0.0957660849888755</v>
      </c>
      <c r="R984">
        <v>0.984933532544808</v>
      </c>
      <c r="S984" t="s">
        <v>3177</v>
      </c>
      <c r="T984" t="s">
        <v>4362</v>
      </c>
      <c r="U984" t="s">
        <v>4362</v>
      </c>
      <c r="V984" t="s">
        <v>4362</v>
      </c>
      <c r="W984" t="s">
        <v>5343</v>
      </c>
      <c r="X984">
        <v>7</v>
      </c>
      <c r="Y984" t="s">
        <v>7505</v>
      </c>
      <c r="Z984" t="s">
        <v>9672</v>
      </c>
      <c r="AA984">
        <v>0.5162085063102897</v>
      </c>
      <c r="AB984">
        <f>HYPERLINK("Melting_Curves/meltCurve_P0AFQ7_ycfH.pdf", "Melting_Curves/meltCurve_P0AFQ7_ycfH.pdf")</f>
        <v>0</v>
      </c>
    </row>
    <row r="985" spans="1:28">
      <c r="A985" t="s">
        <v>1011</v>
      </c>
      <c r="B985">
        <v>0.999739202189716</v>
      </c>
      <c r="C985">
        <v>0.994889084325805</v>
      </c>
      <c r="D985">
        <v>0.929382656985822</v>
      </c>
      <c r="E985">
        <v>0.745867183887057</v>
      </c>
      <c r="F985">
        <v>0.5776754434156121</v>
      </c>
      <c r="G985">
        <v>0.38283607050159</v>
      </c>
      <c r="H985">
        <v>0.228624659565952</v>
      </c>
      <c r="I985">
        <v>0.151757157006797</v>
      </c>
      <c r="J985">
        <v>0.182949115013922</v>
      </c>
      <c r="K985">
        <v>0.133500108415052</v>
      </c>
      <c r="L985">
        <v>687.713673613899</v>
      </c>
      <c r="M985">
        <v>13.665685410621</v>
      </c>
      <c r="N985">
        <v>51.2191398707814</v>
      </c>
      <c r="O985">
        <v>49.2832213508046</v>
      </c>
      <c r="P985">
        <v>-0.0619683444180494</v>
      </c>
      <c r="Q985">
        <v>0.106212609320598</v>
      </c>
      <c r="R985">
        <v>0.996553619777412</v>
      </c>
      <c r="S985" t="s">
        <v>3178</v>
      </c>
      <c r="T985" t="s">
        <v>4362</v>
      </c>
      <c r="U985" t="s">
        <v>4362</v>
      </c>
      <c r="V985" t="s">
        <v>4362</v>
      </c>
      <c r="W985" t="s">
        <v>5344</v>
      </c>
      <c r="X985">
        <v>4</v>
      </c>
      <c r="Y985" t="s">
        <v>7506</v>
      </c>
      <c r="Z985" t="s">
        <v>9673</v>
      </c>
      <c r="AA985">
        <v>0.5241206919762628</v>
      </c>
      <c r="AB985">
        <f>HYPERLINK("Melting_Curves/meltCurve_P0AFR0_rssA.pdf", "Melting_Curves/meltCurve_P0AFR0_rssA.pdf")</f>
        <v>0</v>
      </c>
    </row>
    <row r="986" spans="1:28">
      <c r="A986" t="s">
        <v>1012</v>
      </c>
      <c r="B986">
        <v>0.999739202189716</v>
      </c>
      <c r="C986">
        <v>1.13377463376885</v>
      </c>
      <c r="D986">
        <v>0.90314804935497</v>
      </c>
      <c r="E986">
        <v>0.609875276446509</v>
      </c>
      <c r="F986">
        <v>0.307320999889853</v>
      </c>
      <c r="G986">
        <v>0.202661168632623</v>
      </c>
      <c r="H986">
        <v>0.153099175345761</v>
      </c>
      <c r="I986">
        <v>0.145811547360931</v>
      </c>
      <c r="J986">
        <v>0.127509790018021</v>
      </c>
      <c r="K986">
        <v>0.0930940069927902</v>
      </c>
      <c r="L986">
        <v>1091.65847512016</v>
      </c>
      <c r="M986">
        <v>23.1553115347394</v>
      </c>
      <c r="N986">
        <v>47.769109826184</v>
      </c>
      <c r="O986">
        <v>46.7976481864384</v>
      </c>
      <c r="P986">
        <v>-0.107556293915521</v>
      </c>
      <c r="Q986">
        <v>0.13051654620372</v>
      </c>
      <c r="R986">
        <v>0.983772966399232</v>
      </c>
      <c r="S986" t="s">
        <v>3179</v>
      </c>
      <c r="T986" t="s">
        <v>4362</v>
      </c>
      <c r="U986" t="s">
        <v>4362</v>
      </c>
      <c r="V986" t="s">
        <v>4362</v>
      </c>
      <c r="W986" t="s">
        <v>5345</v>
      </c>
      <c r="X986">
        <v>3</v>
      </c>
      <c r="Y986" t="s">
        <v>7507</v>
      </c>
      <c r="Z986" t="s">
        <v>9674</v>
      </c>
      <c r="AA986">
        <v>0.4330785208405446</v>
      </c>
      <c r="AB986">
        <f>HYPERLINK("Melting_Curves/meltCurve_P0AFR2_dauA.pdf", "Melting_Curves/meltCurve_P0AFR2_dauA.pdf")</f>
        <v>0</v>
      </c>
    </row>
    <row r="987" spans="1:28">
      <c r="A987" t="s">
        <v>1013</v>
      </c>
      <c r="B987">
        <v>0.999739202189716</v>
      </c>
      <c r="C987">
        <v>0.857410483058298</v>
      </c>
      <c r="D987">
        <v>0.937793050914879</v>
      </c>
      <c r="E987">
        <v>0.77324920191444</v>
      </c>
      <c r="F987">
        <v>0.380599032313027</v>
      </c>
      <c r="G987">
        <v>0.175148202151711</v>
      </c>
      <c r="H987">
        <v>0.126504999470647</v>
      </c>
      <c r="I987">
        <v>0.0927891523136629</v>
      </c>
      <c r="J987">
        <v>0.0832328894361362</v>
      </c>
      <c r="K987">
        <v>0.0625425344542347</v>
      </c>
      <c r="L987">
        <v>1036.59258104333</v>
      </c>
      <c r="M987">
        <v>21.2752474212667</v>
      </c>
      <c r="N987">
        <v>49.0921248137353</v>
      </c>
      <c r="O987">
        <v>48.2986044855663</v>
      </c>
      <c r="P987">
        <v>-0.101985317594788</v>
      </c>
      <c r="Q987">
        <v>0.07392419687900451</v>
      </c>
      <c r="R987">
        <v>0.9859421170023021</v>
      </c>
      <c r="S987" t="s">
        <v>3180</v>
      </c>
      <c r="T987" t="s">
        <v>4362</v>
      </c>
      <c r="U987" t="s">
        <v>4362</v>
      </c>
      <c r="V987" t="s">
        <v>4362</v>
      </c>
      <c r="W987" t="s">
        <v>5346</v>
      </c>
      <c r="X987">
        <v>9</v>
      </c>
      <c r="Y987" t="s">
        <v>7508</v>
      </c>
      <c r="Z987" t="s">
        <v>9675</v>
      </c>
      <c r="AA987">
        <v>0.4466701452262225</v>
      </c>
      <c r="AB987">
        <f>HYPERLINK("Melting_Curves/meltCurve_P0AFR4_yciO.pdf", "Melting_Curves/meltCurve_P0AFR4_yciO.pdf")</f>
        <v>0</v>
      </c>
    </row>
    <row r="988" spans="1:28">
      <c r="A988" t="s">
        <v>1014</v>
      </c>
      <c r="B988">
        <v>0.999739202189716</v>
      </c>
      <c r="C988">
        <v>1.04128753908037</v>
      </c>
      <c r="D988">
        <v>0.863281358929351</v>
      </c>
      <c r="E988">
        <v>0.815927541032726</v>
      </c>
      <c r="F988">
        <v>0.786046206582517</v>
      </c>
      <c r="G988">
        <v>0.68874778679856</v>
      </c>
      <c r="H988">
        <v>0.580719127061091</v>
      </c>
      <c r="I988">
        <v>0.549110236798155</v>
      </c>
      <c r="J988">
        <v>0.560818266453913</v>
      </c>
      <c r="K988">
        <v>0.408468190427746</v>
      </c>
      <c r="L988">
        <v>386.870465647538</v>
      </c>
      <c r="M988">
        <v>7.02385582087084</v>
      </c>
      <c r="N988">
        <v>63.7451761427157</v>
      </c>
      <c r="O988">
        <v>51.1365817276091</v>
      </c>
      <c r="P988">
        <v>-0.0238209253141096</v>
      </c>
      <c r="Q988">
        <v>0.307563178694196</v>
      </c>
      <c r="R988">
        <v>0.948621878735624</v>
      </c>
      <c r="S988" t="s">
        <v>3181</v>
      </c>
      <c r="T988" t="s">
        <v>4362</v>
      </c>
      <c r="U988" t="s">
        <v>4362</v>
      </c>
      <c r="V988" t="s">
        <v>4362</v>
      </c>
      <c r="W988" t="s">
        <v>5347</v>
      </c>
      <c r="X988">
        <v>4</v>
      </c>
      <c r="Y988" t="s">
        <v>7509</v>
      </c>
      <c r="Z988" t="s">
        <v>9676</v>
      </c>
      <c r="AA988">
        <v>0.7258450518100232</v>
      </c>
      <c r="AB988">
        <f>HYPERLINK("Melting_Curves/meltCurve_P0AFS3_folM.pdf", "Melting_Curves/meltCurve_P0AFS3_folM.pdf")</f>
        <v>0</v>
      </c>
    </row>
    <row r="989" spans="1:28">
      <c r="A989" t="s">
        <v>1015</v>
      </c>
      <c r="B989">
        <v>0.999739202189716</v>
      </c>
      <c r="C989">
        <v>0.969074922005711</v>
      </c>
      <c r="D989">
        <v>1.09291153732886</v>
      </c>
      <c r="E989">
        <v>1.00518765287691</v>
      </c>
      <c r="F989">
        <v>1.05076826269724</v>
      </c>
      <c r="G989">
        <v>0.792599750261509</v>
      </c>
      <c r="H989">
        <v>0.904905568371272</v>
      </c>
      <c r="I989">
        <v>0.660852991302085</v>
      </c>
      <c r="J989">
        <v>0.463552186554629</v>
      </c>
      <c r="K989">
        <v>0.225445550634463</v>
      </c>
      <c r="L989">
        <v>1122.62182456452</v>
      </c>
      <c r="M989">
        <v>17.768526569887</v>
      </c>
      <c r="N989">
        <v>63.180357191098</v>
      </c>
      <c r="O989">
        <v>62.3963976535087</v>
      </c>
      <c r="P989">
        <v>-0.07119581343252381</v>
      </c>
      <c r="Q989">
        <v>0</v>
      </c>
      <c r="R989">
        <v>0.938236908657664</v>
      </c>
      <c r="S989" t="s">
        <v>3182</v>
      </c>
      <c r="T989" t="s">
        <v>4362</v>
      </c>
      <c r="U989" t="s">
        <v>4362</v>
      </c>
      <c r="V989" t="s">
        <v>4362</v>
      </c>
      <c r="W989" t="s">
        <v>5348</v>
      </c>
      <c r="X989">
        <v>2</v>
      </c>
      <c r="Y989" t="s">
        <v>7510</v>
      </c>
      <c r="Z989" t="s">
        <v>9677</v>
      </c>
      <c r="AA989">
        <v>0.8477329825910874</v>
      </c>
      <c r="AB989">
        <f>HYPERLINK("Melting_Curves/meltCurve_P0AFS7_ydiK.pdf", "Melting_Curves/meltCurve_P0AFS7_ydiK.pdf")</f>
        <v>0</v>
      </c>
    </row>
    <row r="990" spans="1:28">
      <c r="A990" t="s">
        <v>1016</v>
      </c>
      <c r="B990">
        <v>0.999739202189716</v>
      </c>
      <c r="C990">
        <v>0.852771821548694</v>
      </c>
      <c r="D990">
        <v>1.33613863490237</v>
      </c>
      <c r="E990">
        <v>0.968119644844986</v>
      </c>
      <c r="F990">
        <v>1.20402806435225</v>
      </c>
      <c r="G990">
        <v>0.965951770098624</v>
      </c>
      <c r="H990">
        <v>0.93985457673915</v>
      </c>
      <c r="I990">
        <v>0.812270363696966</v>
      </c>
      <c r="J990">
        <v>0.808487919995967</v>
      </c>
      <c r="K990">
        <v>0.365839373995191</v>
      </c>
      <c r="L990">
        <v>1873.02924811936</v>
      </c>
      <c r="M990">
        <v>28.313244904607</v>
      </c>
      <c r="N990">
        <v>66.15382013413929</v>
      </c>
      <c r="O990">
        <v>65.8264445468416</v>
      </c>
      <c r="P990">
        <v>-0.107530785270323</v>
      </c>
      <c r="Q990">
        <v>0</v>
      </c>
      <c r="R990">
        <v>0.662302463187876</v>
      </c>
      <c r="S990" t="s">
        <v>3183</v>
      </c>
      <c r="T990" t="s">
        <v>4362</v>
      </c>
      <c r="U990" t="s">
        <v>4362</v>
      </c>
      <c r="V990" t="s">
        <v>4362</v>
      </c>
      <c r="W990" t="s">
        <v>5349</v>
      </c>
      <c r="X990">
        <v>2</v>
      </c>
      <c r="Y990" t="s">
        <v>7511</v>
      </c>
      <c r="Z990" t="s">
        <v>9678</v>
      </c>
      <c r="AA990">
        <v>0.9347186294146221</v>
      </c>
      <c r="AB990">
        <f>HYPERLINK("Melting_Curves/meltCurve_P0AFT2_yecS.pdf", "Melting_Curves/meltCurve_P0AFT2_yecS.pdf")</f>
        <v>0</v>
      </c>
    </row>
    <row r="991" spans="1:28">
      <c r="A991" t="s">
        <v>1017</v>
      </c>
      <c r="B991">
        <v>0.999739202189716</v>
      </c>
      <c r="C991">
        <v>1.00022242104128</v>
      </c>
      <c r="D991">
        <v>0.793874906912674</v>
      </c>
      <c r="E991">
        <v>0.618352835513223</v>
      </c>
      <c r="F991">
        <v>0.365687793083108</v>
      </c>
      <c r="G991">
        <v>0.303486114678329</v>
      </c>
      <c r="H991">
        <v>0.229223588917489</v>
      </c>
      <c r="I991">
        <v>0.128558105319334</v>
      </c>
      <c r="J991">
        <v>0.105035722713371</v>
      </c>
      <c r="K991">
        <v>0.0912010755565332</v>
      </c>
      <c r="L991">
        <v>613.71068551454</v>
      </c>
      <c r="M991">
        <v>12.8454794980397</v>
      </c>
      <c r="N991">
        <v>48.5102725956029</v>
      </c>
      <c r="O991">
        <v>46.662918597738</v>
      </c>
      <c r="P991">
        <v>-0.0627548322117043</v>
      </c>
      <c r="Q991">
        <v>0.0883070908242604</v>
      </c>
      <c r="R991">
        <v>0.9897229281868249</v>
      </c>
      <c r="S991" t="s">
        <v>3184</v>
      </c>
      <c r="T991" t="s">
        <v>4362</v>
      </c>
      <c r="U991" t="s">
        <v>4362</v>
      </c>
      <c r="V991" t="s">
        <v>4362</v>
      </c>
      <c r="W991" t="s">
        <v>5350</v>
      </c>
      <c r="X991">
        <v>2</v>
      </c>
      <c r="Y991" t="s">
        <v>7512</v>
      </c>
      <c r="Z991" t="s">
        <v>9679</v>
      </c>
      <c r="AA991">
        <v>0.4418066759217367</v>
      </c>
      <c r="AB991">
        <f>HYPERLINK("Melting_Curves/meltCurve_P0AFT5_yehT.pdf", "Melting_Curves/meltCurve_P0AFT5_yehT.pdf")</f>
        <v>0</v>
      </c>
    </row>
    <row r="992" spans="1:28">
      <c r="A992" t="s">
        <v>1018</v>
      </c>
      <c r="B992">
        <v>0.999739202189716</v>
      </c>
      <c r="C992">
        <v>1.04812096522243</v>
      </c>
      <c r="D992">
        <v>0.751327155152403</v>
      </c>
      <c r="E992">
        <v>0.670159657314392</v>
      </c>
      <c r="F992">
        <v>0.449457006225219</v>
      </c>
      <c r="G992">
        <v>0.18761911117806</v>
      </c>
      <c r="H992">
        <v>0.152829994529437</v>
      </c>
      <c r="I992">
        <v>0.109059776821289</v>
      </c>
      <c r="J992">
        <v>0.128113896896088</v>
      </c>
      <c r="K992">
        <v>0.0769916450965744</v>
      </c>
      <c r="L992">
        <v>674.0869011114009</v>
      </c>
      <c r="M992">
        <v>13.9902343946452</v>
      </c>
      <c r="N992">
        <v>48.6825360029341</v>
      </c>
      <c r="O992">
        <v>47.2302449242458</v>
      </c>
      <c r="P992">
        <v>-0.06910806489051249</v>
      </c>
      <c r="Q992">
        <v>0.06690379964386001</v>
      </c>
      <c r="R992">
        <v>0.979462081227278</v>
      </c>
      <c r="S992" t="s">
        <v>3185</v>
      </c>
      <c r="T992" t="s">
        <v>4362</v>
      </c>
      <c r="U992" t="s">
        <v>4362</v>
      </c>
      <c r="V992" t="s">
        <v>4362</v>
      </c>
      <c r="W992" t="s">
        <v>5351</v>
      </c>
      <c r="X992">
        <v>2</v>
      </c>
      <c r="Y992" t="s">
        <v>7513</v>
      </c>
      <c r="Z992" t="s">
        <v>9680</v>
      </c>
      <c r="AA992">
        <v>0.4376505177925741</v>
      </c>
      <c r="AB992">
        <f>HYPERLINK("Melting_Curves/meltCurve_P0AFU0_yejB.pdf", "Melting_Curves/meltCurve_P0AFU0_yejB.pdf")</f>
        <v>0</v>
      </c>
    </row>
    <row r="993" spans="1:28">
      <c r="A993" t="s">
        <v>1019</v>
      </c>
      <c r="B993">
        <v>0.999739202189716</v>
      </c>
      <c r="C993">
        <v>0.772830050650991</v>
      </c>
      <c r="D993">
        <v>0.384490715201977</v>
      </c>
      <c r="E993">
        <v>0.220722856342706</v>
      </c>
      <c r="F993">
        <v>0.184793226187153</v>
      </c>
      <c r="G993">
        <v>0.125410651259852</v>
      </c>
      <c r="H993">
        <v>0.128199750938093</v>
      </c>
      <c r="I993">
        <v>0.0986130688625233</v>
      </c>
      <c r="J993">
        <v>0.107966625824728</v>
      </c>
      <c r="K993">
        <v>0.0950011212401702</v>
      </c>
      <c r="L993">
        <v>994.916243380594</v>
      </c>
      <c r="M993">
        <v>23.8782310712713</v>
      </c>
      <c r="N993">
        <v>42.1634068043971</v>
      </c>
      <c r="O993">
        <v>41.3773122066232</v>
      </c>
      <c r="P993">
        <v>-0.126571911671358</v>
      </c>
      <c r="Q993">
        <v>0.122695347405449</v>
      </c>
      <c r="R993">
        <v>0.992286025712436</v>
      </c>
      <c r="S993" t="s">
        <v>3186</v>
      </c>
      <c r="T993" t="s">
        <v>4362</v>
      </c>
      <c r="U993" t="s">
        <v>4362</v>
      </c>
      <c r="V993" t="s">
        <v>4362</v>
      </c>
      <c r="W993" t="s">
        <v>5352</v>
      </c>
      <c r="X993">
        <v>4</v>
      </c>
      <c r="Y993" t="s">
        <v>7514</v>
      </c>
      <c r="Z993" t="s">
        <v>9681</v>
      </c>
      <c r="AA993">
        <v>0.2681476332743727</v>
      </c>
      <c r="AB993">
        <f>HYPERLINK("Melting_Curves/meltCurve_P0AFU4_glrR.pdf", "Melting_Curves/meltCurve_P0AFU4_glrR.pdf")</f>
        <v>0</v>
      </c>
    </row>
    <row r="994" spans="1:28">
      <c r="A994" t="s">
        <v>1020</v>
      </c>
      <c r="B994">
        <v>0.999739202189716</v>
      </c>
      <c r="C994">
        <v>0.849214321892234</v>
      </c>
      <c r="D994">
        <v>0.993423614788403</v>
      </c>
      <c r="E994">
        <v>0.703570919591031</v>
      </c>
      <c r="F994">
        <v>0.432099265227013</v>
      </c>
      <c r="G994">
        <v>0.271242895818505</v>
      </c>
      <c r="H994">
        <v>0.175354958877144</v>
      </c>
      <c r="I994">
        <v>0.134206855425287</v>
      </c>
      <c r="J994">
        <v>0.108198373990033</v>
      </c>
      <c r="K994">
        <v>0.100949525198122</v>
      </c>
      <c r="L994">
        <v>806.837274767685</v>
      </c>
      <c r="M994">
        <v>16.5312417028907</v>
      </c>
      <c r="N994">
        <v>49.4581713363578</v>
      </c>
      <c r="O994">
        <v>48.109387480128</v>
      </c>
      <c r="P994">
        <v>-0.0775065468718112</v>
      </c>
      <c r="Q994">
        <v>0.0978208772219291</v>
      </c>
      <c r="R994">
        <v>0.981033055227454</v>
      </c>
      <c r="S994" t="s">
        <v>3187</v>
      </c>
      <c r="T994" t="s">
        <v>4362</v>
      </c>
      <c r="U994" t="s">
        <v>4362</v>
      </c>
      <c r="V994" t="s">
        <v>4362</v>
      </c>
      <c r="W994" t="s">
        <v>5353</v>
      </c>
      <c r="X994">
        <v>6</v>
      </c>
      <c r="Y994" t="s">
        <v>7515</v>
      </c>
      <c r="Z994" t="s">
        <v>9682</v>
      </c>
      <c r="AA994">
        <v>0.4695128779435166</v>
      </c>
      <c r="AB994">
        <f>HYPERLINK("Melting_Curves/meltCurve_P0AFU8_ribC.pdf", "Melting_Curves/meltCurve_P0AFU8_ribC.pdf")</f>
        <v>0</v>
      </c>
    </row>
    <row r="995" spans="1:28">
      <c r="A995" t="s">
        <v>1021</v>
      </c>
      <c r="B995">
        <v>0.999739202189716</v>
      </c>
      <c r="C995">
        <v>1.02682920960516</v>
      </c>
      <c r="D995">
        <v>0.274210819828669</v>
      </c>
      <c r="E995">
        <v>0.479803519304504</v>
      </c>
      <c r="F995">
        <v>0.20533577967672</v>
      </c>
      <c r="G995">
        <v>0.0794070047897035</v>
      </c>
      <c r="H995">
        <v>0.0360193888793477</v>
      </c>
      <c r="I995">
        <v>0.0160785453474318</v>
      </c>
      <c r="J995">
        <v>0.0152609275642114</v>
      </c>
      <c r="K995">
        <v>0.0132792599224615</v>
      </c>
      <c r="L995">
        <v>635.422663004525</v>
      </c>
      <c r="M995">
        <v>14.4759189551742</v>
      </c>
      <c r="N995">
        <v>44.0220917143531</v>
      </c>
      <c r="O995">
        <v>43.0829835510371</v>
      </c>
      <c r="P995">
        <v>-0.08229268584249751</v>
      </c>
      <c r="Q995">
        <v>0.0204413860432095</v>
      </c>
      <c r="R995">
        <v>0.876639856861665</v>
      </c>
      <c r="S995" t="s">
        <v>3188</v>
      </c>
      <c r="T995" t="s">
        <v>4362</v>
      </c>
      <c r="U995" t="s">
        <v>4362</v>
      </c>
      <c r="V995" t="s">
        <v>4362</v>
      </c>
      <c r="W995" t="s">
        <v>5354</v>
      </c>
      <c r="X995">
        <v>2</v>
      </c>
      <c r="Y995" t="s">
        <v>7516</v>
      </c>
      <c r="Z995" t="s">
        <v>9683</v>
      </c>
      <c r="AA995">
        <v>0.2719162932187728</v>
      </c>
      <c r="AB995">
        <f>HYPERLINK("Melting_Curves/meltCurve_P0AFW0_rfaH.pdf", "Melting_Curves/meltCurve_P0AFW0_rfaH.pdf")</f>
        <v>0</v>
      </c>
    </row>
    <row r="996" spans="1:28">
      <c r="A996" t="s">
        <v>1022</v>
      </c>
      <c r="B996">
        <v>0.999739202189716</v>
      </c>
      <c r="C996">
        <v>1.14256626392504</v>
      </c>
      <c r="D996">
        <v>0.7234519191840429</v>
      </c>
      <c r="E996">
        <v>0.905411775448099</v>
      </c>
      <c r="F996">
        <v>0.784363564556854</v>
      </c>
      <c r="G996">
        <v>0.464756381283338</v>
      </c>
      <c r="H996">
        <v>0.468505739019509</v>
      </c>
      <c r="I996">
        <v>0.66508134472879</v>
      </c>
      <c r="J996">
        <v>1.73803209567556</v>
      </c>
      <c r="K996">
        <v>4.97320553829432</v>
      </c>
      <c r="L996">
        <v>5439.81087085541</v>
      </c>
      <c r="M996">
        <v>87.0297372187634</v>
      </c>
      <c r="O996">
        <v>62.4722004219498</v>
      </c>
      <c r="P996">
        <v>0.174136900979578</v>
      </c>
      <c r="Q996">
        <v>1.5</v>
      </c>
      <c r="R996">
        <v>0.202840130419469</v>
      </c>
      <c r="S996" t="s">
        <v>3189</v>
      </c>
      <c r="T996" t="s">
        <v>4362</v>
      </c>
      <c r="U996" t="s">
        <v>4362</v>
      </c>
      <c r="V996" t="s">
        <v>4362</v>
      </c>
      <c r="W996" t="s">
        <v>5355</v>
      </c>
      <c r="X996">
        <v>4</v>
      </c>
      <c r="Y996" t="s">
        <v>7517</v>
      </c>
      <c r="Z996" t="s">
        <v>9684</v>
      </c>
      <c r="AA996">
        <v>1.074501097309894</v>
      </c>
      <c r="AB996">
        <f>HYPERLINK("Melting_Curves/meltCurve_P0AFW2_rmf.pdf", "Melting_Curves/meltCurve_P0AFW2_rmf.pdf")</f>
        <v>0</v>
      </c>
    </row>
    <row r="997" spans="1:28">
      <c r="A997" t="s">
        <v>1023</v>
      </c>
      <c r="B997">
        <v>0.999739202189716</v>
      </c>
      <c r="C997">
        <v>1.0598406783294</v>
      </c>
      <c r="D997">
        <v>0.730302848970562</v>
      </c>
      <c r="E997">
        <v>0.989840429880617</v>
      </c>
      <c r="F997">
        <v>0.767743115020375</v>
      </c>
      <c r="G997">
        <v>0.624933593350196</v>
      </c>
      <c r="H997">
        <v>0.663526455994369</v>
      </c>
      <c r="I997">
        <v>0.636858404145047</v>
      </c>
      <c r="J997">
        <v>0.535263223746861</v>
      </c>
      <c r="K997">
        <v>0.599829232368725</v>
      </c>
      <c r="L997">
        <v>494.820417532437</v>
      </c>
      <c r="M997">
        <v>9.858231021440719</v>
      </c>
      <c r="O997">
        <v>48.259113023003</v>
      </c>
      <c r="P997">
        <v>-0.0237029284546409</v>
      </c>
      <c r="Q997">
        <v>0.536105395189317</v>
      </c>
      <c r="R997">
        <v>0.764245002177022</v>
      </c>
      <c r="S997" t="s">
        <v>3190</v>
      </c>
      <c r="T997" t="s">
        <v>4362</v>
      </c>
      <c r="U997" t="s">
        <v>4362</v>
      </c>
      <c r="V997" t="s">
        <v>4362</v>
      </c>
      <c r="W997" t="s">
        <v>5356</v>
      </c>
      <c r="X997">
        <v>3</v>
      </c>
      <c r="Y997" t="s">
        <v>7518</v>
      </c>
      <c r="Z997" t="s">
        <v>9685</v>
      </c>
      <c r="AA997">
        <v>0.7557635615348286</v>
      </c>
      <c r="AB997">
        <f>HYPERLINK("Melting_Curves/meltCurve_P0AFW4_rnk.pdf", "Melting_Curves/meltCurve_P0AFW4_rnk.pdf")</f>
        <v>0</v>
      </c>
    </row>
    <row r="998" spans="1:28">
      <c r="A998" t="s">
        <v>1024</v>
      </c>
      <c r="B998">
        <v>0.999739202189716</v>
      </c>
      <c r="C998">
        <v>1.09192933171411</v>
      </c>
      <c r="D998">
        <v>0.921360384988419</v>
      </c>
      <c r="E998">
        <v>1.17002033654718</v>
      </c>
      <c r="F998">
        <v>0.900347772365774</v>
      </c>
      <c r="G998">
        <v>0.8776057643527549</v>
      </c>
      <c r="H998">
        <v>0.747700847098747</v>
      </c>
      <c r="I998">
        <v>0.588153312403155</v>
      </c>
      <c r="J998">
        <v>0.415381681377143</v>
      </c>
      <c r="K998">
        <v>0.498476109862397</v>
      </c>
      <c r="L998">
        <v>1118.45581231793</v>
      </c>
      <c r="M998">
        <v>19.3419918619251</v>
      </c>
      <c r="N998">
        <v>63.5307232522992</v>
      </c>
      <c r="O998">
        <v>57.2177957206493</v>
      </c>
      <c r="P998">
        <v>-0.0496957296261735</v>
      </c>
      <c r="Q998">
        <v>0.411978974996389</v>
      </c>
      <c r="R998">
        <v>0.8976667814052049</v>
      </c>
      <c r="S998" t="s">
        <v>3191</v>
      </c>
      <c r="T998" t="s">
        <v>4362</v>
      </c>
      <c r="U998" t="s">
        <v>4362</v>
      </c>
      <c r="V998" t="s">
        <v>4362</v>
      </c>
      <c r="W998" t="s">
        <v>5357</v>
      </c>
      <c r="X998">
        <v>3</v>
      </c>
      <c r="Y998" t="s">
        <v>7519</v>
      </c>
      <c r="Z998" t="s">
        <v>9686</v>
      </c>
      <c r="AA998">
        <v>0.8243466400618289</v>
      </c>
      <c r="AB998">
        <f>HYPERLINK("Melting_Curves/meltCurve_P0AFW8_rof.pdf", "Melting_Curves/meltCurve_P0AFW8_rof.pdf")</f>
        <v>0</v>
      </c>
    </row>
    <row r="999" spans="1:28">
      <c r="A999" t="s">
        <v>1025</v>
      </c>
      <c r="B999">
        <v>0.999739202189716</v>
      </c>
      <c r="C999">
        <v>0.852137311673966</v>
      </c>
      <c r="D999">
        <v>1.04410228204048</v>
      </c>
      <c r="E999">
        <v>0.723957285581536</v>
      </c>
      <c r="F999">
        <v>0.818684856897669</v>
      </c>
      <c r="G999">
        <v>0.618289656623825</v>
      </c>
      <c r="H999">
        <v>0.819677143661999</v>
      </c>
      <c r="I999">
        <v>0.783888831317801</v>
      </c>
      <c r="J999">
        <v>0.877166647822377</v>
      </c>
      <c r="K999">
        <v>0.385873616263204</v>
      </c>
      <c r="L999">
        <v>195.993107643166</v>
      </c>
      <c r="M999">
        <v>2.41408831351059</v>
      </c>
      <c r="O999">
        <v>53.7485819700869</v>
      </c>
      <c r="P999">
        <v>-0.0118586075534714</v>
      </c>
      <c r="Q999">
        <v>0</v>
      </c>
      <c r="R999">
        <v>0.388268586504962</v>
      </c>
      <c r="S999" t="s">
        <v>3192</v>
      </c>
      <c r="T999" t="s">
        <v>4362</v>
      </c>
      <c r="U999" t="s">
        <v>4362</v>
      </c>
      <c r="V999" t="s">
        <v>4362</v>
      </c>
      <c r="W999" t="s">
        <v>5358</v>
      </c>
      <c r="X999">
        <v>3</v>
      </c>
      <c r="Y999" t="s">
        <v>7520</v>
      </c>
      <c r="Z999" t="s">
        <v>9687</v>
      </c>
      <c r="AA999">
        <v>0.7923652846901871</v>
      </c>
      <c r="AB999">
        <f>HYPERLINK("Melting_Curves/meltCurve_P0AFX0_hpf.pdf", "Melting_Curves/meltCurve_P0AFX0_hpf.pdf")</f>
        <v>0</v>
      </c>
    </row>
    <row r="1000" spans="1:28">
      <c r="A1000" t="s">
        <v>1026</v>
      </c>
      <c r="B1000">
        <v>0.999739202189716</v>
      </c>
      <c r="C1000">
        <v>0.86502760424507</v>
      </c>
      <c r="D1000">
        <v>0.766798273520063</v>
      </c>
      <c r="E1000">
        <v>0.5107278037081679</v>
      </c>
      <c r="F1000">
        <v>0.295334491686348</v>
      </c>
      <c r="G1000">
        <v>0.16844579522019</v>
      </c>
      <c r="H1000">
        <v>0.09815974556047199</v>
      </c>
      <c r="I1000">
        <v>0.0747418077560567</v>
      </c>
      <c r="J1000">
        <v>0.0521073799936897</v>
      </c>
      <c r="K1000">
        <v>0.0453707695943152</v>
      </c>
      <c r="L1000">
        <v>608.36912240776</v>
      </c>
      <c r="M1000">
        <v>13.0713115307732</v>
      </c>
      <c r="N1000">
        <v>46.7403149255335</v>
      </c>
      <c r="O1000">
        <v>45.4934008594859</v>
      </c>
      <c r="P1000">
        <v>-0.0699082546215026</v>
      </c>
      <c r="Q1000">
        <v>0.0269333368958502</v>
      </c>
      <c r="R1000">
        <v>0.997909048335899</v>
      </c>
      <c r="S1000" t="s">
        <v>3193</v>
      </c>
      <c r="T1000" t="s">
        <v>4362</v>
      </c>
      <c r="U1000" t="s">
        <v>4362</v>
      </c>
      <c r="V1000" t="s">
        <v>4362</v>
      </c>
      <c r="W1000" t="s">
        <v>5359</v>
      </c>
      <c r="X1000">
        <v>1</v>
      </c>
      <c r="Y1000" t="s">
        <v>7521</v>
      </c>
      <c r="Z1000" t="s">
        <v>9688</v>
      </c>
      <c r="AA1000">
        <v>0.3647431348539557</v>
      </c>
      <c r="AB1000">
        <f>HYPERLINK("Melting_Curves/meltCurve_P0AFX4_rsd.pdf", "Melting_Curves/meltCurve_P0AFX4_rsd.pdf")</f>
        <v>0</v>
      </c>
    </row>
    <row r="1001" spans="1:28">
      <c r="A1001" t="s">
        <v>1027</v>
      </c>
      <c r="B1001">
        <v>0.999739202189716</v>
      </c>
      <c r="C1001">
        <v>0.946708654742507</v>
      </c>
      <c r="D1001">
        <v>0.755812925357076</v>
      </c>
      <c r="E1001">
        <v>0.445175129807544</v>
      </c>
      <c r="F1001">
        <v>0.163516697552403</v>
      </c>
      <c r="G1001">
        <v>0.103149100152424</v>
      </c>
      <c r="H1001">
        <v>0.0806721063794634</v>
      </c>
      <c r="I1001">
        <v>0.0645269411510743</v>
      </c>
      <c r="J1001">
        <v>0.0654674993670579</v>
      </c>
      <c r="K1001">
        <v>0.062268298350897</v>
      </c>
      <c r="L1001">
        <v>891.77600531877</v>
      </c>
      <c r="M1001">
        <v>19.6003261036671</v>
      </c>
      <c r="N1001">
        <v>45.7905605031388</v>
      </c>
      <c r="O1001">
        <v>45.0323494523442</v>
      </c>
      <c r="P1001">
        <v>-0.102412596252816</v>
      </c>
      <c r="Q1001">
        <v>0.0588487794318849</v>
      </c>
      <c r="R1001">
        <v>0.998859305476294</v>
      </c>
      <c r="S1001" t="s">
        <v>3194</v>
      </c>
      <c r="T1001" t="s">
        <v>4362</v>
      </c>
      <c r="U1001" t="s">
        <v>4362</v>
      </c>
      <c r="V1001" t="s">
        <v>4362</v>
      </c>
      <c r="W1001" t="s">
        <v>5360</v>
      </c>
      <c r="X1001">
        <v>8</v>
      </c>
      <c r="Y1001" t="s">
        <v>7522</v>
      </c>
      <c r="Z1001" t="s">
        <v>9689</v>
      </c>
      <c r="AA1001">
        <v>0.3382918616408496</v>
      </c>
      <c r="AB1001">
        <f>HYPERLINK("Melting_Curves/meltCurve_P0AFX9_rseB.pdf", "Melting_Curves/meltCurve_P0AFX9_rseB.pdf")</f>
        <v>0</v>
      </c>
    </row>
    <row r="1002" spans="1:28">
      <c r="A1002" t="s">
        <v>1028</v>
      </c>
      <c r="B1002">
        <v>0.999739202189716</v>
      </c>
      <c r="C1002">
        <v>0.809515253868064</v>
      </c>
      <c r="D1002">
        <v>0.470505450553152</v>
      </c>
      <c r="E1002">
        <v>0.303893888069223</v>
      </c>
      <c r="F1002">
        <v>0.177135366894231</v>
      </c>
      <c r="G1002">
        <v>0.117016734168682</v>
      </c>
      <c r="H1002">
        <v>0.100039696236471</v>
      </c>
      <c r="I1002">
        <v>0.07859916619864479</v>
      </c>
      <c r="J1002">
        <v>0.07676879281416529</v>
      </c>
      <c r="K1002">
        <v>0.0748053791667159</v>
      </c>
      <c r="L1002">
        <v>742.15693546056</v>
      </c>
      <c r="M1002">
        <v>17.3465025142685</v>
      </c>
      <c r="N1002">
        <v>43.260346079135</v>
      </c>
      <c r="O1002">
        <v>42.2277804795949</v>
      </c>
      <c r="P1002">
        <v>-0.093777445393425</v>
      </c>
      <c r="Q1002">
        <v>0.0868966625678763</v>
      </c>
      <c r="R1002">
        <v>0.991204803649653</v>
      </c>
      <c r="S1002" t="s">
        <v>3195</v>
      </c>
      <c r="T1002" t="s">
        <v>4362</v>
      </c>
      <c r="U1002" t="s">
        <v>4362</v>
      </c>
      <c r="V1002" t="s">
        <v>4362</v>
      </c>
      <c r="W1002" t="s">
        <v>5361</v>
      </c>
      <c r="X1002">
        <v>1</v>
      </c>
      <c r="Y1002" t="s">
        <v>7523</v>
      </c>
      <c r="Z1002" t="s">
        <v>9690</v>
      </c>
      <c r="AA1002">
        <v>0.2807791190465078</v>
      </c>
      <c r="AB1002">
        <f>HYPERLINK("Melting_Curves/meltCurve_P0AFY2_sanA.pdf", "Melting_Curves/meltCurve_P0AFY2_sanA.pdf")</f>
        <v>0</v>
      </c>
    </row>
    <row r="1003" spans="1:28">
      <c r="A1003" t="s">
        <v>1029</v>
      </c>
      <c r="B1003">
        <v>0.999739202189716</v>
      </c>
      <c r="C1003">
        <v>1.0427420980354</v>
      </c>
      <c r="D1003">
        <v>0.969566033063242</v>
      </c>
      <c r="E1003">
        <v>0.997822031857689</v>
      </c>
      <c r="F1003">
        <v>0.892032488321838</v>
      </c>
      <c r="G1003">
        <v>0.871820832090165</v>
      </c>
      <c r="H1003">
        <v>0.628560009535571</v>
      </c>
      <c r="I1003">
        <v>0.390588983002069</v>
      </c>
      <c r="J1003">
        <v>0.295747270912562</v>
      </c>
      <c r="K1003">
        <v>0.252939713588869</v>
      </c>
      <c r="L1003">
        <v>1090.27251253367</v>
      </c>
      <c r="M1003">
        <v>18.8488454302567</v>
      </c>
      <c r="N1003">
        <v>59.3035382104623</v>
      </c>
      <c r="O1003">
        <v>57.2036559566676</v>
      </c>
      <c r="P1003">
        <v>-0.06708220770444211</v>
      </c>
      <c r="Q1003">
        <v>0.185692368855543</v>
      </c>
      <c r="R1003">
        <v>0.9906785080923211</v>
      </c>
      <c r="S1003" t="s">
        <v>3196</v>
      </c>
      <c r="T1003" t="s">
        <v>4362</v>
      </c>
      <c r="U1003" t="s">
        <v>4362</v>
      </c>
      <c r="V1003" t="s">
        <v>4362</v>
      </c>
      <c r="W1003" t="s">
        <v>5362</v>
      </c>
      <c r="X1003">
        <v>3</v>
      </c>
      <c r="Y1003" t="s">
        <v>7524</v>
      </c>
      <c r="Z1003" t="s">
        <v>9691</v>
      </c>
      <c r="AA1003">
        <v>0.7571281657782307</v>
      </c>
      <c r="AB1003">
        <f>HYPERLINK("Melting_Curves/meltCurve_P0AFY8_seqA.pdf", "Melting_Curves/meltCurve_P0AFY8_seqA.pdf")</f>
        <v>0</v>
      </c>
    </row>
    <row r="1004" spans="1:28">
      <c r="A1004" t="s">
        <v>1030</v>
      </c>
      <c r="B1004">
        <v>0.999739202189716</v>
      </c>
      <c r="C1004">
        <v>0.743592519193445</v>
      </c>
      <c r="D1004">
        <v>0.962400224382256</v>
      </c>
      <c r="E1004">
        <v>0.838807886476849</v>
      </c>
      <c r="F1004">
        <v>1.04021858288041</v>
      </c>
      <c r="G1004">
        <v>0.818437672633859</v>
      </c>
      <c r="H1004">
        <v>0.8706607330992659</v>
      </c>
      <c r="I1004">
        <v>0.893304222551081</v>
      </c>
      <c r="J1004">
        <v>0.763017715609197</v>
      </c>
      <c r="K1004">
        <v>0.56234622991829</v>
      </c>
      <c r="L1004">
        <v>278.796926532627</v>
      </c>
      <c r="M1004">
        <v>3.32786871277916</v>
      </c>
      <c r="O1004">
        <v>64.418863610077</v>
      </c>
      <c r="P1004">
        <v>-0.0132090032627083</v>
      </c>
      <c r="Q1004">
        <v>0</v>
      </c>
      <c r="R1004">
        <v>0.325089486152854</v>
      </c>
      <c r="S1004" t="s">
        <v>3197</v>
      </c>
      <c r="T1004" t="s">
        <v>4362</v>
      </c>
      <c r="U1004" t="s">
        <v>4362</v>
      </c>
      <c r="V1004" t="s">
        <v>4362</v>
      </c>
      <c r="W1004" t="s">
        <v>5363</v>
      </c>
      <c r="X1004">
        <v>1</v>
      </c>
      <c r="Y1004" t="s">
        <v>7525</v>
      </c>
      <c r="Z1004" t="s">
        <v>9692</v>
      </c>
      <c r="AA1004">
        <v>0.8692293219030887</v>
      </c>
      <c r="AB1004">
        <f>HYPERLINK("Melting_Curves/meltCurve_P0AFZ1_sseB.pdf", "Melting_Curves/meltCurve_P0AFZ1_sseB.pdf")</f>
        <v>0</v>
      </c>
    </row>
    <row r="1005" spans="1:28">
      <c r="A1005" t="s">
        <v>1031</v>
      </c>
      <c r="B1005">
        <v>0.999739202189716</v>
      </c>
      <c r="C1005">
        <v>1.02598982293238</v>
      </c>
      <c r="D1005">
        <v>0.923358948462386</v>
      </c>
      <c r="E1005">
        <v>0.9243228231627419</v>
      </c>
      <c r="F1005">
        <v>0.814873527959899</v>
      </c>
      <c r="G1005">
        <v>0.635260726870571</v>
      </c>
      <c r="H1005">
        <v>0.480608773656532</v>
      </c>
      <c r="I1005">
        <v>0.449289254170131</v>
      </c>
      <c r="J1005">
        <v>0.332898540698212</v>
      </c>
      <c r="K1005">
        <v>0.4083558546951</v>
      </c>
      <c r="L1005">
        <v>801.035761760656</v>
      </c>
      <c r="M1005">
        <v>15.1329985808374</v>
      </c>
      <c r="N1005">
        <v>57.3486041562258</v>
      </c>
      <c r="O1005">
        <v>52.0345147258014</v>
      </c>
      <c r="P1005">
        <v>-0.0476954526680858</v>
      </c>
      <c r="Q1005">
        <v>0.344064370193528</v>
      </c>
      <c r="R1005">
        <v>0.984503897506939</v>
      </c>
      <c r="S1005" t="s">
        <v>3198</v>
      </c>
      <c r="T1005" t="s">
        <v>4362</v>
      </c>
      <c r="U1005" t="s">
        <v>4362</v>
      </c>
      <c r="V1005" t="s">
        <v>4362</v>
      </c>
      <c r="W1005" t="s">
        <v>5364</v>
      </c>
      <c r="X1005">
        <v>2</v>
      </c>
      <c r="Y1005" t="s">
        <v>7526</v>
      </c>
      <c r="Z1005" t="s">
        <v>9693</v>
      </c>
      <c r="AA1005">
        <v>0.7041018063933088</v>
      </c>
      <c r="AB1005">
        <f>HYPERLINK("Melting_Curves/meltCurve_P0AFZ3_sspB.pdf", "Melting_Curves/meltCurve_P0AFZ3_sspB.pdf")</f>
        <v>0</v>
      </c>
    </row>
    <row r="1006" spans="1:28">
      <c r="A1006" t="s">
        <v>1032</v>
      </c>
      <c r="B1006">
        <v>0.999739202189716</v>
      </c>
      <c r="C1006">
        <v>0.823191325232083</v>
      </c>
      <c r="D1006">
        <v>0.6189009438674909</v>
      </c>
      <c r="E1006">
        <v>0.42752588059515</v>
      </c>
      <c r="F1006">
        <v>0.265186843739098</v>
      </c>
      <c r="G1006">
        <v>0.14413398877892</v>
      </c>
      <c r="H1006">
        <v>0.118680686564574</v>
      </c>
      <c r="I1006">
        <v>0.085628712982107</v>
      </c>
      <c r="J1006">
        <v>0.0763528801697799</v>
      </c>
      <c r="K1006">
        <v>0.0578504599489841</v>
      </c>
      <c r="L1006">
        <v>565.902845374629</v>
      </c>
      <c r="M1006">
        <v>12.6306479036485</v>
      </c>
      <c r="N1006">
        <v>45.2157818210707</v>
      </c>
      <c r="O1006">
        <v>43.7253635452665</v>
      </c>
      <c r="P1006">
        <v>-0.068305298603565</v>
      </c>
      <c r="Q1006">
        <v>0.0543370636746582</v>
      </c>
      <c r="R1006">
        <v>0.994646080581721</v>
      </c>
      <c r="S1006" t="s">
        <v>3199</v>
      </c>
      <c r="T1006" t="s">
        <v>4362</v>
      </c>
      <c r="U1006" t="s">
        <v>4362</v>
      </c>
      <c r="V1006" t="s">
        <v>4362</v>
      </c>
      <c r="W1006" t="s">
        <v>5365</v>
      </c>
      <c r="X1006">
        <v>8</v>
      </c>
      <c r="Y1006" t="s">
        <v>7527</v>
      </c>
      <c r="Z1006" t="s">
        <v>9694</v>
      </c>
      <c r="AA1006">
        <v>0.3319804821289574</v>
      </c>
      <c r="AB1006">
        <f>HYPERLINK("Melting_Curves/meltCurve_P0AG00_wzzE.pdf", "Melting_Curves/meltCurve_P0AG00_wzzE.pdf")</f>
        <v>0</v>
      </c>
    </row>
    <row r="1007" spans="1:28">
      <c r="A1007" t="s">
        <v>1033</v>
      </c>
      <c r="B1007">
        <v>0.999739202189716</v>
      </c>
      <c r="C1007">
        <v>1.1851765198676</v>
      </c>
      <c r="D1007">
        <v>0.831896081414937</v>
      </c>
      <c r="E1007">
        <v>1.11342617430278</v>
      </c>
      <c r="F1007">
        <v>0.824665747651642</v>
      </c>
      <c r="G1007">
        <v>0.605686294729308</v>
      </c>
      <c r="H1007">
        <v>0.477164793027808</v>
      </c>
      <c r="I1007">
        <v>0.416179198973561</v>
      </c>
      <c r="J1007">
        <v>0.398550409489401</v>
      </c>
      <c r="K1007">
        <v>0.324576063123713</v>
      </c>
      <c r="L1007">
        <v>1269.1995209823</v>
      </c>
      <c r="M1007">
        <v>24.0492645591727</v>
      </c>
      <c r="N1007">
        <v>55.9473529612853</v>
      </c>
      <c r="O1007">
        <v>52.4141452644024</v>
      </c>
      <c r="P1007">
        <v>-0.0720218089796425</v>
      </c>
      <c r="Q1007">
        <v>0.372138453921247</v>
      </c>
      <c r="R1007">
        <v>0.903920692416272</v>
      </c>
      <c r="S1007" t="s">
        <v>3200</v>
      </c>
      <c r="T1007" t="s">
        <v>4362</v>
      </c>
      <c r="U1007" t="s">
        <v>4362</v>
      </c>
      <c r="V1007" t="s">
        <v>4362</v>
      </c>
      <c r="W1007" t="s">
        <v>5366</v>
      </c>
      <c r="X1007">
        <v>3</v>
      </c>
      <c r="Y1007" t="s">
        <v>7528</v>
      </c>
      <c r="Z1007" t="s">
        <v>9695</v>
      </c>
      <c r="AA1007">
        <v>0.7082269639373213</v>
      </c>
      <c r="AB1007">
        <f>HYPERLINK("Melting_Curves/meltCurve_P0AG03_ubiX.pdf", "Melting_Curves/meltCurve_P0AG03_ubiX.pdf")</f>
        <v>0</v>
      </c>
    </row>
    <row r="1008" spans="1:28">
      <c r="A1008" t="s">
        <v>1034</v>
      </c>
      <c r="B1008">
        <v>0.999739202189716</v>
      </c>
      <c r="C1008">
        <v>0.944160809825029</v>
      </c>
      <c r="D1008">
        <v>0.798715599552116</v>
      </c>
      <c r="E1008">
        <v>0.9136122629487921</v>
      </c>
      <c r="F1008">
        <v>0.722790089430664</v>
      </c>
      <c r="G1008">
        <v>0.669107200465619</v>
      </c>
      <c r="H1008">
        <v>0.446313116212905</v>
      </c>
      <c r="I1008">
        <v>0.447196790083444</v>
      </c>
      <c r="J1008">
        <v>0.339738823173772</v>
      </c>
      <c r="K1008">
        <v>0.330190820330476</v>
      </c>
      <c r="L1008">
        <v>382.523741599732</v>
      </c>
      <c r="M1008">
        <v>6.69682819874488</v>
      </c>
      <c r="N1008">
        <v>58.0570187413854</v>
      </c>
      <c r="O1008">
        <v>52.6731268629261</v>
      </c>
      <c r="P1008">
        <v>-0.0302226478781505</v>
      </c>
      <c r="Q1008">
        <v>0.0512169272050299</v>
      </c>
      <c r="R1008">
        <v>0.952428495258172</v>
      </c>
      <c r="S1008" t="s">
        <v>3201</v>
      </c>
      <c r="T1008" t="s">
        <v>4362</v>
      </c>
      <c r="U1008" t="s">
        <v>4362</v>
      </c>
      <c r="V1008" t="s">
        <v>4362</v>
      </c>
      <c r="W1008" t="s">
        <v>5367</v>
      </c>
      <c r="X1008">
        <v>8</v>
      </c>
      <c r="Y1008" t="s">
        <v>7529</v>
      </c>
      <c r="Z1008" t="s">
        <v>9696</v>
      </c>
      <c r="AA1008">
        <v>0.6659242899716067</v>
      </c>
      <c r="AB1008">
        <f>HYPERLINK("Melting_Curves/meltCurve_P0AG07_rpe.pdf", "Melting_Curves/meltCurve_P0AG07_rpe.pdf")</f>
        <v>0</v>
      </c>
    </row>
    <row r="1009" spans="1:28">
      <c r="A1009" t="s">
        <v>1035</v>
      </c>
      <c r="B1009">
        <v>0.999739202189716</v>
      </c>
      <c r="C1009">
        <v>0.896616848866843</v>
      </c>
      <c r="D1009">
        <v>0.653445861797041</v>
      </c>
      <c r="E1009">
        <v>0.611892248638272</v>
      </c>
      <c r="F1009">
        <v>0.513459703974677</v>
      </c>
      <c r="G1009">
        <v>0.407619623590225</v>
      </c>
      <c r="H1009">
        <v>0.364305077655707</v>
      </c>
      <c r="I1009">
        <v>0.290920982163973</v>
      </c>
      <c r="J1009">
        <v>0.295276092337936</v>
      </c>
      <c r="K1009">
        <v>0.282422867833553</v>
      </c>
      <c r="L1009">
        <v>448.183405629576</v>
      </c>
      <c r="M1009">
        <v>9.757350935521201</v>
      </c>
      <c r="N1009">
        <v>49.5425348995086</v>
      </c>
      <c r="O1009">
        <v>44.1281511023507</v>
      </c>
      <c r="P1009">
        <v>-0.0412375457301275</v>
      </c>
      <c r="Q1009">
        <v>0.25440197442076</v>
      </c>
      <c r="R1009">
        <v>0.97249422385227</v>
      </c>
      <c r="S1009" t="s">
        <v>3202</v>
      </c>
      <c r="T1009" t="s">
        <v>4362</v>
      </c>
      <c r="U1009" t="s">
        <v>4362</v>
      </c>
      <c r="V1009" t="s">
        <v>4362</v>
      </c>
      <c r="W1009" t="s">
        <v>5368</v>
      </c>
      <c r="X1009">
        <v>4</v>
      </c>
      <c r="Y1009" t="s">
        <v>7530</v>
      </c>
      <c r="Z1009" t="s">
        <v>9697</v>
      </c>
      <c r="AA1009">
        <v>0.5123518260872203</v>
      </c>
      <c r="AB1009">
        <f>HYPERLINK("Melting_Curves/meltCurve_P0AG14_sohB.pdf", "Melting_Curves/meltCurve_P0AG14_sohB.pdf")</f>
        <v>0</v>
      </c>
    </row>
    <row r="1010" spans="1:28">
      <c r="A1010" t="s">
        <v>1036</v>
      </c>
      <c r="B1010">
        <v>0.999739202189716</v>
      </c>
      <c r="C1010">
        <v>0.958990024989067</v>
      </c>
      <c r="D1010">
        <v>0.520973560648458</v>
      </c>
      <c r="E1010">
        <v>0.583121556224395</v>
      </c>
      <c r="F1010">
        <v>0.496375501946601</v>
      </c>
      <c r="G1010">
        <v>0.39050219821112</v>
      </c>
      <c r="H1010">
        <v>0.381744312267213</v>
      </c>
      <c r="I1010">
        <v>0.287885603413301</v>
      </c>
      <c r="J1010">
        <v>0.237932114277077</v>
      </c>
      <c r="K1010">
        <v>0.249086592608056</v>
      </c>
      <c r="L1010">
        <v>461.033842945046</v>
      </c>
      <c r="M1010">
        <v>10.2343810883357</v>
      </c>
      <c r="N1010">
        <v>48.3169044456317</v>
      </c>
      <c r="O1010">
        <v>43.4292883210078</v>
      </c>
      <c r="P1010">
        <v>-0.044214654605271</v>
      </c>
      <c r="Q1010">
        <v>0.249839689208358</v>
      </c>
      <c r="R1010">
        <v>0.90091815780509</v>
      </c>
      <c r="S1010" t="s">
        <v>3203</v>
      </c>
      <c r="T1010" t="s">
        <v>4362</v>
      </c>
      <c r="U1010" t="s">
        <v>4362</v>
      </c>
      <c r="V1010" t="s">
        <v>4362</v>
      </c>
      <c r="W1010" t="s">
        <v>5369</v>
      </c>
      <c r="X1010">
        <v>5</v>
      </c>
      <c r="Y1010" t="s">
        <v>7531</v>
      </c>
      <c r="Z1010" t="s">
        <v>9698</v>
      </c>
      <c r="AA1010">
        <v>0.486785580089859</v>
      </c>
      <c r="AB1010">
        <f>HYPERLINK("Melting_Curves/meltCurve_P0AG16_purF.pdf", "Melting_Curves/meltCurve_P0AG16_purF.pdf")</f>
        <v>0</v>
      </c>
    </row>
    <row r="1011" spans="1:28">
      <c r="A1011" t="s">
        <v>1037</v>
      </c>
      <c r="B1011">
        <v>0.999739202189716</v>
      </c>
      <c r="C1011">
        <v>0.824263752749956</v>
      </c>
      <c r="D1011">
        <v>1.14799280768069</v>
      </c>
      <c r="E1011">
        <v>0.775094977030056</v>
      </c>
      <c r="F1011">
        <v>0.815545874407486</v>
      </c>
      <c r="G1011">
        <v>0.732710792577918</v>
      </c>
      <c r="H1011">
        <v>0.43744608949798</v>
      </c>
      <c r="I1011">
        <v>0.467415434510842</v>
      </c>
      <c r="J1011">
        <v>0.404547921453855</v>
      </c>
      <c r="K1011">
        <v>0.260454388864147</v>
      </c>
      <c r="L1011">
        <v>495.479883018315</v>
      </c>
      <c r="M1011">
        <v>8.67349092808491</v>
      </c>
      <c r="N1011">
        <v>58.6720296869171</v>
      </c>
      <c r="O1011">
        <v>54.332744543358</v>
      </c>
      <c r="P1011">
        <v>-0.0358615418581616</v>
      </c>
      <c r="Q1011">
        <v>0.102169919811752</v>
      </c>
      <c r="R1011">
        <v>0.866939842178187</v>
      </c>
      <c r="S1011" t="s">
        <v>3204</v>
      </c>
      <c r="T1011" t="s">
        <v>4362</v>
      </c>
      <c r="U1011" t="s">
        <v>4362</v>
      </c>
      <c r="V1011" t="s">
        <v>4362</v>
      </c>
      <c r="W1011" t="s">
        <v>5370</v>
      </c>
      <c r="X1011">
        <v>2</v>
      </c>
      <c r="Y1011" t="s">
        <v>7532</v>
      </c>
      <c r="Z1011" t="s">
        <v>9699</v>
      </c>
      <c r="AA1011">
        <v>0.6973440458063078</v>
      </c>
      <c r="AB1011">
        <f>HYPERLINK("Melting_Curves/meltCurve_P0AG18_purE.pdf", "Melting_Curves/meltCurve_P0AG18_purE.pdf")</f>
        <v>0</v>
      </c>
    </row>
    <row r="1012" spans="1:28">
      <c r="A1012" t="s">
        <v>1038</v>
      </c>
      <c r="B1012">
        <v>0.999739202189716</v>
      </c>
      <c r="C1012">
        <v>0.835077744135828</v>
      </c>
      <c r="D1012">
        <v>0.361696228434224</v>
      </c>
      <c r="E1012">
        <v>0.314354592356116</v>
      </c>
      <c r="F1012">
        <v>0.171783693380383</v>
      </c>
      <c r="G1012">
        <v>0.123592838679506</v>
      </c>
      <c r="H1012">
        <v>0.08310913956946531</v>
      </c>
      <c r="I1012">
        <v>0.0582173122973172</v>
      </c>
      <c r="J1012">
        <v>0.053569000259921</v>
      </c>
      <c r="K1012">
        <v>0.0476842678720459</v>
      </c>
      <c r="L1012">
        <v>813.414075489106</v>
      </c>
      <c r="M1012">
        <v>19.2232799728124</v>
      </c>
      <c r="N1012">
        <v>42.7216601419385</v>
      </c>
      <c r="O1012">
        <v>41.8640813104319</v>
      </c>
      <c r="P1012">
        <v>-0.105180568987033</v>
      </c>
      <c r="Q1012">
        <v>0.0837941828114909</v>
      </c>
      <c r="R1012">
        <v>0.96853921301519</v>
      </c>
      <c r="S1012" t="s">
        <v>3205</v>
      </c>
      <c r="T1012" t="s">
        <v>4362</v>
      </c>
      <c r="U1012" t="s">
        <v>4362</v>
      </c>
      <c r="V1012" t="s">
        <v>4362</v>
      </c>
      <c r="W1012" t="s">
        <v>5371</v>
      </c>
      <c r="X1012">
        <v>6</v>
      </c>
      <c r="Y1012" t="s">
        <v>7533</v>
      </c>
      <c r="Z1012" t="s">
        <v>9700</v>
      </c>
      <c r="AA1012">
        <v>0.260784741778926</v>
      </c>
      <c r="AB1012">
        <f>HYPERLINK("Melting_Curves/meltCurve_P0AG20_relA.pdf", "Melting_Curves/meltCurve_P0AG20_relA.pdf")</f>
        <v>0</v>
      </c>
    </row>
    <row r="1013" spans="1:28">
      <c r="A1013" t="s">
        <v>1039</v>
      </c>
      <c r="B1013">
        <v>0.999739202189716</v>
      </c>
      <c r="C1013">
        <v>0.817222809211576</v>
      </c>
      <c r="D1013">
        <v>1.26334184243469</v>
      </c>
      <c r="E1013">
        <v>1.11290202557798</v>
      </c>
      <c r="F1013">
        <v>1.23565016470386</v>
      </c>
      <c r="G1013">
        <v>1.01712662243782</v>
      </c>
      <c r="H1013">
        <v>0.928735330069705</v>
      </c>
      <c r="I1013">
        <v>0.779798203698539</v>
      </c>
      <c r="J1013">
        <v>0.7661001144287219</v>
      </c>
      <c r="K1013">
        <v>0.542786429881568</v>
      </c>
      <c r="L1013">
        <v>1153.4226378803</v>
      </c>
      <c r="M1013">
        <v>17.5828617816525</v>
      </c>
      <c r="O1013">
        <v>64.7683633425884</v>
      </c>
      <c r="P1013">
        <v>-0.0502723863039819</v>
      </c>
      <c r="Q1013">
        <v>0.259305090050769</v>
      </c>
      <c r="R1013">
        <v>0.603293373827073</v>
      </c>
      <c r="S1013" t="s">
        <v>3206</v>
      </c>
      <c r="T1013" t="s">
        <v>4362</v>
      </c>
      <c r="U1013" t="s">
        <v>4362</v>
      </c>
      <c r="V1013" t="s">
        <v>4362</v>
      </c>
      <c r="W1013" t="s">
        <v>5372</v>
      </c>
      <c r="X1013">
        <v>6</v>
      </c>
      <c r="Y1013" t="s">
        <v>7534</v>
      </c>
      <c r="Z1013" t="s">
        <v>9701</v>
      </c>
      <c r="AA1013">
        <v>0.924574473925356</v>
      </c>
      <c r="AB1013">
        <f>HYPERLINK("Melting_Curves/meltCurve_P0AG27_yibN.pdf", "Melting_Curves/meltCurve_P0AG27_yibN.pdf")</f>
        <v>0</v>
      </c>
    </row>
    <row r="1014" spans="1:28">
      <c r="A1014" t="s">
        <v>1040</v>
      </c>
      <c r="B1014">
        <v>0.999739202189716</v>
      </c>
      <c r="C1014">
        <v>0.571883660076308</v>
      </c>
      <c r="D1014">
        <v>0.380088514777649</v>
      </c>
      <c r="E1014">
        <v>0.308161604798536</v>
      </c>
      <c r="F1014">
        <v>0.239355333555406</v>
      </c>
      <c r="G1014">
        <v>0.177461984712788</v>
      </c>
      <c r="H1014">
        <v>0.138933193104317</v>
      </c>
      <c r="I1014">
        <v>0.114335648468527</v>
      </c>
      <c r="J1014">
        <v>0.103528256046423</v>
      </c>
      <c r="K1014">
        <v>0.0931546196667571</v>
      </c>
      <c r="L1014">
        <v>683.665799764943</v>
      </c>
      <c r="M1014">
        <v>16.711594119131</v>
      </c>
      <c r="N1014">
        <v>41.7159745083654</v>
      </c>
      <c r="O1014">
        <v>40.337347268405</v>
      </c>
      <c r="P1014">
        <v>-0.089284623149484</v>
      </c>
      <c r="Q1014">
        <v>0.138019565512815</v>
      </c>
      <c r="R1014">
        <v>0.948130463245438</v>
      </c>
      <c r="S1014" t="s">
        <v>3207</v>
      </c>
      <c r="T1014" t="s">
        <v>4362</v>
      </c>
      <c r="U1014" t="s">
        <v>4362</v>
      </c>
      <c r="V1014" t="s">
        <v>4362</v>
      </c>
      <c r="W1014" t="s">
        <v>5373</v>
      </c>
      <c r="X1014">
        <v>10</v>
      </c>
      <c r="Y1014" t="s">
        <v>7535</v>
      </c>
      <c r="Z1014" t="s">
        <v>9702</v>
      </c>
      <c r="AA1014">
        <v>0.2728229145379998</v>
      </c>
      <c r="AB1014">
        <f>HYPERLINK("Melting_Curves/meltCurve_P0AG30_rho.pdf", "Melting_Curves/meltCurve_P0AG30_rho.pdf")</f>
        <v>0</v>
      </c>
    </row>
    <row r="1015" spans="1:28">
      <c r="A1015" t="s">
        <v>1041</v>
      </c>
      <c r="B1015">
        <v>0.999739202189716</v>
      </c>
      <c r="C1015">
        <v>0.85721841384111</v>
      </c>
      <c r="D1015">
        <v>0.839286188250528</v>
      </c>
      <c r="E1015">
        <v>0.571471981990869</v>
      </c>
      <c r="F1015">
        <v>0.251025117303205</v>
      </c>
      <c r="G1015">
        <v>0.134758272471506</v>
      </c>
      <c r="H1015">
        <v>0.09698155596071931</v>
      </c>
      <c r="I1015">
        <v>0.07959207288894719</v>
      </c>
      <c r="J1015">
        <v>0.0655760081642183</v>
      </c>
      <c r="K1015">
        <v>0.0568540372169082</v>
      </c>
      <c r="L1015">
        <v>769.146139100523</v>
      </c>
      <c r="M1015">
        <v>16.4427818971852</v>
      </c>
      <c r="N1015">
        <v>47.0722143253402</v>
      </c>
      <c r="O1015">
        <v>46.1016651225808</v>
      </c>
      <c r="P1015">
        <v>-0.0848053327849508</v>
      </c>
      <c r="Q1015">
        <v>0.048970754457928</v>
      </c>
      <c r="R1015">
        <v>0.991537193734082</v>
      </c>
      <c r="S1015" t="s">
        <v>3208</v>
      </c>
      <c r="T1015" t="s">
        <v>4362</v>
      </c>
      <c r="U1015" t="s">
        <v>4362</v>
      </c>
      <c r="V1015" t="s">
        <v>4362</v>
      </c>
      <c r="W1015" t="s">
        <v>5374</v>
      </c>
      <c r="X1015">
        <v>8</v>
      </c>
      <c r="Y1015" t="s">
        <v>7536</v>
      </c>
      <c r="Z1015" t="s">
        <v>9703</v>
      </c>
      <c r="AA1015">
        <v>0.3770750621041671</v>
      </c>
      <c r="AB1015">
        <f>HYPERLINK("Melting_Curves/meltCurve_P0AG40_ribF.pdf", "Melting_Curves/meltCurve_P0AG40_ribF.pdf")</f>
        <v>0</v>
      </c>
    </row>
    <row r="1016" spans="1:28">
      <c r="A1016" t="s">
        <v>1042</v>
      </c>
      <c r="B1016">
        <v>0.999739202189716</v>
      </c>
      <c r="C1016">
        <v>0.938092474249393</v>
      </c>
      <c r="D1016">
        <v>0.682310112376179</v>
      </c>
      <c r="E1016">
        <v>0.557236827138169</v>
      </c>
      <c r="F1016">
        <v>0.426811187034327</v>
      </c>
      <c r="G1016">
        <v>0.266143867721414</v>
      </c>
      <c r="H1016">
        <v>0.164139125219408</v>
      </c>
      <c r="I1016">
        <v>0.151290738758238</v>
      </c>
      <c r="J1016">
        <v>0.162750305971025</v>
      </c>
      <c r="K1016">
        <v>0.187333962793772</v>
      </c>
      <c r="L1016">
        <v>561.494292384763</v>
      </c>
      <c r="M1016">
        <v>12.1213369553853</v>
      </c>
      <c r="N1016">
        <v>47.5180340509375</v>
      </c>
      <c r="O1016">
        <v>45.1161015688672</v>
      </c>
      <c r="P1016">
        <v>-0.0583553538048233</v>
      </c>
      <c r="Q1016">
        <v>0.131397975566177</v>
      </c>
      <c r="R1016">
        <v>0.983983944632627</v>
      </c>
      <c r="S1016" t="s">
        <v>3209</v>
      </c>
      <c r="T1016" t="s">
        <v>4362</v>
      </c>
      <c r="U1016" t="s">
        <v>4362</v>
      </c>
      <c r="V1016" t="s">
        <v>4362</v>
      </c>
      <c r="W1016" t="s">
        <v>5375</v>
      </c>
      <c r="X1016">
        <v>6</v>
      </c>
      <c r="Y1016" t="s">
        <v>7537</v>
      </c>
      <c r="Z1016" t="s">
        <v>9704</v>
      </c>
      <c r="AA1016">
        <v>0.4303222846500709</v>
      </c>
      <c r="AB1016">
        <f>HYPERLINK("Melting_Curves/meltCurve_P0AG44_rplQ.pdf", "Melting_Curves/meltCurve_P0AG44_rplQ.pdf")</f>
        <v>0</v>
      </c>
    </row>
    <row r="1017" spans="1:28">
      <c r="A1017" t="s">
        <v>1043</v>
      </c>
      <c r="B1017">
        <v>0.999739202189716</v>
      </c>
      <c r="C1017">
        <v>0.967862563001425</v>
      </c>
      <c r="D1017">
        <v>0.923108381948535</v>
      </c>
      <c r="E1017">
        <v>0.880718722988366</v>
      </c>
      <c r="F1017">
        <v>0.675800320096788</v>
      </c>
      <c r="G1017">
        <v>0.561567778414208</v>
      </c>
      <c r="H1017">
        <v>0.523175834869456</v>
      </c>
      <c r="I1017">
        <v>0.480888028024054</v>
      </c>
      <c r="J1017">
        <v>0.483246803941665</v>
      </c>
      <c r="K1017">
        <v>0.531630895480382</v>
      </c>
      <c r="L1017">
        <v>914.087363274871</v>
      </c>
      <c r="M1017">
        <v>18.7149999497982</v>
      </c>
      <c r="N1017">
        <v>62.1912459977845</v>
      </c>
      <c r="O1017">
        <v>48.2950673304015</v>
      </c>
      <c r="P1017">
        <v>-0.049313522663036</v>
      </c>
      <c r="Q1017">
        <v>0.490996484668352</v>
      </c>
      <c r="R1017">
        <v>0.987745325308882</v>
      </c>
      <c r="S1017" t="s">
        <v>3210</v>
      </c>
      <c r="T1017" t="s">
        <v>4362</v>
      </c>
      <c r="U1017" t="s">
        <v>4362</v>
      </c>
      <c r="V1017" t="s">
        <v>4362</v>
      </c>
      <c r="W1017" t="s">
        <v>5376</v>
      </c>
      <c r="X1017">
        <v>5</v>
      </c>
      <c r="Y1017" t="s">
        <v>7538</v>
      </c>
      <c r="Z1017" t="s">
        <v>9705</v>
      </c>
      <c r="AA1017">
        <v>0.6994864896802111</v>
      </c>
      <c r="AB1017">
        <f>HYPERLINK("Melting_Curves/meltCurve_P0AG48_rplU.pdf", "Melting_Curves/meltCurve_P0AG48_rplU.pdf")</f>
        <v>0</v>
      </c>
    </row>
    <row r="1018" spans="1:28">
      <c r="A1018" t="s">
        <v>1044</v>
      </c>
      <c r="B1018">
        <v>0.999739202189716</v>
      </c>
      <c r="C1018">
        <v>0.757466101558485</v>
      </c>
      <c r="D1018">
        <v>0.593377038762729</v>
      </c>
      <c r="E1018">
        <v>0.297362948625366</v>
      </c>
      <c r="F1018">
        <v>0.154369065667219</v>
      </c>
      <c r="G1018">
        <v>0.0756967268166044</v>
      </c>
      <c r="H1018">
        <v>0.0567495431418763</v>
      </c>
      <c r="I1018">
        <v>0.0466651304803191</v>
      </c>
      <c r="J1018">
        <v>0.0598011503751649</v>
      </c>
      <c r="K1018">
        <v>0.0549229593427594</v>
      </c>
      <c r="L1018">
        <v>671.325236150236</v>
      </c>
      <c r="M1018">
        <v>15.4099505017091</v>
      </c>
      <c r="N1018">
        <v>43.8087486410869</v>
      </c>
      <c r="O1018">
        <v>42.8505144387559</v>
      </c>
      <c r="P1018">
        <v>-0.0862107304164355</v>
      </c>
      <c r="Q1018">
        <v>0.0411804771642614</v>
      </c>
      <c r="R1018">
        <v>0.993112790157663</v>
      </c>
      <c r="S1018" t="s">
        <v>3211</v>
      </c>
      <c r="T1018" t="s">
        <v>4362</v>
      </c>
      <c r="U1018" t="s">
        <v>4362</v>
      </c>
      <c r="V1018" t="s">
        <v>4362</v>
      </c>
      <c r="W1018" t="s">
        <v>5377</v>
      </c>
      <c r="X1018">
        <v>3</v>
      </c>
      <c r="Y1018" t="s">
        <v>7539</v>
      </c>
      <c r="Z1018" t="s">
        <v>9706</v>
      </c>
      <c r="AA1018">
        <v>0.2740307939751828</v>
      </c>
      <c r="AB1018">
        <f>HYPERLINK("Melting_Curves/meltCurve_P0AG51_rpmD.pdf", "Melting_Curves/meltCurve_P0AG51_rpmD.pdf")</f>
        <v>0</v>
      </c>
    </row>
    <row r="1019" spans="1:28">
      <c r="A1019" t="s">
        <v>1045</v>
      </c>
      <c r="B1019">
        <v>0.999739202189716</v>
      </c>
      <c r="C1019">
        <v>0.736946847416479</v>
      </c>
      <c r="D1019">
        <v>0.386419105040088</v>
      </c>
      <c r="E1019">
        <v>0.196005917413697</v>
      </c>
      <c r="F1019">
        <v>0.112082508645488</v>
      </c>
      <c r="G1019">
        <v>0.0721332327533046</v>
      </c>
      <c r="H1019">
        <v>0.06882385378132801</v>
      </c>
      <c r="I1019">
        <v>0.0528437270330749</v>
      </c>
      <c r="J1019">
        <v>0.0602058081409499</v>
      </c>
      <c r="K1019">
        <v>0.0402739997154514</v>
      </c>
      <c r="L1019">
        <v>871.0295888984519</v>
      </c>
      <c r="M1019">
        <v>20.8132677598642</v>
      </c>
      <c r="N1019">
        <v>42.1235534441946</v>
      </c>
      <c r="O1019">
        <v>41.4691485772784</v>
      </c>
      <c r="P1019">
        <v>-0.117538137305929</v>
      </c>
      <c r="Q1019">
        <v>0.063276362048323</v>
      </c>
      <c r="R1019">
        <v>0.99413028060824</v>
      </c>
      <c r="S1019" t="s">
        <v>3212</v>
      </c>
      <c r="T1019" t="s">
        <v>4362</v>
      </c>
      <c r="U1019" t="s">
        <v>4362</v>
      </c>
      <c r="V1019" t="s">
        <v>4362</v>
      </c>
      <c r="W1019" t="s">
        <v>5378</v>
      </c>
      <c r="X1019">
        <v>11</v>
      </c>
      <c r="Y1019" t="s">
        <v>7540</v>
      </c>
      <c r="Z1019" t="s">
        <v>9707</v>
      </c>
      <c r="AA1019">
        <v>0.2277611634641473</v>
      </c>
      <c r="AB1019">
        <f>HYPERLINK("Melting_Curves/meltCurve_P0AG55_rplF.pdf", "Melting_Curves/meltCurve_P0AG55_rplF.pdf")</f>
        <v>0</v>
      </c>
    </row>
    <row r="1020" spans="1:28">
      <c r="A1020" t="s">
        <v>1046</v>
      </c>
      <c r="B1020">
        <v>0.999739202189716</v>
      </c>
      <c r="C1020">
        <v>0.889529057646449</v>
      </c>
      <c r="D1020">
        <v>0.567376895536635</v>
      </c>
      <c r="E1020">
        <v>0.767217774835016</v>
      </c>
      <c r="F1020">
        <v>0.7099992175732081</v>
      </c>
      <c r="G1020">
        <v>0.636606219526532</v>
      </c>
      <c r="H1020">
        <v>0.50209558246422</v>
      </c>
      <c r="I1020">
        <v>0.406543604640712</v>
      </c>
      <c r="J1020">
        <v>0.338081744690514</v>
      </c>
      <c r="K1020">
        <v>0.544913142326264</v>
      </c>
      <c r="L1020">
        <v>276.476083815325</v>
      </c>
      <c r="M1020">
        <v>5.57973714531111</v>
      </c>
      <c r="N1020">
        <v>58.9364770729615</v>
      </c>
      <c r="O1020">
        <v>44.280484722932</v>
      </c>
      <c r="P1020">
        <v>-0.0223212268768312</v>
      </c>
      <c r="Q1020">
        <v>0.294394934978383</v>
      </c>
      <c r="R1020">
        <v>0.7355905821550131</v>
      </c>
      <c r="S1020" t="s">
        <v>3213</v>
      </c>
      <c r="T1020" t="s">
        <v>4362</v>
      </c>
      <c r="U1020" t="s">
        <v>4362</v>
      </c>
      <c r="V1020" t="s">
        <v>4362</v>
      </c>
      <c r="W1020" t="s">
        <v>5379</v>
      </c>
      <c r="X1020">
        <v>2</v>
      </c>
      <c r="Y1020" t="s">
        <v>7541</v>
      </c>
      <c r="Z1020" t="s">
        <v>9708</v>
      </c>
      <c r="AA1020">
        <v>0.6279468775589322</v>
      </c>
      <c r="AB1020">
        <f>HYPERLINK("Melting_Curves/meltCurve_P0AG59_rpsN.pdf", "Melting_Curves/meltCurve_P0AG59_rpsN.pdf")</f>
        <v>0</v>
      </c>
    </row>
    <row r="1021" spans="1:28">
      <c r="A1021" t="s">
        <v>1047</v>
      </c>
      <c r="B1021">
        <v>0.999739202189716</v>
      </c>
      <c r="C1021">
        <v>0.890294600540841</v>
      </c>
      <c r="D1021">
        <v>0.714348631258339</v>
      </c>
      <c r="E1021">
        <v>0.410116601134968</v>
      </c>
      <c r="F1021">
        <v>0.180762978628252</v>
      </c>
      <c r="G1021">
        <v>0.104515307562861</v>
      </c>
      <c r="H1021">
        <v>0.0922937022868064</v>
      </c>
      <c r="I1021">
        <v>0.0710836321429671</v>
      </c>
      <c r="J1021">
        <v>0.052156525088803</v>
      </c>
      <c r="K1021">
        <v>0.0594715193719709</v>
      </c>
      <c r="L1021">
        <v>772.507188780996</v>
      </c>
      <c r="M1021">
        <v>17.1353989621391</v>
      </c>
      <c r="N1021">
        <v>45.3909491560161</v>
      </c>
      <c r="O1021">
        <v>44.481964964014</v>
      </c>
      <c r="P1021">
        <v>-0.0910181314988571</v>
      </c>
      <c r="Q1021">
        <v>0.0549568543902213</v>
      </c>
      <c r="R1021">
        <v>0.998847529594179</v>
      </c>
      <c r="S1021" t="s">
        <v>3214</v>
      </c>
      <c r="T1021" t="s">
        <v>4362</v>
      </c>
      <c r="U1021" t="s">
        <v>4362</v>
      </c>
      <c r="V1021" t="s">
        <v>4362</v>
      </c>
      <c r="W1021" t="s">
        <v>5380</v>
      </c>
      <c r="X1021">
        <v>1</v>
      </c>
      <c r="Y1021" t="s">
        <v>7542</v>
      </c>
      <c r="Z1021" t="s">
        <v>9709</v>
      </c>
      <c r="AA1021">
        <v>0.3266883851157286</v>
      </c>
      <c r="AB1021">
        <f>HYPERLINK("Melting_Curves/meltCurve_P0AG63_rpsQ.pdf", "Melting_Curves/meltCurve_P0AG63_rpsQ.pdf")</f>
        <v>0</v>
      </c>
    </row>
    <row r="1022" spans="1:28">
      <c r="A1022" t="s">
        <v>1048</v>
      </c>
      <c r="B1022">
        <v>0.999739202189716</v>
      </c>
      <c r="C1022">
        <v>1.23093223017633</v>
      </c>
      <c r="D1022">
        <v>0.97041412022841</v>
      </c>
      <c r="E1022">
        <v>1.11860382582689</v>
      </c>
      <c r="F1022">
        <v>1.0093951209192</v>
      </c>
      <c r="G1022">
        <v>0.817436659803196</v>
      </c>
      <c r="H1022">
        <v>0.863334305398033</v>
      </c>
      <c r="I1022">
        <v>0.661038790112669</v>
      </c>
      <c r="J1022">
        <v>0.698225054651498</v>
      </c>
      <c r="K1022">
        <v>0.464753769025925</v>
      </c>
      <c r="L1022">
        <v>680.0950217284091</v>
      </c>
      <c r="M1022">
        <v>10.3685881870841</v>
      </c>
      <c r="O1022">
        <v>63.2926984947056</v>
      </c>
      <c r="P1022">
        <v>-0.0366264424792866</v>
      </c>
      <c r="Q1022">
        <v>0.106067231836236</v>
      </c>
      <c r="R1022">
        <v>0.79483995171033</v>
      </c>
      <c r="S1022" t="s">
        <v>3215</v>
      </c>
      <c r="T1022" t="s">
        <v>4362</v>
      </c>
      <c r="U1022" t="s">
        <v>4362</v>
      </c>
      <c r="V1022" t="s">
        <v>4362</v>
      </c>
      <c r="W1022" t="s">
        <v>5381</v>
      </c>
      <c r="X1022">
        <v>23</v>
      </c>
      <c r="Y1022" t="s">
        <v>7543</v>
      </c>
      <c r="Z1022" t="s">
        <v>9710</v>
      </c>
      <c r="AA1022">
        <v>0.8702708533007254</v>
      </c>
      <c r="AB1022">
        <f>HYPERLINK("Melting_Curves/meltCurve_P0AG67_rpsA.pdf", "Melting_Curves/meltCurve_P0AG67_rpsA.pdf")</f>
        <v>0</v>
      </c>
    </row>
    <row r="1023" spans="1:28">
      <c r="A1023" t="s">
        <v>1049</v>
      </c>
      <c r="B1023">
        <v>0.999739202189716</v>
      </c>
      <c r="C1023">
        <v>0.867194298104527</v>
      </c>
      <c r="D1023">
        <v>0.696045979025213</v>
      </c>
      <c r="E1023">
        <v>0.601601689533414</v>
      </c>
      <c r="F1023">
        <v>0.394246132862093</v>
      </c>
      <c r="G1023">
        <v>0.238204994763729</v>
      </c>
      <c r="H1023">
        <v>0.194246968523906</v>
      </c>
      <c r="I1023">
        <v>0.151078055906399</v>
      </c>
      <c r="J1023">
        <v>0.154602879068834</v>
      </c>
      <c r="K1023">
        <v>0.145697575259134</v>
      </c>
      <c r="L1023">
        <v>516.222584704799</v>
      </c>
      <c r="M1023">
        <v>11.0682947525557</v>
      </c>
      <c r="N1023">
        <v>47.6149088704362</v>
      </c>
      <c r="O1023">
        <v>45.1949204575791</v>
      </c>
      <c r="P1023">
        <v>-0.0550345120290283</v>
      </c>
      <c r="Q1023">
        <v>0.101411327118657</v>
      </c>
      <c r="R1023">
        <v>0.990461186291418</v>
      </c>
      <c r="S1023" t="s">
        <v>3216</v>
      </c>
      <c r="T1023" t="s">
        <v>4362</v>
      </c>
      <c r="U1023" t="s">
        <v>4362</v>
      </c>
      <c r="V1023" t="s">
        <v>4362</v>
      </c>
      <c r="W1023" t="s">
        <v>5382</v>
      </c>
      <c r="X1023">
        <v>2</v>
      </c>
      <c r="Y1023" t="s">
        <v>7544</v>
      </c>
      <c r="Z1023" t="s">
        <v>9711</v>
      </c>
      <c r="AA1023">
        <v>0.424315293974893</v>
      </c>
      <c r="AB1023">
        <f>HYPERLINK("Melting_Curves/meltCurve_P0AG71_rmuC.pdf", "Melting_Curves/meltCurve_P0AG71_rmuC.pdf")</f>
        <v>0</v>
      </c>
    </row>
    <row r="1024" spans="1:28">
      <c r="A1024" t="s">
        <v>1050</v>
      </c>
      <c r="B1024">
        <v>0.999739202189716</v>
      </c>
      <c r="C1024">
        <v>0.965962918906164</v>
      </c>
      <c r="D1024">
        <v>0.79358678861315</v>
      </c>
      <c r="E1024">
        <v>0.871053638367693</v>
      </c>
      <c r="F1024">
        <v>0.911323956130565</v>
      </c>
      <c r="G1024">
        <v>0.731429896088168</v>
      </c>
      <c r="H1024">
        <v>0.81471440153305</v>
      </c>
      <c r="I1024">
        <v>0.701484360633274</v>
      </c>
      <c r="J1024">
        <v>0.6908567994568739</v>
      </c>
      <c r="K1024">
        <v>0.34817536352905</v>
      </c>
      <c r="L1024">
        <v>334.431539089787</v>
      </c>
      <c r="M1024">
        <v>4.88316277771283</v>
      </c>
      <c r="O1024">
        <v>59.4384258148087</v>
      </c>
      <c r="P1024">
        <v>-0.0206751853980261</v>
      </c>
      <c r="Q1024">
        <v>0</v>
      </c>
      <c r="R1024">
        <v>0.718900168314012</v>
      </c>
      <c r="S1024" t="s">
        <v>3217</v>
      </c>
      <c r="T1024" t="s">
        <v>4362</v>
      </c>
      <c r="U1024" t="s">
        <v>4362</v>
      </c>
      <c r="V1024" t="s">
        <v>4362</v>
      </c>
      <c r="W1024" t="s">
        <v>5383</v>
      </c>
      <c r="X1024">
        <v>10</v>
      </c>
      <c r="Y1024" t="s">
        <v>7545</v>
      </c>
      <c r="Z1024" t="s">
        <v>9712</v>
      </c>
      <c r="AA1024">
        <v>0.7997945827075832</v>
      </c>
      <c r="AB1024">
        <f>HYPERLINK("Melting_Curves/meltCurve_P0AG78_sbp.pdf", "Melting_Curves/meltCurve_P0AG78_sbp.pdf")</f>
        <v>0</v>
      </c>
    </row>
    <row r="1025" spans="1:28">
      <c r="A1025" t="s">
        <v>1051</v>
      </c>
      <c r="B1025">
        <v>0.999739202189716</v>
      </c>
      <c r="C1025">
        <v>0.9927970482509</v>
      </c>
      <c r="D1025">
        <v>1.12434403923464</v>
      </c>
      <c r="E1025">
        <v>1.06296947501529</v>
      </c>
      <c r="F1025">
        <v>0.937686471415395</v>
      </c>
      <c r="G1025">
        <v>0.259039767926441</v>
      </c>
      <c r="H1025">
        <v>0.0995801616606478</v>
      </c>
      <c r="I1025">
        <v>0.07459842209927479</v>
      </c>
      <c r="J1025">
        <v>0.0624209049389951</v>
      </c>
      <c r="K1025">
        <v>0.0517362236632692</v>
      </c>
      <c r="L1025">
        <v>2980.66321267647</v>
      </c>
      <c r="M1025">
        <v>56.7562179893132</v>
      </c>
      <c r="N1025">
        <v>52.6564081524528</v>
      </c>
      <c r="O1025">
        <v>52.4518675090015</v>
      </c>
      <c r="P1025">
        <v>-0.251638130631922</v>
      </c>
      <c r="Q1025">
        <v>0.06978416910519029</v>
      </c>
      <c r="R1025">
        <v>0.990426239111997</v>
      </c>
      <c r="S1025" t="s">
        <v>3218</v>
      </c>
      <c r="T1025" t="s">
        <v>4362</v>
      </c>
      <c r="U1025" t="s">
        <v>4362</v>
      </c>
      <c r="V1025" t="s">
        <v>4362</v>
      </c>
      <c r="W1025" t="s">
        <v>5384</v>
      </c>
      <c r="X1025">
        <v>22</v>
      </c>
      <c r="Y1025" t="s">
        <v>7546</v>
      </c>
      <c r="Z1025" t="s">
        <v>9713</v>
      </c>
      <c r="AA1025">
        <v>0.5525911729355558</v>
      </c>
      <c r="AB1025">
        <f>HYPERLINK("Melting_Curves/meltCurve_P0AG80_ugpB.pdf", "Melting_Curves/meltCurve_P0AG80_ugpB.pdf")</f>
        <v>0</v>
      </c>
    </row>
    <row r="1026" spans="1:28">
      <c r="A1026" t="s">
        <v>1052</v>
      </c>
      <c r="B1026">
        <v>0.999739202189716</v>
      </c>
      <c r="C1026">
        <v>0.883287230219693</v>
      </c>
      <c r="D1026">
        <v>1.0312923828631</v>
      </c>
      <c r="E1026">
        <v>0.983117913712192</v>
      </c>
      <c r="F1026">
        <v>1.05038691116865</v>
      </c>
      <c r="G1026">
        <v>0.941939496300655</v>
      </c>
      <c r="H1026">
        <v>0.95113150759702</v>
      </c>
      <c r="I1026">
        <v>0.891049419940423</v>
      </c>
      <c r="J1026">
        <v>0.950807537685503</v>
      </c>
      <c r="K1026">
        <v>0.713569662921444</v>
      </c>
      <c r="L1026">
        <v>1333.55358952077</v>
      </c>
      <c r="M1026">
        <v>18.8607658440817</v>
      </c>
      <c r="Q1026">
        <v>0</v>
      </c>
      <c r="R1026">
        <v>0.6134989481070759</v>
      </c>
      <c r="S1026" t="s">
        <v>3219</v>
      </c>
      <c r="T1026" t="s">
        <v>4362</v>
      </c>
      <c r="U1026" t="s">
        <v>4362</v>
      </c>
      <c r="V1026" t="s">
        <v>4362</v>
      </c>
      <c r="W1026" t="s">
        <v>5385</v>
      </c>
      <c r="X1026">
        <v>18</v>
      </c>
      <c r="Y1026" t="s">
        <v>7547</v>
      </c>
      <c r="Z1026" t="s">
        <v>9714</v>
      </c>
      <c r="AA1026">
        <v>0.9693168074453371</v>
      </c>
      <c r="AB1026">
        <f>HYPERLINK("Melting_Curves/meltCurve_P0AG82_pstS.pdf", "Melting_Curves/meltCurve_P0AG82_pstS.pdf")</f>
        <v>0</v>
      </c>
    </row>
    <row r="1027" spans="1:28">
      <c r="A1027" t="s">
        <v>1053</v>
      </c>
      <c r="B1027">
        <v>0.999739202189716</v>
      </c>
      <c r="C1027">
        <v>1.02918439618728</v>
      </c>
      <c r="D1027">
        <v>1.07719714842887</v>
      </c>
      <c r="E1027">
        <v>1.16593904901221</v>
      </c>
      <c r="F1027">
        <v>0.914236357408249</v>
      </c>
      <c r="G1027">
        <v>0.886630096928317</v>
      </c>
      <c r="H1027">
        <v>0.551355508690804</v>
      </c>
      <c r="I1027">
        <v>0.215497990373413</v>
      </c>
      <c r="J1027">
        <v>0.0926922600862778</v>
      </c>
      <c r="K1027">
        <v>0.06767178294674769</v>
      </c>
      <c r="L1027">
        <v>1548.49722535454</v>
      </c>
      <c r="M1027">
        <v>26.8533630443924</v>
      </c>
      <c r="N1027">
        <v>57.8363991177315</v>
      </c>
      <c r="O1027">
        <v>57.3479679683497</v>
      </c>
      <c r="P1027">
        <v>-0.112585106812448</v>
      </c>
      <c r="Q1027">
        <v>0.0382637149742582</v>
      </c>
      <c r="R1027">
        <v>0.976103455176843</v>
      </c>
      <c r="S1027" t="s">
        <v>3220</v>
      </c>
      <c r="T1027" t="s">
        <v>4362</v>
      </c>
      <c r="U1027" t="s">
        <v>4362</v>
      </c>
      <c r="V1027" t="s">
        <v>4362</v>
      </c>
      <c r="W1027" t="s">
        <v>5386</v>
      </c>
      <c r="X1027">
        <v>14</v>
      </c>
      <c r="Y1027" t="s">
        <v>7548</v>
      </c>
      <c r="Z1027" t="s">
        <v>9715</v>
      </c>
      <c r="AA1027">
        <v>0.70694204570816</v>
      </c>
      <c r="AB1027">
        <f>HYPERLINK("Melting_Curves/meltCurve_P0AG84_yghA.pdf", "Melting_Curves/meltCurve_P0AG84_yghA.pdf")</f>
        <v>0</v>
      </c>
    </row>
    <row r="1028" spans="1:28">
      <c r="A1028" t="s">
        <v>1054</v>
      </c>
      <c r="B1028">
        <v>0.999739202189716</v>
      </c>
      <c r="C1028">
        <v>0.901056543053495</v>
      </c>
      <c r="D1028">
        <v>0.979120396320283</v>
      </c>
      <c r="E1028">
        <v>0.88578017659273</v>
      </c>
      <c r="F1028">
        <v>0.6989205664197921</v>
      </c>
      <c r="G1028">
        <v>0.394533600637308</v>
      </c>
      <c r="H1028">
        <v>0.266548889246823</v>
      </c>
      <c r="I1028">
        <v>0.190301086354811</v>
      </c>
      <c r="J1028">
        <v>0.157048394219507</v>
      </c>
      <c r="K1028">
        <v>0.149148787926104</v>
      </c>
      <c r="L1028">
        <v>933.850405358885</v>
      </c>
      <c r="M1028">
        <v>18.0827129805052</v>
      </c>
      <c r="N1028">
        <v>52.5622565784309</v>
      </c>
      <c r="O1028">
        <v>51.0240980930561</v>
      </c>
      <c r="P1028">
        <v>-0.0765950876089822</v>
      </c>
      <c r="Q1028">
        <v>0.135526576663433</v>
      </c>
      <c r="R1028">
        <v>0.991494324542089</v>
      </c>
      <c r="S1028" t="s">
        <v>3221</v>
      </c>
      <c r="T1028" t="s">
        <v>4362</v>
      </c>
      <c r="U1028" t="s">
        <v>4362</v>
      </c>
      <c r="V1028" t="s">
        <v>4362</v>
      </c>
      <c r="W1028" t="s">
        <v>5387</v>
      </c>
      <c r="X1028">
        <v>3</v>
      </c>
      <c r="Y1028" t="s">
        <v>7549</v>
      </c>
      <c r="Z1028" t="s">
        <v>9716</v>
      </c>
      <c r="AA1028">
        <v>0.5706026322763887</v>
      </c>
      <c r="AB1028">
        <f>HYPERLINK("Melting_Curves/meltCurve_P0AG86_secB.pdf", "Melting_Curves/meltCurve_P0AG86_secB.pdf")</f>
        <v>0</v>
      </c>
    </row>
    <row r="1029" spans="1:28">
      <c r="A1029" t="s">
        <v>1055</v>
      </c>
      <c r="B1029">
        <v>0.999739202189716</v>
      </c>
      <c r="C1029">
        <v>1.08905596864842</v>
      </c>
      <c r="D1029">
        <v>0.653026331175371</v>
      </c>
      <c r="E1029">
        <v>0.461902735874248</v>
      </c>
      <c r="F1029">
        <v>0.234971028486565</v>
      </c>
      <c r="G1029">
        <v>0.137636864134006</v>
      </c>
      <c r="H1029">
        <v>0.102342885361883</v>
      </c>
      <c r="I1029">
        <v>0.0771356438191094</v>
      </c>
      <c r="J1029">
        <v>0.0761748520180585</v>
      </c>
      <c r="K1029">
        <v>0.0606466343236096</v>
      </c>
      <c r="L1029">
        <v>821.926675009763</v>
      </c>
      <c r="M1029">
        <v>18.0856451167194</v>
      </c>
      <c r="N1029">
        <v>45.8633292759889</v>
      </c>
      <c r="O1029">
        <v>44.9016415434658</v>
      </c>
      <c r="P1029">
        <v>-0.09306655089209501</v>
      </c>
      <c r="Q1029">
        <v>0.0758106311218838</v>
      </c>
      <c r="R1029">
        <v>0.973408722736572</v>
      </c>
      <c r="S1029" t="s">
        <v>3222</v>
      </c>
      <c r="T1029" t="s">
        <v>4362</v>
      </c>
      <c r="U1029" t="s">
        <v>4362</v>
      </c>
      <c r="V1029" t="s">
        <v>4362</v>
      </c>
      <c r="W1029" t="s">
        <v>5388</v>
      </c>
      <c r="X1029">
        <v>12</v>
      </c>
      <c r="Y1029" t="s">
        <v>7550</v>
      </c>
      <c r="Z1029" t="s">
        <v>9717</v>
      </c>
      <c r="AA1029">
        <v>0.3509003480686969</v>
      </c>
      <c r="AB1029">
        <f>HYPERLINK("Melting_Curves/meltCurve_P0AG90_secD.pdf", "Melting_Curves/meltCurve_P0AG90_secD.pdf")</f>
        <v>0</v>
      </c>
    </row>
    <row r="1030" spans="1:28">
      <c r="A1030" t="s">
        <v>1056</v>
      </c>
      <c r="B1030">
        <v>0.999739202189716</v>
      </c>
      <c r="C1030">
        <v>1.00447089542276</v>
      </c>
      <c r="D1030">
        <v>0.454769665137161</v>
      </c>
      <c r="E1030">
        <v>0.462809851826307</v>
      </c>
      <c r="F1030">
        <v>0.28422012682273</v>
      </c>
      <c r="G1030">
        <v>0.226875485406948</v>
      </c>
      <c r="H1030">
        <v>0.214728642576416</v>
      </c>
      <c r="I1030">
        <v>0.160986494859219</v>
      </c>
      <c r="J1030">
        <v>0.145664409182259</v>
      </c>
      <c r="K1030">
        <v>0.137837146853444</v>
      </c>
      <c r="L1030">
        <v>779.0666542723239</v>
      </c>
      <c r="M1030">
        <v>17.9450027100175</v>
      </c>
      <c r="N1030">
        <v>44.5206735547973</v>
      </c>
      <c r="O1030">
        <v>42.885767241695</v>
      </c>
      <c r="P1030">
        <v>-0.0857929854443609</v>
      </c>
      <c r="Q1030">
        <v>0.179913381095309</v>
      </c>
      <c r="R1030">
        <v>0.933084132275804</v>
      </c>
      <c r="S1030" t="s">
        <v>3223</v>
      </c>
      <c r="T1030" t="s">
        <v>4362</v>
      </c>
      <c r="U1030" t="s">
        <v>4362</v>
      </c>
      <c r="V1030" t="s">
        <v>4362</v>
      </c>
      <c r="W1030" t="s">
        <v>5389</v>
      </c>
      <c r="X1030">
        <v>4</v>
      </c>
      <c r="Y1030" t="s">
        <v>7551</v>
      </c>
      <c r="Z1030" t="s">
        <v>9718</v>
      </c>
      <c r="AA1030">
        <v>0.369523088231005</v>
      </c>
      <c r="AB1030">
        <f>HYPERLINK("Melting_Curves/meltCurve_P0AG93_secF.pdf", "Melting_Curves/meltCurve_P0AG93_secF.pdf")</f>
        <v>0</v>
      </c>
    </row>
    <row r="1031" spans="1:28">
      <c r="A1031" t="s">
        <v>1057</v>
      </c>
      <c r="B1031">
        <v>0.999739202189716</v>
      </c>
      <c r="C1031">
        <v>0.879582845847666</v>
      </c>
      <c r="D1031">
        <v>1.28510795380907</v>
      </c>
      <c r="E1031">
        <v>1.05020495736003</v>
      </c>
      <c r="F1031">
        <v>1.1447592583979</v>
      </c>
      <c r="G1031">
        <v>0.9099127001101071</v>
      </c>
      <c r="H1031">
        <v>0.878336385556211</v>
      </c>
      <c r="I1031">
        <v>0.89268799856762</v>
      </c>
      <c r="J1031">
        <v>0.954592680157005</v>
      </c>
      <c r="K1031">
        <v>0.57367651014445</v>
      </c>
      <c r="L1031">
        <v>3605.9551007616</v>
      </c>
      <c r="M1031">
        <v>53.5153611972797</v>
      </c>
      <c r="Q1031">
        <v>0</v>
      </c>
      <c r="R1031">
        <v>0.519809420205658</v>
      </c>
      <c r="S1031" t="s">
        <v>3224</v>
      </c>
      <c r="T1031" t="s">
        <v>4362</v>
      </c>
      <c r="U1031" t="s">
        <v>4362</v>
      </c>
      <c r="V1031" t="s">
        <v>4362</v>
      </c>
      <c r="W1031" t="s">
        <v>5390</v>
      </c>
      <c r="X1031">
        <v>3</v>
      </c>
      <c r="Y1031" t="s">
        <v>7552</v>
      </c>
      <c r="Z1031" t="s">
        <v>9719</v>
      </c>
      <c r="AA1031">
        <v>0.978004202768531</v>
      </c>
      <c r="AB1031">
        <f>HYPERLINK("Melting_Curves/meltCurve_P0AG96_secE.pdf", "Melting_Curves/meltCurve_P0AG96_secE.pdf")</f>
        <v>0</v>
      </c>
    </row>
    <row r="1032" spans="1:28">
      <c r="A1032" t="s">
        <v>1058</v>
      </c>
      <c r="B1032">
        <v>0.999739202189716</v>
      </c>
      <c r="C1032">
        <v>0.9153114007204191</v>
      </c>
      <c r="D1032">
        <v>0.982219260486016</v>
      </c>
      <c r="E1032">
        <v>1.05814834081055</v>
      </c>
      <c r="F1032">
        <v>1.12072127431438</v>
      </c>
      <c r="G1032">
        <v>0.866693536312634</v>
      </c>
      <c r="H1032">
        <v>0.94344006750902</v>
      </c>
      <c r="I1032">
        <v>0.843790915632584</v>
      </c>
      <c r="J1032">
        <v>0.880216753833408</v>
      </c>
      <c r="K1032">
        <v>0.593209291497948</v>
      </c>
      <c r="L1032">
        <v>1031.12104915684</v>
      </c>
      <c r="M1032">
        <v>14.8146674203101</v>
      </c>
      <c r="Q1032">
        <v>0</v>
      </c>
      <c r="R1032">
        <v>0.704922868112094</v>
      </c>
      <c r="S1032" t="s">
        <v>3225</v>
      </c>
      <c r="T1032" t="s">
        <v>4362</v>
      </c>
      <c r="U1032" t="s">
        <v>4362</v>
      </c>
      <c r="V1032" t="s">
        <v>4362</v>
      </c>
      <c r="W1032" t="s">
        <v>5391</v>
      </c>
      <c r="X1032">
        <v>3</v>
      </c>
      <c r="Y1032" t="s">
        <v>7553</v>
      </c>
      <c r="Z1032" t="s">
        <v>9720</v>
      </c>
      <c r="AA1032">
        <v>0.9430840026196727</v>
      </c>
      <c r="AB1032">
        <f>HYPERLINK("Melting_Curves/meltCurve_P0AG99_secG.pdf", "Melting_Curves/meltCurve_P0AG99_secG.pdf")</f>
        <v>0</v>
      </c>
    </row>
    <row r="1033" spans="1:28">
      <c r="A1033" t="s">
        <v>1059</v>
      </c>
      <c r="B1033">
        <v>0.999739202189716</v>
      </c>
      <c r="C1033">
        <v>0.959251254237142</v>
      </c>
      <c r="D1033">
        <v>0.657885691979807</v>
      </c>
      <c r="E1033">
        <v>0.497363748002889</v>
      </c>
      <c r="F1033">
        <v>0.302908206023244</v>
      </c>
      <c r="G1033">
        <v>0.230923915690296</v>
      </c>
      <c r="H1033">
        <v>0.186250847340651</v>
      </c>
      <c r="I1033">
        <v>0.144393054305695</v>
      </c>
      <c r="J1033">
        <v>0.114908888131758</v>
      </c>
      <c r="K1033">
        <v>0.0743685383090104</v>
      </c>
      <c r="L1033">
        <v>620.788643414921</v>
      </c>
      <c r="M1033">
        <v>13.6159205204229</v>
      </c>
      <c r="N1033">
        <v>46.4091461238898</v>
      </c>
      <c r="O1033">
        <v>44.6431182740513</v>
      </c>
      <c r="P1033">
        <v>-0.0681393295654194</v>
      </c>
      <c r="Q1033">
        <v>0.106486052866051</v>
      </c>
      <c r="R1033">
        <v>0.986361005567238</v>
      </c>
      <c r="S1033" t="s">
        <v>3226</v>
      </c>
      <c r="T1033" t="s">
        <v>4362</v>
      </c>
      <c r="U1033" t="s">
        <v>4362</v>
      </c>
      <c r="V1033" t="s">
        <v>4362</v>
      </c>
      <c r="W1033" t="s">
        <v>5392</v>
      </c>
      <c r="X1033">
        <v>6</v>
      </c>
      <c r="Y1033" t="s">
        <v>7554</v>
      </c>
      <c r="Z1033" t="s">
        <v>9721</v>
      </c>
      <c r="AA1033">
        <v>0.3874676331978293</v>
      </c>
      <c r="AB1033">
        <f>HYPERLINK("Melting_Curves/meltCurve_P0AGA2_secY.pdf", "Melting_Curves/meltCurve_P0AGA2_secY.pdf")</f>
        <v>0</v>
      </c>
    </row>
    <row r="1034" spans="1:28">
      <c r="A1034" t="s">
        <v>1060</v>
      </c>
      <c r="B1034">
        <v>0.999739202189716</v>
      </c>
      <c r="C1034">
        <v>0.9425206177294529</v>
      </c>
      <c r="D1034">
        <v>0.731257774451211</v>
      </c>
      <c r="E1034">
        <v>0.669754524497986</v>
      </c>
      <c r="F1034">
        <v>0.37247728836267</v>
      </c>
      <c r="G1034">
        <v>0.223655257555452</v>
      </c>
      <c r="H1034">
        <v>0.161173854048163</v>
      </c>
      <c r="I1034">
        <v>0.124865077403187</v>
      </c>
      <c r="J1034">
        <v>0.111701218925022</v>
      </c>
      <c r="K1034">
        <v>0.09973341992780679</v>
      </c>
      <c r="L1034">
        <v>598.31373903049</v>
      </c>
      <c r="M1034">
        <v>12.5646997339637</v>
      </c>
      <c r="N1034">
        <v>48.1812870447748</v>
      </c>
      <c r="O1034">
        <v>46.4607039613166</v>
      </c>
      <c r="P1034">
        <v>-0.0630085572905543</v>
      </c>
      <c r="Q1034">
        <v>0.06823665467839859</v>
      </c>
      <c r="R1034">
        <v>0.988808596716732</v>
      </c>
      <c r="S1034" t="s">
        <v>3227</v>
      </c>
      <c r="T1034" t="s">
        <v>4362</v>
      </c>
      <c r="U1034" t="s">
        <v>4362</v>
      </c>
      <c r="V1034" t="s">
        <v>4362</v>
      </c>
      <c r="W1034" t="s">
        <v>5393</v>
      </c>
      <c r="X1034">
        <v>5</v>
      </c>
      <c r="Y1034" t="s">
        <v>7555</v>
      </c>
      <c r="Z1034" t="s">
        <v>9722</v>
      </c>
      <c r="AA1034">
        <v>0.4257314546622798</v>
      </c>
      <c r="AB1034">
        <f>HYPERLINK("Melting_Curves/meltCurve_P0AGA6_uhpA.pdf", "Melting_Curves/meltCurve_P0AGA6_uhpA.pdf")</f>
        <v>0</v>
      </c>
    </row>
    <row r="1035" spans="1:28">
      <c r="A1035" t="s">
        <v>1061</v>
      </c>
      <c r="B1035">
        <v>0.999739202189716</v>
      </c>
      <c r="C1035">
        <v>0.912515718849195</v>
      </c>
      <c r="D1035">
        <v>0.904527085248899</v>
      </c>
      <c r="E1035">
        <v>0.551816995700094</v>
      </c>
      <c r="F1035">
        <v>0.248663425583657</v>
      </c>
      <c r="G1035">
        <v>0.153788624655912</v>
      </c>
      <c r="H1035">
        <v>0.123116728183054</v>
      </c>
      <c r="I1035">
        <v>0.0849219169379249</v>
      </c>
      <c r="J1035">
        <v>0.0786095422142825</v>
      </c>
      <c r="K1035">
        <v>0.0659854562292501</v>
      </c>
      <c r="L1035">
        <v>971.236294932696</v>
      </c>
      <c r="M1035">
        <v>20.7645265045711</v>
      </c>
      <c r="N1035">
        <v>47.1769236519171</v>
      </c>
      <c r="O1035">
        <v>46.3464864465071</v>
      </c>
      <c r="P1035">
        <v>-0.102905297030143</v>
      </c>
      <c r="Q1035">
        <v>0.08128603717275031</v>
      </c>
      <c r="R1035">
        <v>0.995459112610462</v>
      </c>
      <c r="S1035" t="s">
        <v>3228</v>
      </c>
      <c r="T1035" t="s">
        <v>4362</v>
      </c>
      <c r="U1035" t="s">
        <v>4362</v>
      </c>
      <c r="V1035" t="s">
        <v>4362</v>
      </c>
      <c r="W1035" t="s">
        <v>5394</v>
      </c>
      <c r="X1035">
        <v>5</v>
      </c>
      <c r="Y1035" t="s">
        <v>7556</v>
      </c>
      <c r="Z1035" t="s">
        <v>9723</v>
      </c>
      <c r="AA1035">
        <v>0.3917573360096623</v>
      </c>
      <c r="AB1035">
        <f>HYPERLINK("Melting_Curves/meltCurve_P0AGB0_serB.pdf", "Melting_Curves/meltCurve_P0AGB0_serB.pdf")</f>
        <v>0</v>
      </c>
    </row>
    <row r="1036" spans="1:28">
      <c r="A1036" t="s">
        <v>1062</v>
      </c>
      <c r="B1036">
        <v>0.999739202189716</v>
      </c>
      <c r="C1036">
        <v>0.964217015840345</v>
      </c>
      <c r="D1036">
        <v>0.974354977102195</v>
      </c>
      <c r="E1036">
        <v>0.964248227729926</v>
      </c>
      <c r="F1036">
        <v>0.8467269425231519</v>
      </c>
      <c r="G1036">
        <v>0.732369242061705</v>
      </c>
      <c r="H1036">
        <v>0.590985276111758</v>
      </c>
      <c r="I1036">
        <v>0.419235539598548</v>
      </c>
      <c r="J1036">
        <v>0.268510159365495</v>
      </c>
      <c r="K1036">
        <v>0.17539526194584</v>
      </c>
      <c r="L1036">
        <v>666.536622398672</v>
      </c>
      <c r="M1036">
        <v>11.3387458808169</v>
      </c>
      <c r="N1036">
        <v>58.7839810473685</v>
      </c>
      <c r="O1036">
        <v>57.0445944571743</v>
      </c>
      <c r="P1036">
        <v>-0.0497073793653979</v>
      </c>
      <c r="Q1036">
        <v>0</v>
      </c>
      <c r="R1036">
        <v>0.995710636840367</v>
      </c>
      <c r="S1036" t="s">
        <v>3229</v>
      </c>
      <c r="T1036" t="s">
        <v>4362</v>
      </c>
      <c r="U1036" t="s">
        <v>4362</v>
      </c>
      <c r="V1036" t="s">
        <v>4362</v>
      </c>
      <c r="W1036" t="s">
        <v>5395</v>
      </c>
      <c r="X1036">
        <v>5</v>
      </c>
      <c r="Y1036" t="s">
        <v>7557</v>
      </c>
      <c r="Z1036" t="s">
        <v>9724</v>
      </c>
      <c r="AA1036">
        <v>0.7170411732276462</v>
      </c>
      <c r="AB1036">
        <f>HYPERLINK("Melting_Curves/meltCurve_P0AGB6_rpoE.pdf", "Melting_Curves/meltCurve_P0AGB6_rpoE.pdf")</f>
        <v>0</v>
      </c>
    </row>
    <row r="1037" spans="1:28">
      <c r="A1037" t="s">
        <v>1063</v>
      </c>
      <c r="B1037">
        <v>0.999739202189716</v>
      </c>
      <c r="C1037">
        <v>1.04648211875161</v>
      </c>
      <c r="D1037">
        <v>0.632750864287108</v>
      </c>
      <c r="E1037">
        <v>0.221055005534534</v>
      </c>
      <c r="F1037">
        <v>0.182579247713345</v>
      </c>
      <c r="G1037">
        <v>0.122546071979863</v>
      </c>
      <c r="H1037">
        <v>0.113572671471666</v>
      </c>
      <c r="I1037">
        <v>0.08477707480933611</v>
      </c>
      <c r="J1037">
        <v>0.0806533429055586</v>
      </c>
      <c r="K1037">
        <v>0.06570172012811509</v>
      </c>
      <c r="L1037">
        <v>1470.44601267763</v>
      </c>
      <c r="M1037">
        <v>33.7197666254571</v>
      </c>
      <c r="N1037">
        <v>43.9255332430808</v>
      </c>
      <c r="O1037">
        <v>43.4553370457169</v>
      </c>
      <c r="P1037">
        <v>-0.173000381385121</v>
      </c>
      <c r="Q1037">
        <v>0.108207852414946</v>
      </c>
      <c r="R1037">
        <v>0.988627741217658</v>
      </c>
      <c r="S1037" t="s">
        <v>3230</v>
      </c>
      <c r="T1037" t="s">
        <v>4362</v>
      </c>
      <c r="U1037" t="s">
        <v>4362</v>
      </c>
      <c r="V1037" t="s">
        <v>4362</v>
      </c>
      <c r="W1037" t="s">
        <v>5396</v>
      </c>
      <c r="X1037">
        <v>20</v>
      </c>
      <c r="Y1037" t="s">
        <v>7558</v>
      </c>
      <c r="Z1037" t="s">
        <v>9725</v>
      </c>
      <c r="AA1037">
        <v>0.3084957674581225</v>
      </c>
      <c r="AB1037">
        <f>HYPERLINK("Melting_Curves/meltCurve_P0AGC3_slt.pdf", "Melting_Curves/meltCurve_P0AGC3_slt.pdf")</f>
        <v>0</v>
      </c>
    </row>
    <row r="1038" spans="1:28">
      <c r="A1038" t="s">
        <v>1064</v>
      </c>
      <c r="B1038">
        <v>0.999739202189716</v>
      </c>
      <c r="C1038">
        <v>1.13876698536252</v>
      </c>
      <c r="D1038">
        <v>0.937221784893199</v>
      </c>
      <c r="E1038">
        <v>1.24587385931695</v>
      </c>
      <c r="F1038">
        <v>1.09489399683824</v>
      </c>
      <c r="G1038">
        <v>0.905060732088667</v>
      </c>
      <c r="H1038">
        <v>0.833928225019816</v>
      </c>
      <c r="I1038">
        <v>0.7857058166433361</v>
      </c>
      <c r="J1038">
        <v>0.6275513430233129</v>
      </c>
      <c r="K1038">
        <v>0.695635206479283</v>
      </c>
      <c r="L1038">
        <v>1401.62020204108</v>
      </c>
      <c r="M1038">
        <v>24.2541741690487</v>
      </c>
      <c r="O1038">
        <v>57.4002874243138</v>
      </c>
      <c r="P1038">
        <v>-0.0359333992083563</v>
      </c>
      <c r="Q1038">
        <v>0.659843171395593</v>
      </c>
      <c r="R1038">
        <v>0.704739441023152</v>
      </c>
      <c r="S1038" t="s">
        <v>3231</v>
      </c>
      <c r="T1038" t="s">
        <v>4362</v>
      </c>
      <c r="U1038" t="s">
        <v>4362</v>
      </c>
      <c r="V1038" t="s">
        <v>4362</v>
      </c>
      <c r="W1038" t="s">
        <v>5397</v>
      </c>
      <c r="X1038">
        <v>11</v>
      </c>
      <c r="Y1038" t="s">
        <v>7559</v>
      </c>
      <c r="Z1038" t="s">
        <v>9726</v>
      </c>
      <c r="AA1038">
        <v>0.8978978068700931</v>
      </c>
      <c r="AB1038">
        <f>HYPERLINK("Melting_Curves/meltCurve_P0AGD1_sodC.pdf", "Melting_Curves/meltCurve_P0AGD1_sodC.pdf")</f>
        <v>0</v>
      </c>
    </row>
    <row r="1039" spans="1:28">
      <c r="A1039" t="s">
        <v>1065</v>
      </c>
      <c r="B1039">
        <v>0.999739202189716</v>
      </c>
      <c r="C1039">
        <v>0.900795078405585</v>
      </c>
      <c r="D1039">
        <v>0.756357810496722</v>
      </c>
      <c r="E1039">
        <v>0.85369624601341</v>
      </c>
      <c r="F1039">
        <v>0.967828107391377</v>
      </c>
      <c r="G1039">
        <v>0.759875909125412</v>
      </c>
      <c r="H1039">
        <v>0.854666746509504</v>
      </c>
      <c r="I1039">
        <v>0.749720679557657</v>
      </c>
      <c r="J1039">
        <v>0.793178676336379</v>
      </c>
      <c r="K1039">
        <v>0.559325731509016</v>
      </c>
      <c r="L1039">
        <v>173.17973257854</v>
      </c>
      <c r="M1039">
        <v>1.78882562451454</v>
      </c>
      <c r="O1039">
        <v>53.5523747336996</v>
      </c>
      <c r="P1039">
        <v>-0.009322279601331879</v>
      </c>
      <c r="Q1039">
        <v>0</v>
      </c>
      <c r="R1039">
        <v>0.488339107655502</v>
      </c>
      <c r="S1039" t="s">
        <v>3232</v>
      </c>
      <c r="T1039" t="s">
        <v>4362</v>
      </c>
      <c r="U1039" t="s">
        <v>4362</v>
      </c>
      <c r="V1039" t="s">
        <v>4362</v>
      </c>
      <c r="W1039" t="s">
        <v>5398</v>
      </c>
      <c r="X1039">
        <v>7</v>
      </c>
      <c r="Y1039" t="s">
        <v>7560</v>
      </c>
      <c r="Z1039" t="s">
        <v>9727</v>
      </c>
      <c r="AA1039">
        <v>0.822168950382596</v>
      </c>
      <c r="AB1039">
        <f>HYPERLINK("Melting_Curves/meltCurve_P0AGD3_sodB.pdf", "Melting_Curves/meltCurve_P0AGD3_sodB.pdf")</f>
        <v>0</v>
      </c>
    </row>
    <row r="1040" spans="1:28">
      <c r="A1040" t="s">
        <v>1066</v>
      </c>
      <c r="B1040">
        <v>0.999739202189716</v>
      </c>
      <c r="C1040">
        <v>0.720343628701492</v>
      </c>
      <c r="D1040">
        <v>0.340442694044112</v>
      </c>
      <c r="E1040">
        <v>0.302726412667291</v>
      </c>
      <c r="F1040">
        <v>0.221217773812576</v>
      </c>
      <c r="G1040">
        <v>0.144215554590325</v>
      </c>
      <c r="H1040">
        <v>0.124127658647137</v>
      </c>
      <c r="I1040">
        <v>0.100131088701841</v>
      </c>
      <c r="J1040">
        <v>0.101907321603836</v>
      </c>
      <c r="K1040">
        <v>0.0858163392975953</v>
      </c>
      <c r="L1040">
        <v>844.367375311356</v>
      </c>
      <c r="M1040">
        <v>20.4034872980759</v>
      </c>
      <c r="N1040">
        <v>42.0059729544003</v>
      </c>
      <c r="O1040">
        <v>40.9920914995381</v>
      </c>
      <c r="P1040">
        <v>-0.108204331242874</v>
      </c>
      <c r="Q1040">
        <v>0.130464317820984</v>
      </c>
      <c r="R1040">
        <v>0.969126302480974</v>
      </c>
      <c r="S1040" t="s">
        <v>3233</v>
      </c>
      <c r="T1040" t="s">
        <v>4362</v>
      </c>
      <c r="U1040" t="s">
        <v>4362</v>
      </c>
      <c r="V1040" t="s">
        <v>4362</v>
      </c>
      <c r="W1040" t="s">
        <v>5399</v>
      </c>
      <c r="X1040">
        <v>11</v>
      </c>
      <c r="Y1040" t="s">
        <v>7561</v>
      </c>
      <c r="Z1040" t="s">
        <v>9728</v>
      </c>
      <c r="AA1040">
        <v>0.2709574490463709</v>
      </c>
      <c r="AB1040">
        <f>HYPERLINK("Melting_Curves/meltCurve_P0AGD7_ffh.pdf", "Melting_Curves/meltCurve_P0AGD7_ffh.pdf")</f>
        <v>0</v>
      </c>
    </row>
    <row r="1041" spans="1:28">
      <c r="A1041" t="s">
        <v>1067</v>
      </c>
      <c r="B1041">
        <v>0.999739202189716</v>
      </c>
      <c r="C1041">
        <v>0.758784399453747</v>
      </c>
      <c r="D1041">
        <v>1.09718743583521</v>
      </c>
      <c r="E1041">
        <v>0.724305501427267</v>
      </c>
      <c r="F1041">
        <v>0.8507855211579211</v>
      </c>
      <c r="G1041">
        <v>0.797826096534343</v>
      </c>
      <c r="H1041">
        <v>0.889994195086571</v>
      </c>
      <c r="I1041">
        <v>0.739320038566291</v>
      </c>
      <c r="J1041">
        <v>0.791824166567038</v>
      </c>
      <c r="K1041">
        <v>0.326431342348128</v>
      </c>
      <c r="L1041">
        <v>311.308896442387</v>
      </c>
      <c r="M1041">
        <v>4.3397775634441</v>
      </c>
      <c r="O1041">
        <v>60.3538896015708</v>
      </c>
      <c r="P1041">
        <v>-0.0181536500621268</v>
      </c>
      <c r="Q1041">
        <v>0</v>
      </c>
      <c r="R1041">
        <v>0.422882670911683</v>
      </c>
      <c r="S1041" t="s">
        <v>3234</v>
      </c>
      <c r="T1041" t="s">
        <v>4362</v>
      </c>
      <c r="U1041" t="s">
        <v>4362</v>
      </c>
      <c r="V1041" t="s">
        <v>4362</v>
      </c>
      <c r="W1041" t="s">
        <v>5400</v>
      </c>
      <c r="X1041">
        <v>8</v>
      </c>
      <c r="Y1041" t="s">
        <v>7562</v>
      </c>
      <c r="Z1041" t="s">
        <v>9729</v>
      </c>
      <c r="AA1041">
        <v>0.8175463916752536</v>
      </c>
      <c r="AB1041">
        <f>HYPERLINK("Melting_Curves/meltCurve_P0AGE0_ssb.pdf", "Melting_Curves/meltCurve_P0AGE0_ssb.pdf")</f>
        <v>0</v>
      </c>
    </row>
    <row r="1042" spans="1:28">
      <c r="A1042" t="s">
        <v>1068</v>
      </c>
      <c r="B1042">
        <v>0.999739202189716</v>
      </c>
      <c r="C1042">
        <v>1.02317187261594</v>
      </c>
      <c r="D1042">
        <v>0.9029891431207649</v>
      </c>
      <c r="E1042">
        <v>0.747746214396078</v>
      </c>
      <c r="F1042">
        <v>0.743966166444162</v>
      </c>
      <c r="G1042">
        <v>0.467192755149614</v>
      </c>
      <c r="H1042">
        <v>0.398178935880106</v>
      </c>
      <c r="I1042">
        <v>0.407196364673308</v>
      </c>
      <c r="J1042">
        <v>0.447679580178968</v>
      </c>
      <c r="K1042">
        <v>0.274928745462952</v>
      </c>
      <c r="L1042">
        <v>614.4700405509</v>
      </c>
      <c r="M1042">
        <v>12.2723011248931</v>
      </c>
      <c r="N1042">
        <v>54.5034495428053</v>
      </c>
      <c r="O1042">
        <v>48.795894968005</v>
      </c>
      <c r="P1042">
        <v>-0.0430319570842076</v>
      </c>
      <c r="Q1042">
        <v>0.315753773588169</v>
      </c>
      <c r="R1042">
        <v>0.952998000244299</v>
      </c>
      <c r="S1042" t="s">
        <v>3235</v>
      </c>
      <c r="T1042" t="s">
        <v>4362</v>
      </c>
      <c r="U1042" t="s">
        <v>4362</v>
      </c>
      <c r="V1042" t="s">
        <v>4362</v>
      </c>
      <c r="W1042" t="s">
        <v>5401</v>
      </c>
      <c r="X1042">
        <v>3</v>
      </c>
      <c r="Y1042" t="s">
        <v>7563</v>
      </c>
      <c r="Z1042" t="s">
        <v>9730</v>
      </c>
      <c r="AA1042">
        <v>0.6324207001953079</v>
      </c>
      <c r="AB1042">
        <f>HYPERLINK("Melting_Curves/meltCurve_P0AGE6_chrR.pdf", "Melting_Curves/meltCurve_P0AGE6_chrR.pdf")</f>
        <v>0</v>
      </c>
    </row>
    <row r="1043" spans="1:28">
      <c r="A1043" t="s">
        <v>1069</v>
      </c>
      <c r="B1043">
        <v>0.999739202189716</v>
      </c>
      <c r="C1043">
        <v>0.826505219463962</v>
      </c>
      <c r="D1043">
        <v>1.23636456367342</v>
      </c>
      <c r="E1043">
        <v>0.914699611545411</v>
      </c>
      <c r="F1043">
        <v>0.830350481167512</v>
      </c>
      <c r="G1043">
        <v>0.323228424814659</v>
      </c>
      <c r="H1043">
        <v>0.0718102069026509</v>
      </c>
      <c r="I1043">
        <v>0.0458754214402219</v>
      </c>
      <c r="J1043">
        <v>0.037278986802393</v>
      </c>
      <c r="K1043">
        <v>0.0320388761761355</v>
      </c>
      <c r="L1043">
        <v>1746.33903435693</v>
      </c>
      <c r="M1043">
        <v>33.3011700545699</v>
      </c>
      <c r="N1043">
        <v>52.5424617430465</v>
      </c>
      <c r="O1043">
        <v>52.2527486342661</v>
      </c>
      <c r="P1043">
        <v>-0.154355591335166</v>
      </c>
      <c r="Q1043">
        <v>0.0312089052654691</v>
      </c>
      <c r="R1043">
        <v>0.954780262673125</v>
      </c>
      <c r="S1043" t="s">
        <v>3236</v>
      </c>
      <c r="T1043" t="s">
        <v>4362</v>
      </c>
      <c r="U1043" t="s">
        <v>4362</v>
      </c>
      <c r="V1043" t="s">
        <v>4362</v>
      </c>
      <c r="W1043" t="s">
        <v>5402</v>
      </c>
      <c r="X1043">
        <v>8</v>
      </c>
      <c r="Y1043" t="s">
        <v>7564</v>
      </c>
      <c r="Z1043" t="s">
        <v>9731</v>
      </c>
      <c r="AA1043">
        <v>0.5348616756339587</v>
      </c>
      <c r="AB1043">
        <f>HYPERLINK("Melting_Curves/meltCurve_P0AGE9_sucD.pdf", "Melting_Curves/meltCurve_P0AGE9_sucD.pdf")</f>
        <v>0</v>
      </c>
    </row>
    <row r="1044" spans="1:28">
      <c r="A1044" t="s">
        <v>1070</v>
      </c>
      <c r="B1044">
        <v>0.999739202189716</v>
      </c>
      <c r="C1044">
        <v>0.973667073533009</v>
      </c>
      <c r="D1044">
        <v>0.844749387306222</v>
      </c>
      <c r="E1044">
        <v>0.793093195554891</v>
      </c>
      <c r="F1044">
        <v>0.65746466387527</v>
      </c>
      <c r="G1044">
        <v>0.519435469615949</v>
      </c>
      <c r="H1044">
        <v>0.435327025536009</v>
      </c>
      <c r="I1044">
        <v>0.366587273187508</v>
      </c>
      <c r="J1044">
        <v>0.295953696530342</v>
      </c>
      <c r="K1044">
        <v>0.236210039674244</v>
      </c>
      <c r="L1044">
        <v>423.322428507832</v>
      </c>
      <c r="M1044">
        <v>7.9537889232976</v>
      </c>
      <c r="N1044">
        <v>54.9077688795828</v>
      </c>
      <c r="O1044">
        <v>50.1740515861416</v>
      </c>
      <c r="P1044">
        <v>-0.035380150060944</v>
      </c>
      <c r="Q1044">
        <v>0.108290999154867</v>
      </c>
      <c r="R1044">
        <v>0.993869162956833</v>
      </c>
      <c r="S1044" t="s">
        <v>3237</v>
      </c>
      <c r="T1044" t="s">
        <v>4362</v>
      </c>
      <c r="U1044" t="s">
        <v>4362</v>
      </c>
      <c r="V1044" t="s">
        <v>4362</v>
      </c>
      <c r="W1044" t="s">
        <v>5403</v>
      </c>
      <c r="X1044">
        <v>8</v>
      </c>
      <c r="Y1044" t="s">
        <v>7565</v>
      </c>
      <c r="Z1044" t="s">
        <v>9732</v>
      </c>
      <c r="AA1044">
        <v>0.6085118414183621</v>
      </c>
      <c r="AB1044">
        <f>HYPERLINK("Melting_Curves/meltCurve_P0AGF2_csdE.pdf", "Melting_Curves/meltCurve_P0AGF2_csdE.pdf")</f>
        <v>0</v>
      </c>
    </row>
    <row r="1045" spans="1:28">
      <c r="A1045" t="s">
        <v>1071</v>
      </c>
      <c r="B1045">
        <v>0.999739202189716</v>
      </c>
      <c r="C1045">
        <v>0.894154602427828</v>
      </c>
      <c r="D1045">
        <v>0.985103265553553</v>
      </c>
      <c r="E1045">
        <v>0.91017160241355</v>
      </c>
      <c r="F1045">
        <v>0.833726666293663</v>
      </c>
      <c r="G1045">
        <v>0.631629558283424</v>
      </c>
      <c r="H1045">
        <v>0.405427969006141</v>
      </c>
      <c r="I1045">
        <v>0.253529490705375</v>
      </c>
      <c r="J1045">
        <v>0.177028886770319</v>
      </c>
      <c r="K1045">
        <v>0.118444732651481</v>
      </c>
      <c r="L1045">
        <v>731.152413740993</v>
      </c>
      <c r="M1045">
        <v>13.1160513452186</v>
      </c>
      <c r="N1045">
        <v>55.9171670908258</v>
      </c>
      <c r="O1045">
        <v>54.4967870091095</v>
      </c>
      <c r="P1045">
        <v>-0.0589872987716826</v>
      </c>
      <c r="Q1045">
        <v>0.0198056841803814</v>
      </c>
      <c r="R1045">
        <v>0.98986632203771</v>
      </c>
      <c r="S1045" t="s">
        <v>3238</v>
      </c>
      <c r="T1045" t="s">
        <v>4362</v>
      </c>
      <c r="U1045" t="s">
        <v>4362</v>
      </c>
      <c r="V1045" t="s">
        <v>4362</v>
      </c>
      <c r="W1045" t="s">
        <v>5404</v>
      </c>
      <c r="X1045">
        <v>7</v>
      </c>
      <c r="Y1045" t="s">
        <v>7566</v>
      </c>
      <c r="Z1045" t="s">
        <v>9733</v>
      </c>
      <c r="AA1045">
        <v>0.6438269115099803</v>
      </c>
      <c r="AB1045">
        <f>HYPERLINK("Melting_Curves/meltCurve_P0AGG2_tesB.pdf", "Melting_Curves/meltCurve_P0AGG2_tesB.pdf")</f>
        <v>0</v>
      </c>
    </row>
    <row r="1046" spans="1:28">
      <c r="A1046" t="s">
        <v>1072</v>
      </c>
      <c r="B1046">
        <v>0.999739202189716</v>
      </c>
      <c r="C1046">
        <v>0.957466839464109</v>
      </c>
      <c r="D1046">
        <v>0.981488034250778</v>
      </c>
      <c r="E1046">
        <v>0.981894897531434</v>
      </c>
      <c r="F1046">
        <v>0.841135753832233</v>
      </c>
      <c r="G1046">
        <v>0.750223846377752</v>
      </c>
      <c r="H1046">
        <v>0.539636441458891</v>
      </c>
      <c r="I1046">
        <v>0.498082101475268</v>
      </c>
      <c r="J1046">
        <v>0.33942540813597</v>
      </c>
      <c r="K1046">
        <v>0.481812049232403</v>
      </c>
      <c r="L1046">
        <v>930.126084958542</v>
      </c>
      <c r="M1046">
        <v>17.1707010956746</v>
      </c>
      <c r="N1046">
        <v>59.482758160655</v>
      </c>
      <c r="O1046">
        <v>53.4506285054635</v>
      </c>
      <c r="P1046">
        <v>-0.0488205560269391</v>
      </c>
      <c r="Q1046">
        <v>0.392142349074889</v>
      </c>
      <c r="R1046">
        <v>0.966559235362449</v>
      </c>
      <c r="S1046" t="s">
        <v>3239</v>
      </c>
      <c r="T1046" t="s">
        <v>4362</v>
      </c>
      <c r="U1046" t="s">
        <v>4362</v>
      </c>
      <c r="V1046" t="s">
        <v>4362</v>
      </c>
      <c r="W1046" t="s">
        <v>5405</v>
      </c>
      <c r="X1046">
        <v>4</v>
      </c>
      <c r="Y1046" t="s">
        <v>7567</v>
      </c>
      <c r="Z1046" t="s">
        <v>9734</v>
      </c>
      <c r="AA1046">
        <v>0.7486631522930061</v>
      </c>
      <c r="AB1046">
        <f>HYPERLINK("Melting_Curves/meltCurve_P0AGG4_trxC.pdf", "Melting_Curves/meltCurve_P0AGG4_trxC.pdf")</f>
        <v>0</v>
      </c>
    </row>
    <row r="1047" spans="1:28">
      <c r="A1047" t="s">
        <v>1073</v>
      </c>
      <c r="B1047">
        <v>0.999739202189716</v>
      </c>
      <c r="C1047">
        <v>1.06326573860989</v>
      </c>
      <c r="D1047">
        <v>0.991069298572696</v>
      </c>
      <c r="E1047">
        <v>0.892448404948413</v>
      </c>
      <c r="F1047">
        <v>0.869355843354768</v>
      </c>
      <c r="G1047">
        <v>0.796074324472788</v>
      </c>
      <c r="H1047">
        <v>0.647451834328265</v>
      </c>
      <c r="I1047">
        <v>0.558288485038183</v>
      </c>
      <c r="J1047">
        <v>0.363041846219712</v>
      </c>
      <c r="K1047">
        <v>0.164611435514879</v>
      </c>
      <c r="L1047">
        <v>671.413070182379</v>
      </c>
      <c r="M1047">
        <v>11.093739553465</v>
      </c>
      <c r="N1047">
        <v>60.5217985429586</v>
      </c>
      <c r="O1047">
        <v>58.6550491757291</v>
      </c>
      <c r="P1047">
        <v>-0.0472992480921445</v>
      </c>
      <c r="Q1047">
        <v>0</v>
      </c>
      <c r="R1047">
        <v>0.96737503766485</v>
      </c>
      <c r="S1047" t="s">
        <v>3240</v>
      </c>
      <c r="T1047" t="s">
        <v>4362</v>
      </c>
      <c r="U1047" t="s">
        <v>4362</v>
      </c>
      <c r="V1047" t="s">
        <v>4362</v>
      </c>
      <c r="W1047" t="s">
        <v>5406</v>
      </c>
      <c r="X1047">
        <v>8</v>
      </c>
      <c r="Y1047" t="s">
        <v>7568</v>
      </c>
      <c r="Z1047" t="s">
        <v>9735</v>
      </c>
      <c r="AA1047">
        <v>0.7585458238925041</v>
      </c>
      <c r="AB1047">
        <f>HYPERLINK("Melting_Curves/meltCurve_P0AGG8_tldD.pdf", "Melting_Curves/meltCurve_P0AGG8_tldD.pdf")</f>
        <v>0</v>
      </c>
    </row>
    <row r="1048" spans="1:28">
      <c r="A1048" t="s">
        <v>1074</v>
      </c>
      <c r="B1048">
        <v>0.999739202189716</v>
      </c>
      <c r="C1048">
        <v>1.05709262874383</v>
      </c>
      <c r="D1048">
        <v>0.943674460801371</v>
      </c>
      <c r="E1048">
        <v>0.7414228727083561</v>
      </c>
      <c r="F1048">
        <v>0.6046055107921831</v>
      </c>
      <c r="G1048">
        <v>0.503185332428297</v>
      </c>
      <c r="H1048">
        <v>0.375097023082354</v>
      </c>
      <c r="I1048">
        <v>0.214104955710766</v>
      </c>
      <c r="J1048">
        <v>0.120032758090635</v>
      </c>
      <c r="K1048">
        <v>0.0655347550469068</v>
      </c>
      <c r="L1048">
        <v>540.176331696534</v>
      </c>
      <c r="M1048">
        <v>10.1706268658211</v>
      </c>
      <c r="N1048">
        <v>53.1114313741407</v>
      </c>
      <c r="O1048">
        <v>51.1808932282203</v>
      </c>
      <c r="P1048">
        <v>-0.0497024523312115</v>
      </c>
      <c r="Q1048">
        <v>0</v>
      </c>
      <c r="R1048">
        <v>0.982101284512374</v>
      </c>
      <c r="S1048" t="s">
        <v>3241</v>
      </c>
      <c r="T1048" t="s">
        <v>4362</v>
      </c>
      <c r="U1048" t="s">
        <v>4362</v>
      </c>
      <c r="V1048" t="s">
        <v>4362</v>
      </c>
      <c r="W1048" t="s">
        <v>5407</v>
      </c>
      <c r="X1048">
        <v>3</v>
      </c>
      <c r="Y1048" t="s">
        <v>7569</v>
      </c>
      <c r="Z1048" t="s">
        <v>9736</v>
      </c>
      <c r="AA1048">
        <v>0.55889234353914</v>
      </c>
      <c r="AB1048">
        <f>HYPERLINK("Melting_Curves/meltCurve_P0AGI1_rbsC.pdf", "Melting_Curves/meltCurve_P0AGI1_rbsC.pdf")</f>
        <v>0</v>
      </c>
    </row>
    <row r="1049" spans="1:28">
      <c r="A1049" t="s">
        <v>1075</v>
      </c>
      <c r="B1049">
        <v>0.999739202189716</v>
      </c>
      <c r="C1049">
        <v>1.24258807132054</v>
      </c>
      <c r="D1049">
        <v>0.452724209971616</v>
      </c>
      <c r="E1049">
        <v>0.45120612378433</v>
      </c>
      <c r="F1049">
        <v>0.198049134675083</v>
      </c>
      <c r="G1049">
        <v>0.180324892204965</v>
      </c>
      <c r="H1049">
        <v>0.110968304771746</v>
      </c>
      <c r="I1049">
        <v>0.090696312393879</v>
      </c>
      <c r="J1049">
        <v>0.0661777965612271</v>
      </c>
      <c r="K1049">
        <v>0.0631568206101278</v>
      </c>
      <c r="L1049">
        <v>939.101470251573</v>
      </c>
      <c r="M1049">
        <v>21.2506047288398</v>
      </c>
      <c r="N1049">
        <v>44.7049177385817</v>
      </c>
      <c r="O1049">
        <v>43.8060193341982</v>
      </c>
      <c r="P1049">
        <v>-0.108153719982925</v>
      </c>
      <c r="Q1049">
        <v>0.108230436859188</v>
      </c>
      <c r="R1049">
        <v>0.884839869483704</v>
      </c>
      <c r="S1049" t="s">
        <v>3242</v>
      </c>
      <c r="T1049" t="s">
        <v>4362</v>
      </c>
      <c r="U1049" t="s">
        <v>4362</v>
      </c>
      <c r="V1049" t="s">
        <v>4362</v>
      </c>
      <c r="W1049" t="s">
        <v>5408</v>
      </c>
      <c r="X1049">
        <v>3</v>
      </c>
      <c r="Y1049" t="s">
        <v>7570</v>
      </c>
      <c r="Z1049" t="s">
        <v>9737</v>
      </c>
      <c r="AA1049">
        <v>0.3324164818099943</v>
      </c>
      <c r="AB1049">
        <f>HYPERLINK("Melting_Curves/meltCurve_P0AGI8_trkA.pdf", "Melting_Curves/meltCurve_P0AGI8_trkA.pdf")</f>
        <v>0</v>
      </c>
    </row>
    <row r="1050" spans="1:28">
      <c r="A1050" t="s">
        <v>1076</v>
      </c>
      <c r="B1050">
        <v>0.999739202189716</v>
      </c>
      <c r="C1050">
        <v>0.609620211151894</v>
      </c>
      <c r="D1050">
        <v>0.237120365012011</v>
      </c>
      <c r="E1050">
        <v>0.135559668293622</v>
      </c>
      <c r="F1050">
        <v>0.0777183021597149</v>
      </c>
      <c r="G1050">
        <v>0.0593053359748903</v>
      </c>
      <c r="H1050">
        <v>0.0562242587348434</v>
      </c>
      <c r="I1050">
        <v>0.0309903900540528</v>
      </c>
      <c r="J1050">
        <v>0.0317066212518135</v>
      </c>
      <c r="K1050">
        <v>0.0297829181756618</v>
      </c>
      <c r="L1050">
        <v>1083.64956213932</v>
      </c>
      <c r="M1050">
        <v>26.6786882467618</v>
      </c>
      <c r="N1050">
        <v>40.7947994625173</v>
      </c>
      <c r="O1050">
        <v>40.3923955983131</v>
      </c>
      <c r="P1050">
        <v>-0.156135567641</v>
      </c>
      <c r="Q1050">
        <v>0.0544328041246472</v>
      </c>
      <c r="R1050">
        <v>0.989761256817177</v>
      </c>
      <c r="S1050" t="s">
        <v>3243</v>
      </c>
      <c r="T1050" t="s">
        <v>4362</v>
      </c>
      <c r="U1050" t="s">
        <v>4362</v>
      </c>
      <c r="V1050" t="s">
        <v>4362</v>
      </c>
      <c r="W1050" t="s">
        <v>5409</v>
      </c>
      <c r="X1050">
        <v>2</v>
      </c>
      <c r="Y1050" t="s">
        <v>7571</v>
      </c>
      <c r="Z1050" t="s">
        <v>9738</v>
      </c>
      <c r="AA1050">
        <v>0.1771684128293386</v>
      </c>
      <c r="AB1050">
        <f>HYPERLINK("Melting_Curves/meltCurve_P0AGJ2_trmH.pdf", "Melting_Curves/meltCurve_P0AGJ2_trmH.pdf")</f>
        <v>0</v>
      </c>
    </row>
    <row r="1051" spans="1:28">
      <c r="A1051" t="s">
        <v>1077</v>
      </c>
      <c r="B1051">
        <v>0.999739202189716</v>
      </c>
      <c r="C1051">
        <v>1.10004522441612</v>
      </c>
      <c r="D1051">
        <v>0.893987825179143</v>
      </c>
      <c r="E1051">
        <v>0.980622637564986</v>
      </c>
      <c r="F1051">
        <v>0.358202181667249</v>
      </c>
      <c r="G1051">
        <v>0.205446899330621</v>
      </c>
      <c r="H1051">
        <v>0.154282301277595</v>
      </c>
      <c r="I1051">
        <v>0.126311661819326</v>
      </c>
      <c r="J1051">
        <v>0.104039621268324</v>
      </c>
      <c r="K1051">
        <v>0.081931243077868</v>
      </c>
      <c r="L1051">
        <v>2696.53211091372</v>
      </c>
      <c r="M1051">
        <v>54.7188655860237</v>
      </c>
      <c r="N1051">
        <v>49.5564760415536</v>
      </c>
      <c r="O1051">
        <v>49.2140598949101</v>
      </c>
      <c r="P1051">
        <v>-0.241372208031455</v>
      </c>
      <c r="Q1051">
        <v>0.131641348350748</v>
      </c>
      <c r="R1051">
        <v>0.982582734692749</v>
      </c>
      <c r="S1051" t="s">
        <v>3244</v>
      </c>
      <c r="T1051" t="s">
        <v>4362</v>
      </c>
      <c r="U1051" t="s">
        <v>4362</v>
      </c>
      <c r="V1051" t="s">
        <v>4362</v>
      </c>
      <c r="W1051" t="s">
        <v>5410</v>
      </c>
      <c r="X1051">
        <v>7</v>
      </c>
      <c r="Y1051" t="s">
        <v>7572</v>
      </c>
      <c r="Z1051" t="s">
        <v>9739</v>
      </c>
      <c r="AA1051">
        <v>0.4886568818266918</v>
      </c>
      <c r="AB1051">
        <f>HYPERLINK("Melting_Curves/meltCurve_P0AGJ5_yfiF.pdf", "Melting_Curves/meltCurve_P0AGJ5_yfiF.pdf")</f>
        <v>0</v>
      </c>
    </row>
    <row r="1052" spans="1:28">
      <c r="A1052" t="s">
        <v>1078</v>
      </c>
      <c r="B1052">
        <v>0.999739202189716</v>
      </c>
      <c r="C1052">
        <v>1.03634539444669</v>
      </c>
      <c r="D1052">
        <v>0.785971140278956</v>
      </c>
      <c r="E1052">
        <v>0.839848497182521</v>
      </c>
      <c r="F1052">
        <v>0.507956222005439</v>
      </c>
      <c r="G1052">
        <v>0.263609069226776</v>
      </c>
      <c r="H1052">
        <v>0.190512742724448</v>
      </c>
      <c r="I1052">
        <v>0.155433493158237</v>
      </c>
      <c r="J1052">
        <v>0.143670074047346</v>
      </c>
      <c r="K1052">
        <v>0.121917039612422</v>
      </c>
      <c r="L1052">
        <v>805.704541146241</v>
      </c>
      <c r="M1052">
        <v>16.2675985893074</v>
      </c>
      <c r="N1052">
        <v>50.2818547004264</v>
      </c>
      <c r="O1052">
        <v>48.797886505304</v>
      </c>
      <c r="P1052">
        <v>-0.0743303477631943</v>
      </c>
      <c r="Q1052">
        <v>0.108191189121423</v>
      </c>
      <c r="R1052">
        <v>0.975582590723832</v>
      </c>
      <c r="S1052" t="s">
        <v>3245</v>
      </c>
      <c r="T1052" t="s">
        <v>4362</v>
      </c>
      <c r="U1052" t="s">
        <v>4362</v>
      </c>
      <c r="V1052" t="s">
        <v>4362</v>
      </c>
      <c r="W1052" t="s">
        <v>5411</v>
      </c>
      <c r="X1052">
        <v>4</v>
      </c>
      <c r="Y1052" t="s">
        <v>7573</v>
      </c>
      <c r="Z1052" t="s">
        <v>9740</v>
      </c>
      <c r="AA1052">
        <v>0.4972934479369935</v>
      </c>
      <c r="AB1052">
        <f>HYPERLINK("Melting_Curves/meltCurve_P0AGJ7_trmL.pdf", "Melting_Curves/meltCurve_P0AGJ7_trmL.pdf")</f>
        <v>0</v>
      </c>
    </row>
    <row r="1053" spans="1:28">
      <c r="A1053" t="s">
        <v>1079</v>
      </c>
      <c r="B1053">
        <v>0.999739202189716</v>
      </c>
      <c r="C1053">
        <v>0.942622219967751</v>
      </c>
      <c r="D1053">
        <v>0.674784079921287</v>
      </c>
      <c r="E1053">
        <v>0.351086441758127</v>
      </c>
      <c r="F1053">
        <v>0.151983955404207</v>
      </c>
      <c r="G1053">
        <v>0.093670424362573</v>
      </c>
      <c r="H1053">
        <v>0.0805981228244546</v>
      </c>
      <c r="I1053">
        <v>0.0607519942598642</v>
      </c>
      <c r="J1053">
        <v>0.0551464083692666</v>
      </c>
      <c r="K1053">
        <v>0.054877970286089</v>
      </c>
      <c r="L1053">
        <v>884.712362342097</v>
      </c>
      <c r="M1053">
        <v>19.8365985003423</v>
      </c>
      <c r="N1053">
        <v>44.8869139934301</v>
      </c>
      <c r="O1053">
        <v>44.1541781439186</v>
      </c>
      <c r="P1053">
        <v>-0.105630936385019</v>
      </c>
      <c r="Q1053">
        <v>0.059538672964305</v>
      </c>
      <c r="R1053">
        <v>0.998753506949256</v>
      </c>
      <c r="S1053" t="s">
        <v>3246</v>
      </c>
      <c r="T1053" t="s">
        <v>4362</v>
      </c>
      <c r="U1053" t="s">
        <v>4362</v>
      </c>
      <c r="V1053" t="s">
        <v>4362</v>
      </c>
      <c r="W1053" t="s">
        <v>5412</v>
      </c>
      <c r="X1053">
        <v>9</v>
      </c>
      <c r="Y1053" t="s">
        <v>7574</v>
      </c>
      <c r="Z1053" t="s">
        <v>9741</v>
      </c>
      <c r="AA1053">
        <v>0.3104322060477043</v>
      </c>
      <c r="AB1053">
        <f>HYPERLINK("Melting_Curves/meltCurve_P0AGJ9_tyrS.pdf", "Melting_Curves/meltCurve_P0AGJ9_tyrS.pdf")</f>
        <v>0</v>
      </c>
    </row>
    <row r="1054" spans="1:28">
      <c r="A1054" t="s">
        <v>1080</v>
      </c>
      <c r="B1054">
        <v>0.999739202189716</v>
      </c>
      <c r="C1054">
        <v>0.834628658696091</v>
      </c>
      <c r="D1054">
        <v>1.37321533039782</v>
      </c>
      <c r="E1054">
        <v>1.2748413007564</v>
      </c>
      <c r="F1054">
        <v>1.11714162495647</v>
      </c>
      <c r="G1054">
        <v>0.9949096338931011</v>
      </c>
      <c r="H1054">
        <v>0.61361197906559</v>
      </c>
      <c r="I1054">
        <v>0.271811374085184</v>
      </c>
      <c r="J1054">
        <v>0.104280808361391</v>
      </c>
      <c r="K1054">
        <v>0.0593198690622777</v>
      </c>
      <c r="L1054">
        <v>1951.56627811888</v>
      </c>
      <c r="M1054">
        <v>33.4882771205041</v>
      </c>
      <c r="N1054">
        <v>58.5175505075453</v>
      </c>
      <c r="O1054">
        <v>58.0694493006756</v>
      </c>
      <c r="P1054">
        <v>-0.134870836736743</v>
      </c>
      <c r="Q1054">
        <v>0.06452691654916171</v>
      </c>
      <c r="R1054">
        <v>0.873112427023539</v>
      </c>
      <c r="S1054" t="s">
        <v>3247</v>
      </c>
      <c r="T1054" t="s">
        <v>4362</v>
      </c>
      <c r="U1054" t="s">
        <v>4362</v>
      </c>
      <c r="V1054" t="s">
        <v>4362</v>
      </c>
      <c r="W1054" t="s">
        <v>5413</v>
      </c>
      <c r="X1054">
        <v>3</v>
      </c>
      <c r="Y1054" t="s">
        <v>7575</v>
      </c>
      <c r="Z1054" t="s">
        <v>9742</v>
      </c>
      <c r="AA1054">
        <v>0.7323854415307841</v>
      </c>
      <c r="AB1054">
        <f>HYPERLINK("Melting_Curves/meltCurve_P0AGK4_yhbY.pdf", "Melting_Curves/meltCurve_P0AGK4_yhbY.pdf")</f>
        <v>0</v>
      </c>
    </row>
    <row r="1055" spans="1:28">
      <c r="A1055" t="s">
        <v>1081</v>
      </c>
      <c r="B1055">
        <v>0.999739202189716</v>
      </c>
      <c r="C1055">
        <v>0.916453816712514</v>
      </c>
      <c r="D1055">
        <v>0.872267141953663</v>
      </c>
      <c r="E1055">
        <v>0.815836322931484</v>
      </c>
      <c r="F1055">
        <v>0.725108752374918</v>
      </c>
      <c r="G1055">
        <v>0.521938985600537</v>
      </c>
      <c r="H1055">
        <v>0.378279772240725</v>
      </c>
      <c r="I1055">
        <v>0.275085533997939</v>
      </c>
      <c r="J1055">
        <v>0.251704683673472</v>
      </c>
      <c r="K1055">
        <v>0.217912002865727</v>
      </c>
      <c r="L1055">
        <v>477.369751346032</v>
      </c>
      <c r="M1055">
        <v>8.88224721805086</v>
      </c>
      <c r="N1055">
        <v>54.5433952958017</v>
      </c>
      <c r="O1055">
        <v>51.229307428067</v>
      </c>
      <c r="P1055">
        <v>-0.0407319525092063</v>
      </c>
      <c r="Q1055">
        <v>0.0610128803587234</v>
      </c>
      <c r="R1055">
        <v>0.990409416294886</v>
      </c>
      <c r="S1055" t="s">
        <v>3248</v>
      </c>
      <c r="T1055" t="s">
        <v>4362</v>
      </c>
      <c r="U1055" t="s">
        <v>4362</v>
      </c>
      <c r="V1055" t="s">
        <v>4362</v>
      </c>
      <c r="W1055" t="s">
        <v>5414</v>
      </c>
      <c r="X1055">
        <v>2</v>
      </c>
      <c r="Y1055" t="s">
        <v>7576</v>
      </c>
      <c r="Z1055" t="s">
        <v>9743</v>
      </c>
      <c r="AA1055">
        <v>0.6019713052882293</v>
      </c>
      <c r="AB1055">
        <f>HYPERLINK("Melting_Curves/meltCurve_P0AGK8_iscR.pdf", "Melting_Curves/meltCurve_P0AGK8_iscR.pdf")</f>
        <v>0</v>
      </c>
    </row>
    <row r="1056" spans="1:28">
      <c r="A1056" t="s">
        <v>1082</v>
      </c>
      <c r="B1056">
        <v>0.999739202189716</v>
      </c>
      <c r="C1056">
        <v>1.05490757587772</v>
      </c>
      <c r="D1056">
        <v>0.797052597460904</v>
      </c>
      <c r="E1056">
        <v>0.9345138301111769</v>
      </c>
      <c r="F1056">
        <v>0.89740262502306</v>
      </c>
      <c r="G1056">
        <v>0.724233317998754</v>
      </c>
      <c r="H1056">
        <v>0.62941288980296</v>
      </c>
      <c r="I1056">
        <v>0.574686290707159</v>
      </c>
      <c r="J1056">
        <v>0.420738133911734</v>
      </c>
      <c r="K1056">
        <v>0.340117985016255</v>
      </c>
      <c r="L1056">
        <v>450.859991166261</v>
      </c>
      <c r="M1056">
        <v>7.28914926871095</v>
      </c>
      <c r="N1056">
        <v>61.8535811387729</v>
      </c>
      <c r="O1056">
        <v>57.7080386493249</v>
      </c>
      <c r="P1056">
        <v>-0.0316281513282287</v>
      </c>
      <c r="Q1056">
        <v>0</v>
      </c>
      <c r="R1056">
        <v>0.926703467054585</v>
      </c>
      <c r="S1056" t="s">
        <v>3249</v>
      </c>
      <c r="T1056" t="s">
        <v>4362</v>
      </c>
      <c r="U1056" t="s">
        <v>4362</v>
      </c>
      <c r="V1056" t="s">
        <v>4362</v>
      </c>
      <c r="W1056" t="s">
        <v>5415</v>
      </c>
      <c r="X1056">
        <v>3</v>
      </c>
      <c r="Y1056" t="s">
        <v>7577</v>
      </c>
      <c r="Z1056" t="s">
        <v>9744</v>
      </c>
      <c r="AA1056">
        <v>0.7517177775140306</v>
      </c>
      <c r="AB1056">
        <f>HYPERLINK("Melting_Curves/meltCurve_P0AGL2_tdcF.pdf", "Melting_Curves/meltCurve_P0AGL2_tdcF.pdf")</f>
        <v>0</v>
      </c>
    </row>
    <row r="1057" spans="1:28">
      <c r="A1057" t="s">
        <v>1083</v>
      </c>
      <c r="B1057">
        <v>0.999739202189716</v>
      </c>
      <c r="C1057">
        <v>0.7146887804098579</v>
      </c>
      <c r="D1057">
        <v>0.753355636812668</v>
      </c>
      <c r="E1057">
        <v>0.636548001640163</v>
      </c>
      <c r="F1057">
        <v>0.437676682627725</v>
      </c>
      <c r="G1057">
        <v>0.233150744797489</v>
      </c>
      <c r="H1057">
        <v>0.20764388646882</v>
      </c>
      <c r="I1057">
        <v>0.15974250747248</v>
      </c>
      <c r="J1057">
        <v>0.153673849926175</v>
      </c>
      <c r="K1057">
        <v>0.125636861521485</v>
      </c>
      <c r="L1057">
        <v>407.553341953154</v>
      </c>
      <c r="M1057">
        <v>8.530946232462339</v>
      </c>
      <c r="N1057">
        <v>48.1718062879416</v>
      </c>
      <c r="O1057">
        <v>45.3654855509342</v>
      </c>
      <c r="P1057">
        <v>-0.0454518190338934</v>
      </c>
      <c r="Q1057">
        <v>0.034051943083322</v>
      </c>
      <c r="R1057">
        <v>0.960771311442838</v>
      </c>
      <c r="S1057" t="s">
        <v>3250</v>
      </c>
      <c r="T1057" t="s">
        <v>4362</v>
      </c>
      <c r="U1057" t="s">
        <v>4362</v>
      </c>
      <c r="V1057" t="s">
        <v>4362</v>
      </c>
      <c r="W1057" t="s">
        <v>5416</v>
      </c>
      <c r="X1057">
        <v>3</v>
      </c>
      <c r="Y1057" t="s">
        <v>7578</v>
      </c>
      <c r="Z1057" t="s">
        <v>9745</v>
      </c>
      <c r="AA1057">
        <v>0.4287800302703869</v>
      </c>
      <c r="AB1057">
        <f>HYPERLINK("Melting_Curves/meltCurve_P0AGL5_ratA.pdf", "Melting_Curves/meltCurve_P0AGL5_ratA.pdf")</f>
        <v>0</v>
      </c>
    </row>
    <row r="1058" spans="1:28">
      <c r="A1058" t="s">
        <v>1084</v>
      </c>
      <c r="B1058">
        <v>0.999739202189716</v>
      </c>
      <c r="C1058">
        <v>0.919035663861189</v>
      </c>
      <c r="D1058">
        <v>0.916961452051363</v>
      </c>
      <c r="E1058">
        <v>0.8781876576077829</v>
      </c>
      <c r="F1058">
        <v>0.506179558767325</v>
      </c>
      <c r="G1058">
        <v>0.196615775023345</v>
      </c>
      <c r="H1058">
        <v>0.16183245882084</v>
      </c>
      <c r="I1058">
        <v>0.099566191509448</v>
      </c>
      <c r="J1058">
        <v>0.0921440678614649</v>
      </c>
      <c r="K1058">
        <v>0.0669132737867591</v>
      </c>
      <c r="L1058">
        <v>1184.20978338612</v>
      </c>
      <c r="M1058">
        <v>23.7513168987461</v>
      </c>
      <c r="N1058">
        <v>50.2559793939759</v>
      </c>
      <c r="O1058">
        <v>49.5092937808971</v>
      </c>
      <c r="P1058">
        <v>-0.109670088106757</v>
      </c>
      <c r="Q1058">
        <v>0.0855919251143883</v>
      </c>
      <c r="R1058">
        <v>0.990960806186526</v>
      </c>
      <c r="S1058" t="s">
        <v>3251</v>
      </c>
      <c r="T1058" t="s">
        <v>4362</v>
      </c>
      <c r="U1058" t="s">
        <v>4362</v>
      </c>
      <c r="V1058" t="s">
        <v>4362</v>
      </c>
      <c r="W1058" t="s">
        <v>5417</v>
      </c>
      <c r="X1058">
        <v>4</v>
      </c>
      <c r="Y1058" t="s">
        <v>7579</v>
      </c>
      <c r="Z1058" t="s">
        <v>9746</v>
      </c>
      <c r="AA1058">
        <v>0.4863286300369163</v>
      </c>
      <c r="AB1058">
        <f>HYPERLINK("Melting_Curves/meltCurve_P0AGL7_rsmE.pdf", "Melting_Curves/meltCurve_P0AGL7_rsmE.pdf")</f>
        <v>0</v>
      </c>
    </row>
    <row r="1059" spans="1:28">
      <c r="A1059" t="s">
        <v>1085</v>
      </c>
      <c r="B1059">
        <v>0.999739202189716</v>
      </c>
      <c r="C1059">
        <v>1.03504354013454</v>
      </c>
      <c r="D1059">
        <v>0.772584680240461</v>
      </c>
      <c r="E1059">
        <v>0.78636551383221</v>
      </c>
      <c r="F1059">
        <v>0.405690152719563</v>
      </c>
      <c r="G1059">
        <v>0.320611772246346</v>
      </c>
      <c r="H1059">
        <v>0.248443707487806</v>
      </c>
      <c r="I1059">
        <v>0.186786758988757</v>
      </c>
      <c r="J1059">
        <v>0.161820400081393</v>
      </c>
      <c r="K1059">
        <v>0.214045805404118</v>
      </c>
      <c r="L1059">
        <v>740.675166234304</v>
      </c>
      <c r="M1059">
        <v>15.363843606813</v>
      </c>
      <c r="N1059">
        <v>49.5465696929471</v>
      </c>
      <c r="O1059">
        <v>47.414387773471</v>
      </c>
      <c r="P1059">
        <v>-0.0672631542531834</v>
      </c>
      <c r="Q1059">
        <v>0.169752567081395</v>
      </c>
      <c r="R1059">
        <v>0.970332415627192</v>
      </c>
      <c r="S1059" t="s">
        <v>3252</v>
      </c>
      <c r="T1059" t="s">
        <v>4362</v>
      </c>
      <c r="U1059" t="s">
        <v>4362</v>
      </c>
      <c r="V1059" t="s">
        <v>4362</v>
      </c>
      <c r="W1059" t="s">
        <v>5418</v>
      </c>
      <c r="X1059">
        <v>7</v>
      </c>
      <c r="Y1059" t="s">
        <v>7580</v>
      </c>
      <c r="Z1059" t="s">
        <v>9747</v>
      </c>
      <c r="AA1059">
        <v>0.4974465781351912</v>
      </c>
      <c r="AB1059">
        <f>HYPERLINK("Melting_Curves/meltCurve_P0C018_rplR.pdf", "Melting_Curves/meltCurve_P0C018_rplR.pdf")</f>
        <v>0</v>
      </c>
    </row>
    <row r="1060" spans="1:28">
      <c r="A1060" t="s">
        <v>1086</v>
      </c>
      <c r="B1060">
        <v>0.999739202189716</v>
      </c>
      <c r="C1060">
        <v>0.949370269073136</v>
      </c>
      <c r="D1060">
        <v>1.29880197062947</v>
      </c>
      <c r="E1060">
        <v>1.27660282963661</v>
      </c>
      <c r="F1060">
        <v>0.995716211457833</v>
      </c>
      <c r="G1060">
        <v>0.7254205051802221</v>
      </c>
      <c r="H1060">
        <v>0.388183399993171</v>
      </c>
      <c r="I1060">
        <v>0.378122629682149</v>
      </c>
      <c r="J1060">
        <v>0.310243674243965</v>
      </c>
      <c r="K1060">
        <v>0.453563153827007</v>
      </c>
      <c r="L1060">
        <v>3966.763254917</v>
      </c>
      <c r="M1060">
        <v>73.5040531274711</v>
      </c>
      <c r="N1060">
        <v>55.0390441984427</v>
      </c>
      <c r="O1060">
        <v>53.9266874381835</v>
      </c>
      <c r="P1060">
        <v>-0.2110623038247</v>
      </c>
      <c r="Q1060">
        <v>0.380611638691505</v>
      </c>
      <c r="R1060">
        <v>0.86091924843917</v>
      </c>
      <c r="S1060" t="s">
        <v>3253</v>
      </c>
      <c r="T1060" t="s">
        <v>4362</v>
      </c>
      <c r="U1060" t="s">
        <v>4362</v>
      </c>
      <c r="V1060" t="s">
        <v>4362</v>
      </c>
      <c r="W1060" t="s">
        <v>5419</v>
      </c>
      <c r="X1060">
        <v>2</v>
      </c>
      <c r="Y1060" t="s">
        <v>7581</v>
      </c>
      <c r="Z1060" t="s">
        <v>9748</v>
      </c>
      <c r="AA1060">
        <v>0.7315888164347385</v>
      </c>
      <c r="AB1060">
        <f>HYPERLINK("Melting_Curves/meltCurve_P0C037_yaiE.pdf", "Melting_Curves/meltCurve_P0C037_yaiE.pdf")</f>
        <v>0</v>
      </c>
    </row>
    <row r="1061" spans="1:28">
      <c r="A1061" t="s">
        <v>1087</v>
      </c>
      <c r="B1061">
        <v>0.999739202189716</v>
      </c>
      <c r="C1061">
        <v>1.1150894206587</v>
      </c>
      <c r="D1061">
        <v>0.977755978927802</v>
      </c>
      <c r="E1061">
        <v>1.06245542778052</v>
      </c>
      <c r="F1061">
        <v>0.903530699231288</v>
      </c>
      <c r="G1061">
        <v>0.7438865624675149</v>
      </c>
      <c r="H1061">
        <v>0.726829246014229</v>
      </c>
      <c r="I1061">
        <v>0.565807087327947</v>
      </c>
      <c r="J1061">
        <v>0.531667019130075</v>
      </c>
      <c r="K1061">
        <v>0.470036694451257</v>
      </c>
      <c r="L1061">
        <v>815.802585270795</v>
      </c>
      <c r="M1061">
        <v>14.5273948479921</v>
      </c>
      <c r="N1061">
        <v>65.66487526872881</v>
      </c>
      <c r="O1061">
        <v>55.1242517676719</v>
      </c>
      <c r="P1061">
        <v>-0.036965863518263</v>
      </c>
      <c r="Q1061">
        <v>0.438995842978506</v>
      </c>
      <c r="R1061">
        <v>0.941255316695639</v>
      </c>
      <c r="S1061" t="s">
        <v>3254</v>
      </c>
      <c r="T1061" t="s">
        <v>4362</v>
      </c>
      <c r="U1061" t="s">
        <v>4362</v>
      </c>
      <c r="V1061" t="s">
        <v>4362</v>
      </c>
      <c r="W1061" t="s">
        <v>5420</v>
      </c>
      <c r="X1061">
        <v>3</v>
      </c>
      <c r="Y1061" t="s">
        <v>7582</v>
      </c>
      <c r="Z1061" t="s">
        <v>9749</v>
      </c>
      <c r="AA1061">
        <v>0.8033302138214575</v>
      </c>
      <c r="AB1061">
        <f>HYPERLINK("Melting_Curves/meltCurve_P0C054_ibpA.pdf", "Melting_Curves/meltCurve_P0C054_ibpA.pdf")</f>
        <v>0</v>
      </c>
    </row>
    <row r="1062" spans="1:28">
      <c r="A1062" t="s">
        <v>1088</v>
      </c>
      <c r="B1062">
        <v>0.999739202189716</v>
      </c>
      <c r="C1062">
        <v>1.02448391685381</v>
      </c>
      <c r="D1062">
        <v>1.02467424864157</v>
      </c>
      <c r="E1062">
        <v>0.997453576687544</v>
      </c>
      <c r="F1062">
        <v>0.806748888895221</v>
      </c>
      <c r="G1062">
        <v>0.504179118323083</v>
      </c>
      <c r="H1062">
        <v>0.360489543822093</v>
      </c>
      <c r="I1062">
        <v>0.223822814010849</v>
      </c>
      <c r="J1062">
        <v>0.166562049154888</v>
      </c>
      <c r="K1062">
        <v>0.0971415454782254</v>
      </c>
      <c r="L1062">
        <v>976.56309089256</v>
      </c>
      <c r="M1062">
        <v>18.1782915241521</v>
      </c>
      <c r="N1062">
        <v>54.4803292928538</v>
      </c>
      <c r="O1062">
        <v>53.0839307192043</v>
      </c>
      <c r="P1062">
        <v>-0.07603859386506411</v>
      </c>
      <c r="Q1062">
        <v>0.111855835872583</v>
      </c>
      <c r="R1062">
        <v>0.99282191693452</v>
      </c>
      <c r="S1062" t="s">
        <v>3255</v>
      </c>
      <c r="T1062" t="s">
        <v>4362</v>
      </c>
      <c r="U1062" t="s">
        <v>4362</v>
      </c>
      <c r="V1062" t="s">
        <v>4362</v>
      </c>
      <c r="W1062" t="s">
        <v>5421</v>
      </c>
      <c r="X1062">
        <v>6</v>
      </c>
      <c r="Y1062" t="s">
        <v>7583</v>
      </c>
      <c r="Z1062" t="s">
        <v>9750</v>
      </c>
      <c r="AA1062">
        <v>0.6191580209550958</v>
      </c>
      <c r="AB1062">
        <f>HYPERLINK("Melting_Curves/meltCurve_P0C077_relE.pdf", "Melting_Curves/meltCurve_P0C077_relE.pdf")</f>
        <v>0</v>
      </c>
    </row>
    <row r="1063" spans="1:28">
      <c r="A1063" t="s">
        <v>1089</v>
      </c>
      <c r="B1063">
        <v>0.999739202189716</v>
      </c>
      <c r="C1063">
        <v>1.23414348252512</v>
      </c>
      <c r="D1063">
        <v>0.637335650297984</v>
      </c>
      <c r="E1063">
        <v>0.969953480035199</v>
      </c>
      <c r="F1063">
        <v>0.769404403471838</v>
      </c>
      <c r="G1063">
        <v>0.58532359149785</v>
      </c>
      <c r="H1063">
        <v>0.533056445755721</v>
      </c>
      <c r="I1063">
        <v>0.516666281421806</v>
      </c>
      <c r="J1063">
        <v>0.418964870947229</v>
      </c>
      <c r="K1063">
        <v>0.514374595630122</v>
      </c>
      <c r="L1063">
        <v>613.295177415401</v>
      </c>
      <c r="M1063">
        <v>12.06591296781</v>
      </c>
      <c r="N1063">
        <v>60.8757618770708</v>
      </c>
      <c r="O1063">
        <v>49.4929716987043</v>
      </c>
      <c r="P1063">
        <v>-0.0346418894668032</v>
      </c>
      <c r="Q1063">
        <v>0.431746101813009</v>
      </c>
      <c r="R1063">
        <v>0.719665518509928</v>
      </c>
      <c r="S1063" t="s">
        <v>3256</v>
      </c>
      <c r="T1063" t="s">
        <v>4362</v>
      </c>
      <c r="U1063" t="s">
        <v>4362</v>
      </c>
      <c r="V1063" t="s">
        <v>4362</v>
      </c>
      <c r="W1063" t="s">
        <v>5422</v>
      </c>
      <c r="X1063">
        <v>2</v>
      </c>
      <c r="Y1063" t="s">
        <v>7584</v>
      </c>
      <c r="Z1063" t="s">
        <v>9751</v>
      </c>
      <c r="AA1063">
        <v>0.7085985600287853</v>
      </c>
      <c r="AB1063">
        <f>HYPERLINK("Melting_Curves/meltCurve_P0C079_relB.pdf", "Melting_Curves/meltCurve_P0C079_relB.pdf")</f>
        <v>0</v>
      </c>
    </row>
    <row r="1064" spans="1:28">
      <c r="A1064" t="s">
        <v>1090</v>
      </c>
      <c r="B1064">
        <v>0.999739202189716</v>
      </c>
      <c r="C1064">
        <v>0.726698199445677</v>
      </c>
      <c r="D1064">
        <v>0.592339299765401</v>
      </c>
      <c r="E1064">
        <v>0.334549617785095</v>
      </c>
      <c r="F1064">
        <v>0.215861552753048</v>
      </c>
      <c r="G1064">
        <v>0.144395695010475</v>
      </c>
      <c r="H1064">
        <v>0.10834815621337</v>
      </c>
      <c r="I1064">
        <v>0.087231556068271</v>
      </c>
      <c r="J1064">
        <v>0.0812079649019305</v>
      </c>
      <c r="K1064">
        <v>0.0618885653403566</v>
      </c>
      <c r="L1064">
        <v>582.433208116062</v>
      </c>
      <c r="M1064">
        <v>13.3717545007914</v>
      </c>
      <c r="N1064">
        <v>44.0429126094949</v>
      </c>
      <c r="O1064">
        <v>42.6174077699005</v>
      </c>
      <c r="P1064">
        <v>-0.0730725316522151</v>
      </c>
      <c r="Q1064">
        <v>0.068583259413546</v>
      </c>
      <c r="R1064">
        <v>0.988610854879451</v>
      </c>
      <c r="S1064" t="s">
        <v>3257</v>
      </c>
      <c r="T1064" t="s">
        <v>4362</v>
      </c>
      <c r="U1064" t="s">
        <v>4362</v>
      </c>
      <c r="V1064" t="s">
        <v>4362</v>
      </c>
      <c r="W1064" t="s">
        <v>5423</v>
      </c>
      <c r="X1064">
        <v>3</v>
      </c>
      <c r="Y1064" t="s">
        <v>7585</v>
      </c>
      <c r="Z1064" t="s">
        <v>9752</v>
      </c>
      <c r="AA1064">
        <v>0.302203320245508</v>
      </c>
      <c r="AB1064">
        <f>HYPERLINK("Melting_Curves/meltCurve_P0C093_slmA.pdf", "Melting_Curves/meltCurve_P0C093_slmA.pdf")</f>
        <v>0</v>
      </c>
    </row>
    <row r="1065" spans="1:28">
      <c r="A1065" t="s">
        <v>1091</v>
      </c>
      <c r="B1065">
        <v>0.999739202189716</v>
      </c>
      <c r="C1065">
        <v>0.6973478283244759</v>
      </c>
      <c r="D1065">
        <v>0.743951330753032</v>
      </c>
      <c r="E1065">
        <v>0.620460196778917</v>
      </c>
      <c r="F1065">
        <v>0.501131062373518</v>
      </c>
      <c r="G1065">
        <v>0.417131365019589</v>
      </c>
      <c r="H1065">
        <v>0.289540995702351</v>
      </c>
      <c r="I1065">
        <v>0.250768512800551</v>
      </c>
      <c r="J1065">
        <v>0.151769698806473</v>
      </c>
      <c r="K1065">
        <v>0.159262431123647</v>
      </c>
      <c r="L1065">
        <v>316.386121615843</v>
      </c>
      <c r="M1065">
        <v>6.35428968032332</v>
      </c>
      <c r="N1065">
        <v>49.7909497161118</v>
      </c>
      <c r="O1065">
        <v>45.5438853222378</v>
      </c>
      <c r="P1065">
        <v>-0.0349719826777754</v>
      </c>
      <c r="Q1065">
        <v>0</v>
      </c>
      <c r="R1065">
        <v>0.956376598822351</v>
      </c>
      <c r="S1065" t="s">
        <v>3258</v>
      </c>
      <c r="T1065" t="s">
        <v>4362</v>
      </c>
      <c r="U1065" t="s">
        <v>4362</v>
      </c>
      <c r="V1065" t="s">
        <v>4362</v>
      </c>
      <c r="W1065" t="s">
        <v>5424</v>
      </c>
      <c r="X1065">
        <v>1</v>
      </c>
      <c r="Y1065" t="s">
        <v>7586</v>
      </c>
      <c r="Z1065" t="s">
        <v>9753</v>
      </c>
      <c r="AA1065">
        <v>0.4749446615321622</v>
      </c>
      <c r="AB1065">
        <f>HYPERLINK("Melting_Curves/meltCurve_P0C0K3_srkA.pdf", "Melting_Curves/meltCurve_P0C0K3_srkA.pdf")</f>
        <v>0</v>
      </c>
    </row>
    <row r="1066" spans="1:28">
      <c r="A1066" t="s">
        <v>1092</v>
      </c>
      <c r="B1066">
        <v>0.999739202189716</v>
      </c>
      <c r="C1066">
        <v>0.922370402455988</v>
      </c>
      <c r="D1066">
        <v>1.02133489840867</v>
      </c>
      <c r="E1066">
        <v>1.06296114996227</v>
      </c>
      <c r="F1066">
        <v>1.10562791755562</v>
      </c>
      <c r="G1066">
        <v>0.935116370430262</v>
      </c>
      <c r="H1066">
        <v>1.02874953958833</v>
      </c>
      <c r="I1066">
        <v>0.969634660971063</v>
      </c>
      <c r="J1066">
        <v>0.947833209425662</v>
      </c>
      <c r="K1066">
        <v>0.7931303572827409</v>
      </c>
      <c r="L1066">
        <v>2112.81774447379</v>
      </c>
      <c r="M1066">
        <v>30.1842597510836</v>
      </c>
      <c r="Q1066">
        <v>0</v>
      </c>
      <c r="R1066">
        <v>0.604469658942719</v>
      </c>
      <c r="S1066" t="s">
        <v>3259</v>
      </c>
      <c r="T1066" t="s">
        <v>4362</v>
      </c>
      <c r="U1066" t="s">
        <v>4362</v>
      </c>
      <c r="V1066" t="s">
        <v>4362</v>
      </c>
      <c r="W1066" t="s">
        <v>5425</v>
      </c>
      <c r="X1066">
        <v>6</v>
      </c>
      <c r="Y1066" t="s">
        <v>7587</v>
      </c>
      <c r="Z1066" t="s">
        <v>9754</v>
      </c>
      <c r="AA1066">
        <v>0.9846806389490361</v>
      </c>
      <c r="AB1066">
        <f>HYPERLINK("Melting_Curves/meltCurve_P0C0L2_osmC.pdf", "Melting_Curves/meltCurve_P0C0L2_osmC.pdf")</f>
        <v>0</v>
      </c>
    </row>
    <row r="1067" spans="1:28">
      <c r="A1067" t="s">
        <v>1093</v>
      </c>
      <c r="B1067">
        <v>0.999739202189716</v>
      </c>
      <c r="C1067">
        <v>1.05832568132133</v>
      </c>
      <c r="D1067">
        <v>0.575540843201901</v>
      </c>
      <c r="E1067">
        <v>0.332106013593563</v>
      </c>
      <c r="F1067">
        <v>0.196903600007561</v>
      </c>
      <c r="G1067">
        <v>0.154434637795924</v>
      </c>
      <c r="H1067">
        <v>0.11337500221711</v>
      </c>
      <c r="I1067">
        <v>0.0740456371856822</v>
      </c>
      <c r="J1067">
        <v>0.0540082601296138</v>
      </c>
      <c r="K1067">
        <v>0.0359459959731749</v>
      </c>
      <c r="L1067">
        <v>958.510582616565</v>
      </c>
      <c r="M1067">
        <v>21.745102528585</v>
      </c>
      <c r="N1067">
        <v>44.4845727774963</v>
      </c>
      <c r="O1067">
        <v>43.7116707764711</v>
      </c>
      <c r="P1067">
        <v>-0.113195824636607</v>
      </c>
      <c r="Q1067">
        <v>0.0898433137672599</v>
      </c>
      <c r="R1067">
        <v>0.971212947604307</v>
      </c>
      <c r="S1067" t="s">
        <v>3260</v>
      </c>
      <c r="T1067" t="s">
        <v>4362</v>
      </c>
      <c r="U1067" t="s">
        <v>4362</v>
      </c>
      <c r="V1067" t="s">
        <v>4362</v>
      </c>
      <c r="W1067" t="s">
        <v>5426</v>
      </c>
      <c r="X1067">
        <v>3</v>
      </c>
      <c r="Y1067" t="s">
        <v>7588</v>
      </c>
      <c r="Z1067" t="s">
        <v>9755</v>
      </c>
      <c r="AA1067">
        <v>0.3147435217045774</v>
      </c>
      <c r="AB1067">
        <f>HYPERLINK("Melting_Curves/meltCurve_P0C0L7_proP.pdf", "Melting_Curves/meltCurve_P0C0L7_proP.pdf")</f>
        <v>0</v>
      </c>
    </row>
    <row r="1068" spans="1:28">
      <c r="A1068" t="s">
        <v>1094</v>
      </c>
      <c r="B1068">
        <v>0.999739202189716</v>
      </c>
      <c r="C1068">
        <v>1.08488726970397</v>
      </c>
      <c r="D1068">
        <v>1.08336700634083</v>
      </c>
      <c r="E1068">
        <v>0.9090017743402919</v>
      </c>
      <c r="F1068">
        <v>0.899409428339624</v>
      </c>
      <c r="G1068">
        <v>0.761437680706848</v>
      </c>
      <c r="H1068">
        <v>0.568095592140944</v>
      </c>
      <c r="I1068">
        <v>0.511146087221968</v>
      </c>
      <c r="J1068">
        <v>0.448554268853775</v>
      </c>
      <c r="K1068">
        <v>0.191420021996756</v>
      </c>
      <c r="L1068">
        <v>604.568218228411</v>
      </c>
      <c r="M1068">
        <v>10.012298050978</v>
      </c>
      <c r="N1068">
        <v>60.3825731426448</v>
      </c>
      <c r="O1068">
        <v>58.1220682553934</v>
      </c>
      <c r="P1068">
        <v>-0.04308666522528</v>
      </c>
      <c r="Q1068">
        <v>0</v>
      </c>
      <c r="R1068">
        <v>0.951961131494002</v>
      </c>
      <c r="S1068" t="s">
        <v>3261</v>
      </c>
      <c r="T1068" t="s">
        <v>4362</v>
      </c>
      <c r="U1068" t="s">
        <v>4362</v>
      </c>
      <c r="V1068" t="s">
        <v>4362</v>
      </c>
      <c r="W1068" t="s">
        <v>5427</v>
      </c>
      <c r="X1068">
        <v>7</v>
      </c>
      <c r="Y1068" t="s">
        <v>7589</v>
      </c>
      <c r="Z1068" t="s">
        <v>9756</v>
      </c>
      <c r="AA1068">
        <v>0.7486350892897942</v>
      </c>
      <c r="AB1068">
        <f>HYPERLINK("Melting_Curves/meltCurve_P0C0S1_mscS.pdf", "Melting_Curves/meltCurve_P0C0S1_mscS.pdf")</f>
        <v>0</v>
      </c>
    </row>
    <row r="1069" spans="1:28">
      <c r="A1069" t="s">
        <v>1095</v>
      </c>
      <c r="B1069">
        <v>0.999739202189716</v>
      </c>
      <c r="C1069">
        <v>0.986424656061506</v>
      </c>
      <c r="D1069">
        <v>0.9603301623262021</v>
      </c>
      <c r="E1069">
        <v>0.8353889921919611</v>
      </c>
      <c r="F1069">
        <v>0.552498145274628</v>
      </c>
      <c r="G1069">
        <v>0.308657765483064</v>
      </c>
      <c r="H1069">
        <v>0.227048263045361</v>
      </c>
      <c r="I1069">
        <v>0.198515472766582</v>
      </c>
      <c r="J1069">
        <v>0.174400012710821</v>
      </c>
      <c r="K1069">
        <v>0.13542902556464</v>
      </c>
      <c r="L1069">
        <v>974.026178044731</v>
      </c>
      <c r="M1069">
        <v>19.5258954409125</v>
      </c>
      <c r="N1069">
        <v>50.8599584648956</v>
      </c>
      <c r="O1069">
        <v>49.3694255982094</v>
      </c>
      <c r="P1069">
        <v>-0.0834278761130354</v>
      </c>
      <c r="Q1069">
        <v>0.156271355750832</v>
      </c>
      <c r="R1069">
        <v>0.998829467758315</v>
      </c>
      <c r="S1069" t="s">
        <v>3262</v>
      </c>
      <c r="T1069" t="s">
        <v>4362</v>
      </c>
      <c r="U1069" t="s">
        <v>4362</v>
      </c>
      <c r="V1069" t="s">
        <v>4362</v>
      </c>
      <c r="W1069" t="s">
        <v>5428</v>
      </c>
      <c r="X1069">
        <v>2</v>
      </c>
      <c r="Y1069" t="s">
        <v>7590</v>
      </c>
      <c r="Z1069" t="s">
        <v>9757</v>
      </c>
      <c r="AA1069">
        <v>0.5302099404149935</v>
      </c>
      <c r="AB1069">
        <f>HYPERLINK("Melting_Curves/meltCurve_P0C0T5_mepA.pdf", "Melting_Curves/meltCurve_P0C0T5_mepA.pdf")</f>
        <v>0</v>
      </c>
    </row>
    <row r="1070" spans="1:28">
      <c r="A1070" t="s">
        <v>1096</v>
      </c>
      <c r="B1070">
        <v>0.999739202189716</v>
      </c>
      <c r="C1070">
        <v>0.909985449911522</v>
      </c>
      <c r="D1070">
        <v>0.745169210639673</v>
      </c>
      <c r="E1070">
        <v>0.65045339663942</v>
      </c>
      <c r="F1070">
        <v>0.575899507479511</v>
      </c>
      <c r="G1070">
        <v>0.403183796497429</v>
      </c>
      <c r="H1070">
        <v>0.355270238730818</v>
      </c>
      <c r="I1070">
        <v>0.264527785609023</v>
      </c>
      <c r="J1070">
        <v>0.174508521244209</v>
      </c>
      <c r="K1070">
        <v>0.101694817557283</v>
      </c>
      <c r="L1070">
        <v>374.915343563858</v>
      </c>
      <c r="M1070">
        <v>7.30668159736914</v>
      </c>
      <c r="N1070">
        <v>51.3113015232011</v>
      </c>
      <c r="O1070">
        <v>47.8870279553742</v>
      </c>
      <c r="P1070">
        <v>-0.0382058103344327</v>
      </c>
      <c r="Q1070">
        <v>0</v>
      </c>
      <c r="R1070">
        <v>0.98335086588317</v>
      </c>
      <c r="S1070" t="s">
        <v>3263</v>
      </c>
      <c r="T1070" t="s">
        <v>4362</v>
      </c>
      <c r="U1070" t="s">
        <v>4362</v>
      </c>
      <c r="V1070" t="s">
        <v>4362</v>
      </c>
      <c r="W1070" t="s">
        <v>5429</v>
      </c>
      <c r="X1070">
        <v>6</v>
      </c>
      <c r="Y1070" t="s">
        <v>7591</v>
      </c>
      <c r="Z1070" t="s">
        <v>9758</v>
      </c>
      <c r="AA1070">
        <v>0.510938604407861</v>
      </c>
      <c r="AB1070">
        <f>HYPERLINK("Melting_Curves/meltCurve_P0C0U4_rimK.pdf", "Melting_Curves/meltCurve_P0C0U4_rimK.pdf")</f>
        <v>0</v>
      </c>
    </row>
    <row r="1071" spans="1:28">
      <c r="A1071" t="s">
        <v>1097</v>
      </c>
      <c r="B1071">
        <v>0.999739202189716</v>
      </c>
      <c r="C1071">
        <v>0.99850499984702</v>
      </c>
      <c r="D1071">
        <v>1.18741792976864</v>
      </c>
      <c r="E1071">
        <v>1.03201716420792</v>
      </c>
      <c r="F1071">
        <v>1.05211397538964</v>
      </c>
      <c r="G1071">
        <v>0.9768403182819549</v>
      </c>
      <c r="H1071">
        <v>1.10211464992074</v>
      </c>
      <c r="I1071">
        <v>1.09971661637678</v>
      </c>
      <c r="J1071">
        <v>1.15923180953104</v>
      </c>
      <c r="K1071">
        <v>0.710477747872639</v>
      </c>
      <c r="L1071">
        <v>15000</v>
      </c>
      <c r="M1071">
        <v>222.982830330631</v>
      </c>
      <c r="Q1071">
        <v>0</v>
      </c>
      <c r="R1071">
        <v>0.463982272632779</v>
      </c>
      <c r="S1071" t="s">
        <v>3264</v>
      </c>
      <c r="T1071" t="s">
        <v>4362</v>
      </c>
      <c r="U1071" t="s">
        <v>4362</v>
      </c>
      <c r="V1071" t="s">
        <v>4362</v>
      </c>
      <c r="W1071" t="s">
        <v>5430</v>
      </c>
      <c r="X1071">
        <v>22</v>
      </c>
      <c r="Y1071" t="s">
        <v>7592</v>
      </c>
      <c r="Z1071" t="s">
        <v>9759</v>
      </c>
      <c r="AA1071">
        <v>0.9966230607416607</v>
      </c>
      <c r="AB1071">
        <f>HYPERLINK("Melting_Curves/meltCurve_P0C0V0_degP.pdf", "Melting_Curves/meltCurve_P0C0V0_degP.pdf")</f>
        <v>0</v>
      </c>
    </row>
    <row r="1072" spans="1:28">
      <c r="A1072" t="s">
        <v>1098</v>
      </c>
      <c r="B1072">
        <v>0.999739202189716</v>
      </c>
      <c r="C1072">
        <v>0.73939336628345</v>
      </c>
      <c r="D1072">
        <v>0.839483894039868</v>
      </c>
      <c r="E1072">
        <v>0.62107917714949</v>
      </c>
      <c r="F1072">
        <v>0.539770409643394</v>
      </c>
      <c r="G1072">
        <v>0.381950948843952</v>
      </c>
      <c r="H1072">
        <v>0.308454672824192</v>
      </c>
      <c r="I1072">
        <v>0.2486709606929</v>
      </c>
      <c r="J1072">
        <v>0.212019770534892</v>
      </c>
      <c r="K1072">
        <v>0.186647726726209</v>
      </c>
      <c r="L1072">
        <v>358.167890907223</v>
      </c>
      <c r="M1072">
        <v>7.19361032622557</v>
      </c>
      <c r="N1072">
        <v>50.551140740432</v>
      </c>
      <c r="O1072">
        <v>46.3733578234676</v>
      </c>
      <c r="P1072">
        <v>-0.0368514646230168</v>
      </c>
      <c r="Q1072">
        <v>0.0513443392501728</v>
      </c>
      <c r="R1072">
        <v>0.962887140901125</v>
      </c>
      <c r="S1072" t="s">
        <v>3265</v>
      </c>
      <c r="T1072" t="s">
        <v>4362</v>
      </c>
      <c r="U1072" t="s">
        <v>4362</v>
      </c>
      <c r="V1072" t="s">
        <v>4362</v>
      </c>
      <c r="W1072" t="s">
        <v>5431</v>
      </c>
      <c r="X1072">
        <v>14</v>
      </c>
      <c r="Y1072" t="s">
        <v>7593</v>
      </c>
      <c r="Z1072" t="s">
        <v>9760</v>
      </c>
      <c r="AA1072">
        <v>0.4986162318001875</v>
      </c>
      <c r="AB1072">
        <f>HYPERLINK("Melting_Curves/meltCurve_P0C8J6_gatY.pdf", "Melting_Curves/meltCurve_P0C8J6_gatY.pdf")</f>
        <v>0</v>
      </c>
    </row>
    <row r="1073" spans="1:28">
      <c r="A1073" t="s">
        <v>1099</v>
      </c>
      <c r="B1073">
        <v>0.999739202189716</v>
      </c>
      <c r="C1073">
        <v>0.805856064716574</v>
      </c>
      <c r="D1073">
        <v>0.542690680502772</v>
      </c>
      <c r="E1073">
        <v>0.362309343079788</v>
      </c>
      <c r="F1073">
        <v>0.17902466053027</v>
      </c>
      <c r="G1073">
        <v>0.113292359440879</v>
      </c>
      <c r="H1073">
        <v>0.09127105135910719</v>
      </c>
      <c r="I1073">
        <v>0.0659504081613287</v>
      </c>
      <c r="J1073">
        <v>0.0602615739469901</v>
      </c>
      <c r="K1073">
        <v>0.0574372512989671</v>
      </c>
      <c r="L1073">
        <v>639.847089476911</v>
      </c>
      <c r="M1073">
        <v>14.6455158591689</v>
      </c>
      <c r="N1073">
        <v>44.052510812284</v>
      </c>
      <c r="O1073">
        <v>42.8986629794168</v>
      </c>
      <c r="P1073">
        <v>-0.0805001812671048</v>
      </c>
      <c r="Q1073">
        <v>0.0569220752547693</v>
      </c>
      <c r="R1073">
        <v>0.993455115845813</v>
      </c>
      <c r="S1073" t="s">
        <v>3266</v>
      </c>
      <c r="T1073" t="s">
        <v>4362</v>
      </c>
      <c r="U1073" t="s">
        <v>4362</v>
      </c>
      <c r="V1073" t="s">
        <v>4362</v>
      </c>
      <c r="W1073" t="s">
        <v>5432</v>
      </c>
      <c r="X1073">
        <v>9</v>
      </c>
      <c r="Y1073" t="s">
        <v>7594</v>
      </c>
      <c r="Z1073" t="s">
        <v>9761</v>
      </c>
      <c r="AA1073">
        <v>0.292240758891722</v>
      </c>
      <c r="AB1073">
        <f>HYPERLINK("Melting_Curves/meltCurve_P0C8J8_gatZ.pdf", "Melting_Curves/meltCurve_P0C8J8_gatZ.pdf")</f>
        <v>0</v>
      </c>
    </row>
    <row r="1074" spans="1:28">
      <c r="A1074" t="s">
        <v>1100</v>
      </c>
      <c r="B1074">
        <v>0.999739202189716</v>
      </c>
      <c r="C1074">
        <v>1.05094200493045</v>
      </c>
      <c r="D1074">
        <v>0.9464260975584849</v>
      </c>
      <c r="E1074">
        <v>0.736381206323085</v>
      </c>
      <c r="F1074">
        <v>0.466908803084187</v>
      </c>
      <c r="G1074">
        <v>0.264843262740147</v>
      </c>
      <c r="H1074">
        <v>0.143700150402278</v>
      </c>
      <c r="I1074">
        <v>0.102589726495416</v>
      </c>
      <c r="J1074">
        <v>0.08384681616469131</v>
      </c>
      <c r="K1074">
        <v>0.0786130469552076</v>
      </c>
      <c r="L1074">
        <v>859.486495063945</v>
      </c>
      <c r="M1074">
        <v>17.4147972665782</v>
      </c>
      <c r="N1074">
        <v>49.7938064333575</v>
      </c>
      <c r="O1074">
        <v>48.7167999308509</v>
      </c>
      <c r="P1074">
        <v>-0.0829989197094296</v>
      </c>
      <c r="Q1074">
        <v>0.07131485334947101</v>
      </c>
      <c r="R1074">
        <v>0.9965930207968901</v>
      </c>
      <c r="S1074" t="s">
        <v>3267</v>
      </c>
      <c r="T1074" t="s">
        <v>4362</v>
      </c>
      <c r="U1074" t="s">
        <v>4362</v>
      </c>
      <c r="V1074" t="s">
        <v>4362</v>
      </c>
      <c r="W1074" t="s">
        <v>5433</v>
      </c>
      <c r="X1074">
        <v>11</v>
      </c>
      <c r="Y1074" t="s">
        <v>7595</v>
      </c>
      <c r="Z1074" t="s">
        <v>9762</v>
      </c>
      <c r="AA1074">
        <v>0.4693161602437263</v>
      </c>
      <c r="AB1074">
        <f>HYPERLINK("Melting_Curves/meltCurve_P0CB39_eptC.pdf", "Melting_Curves/meltCurve_P0CB39_eptC.pdf")</f>
        <v>0</v>
      </c>
    </row>
    <row r="1075" spans="1:28">
      <c r="A1075" t="s">
        <v>1101</v>
      </c>
      <c r="B1075">
        <v>0.999739202189716</v>
      </c>
      <c r="C1075">
        <v>0.8577988047977571</v>
      </c>
      <c r="D1075">
        <v>0.8774733382193119</v>
      </c>
      <c r="E1075">
        <v>0.662412331464427</v>
      </c>
      <c r="F1075">
        <v>0.455417142802084</v>
      </c>
      <c r="G1075">
        <v>0.259141664531277</v>
      </c>
      <c r="H1075">
        <v>0.185134074870979</v>
      </c>
      <c r="I1075">
        <v>0.134357221067854</v>
      </c>
      <c r="J1075">
        <v>0.126438313755247</v>
      </c>
      <c r="K1075">
        <v>0.105349421873114</v>
      </c>
      <c r="L1075">
        <v>603.438025957976</v>
      </c>
      <c r="M1075">
        <v>12.4220751089713</v>
      </c>
      <c r="N1075">
        <v>49.1766071596416</v>
      </c>
      <c r="O1075">
        <v>47.3704636451495</v>
      </c>
      <c r="P1075">
        <v>-0.0609701505062904</v>
      </c>
      <c r="Q1075">
        <v>0.0701793301315973</v>
      </c>
      <c r="R1075">
        <v>0.99156819649938</v>
      </c>
      <c r="S1075" t="s">
        <v>3268</v>
      </c>
      <c r="T1075" t="s">
        <v>4362</v>
      </c>
      <c r="U1075" t="s">
        <v>4362</v>
      </c>
      <c r="V1075" t="s">
        <v>4362</v>
      </c>
      <c r="W1075" t="s">
        <v>5434</v>
      </c>
      <c r="X1075">
        <v>14</v>
      </c>
      <c r="Y1075" t="s">
        <v>7596</v>
      </c>
      <c r="Z1075" t="s">
        <v>9763</v>
      </c>
      <c r="AA1075">
        <v>0.4559533499437655</v>
      </c>
      <c r="AB1075">
        <f>HYPERLINK("Melting_Curves/meltCurve_P0CE47_tufA.pdf", "Melting_Curves/meltCurve_P0CE47_tufA.pdf")</f>
        <v>0</v>
      </c>
    </row>
    <row r="1076" spans="1:28">
      <c r="A1076" t="s">
        <v>1102</v>
      </c>
      <c r="B1076">
        <v>0.999739202189716</v>
      </c>
      <c r="C1076">
        <v>2.29963350422099</v>
      </c>
      <c r="D1076">
        <v>0.451706555966752</v>
      </c>
      <c r="E1076">
        <v>0.994265703668567</v>
      </c>
      <c r="F1076">
        <v>0.313416398288187</v>
      </c>
      <c r="G1076">
        <v>0.142106187821751</v>
      </c>
      <c r="H1076">
        <v>0.202782357822529</v>
      </c>
      <c r="I1076">
        <v>0.0706652491030596</v>
      </c>
      <c r="J1076">
        <v>0.0601396398230843</v>
      </c>
      <c r="K1076">
        <v>0.093281025671468</v>
      </c>
      <c r="L1076">
        <v>3562.87099520347</v>
      </c>
      <c r="M1076">
        <v>72.2003860688025</v>
      </c>
      <c r="N1076">
        <v>49.5230539415128</v>
      </c>
      <c r="O1076">
        <v>49.3091623346756</v>
      </c>
      <c r="P1076">
        <v>-0.324618847552884</v>
      </c>
      <c r="Q1076">
        <v>0.113208038791858</v>
      </c>
      <c r="R1076">
        <v>0.55380921583292</v>
      </c>
      <c r="S1076" t="s">
        <v>3269</v>
      </c>
      <c r="T1076" t="s">
        <v>4362</v>
      </c>
      <c r="U1076" t="s">
        <v>4362</v>
      </c>
      <c r="V1076" t="s">
        <v>4362</v>
      </c>
      <c r="W1076" t="s">
        <v>5435</v>
      </c>
      <c r="X1076">
        <v>14</v>
      </c>
      <c r="Y1076" t="s">
        <v>7597</v>
      </c>
      <c r="Z1076" t="s">
        <v>9764</v>
      </c>
      <c r="AA1076">
        <v>0.4791044866580493</v>
      </c>
      <c r="AB1076">
        <f>HYPERLINK("Melting_Curves/meltCurve_P0CE48_tufB.pdf", "Melting_Curves/meltCurve_P0CE48_tufB.pdf")</f>
        <v>0</v>
      </c>
    </row>
    <row r="1077" spans="1:28">
      <c r="A1077" t="s">
        <v>1103</v>
      </c>
      <c r="B1077">
        <v>0.999739202189716</v>
      </c>
      <c r="C1077">
        <v>1.18588457425084</v>
      </c>
      <c r="D1077">
        <v>0.985721363550087</v>
      </c>
      <c r="E1077">
        <v>1.04389724496735</v>
      </c>
      <c r="F1077">
        <v>0.832162614957995</v>
      </c>
      <c r="G1077">
        <v>0.667855149853768</v>
      </c>
      <c r="H1077">
        <v>0.50747505119072</v>
      </c>
      <c r="I1077">
        <v>0.366575195079955</v>
      </c>
      <c r="J1077">
        <v>0.246265436988326</v>
      </c>
      <c r="K1077">
        <v>0.138126952241746</v>
      </c>
      <c r="L1077">
        <v>754.093961132906</v>
      </c>
      <c r="M1077">
        <v>13.231194730173</v>
      </c>
      <c r="N1077">
        <v>57.485208487589</v>
      </c>
      <c r="O1077">
        <v>55.7389316091994</v>
      </c>
      <c r="P1077">
        <v>-0.056179533359872</v>
      </c>
      <c r="Q1077">
        <v>0.053488295058795</v>
      </c>
      <c r="R1077">
        <v>0.959906894008791</v>
      </c>
      <c r="S1077" t="s">
        <v>3270</v>
      </c>
      <c r="T1077" t="s">
        <v>4362</v>
      </c>
      <c r="U1077" t="s">
        <v>4362</v>
      </c>
      <c r="V1077" t="s">
        <v>4362</v>
      </c>
      <c r="W1077" t="s">
        <v>5436</v>
      </c>
      <c r="X1077">
        <v>6</v>
      </c>
      <c r="Y1077" t="s">
        <v>7598</v>
      </c>
      <c r="Z1077" t="s">
        <v>9765</v>
      </c>
      <c r="AA1077">
        <v>0.6905694184813637</v>
      </c>
      <c r="AB1077">
        <f>HYPERLINK("Melting_Curves/meltCurve_P0CK95_yghJ.pdf", "Melting_Curves/meltCurve_P0CK95_yghJ.pdf")</f>
        <v>0</v>
      </c>
    </row>
    <row r="1078" spans="1:28">
      <c r="A1078" t="s">
        <v>1104</v>
      </c>
      <c r="B1078">
        <v>0.999739202189716</v>
      </c>
      <c r="C1078">
        <v>0.884478645923622</v>
      </c>
      <c r="D1078">
        <v>0.776079804843449</v>
      </c>
      <c r="E1078">
        <v>0.749819898013613</v>
      </c>
      <c r="F1078">
        <v>0.671645004480513</v>
      </c>
      <c r="G1078">
        <v>0.482542141331717</v>
      </c>
      <c r="H1078">
        <v>0.402250767546787</v>
      </c>
      <c r="I1078">
        <v>0.238617140565046</v>
      </c>
      <c r="J1078">
        <v>0.237002018190377</v>
      </c>
      <c r="K1078">
        <v>0.19008768743597</v>
      </c>
      <c r="L1078">
        <v>377.675827240186</v>
      </c>
      <c r="M1078">
        <v>7.07246116719843</v>
      </c>
      <c r="N1078">
        <v>53.4009050445648</v>
      </c>
      <c r="O1078">
        <v>49.6245685758994</v>
      </c>
      <c r="P1078">
        <v>-0.0356934589202495</v>
      </c>
      <c r="Q1078">
        <v>0</v>
      </c>
      <c r="R1078">
        <v>0.980356184296321</v>
      </c>
      <c r="S1078" t="s">
        <v>3271</v>
      </c>
      <c r="T1078" t="s">
        <v>4362</v>
      </c>
      <c r="U1078" t="s">
        <v>4362</v>
      </c>
      <c r="V1078" t="s">
        <v>4362</v>
      </c>
      <c r="W1078" t="s">
        <v>5437</v>
      </c>
      <c r="X1078">
        <v>2</v>
      </c>
      <c r="Y1078" t="s">
        <v>7599</v>
      </c>
      <c r="Z1078" t="s">
        <v>9766</v>
      </c>
      <c r="AA1078">
        <v>0.5637355676431743</v>
      </c>
      <c r="AB1078">
        <f>HYPERLINK("Melting_Curves/meltCurve_P0DM85_crfC.pdf", "Melting_Curves/meltCurve_P0DM85_crfC.pdf")</f>
        <v>0</v>
      </c>
    </row>
    <row r="1079" spans="1:28">
      <c r="A1079" t="s">
        <v>1105</v>
      </c>
      <c r="B1079">
        <v>0.999739202189716</v>
      </c>
      <c r="C1079">
        <v>0.993214261830057</v>
      </c>
      <c r="D1079">
        <v>0.6763298428686459</v>
      </c>
      <c r="E1079">
        <v>0.580422939577485</v>
      </c>
      <c r="F1079">
        <v>0.458606949112309</v>
      </c>
      <c r="G1079">
        <v>0.268384910197304</v>
      </c>
      <c r="H1079">
        <v>0.230571388457429</v>
      </c>
      <c r="I1079">
        <v>0.191398776051263</v>
      </c>
      <c r="J1079">
        <v>0.206211138945646</v>
      </c>
      <c r="K1079">
        <v>0.18013636931756</v>
      </c>
      <c r="L1079">
        <v>576.672900431284</v>
      </c>
      <c r="M1079">
        <v>12.4138809615289</v>
      </c>
      <c r="N1079">
        <v>47.9990504313816</v>
      </c>
      <c r="O1079">
        <v>45.2977950815971</v>
      </c>
      <c r="P1079">
        <v>-0.0572397300564801</v>
      </c>
      <c r="Q1079">
        <v>0.164713871652802</v>
      </c>
      <c r="R1079">
        <v>0.975212351226186</v>
      </c>
      <c r="S1079" t="s">
        <v>3272</v>
      </c>
      <c r="T1079" t="s">
        <v>4362</v>
      </c>
      <c r="U1079" t="s">
        <v>4362</v>
      </c>
      <c r="V1079" t="s">
        <v>4362</v>
      </c>
      <c r="W1079" t="s">
        <v>5438</v>
      </c>
      <c r="X1079">
        <v>6</v>
      </c>
      <c r="Y1079" t="s">
        <v>7600</v>
      </c>
      <c r="Z1079" t="s">
        <v>9767</v>
      </c>
      <c r="AA1079">
        <v>0.4545634436058726</v>
      </c>
      <c r="AB1079">
        <f>HYPERLINK("Melting_Curves/meltCurve_P0DMC5_rcsC.pdf", "Melting_Curves/meltCurve_P0DMC5_rcsC.pdf")</f>
        <v>0</v>
      </c>
    </row>
    <row r="1080" spans="1:28">
      <c r="A1080" t="s">
        <v>1106</v>
      </c>
      <c r="B1080">
        <v>0.999739202189716</v>
      </c>
      <c r="C1080">
        <v>0.8290863524886</v>
      </c>
      <c r="D1080">
        <v>0.805707239648768</v>
      </c>
      <c r="E1080">
        <v>0.574164089907106</v>
      </c>
      <c r="F1080">
        <v>0.274096940942824</v>
      </c>
      <c r="G1080">
        <v>0.141236127482123</v>
      </c>
      <c r="H1080">
        <v>0.107728925323097</v>
      </c>
      <c r="I1080">
        <v>0.0868110023937647</v>
      </c>
      <c r="J1080">
        <v>0.0822208087663569</v>
      </c>
      <c r="K1080">
        <v>0.0620631031651022</v>
      </c>
      <c r="L1080">
        <v>666.0166254561721</v>
      </c>
      <c r="M1080">
        <v>14.2640946833514</v>
      </c>
      <c r="N1080">
        <v>47.0094543632133</v>
      </c>
      <c r="O1080">
        <v>45.8028759159666</v>
      </c>
      <c r="P1080">
        <v>-0.0742883520859689</v>
      </c>
      <c r="Q1080">
        <v>0.0459396968405986</v>
      </c>
      <c r="R1080">
        <v>0.98863924736963</v>
      </c>
      <c r="S1080" t="s">
        <v>3273</v>
      </c>
      <c r="T1080" t="s">
        <v>4362</v>
      </c>
      <c r="U1080" t="s">
        <v>4362</v>
      </c>
      <c r="V1080" t="s">
        <v>4362</v>
      </c>
      <c r="W1080" t="s">
        <v>5439</v>
      </c>
      <c r="X1080">
        <v>7</v>
      </c>
      <c r="Y1080" t="s">
        <v>7601</v>
      </c>
      <c r="Z1080" t="s">
        <v>9768</v>
      </c>
      <c r="AA1080">
        <v>0.3778430796261696</v>
      </c>
      <c r="AB1080">
        <f>HYPERLINK("Melting_Curves/meltCurve_P0DMC7_rcsB.pdf", "Melting_Curves/meltCurve_P0DMC7_rcsB.pdf")</f>
        <v>0</v>
      </c>
    </row>
    <row r="1081" spans="1:28">
      <c r="A1081" t="s">
        <v>1107</v>
      </c>
      <c r="B1081">
        <v>0.999739202189716</v>
      </c>
      <c r="C1081">
        <v>0.905539970754052</v>
      </c>
      <c r="D1081">
        <v>1.09448067772375</v>
      </c>
      <c r="E1081">
        <v>1.04523164089775</v>
      </c>
      <c r="F1081">
        <v>1.01554839282002</v>
      </c>
      <c r="G1081">
        <v>0.940982785652921</v>
      </c>
      <c r="H1081">
        <v>0.903436506546446</v>
      </c>
      <c r="I1081">
        <v>0.827069035950083</v>
      </c>
      <c r="J1081">
        <v>0.650172541643398</v>
      </c>
      <c r="K1081">
        <v>0.467931066331604</v>
      </c>
      <c r="L1081">
        <v>1035.54392968245</v>
      </c>
      <c r="M1081">
        <v>15.5510859571644</v>
      </c>
      <c r="N1081">
        <v>66.5898055142099</v>
      </c>
      <c r="O1081">
        <v>65.5178406836685</v>
      </c>
      <c r="P1081">
        <v>-0.0593443312769635</v>
      </c>
      <c r="Q1081">
        <v>0</v>
      </c>
      <c r="R1081">
        <v>0.932617956235463</v>
      </c>
      <c r="S1081" t="s">
        <v>3274</v>
      </c>
      <c r="T1081" t="s">
        <v>4362</v>
      </c>
      <c r="U1081" t="s">
        <v>4362</v>
      </c>
      <c r="V1081" t="s">
        <v>4362</v>
      </c>
      <c r="W1081" t="s">
        <v>5440</v>
      </c>
      <c r="X1081">
        <v>10</v>
      </c>
      <c r="Y1081" t="s">
        <v>7602</v>
      </c>
      <c r="Z1081" t="s">
        <v>9769</v>
      </c>
      <c r="AA1081">
        <v>0.9066261978405754</v>
      </c>
      <c r="AB1081">
        <f>HYPERLINK("Melting_Curves/meltCurve_P10100_rlpA.pdf", "Melting_Curves/meltCurve_P10100_rlpA.pdf")</f>
        <v>0</v>
      </c>
    </row>
    <row r="1082" spans="1:28">
      <c r="A1082" t="s">
        <v>1108</v>
      </c>
      <c r="B1082">
        <v>0.999739202189716</v>
      </c>
      <c r="C1082">
        <v>1.13685275101709</v>
      </c>
      <c r="D1082">
        <v>0.8320428430073</v>
      </c>
      <c r="E1082">
        <v>1.18800426887062</v>
      </c>
      <c r="F1082">
        <v>0.8811464820097989</v>
      </c>
      <c r="G1082">
        <v>0.742248541647587</v>
      </c>
      <c r="H1082">
        <v>0.6895121075613651</v>
      </c>
      <c r="I1082">
        <v>0.266443277324727</v>
      </c>
      <c r="J1082">
        <v>0.168179041295804</v>
      </c>
      <c r="K1082">
        <v>0.143706844658372</v>
      </c>
      <c r="L1082">
        <v>1006.21056295428</v>
      </c>
      <c r="M1082">
        <v>17.2322185275155</v>
      </c>
      <c r="N1082">
        <v>58.4842910032338</v>
      </c>
      <c r="O1082">
        <v>57.6219258020956</v>
      </c>
      <c r="P1082">
        <v>-0.0737574972628158</v>
      </c>
      <c r="Q1082">
        <v>0.0135226312852054</v>
      </c>
      <c r="R1082">
        <v>0.915725609377502</v>
      </c>
      <c r="S1082" t="s">
        <v>3275</v>
      </c>
      <c r="T1082" t="s">
        <v>4362</v>
      </c>
      <c r="U1082" t="s">
        <v>4362</v>
      </c>
      <c r="V1082" t="s">
        <v>4362</v>
      </c>
      <c r="W1082" t="s">
        <v>5441</v>
      </c>
      <c r="X1082">
        <v>8</v>
      </c>
      <c r="Y1082" t="s">
        <v>7603</v>
      </c>
      <c r="Z1082" t="s">
        <v>9770</v>
      </c>
      <c r="AA1082">
        <v>0.7214282473306045</v>
      </c>
      <c r="AB1082">
        <f>HYPERLINK("Melting_Curves/meltCurve_P10121_ftsY.pdf", "Melting_Curves/meltCurve_P10121_ftsY.pdf")</f>
        <v>0</v>
      </c>
    </row>
    <row r="1083" spans="1:28">
      <c r="A1083" t="s">
        <v>1109</v>
      </c>
      <c r="B1083">
        <v>0.999739202189716</v>
      </c>
      <c r="C1083">
        <v>0.6463179195154</v>
      </c>
      <c r="D1083">
        <v>0.493806937607711</v>
      </c>
      <c r="E1083">
        <v>0.243408869258042</v>
      </c>
      <c r="F1083">
        <v>0.116029434389574</v>
      </c>
      <c r="G1083">
        <v>0.0651011181928232</v>
      </c>
      <c r="H1083">
        <v>0.0466143994517006</v>
      </c>
      <c r="I1083">
        <v>0.0354391571813123</v>
      </c>
      <c r="J1083">
        <v>0.0330731315272014</v>
      </c>
      <c r="K1083">
        <v>0.0314999340705753</v>
      </c>
      <c r="L1083">
        <v>633.997456616449</v>
      </c>
      <c r="M1083">
        <v>14.9345717780377</v>
      </c>
      <c r="N1083">
        <v>42.6178692953872</v>
      </c>
      <c r="O1083">
        <v>41.7123429048745</v>
      </c>
      <c r="P1083">
        <v>-0.08698607743844659</v>
      </c>
      <c r="Q1083">
        <v>0.0282894543357693</v>
      </c>
      <c r="R1083">
        <v>0.9829791471043769</v>
      </c>
      <c r="S1083" t="s">
        <v>3276</v>
      </c>
      <c r="T1083" t="s">
        <v>4362</v>
      </c>
      <c r="U1083" t="s">
        <v>4362</v>
      </c>
      <c r="V1083" t="s">
        <v>4362</v>
      </c>
      <c r="W1083" t="s">
        <v>5442</v>
      </c>
      <c r="X1083">
        <v>5</v>
      </c>
      <c r="Y1083" t="s">
        <v>7604</v>
      </c>
      <c r="Z1083" t="s">
        <v>9771</v>
      </c>
      <c r="AA1083">
        <v>0.2319624605069181</v>
      </c>
      <c r="AB1083">
        <f>HYPERLINK("Melting_Curves/meltCurve_P10346_glnQ.pdf", "Melting_Curves/meltCurve_P10346_glnQ.pdf")</f>
        <v>0</v>
      </c>
    </row>
    <row r="1084" spans="1:28">
      <c r="A1084" t="s">
        <v>1110</v>
      </c>
      <c r="B1084">
        <v>0.999739202189716</v>
      </c>
      <c r="C1084">
        <v>0.939999314725162</v>
      </c>
      <c r="D1084">
        <v>0.789613414998269</v>
      </c>
      <c r="E1084">
        <v>0.529242132120247</v>
      </c>
      <c r="F1084">
        <v>0.319601479215616</v>
      </c>
      <c r="G1084">
        <v>0.236677096849453</v>
      </c>
      <c r="H1084">
        <v>0.212003305313328</v>
      </c>
      <c r="I1084">
        <v>0.171902466473038</v>
      </c>
      <c r="J1084">
        <v>0.162378166319145</v>
      </c>
      <c r="K1084">
        <v>0.132022331534331</v>
      </c>
      <c r="L1084">
        <v>740.8277014045329</v>
      </c>
      <c r="M1084">
        <v>16.1105830313351</v>
      </c>
      <c r="N1084">
        <v>47.0570819922875</v>
      </c>
      <c r="O1084">
        <v>45.2929246757821</v>
      </c>
      <c r="P1084">
        <v>-0.0752591107545308</v>
      </c>
      <c r="Q1084">
        <v>0.153737576838099</v>
      </c>
      <c r="R1084">
        <v>0.99823890189076</v>
      </c>
      <c r="S1084" t="s">
        <v>3277</v>
      </c>
      <c r="T1084" t="s">
        <v>4362</v>
      </c>
      <c r="U1084" t="s">
        <v>4362</v>
      </c>
      <c r="V1084" t="s">
        <v>4362</v>
      </c>
      <c r="W1084" t="s">
        <v>5443</v>
      </c>
      <c r="X1084">
        <v>6</v>
      </c>
      <c r="Y1084" t="s">
        <v>7605</v>
      </c>
      <c r="Z1084" t="s">
        <v>9772</v>
      </c>
      <c r="AA1084">
        <v>0.4241849619124395</v>
      </c>
      <c r="AB1084">
        <f>HYPERLINK("Melting_Curves/meltCurve_P10371_hisA.pdf", "Melting_Curves/meltCurve_P10371_hisA.pdf")</f>
        <v>0</v>
      </c>
    </row>
    <row r="1085" spans="1:28">
      <c r="A1085" t="s">
        <v>1111</v>
      </c>
      <c r="B1085">
        <v>0.999739202189716</v>
      </c>
      <c r="C1085">
        <v>1.25277285558981</v>
      </c>
      <c r="D1085">
        <v>1.09683874993053</v>
      </c>
      <c r="E1085">
        <v>0.795477976630642</v>
      </c>
      <c r="F1085">
        <v>0.225167458436745</v>
      </c>
      <c r="G1085">
        <v>0.151638500417848</v>
      </c>
      <c r="H1085">
        <v>0.121984217026072</v>
      </c>
      <c r="I1085">
        <v>0.104345122174319</v>
      </c>
      <c r="J1085">
        <v>0.0954092405036501</v>
      </c>
      <c r="K1085">
        <v>0.0813667701182513</v>
      </c>
      <c r="L1085">
        <v>2073.0274011133</v>
      </c>
      <c r="M1085">
        <v>43.2243404763338</v>
      </c>
      <c r="N1085">
        <v>48.2352174831389</v>
      </c>
      <c r="O1085">
        <v>47.8574095157175</v>
      </c>
      <c r="P1085">
        <v>-0.201098599633563</v>
      </c>
      <c r="Q1085">
        <v>0.109386676293701</v>
      </c>
      <c r="R1085">
        <v>0.963269045822335</v>
      </c>
      <c r="S1085" t="s">
        <v>3278</v>
      </c>
      <c r="T1085" t="s">
        <v>4362</v>
      </c>
      <c r="U1085" t="s">
        <v>4362</v>
      </c>
      <c r="V1085" t="s">
        <v>4362</v>
      </c>
      <c r="W1085" t="s">
        <v>5444</v>
      </c>
      <c r="X1085">
        <v>7</v>
      </c>
      <c r="Y1085" t="s">
        <v>7606</v>
      </c>
      <c r="Z1085" t="s">
        <v>9773</v>
      </c>
      <c r="AA1085">
        <v>0.4372748541457799</v>
      </c>
      <c r="AB1085">
        <f>HYPERLINK("Melting_Curves/meltCurve_P10378_entE.pdf", "Melting_Curves/meltCurve_P10378_entE.pdf")</f>
        <v>0</v>
      </c>
    </row>
    <row r="1086" spans="1:28">
      <c r="A1086" t="s">
        <v>1112</v>
      </c>
      <c r="B1086">
        <v>0.999739202189716</v>
      </c>
      <c r="C1086">
        <v>0.863775098793782</v>
      </c>
      <c r="D1086">
        <v>1.23086507665543</v>
      </c>
      <c r="E1086">
        <v>0.965186494218656</v>
      </c>
      <c r="F1086">
        <v>1.31206084381432</v>
      </c>
      <c r="G1086">
        <v>1.13996777175494</v>
      </c>
      <c r="H1086">
        <v>1.30589236982841</v>
      </c>
      <c r="I1086">
        <v>1.28454100127812</v>
      </c>
      <c r="J1086">
        <v>1.51951864754803</v>
      </c>
      <c r="K1086">
        <v>0.893068870084871</v>
      </c>
      <c r="L1086">
        <v>867.951396347155</v>
      </c>
      <c r="M1086">
        <v>18.5493498407673</v>
      </c>
      <c r="O1086">
        <v>46.2578156994117</v>
      </c>
      <c r="P1086">
        <v>0.0245918882579822</v>
      </c>
      <c r="Q1086">
        <v>1.2452953417017</v>
      </c>
      <c r="R1086">
        <v>0.258287791599801</v>
      </c>
      <c r="S1086" t="s">
        <v>3279</v>
      </c>
      <c r="T1086" t="s">
        <v>4362</v>
      </c>
      <c r="U1086" t="s">
        <v>4362</v>
      </c>
      <c r="V1086" t="s">
        <v>4362</v>
      </c>
      <c r="W1086" t="s">
        <v>5445</v>
      </c>
      <c r="X1086">
        <v>5</v>
      </c>
      <c r="Y1086" t="s">
        <v>7607</v>
      </c>
      <c r="Z1086" t="s">
        <v>9774</v>
      </c>
      <c r="AA1086">
        <v>1.161516015419164</v>
      </c>
      <c r="AB1086">
        <f>HYPERLINK("Melting_Curves/meltCurve_P10384_fadL.pdf", "Melting_Curves/meltCurve_P10384_fadL.pdf")</f>
        <v>0</v>
      </c>
    </row>
    <row r="1087" spans="1:28">
      <c r="A1087" t="s">
        <v>1113</v>
      </c>
      <c r="B1087">
        <v>0.999739202189716</v>
      </c>
      <c r="C1087">
        <v>0.5105920893066</v>
      </c>
      <c r="D1087">
        <v>0.268475070865529</v>
      </c>
      <c r="E1087">
        <v>0.209394889287343</v>
      </c>
      <c r="F1087">
        <v>0.177497828181163</v>
      </c>
      <c r="G1087">
        <v>0.135903656706459</v>
      </c>
      <c r="H1087">
        <v>0.122494276511044</v>
      </c>
      <c r="I1087">
        <v>0.108408066627799</v>
      </c>
      <c r="J1087">
        <v>0.0849893183526987</v>
      </c>
      <c r="K1087">
        <v>0.0672486588708088</v>
      </c>
      <c r="L1087">
        <v>1226.76561645416</v>
      </c>
      <c r="M1087">
        <v>30.7930357657991</v>
      </c>
      <c r="N1087">
        <v>40.2406006265925</v>
      </c>
      <c r="O1087">
        <v>39.6721607420969</v>
      </c>
      <c r="P1087">
        <v>-0.168380924313065</v>
      </c>
      <c r="Q1087">
        <v>0.132271602687497</v>
      </c>
      <c r="R1087">
        <v>0.967542075559327</v>
      </c>
      <c r="S1087" t="s">
        <v>3280</v>
      </c>
      <c r="T1087" t="s">
        <v>4362</v>
      </c>
      <c r="U1087" t="s">
        <v>4362</v>
      </c>
      <c r="V1087" t="s">
        <v>4362</v>
      </c>
      <c r="W1087" t="s">
        <v>5446</v>
      </c>
      <c r="X1087">
        <v>17</v>
      </c>
      <c r="Y1087" t="s">
        <v>7608</v>
      </c>
      <c r="Z1087" t="s">
        <v>9775</v>
      </c>
      <c r="AA1087">
        <v>0.2211872327458743</v>
      </c>
      <c r="AB1087">
        <f>HYPERLINK("Melting_Curves/meltCurve_P10408_secA.pdf", "Melting_Curves/meltCurve_P10408_secA.pdf")</f>
        <v>0</v>
      </c>
    </row>
    <row r="1088" spans="1:28">
      <c r="A1088" t="s">
        <v>1114</v>
      </c>
      <c r="B1088">
        <v>0.999739202189716</v>
      </c>
      <c r="C1088">
        <v>0.873555848461249</v>
      </c>
      <c r="D1088">
        <v>0.552512237096874</v>
      </c>
      <c r="E1088">
        <v>0.391609186242846</v>
      </c>
      <c r="F1088">
        <v>0.270323300893131</v>
      </c>
      <c r="G1088">
        <v>0.191044672049409</v>
      </c>
      <c r="H1088">
        <v>0.133846436161105</v>
      </c>
      <c r="I1088">
        <v>0.104185871425573</v>
      </c>
      <c r="J1088">
        <v>0.0808858524423771</v>
      </c>
      <c r="K1088">
        <v>0.0764355112891348</v>
      </c>
      <c r="L1088">
        <v>612.545560380249</v>
      </c>
      <c r="M1088">
        <v>13.8823641144531</v>
      </c>
      <c r="N1088">
        <v>44.7754309091181</v>
      </c>
      <c r="O1088">
        <v>43.2386651242118</v>
      </c>
      <c r="P1088">
        <v>-0.0729363712988776</v>
      </c>
      <c r="Q1088">
        <v>0.09144007957447529</v>
      </c>
      <c r="R1088">
        <v>0.986025736750745</v>
      </c>
      <c r="S1088" t="s">
        <v>3281</v>
      </c>
      <c r="T1088" t="s">
        <v>4362</v>
      </c>
      <c r="U1088" t="s">
        <v>4362</v>
      </c>
      <c r="V1088" t="s">
        <v>4362</v>
      </c>
      <c r="W1088" t="s">
        <v>5447</v>
      </c>
      <c r="X1088">
        <v>5</v>
      </c>
      <c r="Y1088" t="s">
        <v>7609</v>
      </c>
      <c r="Z1088" t="s">
        <v>9776</v>
      </c>
      <c r="AA1088">
        <v>0.3334532462445509</v>
      </c>
      <c r="AB1088">
        <f>HYPERLINK("Melting_Curves/meltCurve_P10441_lpxB.pdf", "Melting_Curves/meltCurve_P10441_lpxB.pdf")</f>
        <v>0</v>
      </c>
    </row>
    <row r="1089" spans="1:28">
      <c r="A1089" t="s">
        <v>1115</v>
      </c>
      <c r="B1089">
        <v>0.999739202189716</v>
      </c>
      <c r="C1089">
        <v>0.929195667661453</v>
      </c>
      <c r="D1089">
        <v>0.603252405324277</v>
      </c>
      <c r="E1089">
        <v>0.386731526311443</v>
      </c>
      <c r="F1089">
        <v>0.304593815635252</v>
      </c>
      <c r="G1089">
        <v>0.183997003105096</v>
      </c>
      <c r="H1089">
        <v>0.156663716746811</v>
      </c>
      <c r="I1089">
        <v>0.12761117892907</v>
      </c>
      <c r="J1089">
        <v>0.131794115046185</v>
      </c>
      <c r="K1089">
        <v>0.118156598668793</v>
      </c>
      <c r="L1089">
        <v>715.894289853139</v>
      </c>
      <c r="M1089">
        <v>16.2035769734246</v>
      </c>
      <c r="N1089">
        <v>45.0482093724955</v>
      </c>
      <c r="O1089">
        <v>43.5247582396193</v>
      </c>
      <c r="P1089">
        <v>-0.0806101121293983</v>
      </c>
      <c r="Q1089">
        <v>0.133950710372248</v>
      </c>
      <c r="R1089">
        <v>0.987497888181791</v>
      </c>
      <c r="S1089" t="s">
        <v>3282</v>
      </c>
      <c r="T1089" t="s">
        <v>4362</v>
      </c>
      <c r="U1089" t="s">
        <v>4362</v>
      </c>
      <c r="V1089" t="s">
        <v>4362</v>
      </c>
      <c r="W1089" t="s">
        <v>5448</v>
      </c>
      <c r="X1089">
        <v>2</v>
      </c>
      <c r="Y1089" t="s">
        <v>7610</v>
      </c>
      <c r="Z1089" t="s">
        <v>9777</v>
      </c>
      <c r="AA1089">
        <v>0.3594061230650672</v>
      </c>
      <c r="AB1089">
        <f>HYPERLINK("Melting_Curves/meltCurve_P10443_dnaE.pdf", "Melting_Curves/meltCurve_P10443_dnaE.pdf")</f>
        <v>0</v>
      </c>
    </row>
    <row r="1090" spans="1:28">
      <c r="A1090" t="s">
        <v>1116</v>
      </c>
      <c r="B1090">
        <v>0.999739202189716</v>
      </c>
      <c r="C1090">
        <v>1.10724703444068</v>
      </c>
      <c r="D1090">
        <v>0.852845912003603</v>
      </c>
      <c r="E1090">
        <v>1.00361393184503</v>
      </c>
      <c r="F1090">
        <v>0.837536623931441</v>
      </c>
      <c r="G1090">
        <v>0.748124662713197</v>
      </c>
      <c r="H1090">
        <v>0.749116511752272</v>
      </c>
      <c r="I1090">
        <v>0.540948707193816</v>
      </c>
      <c r="J1090">
        <v>0.540329370603197</v>
      </c>
      <c r="K1090">
        <v>0.477474152864588</v>
      </c>
      <c r="L1090">
        <v>512.740942778544</v>
      </c>
      <c r="M1090">
        <v>8.76899200633895</v>
      </c>
      <c r="N1090">
        <v>65.55942722314239</v>
      </c>
      <c r="O1090">
        <v>55.6703013952677</v>
      </c>
      <c r="P1090">
        <v>-0.0273415928623642</v>
      </c>
      <c r="Q1090">
        <v>0.306239021316675</v>
      </c>
      <c r="R1090">
        <v>0.899528317124625</v>
      </c>
      <c r="S1090" t="s">
        <v>3283</v>
      </c>
      <c r="T1090" t="s">
        <v>4362</v>
      </c>
      <c r="U1090" t="s">
        <v>4362</v>
      </c>
      <c r="V1090" t="s">
        <v>4362</v>
      </c>
      <c r="W1090" t="s">
        <v>5449</v>
      </c>
      <c r="X1090">
        <v>1</v>
      </c>
      <c r="Y1090" t="s">
        <v>7611</v>
      </c>
      <c r="Z1090" t="s">
        <v>9778</v>
      </c>
      <c r="AA1090">
        <v>0.7889444035299088</v>
      </c>
      <c r="AB1090">
        <f>HYPERLINK("Melting_Curves/meltCurve_P10902_nadB.pdf", "Melting_Curves/meltCurve_P10902_nadB.pdf")</f>
        <v>0</v>
      </c>
    </row>
    <row r="1091" spans="1:28">
      <c r="A1091" t="s">
        <v>1117</v>
      </c>
      <c r="B1091">
        <v>0.999739202189716</v>
      </c>
      <c r="C1091">
        <v>1.19111983131955</v>
      </c>
      <c r="D1091">
        <v>0.994198631312902</v>
      </c>
      <c r="E1091">
        <v>1.11404425459072</v>
      </c>
      <c r="F1091">
        <v>0.767523081012813</v>
      </c>
      <c r="G1091">
        <v>0.660235469699837</v>
      </c>
      <c r="H1091">
        <v>0.601393308076402</v>
      </c>
      <c r="I1091">
        <v>0.362110191016197</v>
      </c>
      <c r="J1091">
        <v>0.348910070702668</v>
      </c>
      <c r="K1091">
        <v>0.217762018089325</v>
      </c>
      <c r="L1091">
        <v>751.6654706846271</v>
      </c>
      <c r="M1091">
        <v>13.3468023409051</v>
      </c>
      <c r="N1091">
        <v>58.0960649172973</v>
      </c>
      <c r="O1091">
        <v>55.0988012214173</v>
      </c>
      <c r="P1091">
        <v>-0.0504126386313714</v>
      </c>
      <c r="Q1091">
        <v>0.167670937566809</v>
      </c>
      <c r="R1091">
        <v>0.920604313230016</v>
      </c>
      <c r="S1091" t="s">
        <v>3284</v>
      </c>
      <c r="T1091" t="s">
        <v>4362</v>
      </c>
      <c r="U1091" t="s">
        <v>4362</v>
      </c>
      <c r="V1091" t="s">
        <v>4362</v>
      </c>
      <c r="W1091" t="s">
        <v>5450</v>
      </c>
      <c r="X1091">
        <v>2</v>
      </c>
      <c r="Y1091" t="s">
        <v>7612</v>
      </c>
      <c r="Z1091" t="s">
        <v>9779</v>
      </c>
      <c r="AA1091">
        <v>0.7117047667812535</v>
      </c>
      <c r="AB1091">
        <f>HYPERLINK("Melting_Curves/meltCurve_P10907_ugpC.pdf", "Melting_Curves/meltCurve_P10907_ugpC.pdf")</f>
        <v>0</v>
      </c>
    </row>
    <row r="1092" spans="1:28">
      <c r="A1092" t="s">
        <v>1118</v>
      </c>
      <c r="B1092">
        <v>0.999739202189716</v>
      </c>
      <c r="C1092">
        <v>0.829605183508852</v>
      </c>
      <c r="D1092">
        <v>0.840619332687306</v>
      </c>
      <c r="E1092">
        <v>0.42799943633822</v>
      </c>
      <c r="F1092">
        <v>0.189092408430523</v>
      </c>
      <c r="G1092">
        <v>0.112721176452068</v>
      </c>
      <c r="H1092">
        <v>0.0923613994431137</v>
      </c>
      <c r="I1092">
        <v>0.0604453127843244</v>
      </c>
      <c r="J1092">
        <v>0.0479494685260188</v>
      </c>
      <c r="K1092">
        <v>0.0485485110642508</v>
      </c>
      <c r="L1092">
        <v>836.097538178281</v>
      </c>
      <c r="M1092">
        <v>18.2811856749141</v>
      </c>
      <c r="N1092">
        <v>45.9988434306896</v>
      </c>
      <c r="O1092">
        <v>45.1986888094748</v>
      </c>
      <c r="P1092">
        <v>-0.0960946502783764</v>
      </c>
      <c r="Q1092">
        <v>0.0497005005265364</v>
      </c>
      <c r="R1092">
        <v>0.986585555959451</v>
      </c>
      <c r="S1092" t="s">
        <v>3285</v>
      </c>
      <c r="T1092" t="s">
        <v>4362</v>
      </c>
      <c r="U1092" t="s">
        <v>4362</v>
      </c>
      <c r="V1092" t="s">
        <v>4362</v>
      </c>
      <c r="W1092" t="s">
        <v>5451</v>
      </c>
      <c r="X1092">
        <v>6</v>
      </c>
      <c r="Y1092" t="s">
        <v>7613</v>
      </c>
      <c r="Z1092" t="s">
        <v>9780</v>
      </c>
      <c r="AA1092">
        <v>0.3413356456509619</v>
      </c>
      <c r="AB1092">
        <f>HYPERLINK("Melting_Curves/meltCurve_P10908_ugpQ.pdf", "Melting_Curves/meltCurve_P10908_ugpQ.pdf")</f>
        <v>0</v>
      </c>
    </row>
    <row r="1093" spans="1:28">
      <c r="A1093" t="s">
        <v>1119</v>
      </c>
      <c r="B1093">
        <v>0.999739202189716</v>
      </c>
      <c r="C1093">
        <v>0.551255051753313</v>
      </c>
      <c r="D1093">
        <v>0.286729799001707</v>
      </c>
      <c r="E1093">
        <v>0.241308437635123</v>
      </c>
      <c r="F1093">
        <v>0.156083800595324</v>
      </c>
      <c r="G1093">
        <v>0.137771580672622</v>
      </c>
      <c r="H1093">
        <v>0.10358382951448</v>
      </c>
      <c r="I1093">
        <v>0.0848781176373634</v>
      </c>
      <c r="J1093">
        <v>0.0728807312762421</v>
      </c>
      <c r="K1093">
        <v>0.0745950108319117</v>
      </c>
      <c r="L1093">
        <v>986.955217796575</v>
      </c>
      <c r="M1093">
        <v>24.5122908101585</v>
      </c>
      <c r="N1093">
        <v>40.7099791806326</v>
      </c>
      <c r="O1093">
        <v>39.9985802858928</v>
      </c>
      <c r="P1093">
        <v>-0.135158208825663</v>
      </c>
      <c r="Q1093">
        <v>0.117820867411667</v>
      </c>
      <c r="R1093">
        <v>0.965600702130887</v>
      </c>
      <c r="S1093" t="s">
        <v>3286</v>
      </c>
      <c r="T1093" t="s">
        <v>4362</v>
      </c>
      <c r="U1093" t="s">
        <v>4362</v>
      </c>
      <c r="V1093" t="s">
        <v>4362</v>
      </c>
      <c r="W1093" t="s">
        <v>5452</v>
      </c>
      <c r="X1093">
        <v>3</v>
      </c>
      <c r="Y1093" t="s">
        <v>7614</v>
      </c>
      <c r="Z1093" t="s">
        <v>9781</v>
      </c>
      <c r="AA1093">
        <v>0.2245588778819383</v>
      </c>
      <c r="AB1093">
        <f>HYPERLINK("Melting_Curves/meltCurve_P11071_aceK.pdf", "Melting_Curves/meltCurve_P11071_aceK.pdf")</f>
        <v>0</v>
      </c>
    </row>
    <row r="1094" spans="1:28">
      <c r="A1094" t="s">
        <v>1120</v>
      </c>
      <c r="B1094">
        <v>0.999739202189716</v>
      </c>
      <c r="C1094">
        <v>0.933407063731246</v>
      </c>
      <c r="D1094">
        <v>1.02791185700739</v>
      </c>
      <c r="E1094">
        <v>1.072694392599</v>
      </c>
      <c r="F1094">
        <v>1.1230432670198</v>
      </c>
      <c r="G1094">
        <v>1.00961424110698</v>
      </c>
      <c r="H1094">
        <v>0.875527287867811</v>
      </c>
      <c r="I1094">
        <v>0.988847716396082</v>
      </c>
      <c r="J1094">
        <v>0.869783098706788</v>
      </c>
      <c r="K1094">
        <v>0.83465358339297</v>
      </c>
      <c r="L1094">
        <v>979.299295934482</v>
      </c>
      <c r="M1094">
        <v>14.7575433797861</v>
      </c>
      <c r="O1094">
        <v>65.1764741840975</v>
      </c>
      <c r="P1094">
        <v>-0.0175713240285473</v>
      </c>
      <c r="Q1094">
        <v>0.689619442274176</v>
      </c>
      <c r="R1094">
        <v>0.499962550229719</v>
      </c>
      <c r="S1094" t="s">
        <v>3287</v>
      </c>
      <c r="T1094" t="s">
        <v>4362</v>
      </c>
      <c r="U1094" t="s">
        <v>4362</v>
      </c>
      <c r="V1094" t="s">
        <v>4362</v>
      </c>
      <c r="W1094" t="s">
        <v>5453</v>
      </c>
      <c r="X1094">
        <v>3</v>
      </c>
      <c r="Y1094" t="s">
        <v>7615</v>
      </c>
      <c r="Z1094" t="s">
        <v>9782</v>
      </c>
      <c r="AA1094">
        <v>0.9685984299181525</v>
      </c>
      <c r="AB1094">
        <f>HYPERLINK("Melting_Curves/meltCurve_P11289_yfiL.pdf", "Melting_Curves/meltCurve_P11289_yfiL.pdf")</f>
        <v>0</v>
      </c>
    </row>
    <row r="1095" spans="1:28">
      <c r="A1095" t="s">
        <v>1121</v>
      </c>
      <c r="B1095">
        <v>0.999739202189716</v>
      </c>
      <c r="C1095">
        <v>1.15032495288182</v>
      </c>
      <c r="D1095">
        <v>1.00330951203928</v>
      </c>
      <c r="E1095">
        <v>0.875459132976981</v>
      </c>
      <c r="F1095">
        <v>0.629264700551434</v>
      </c>
      <c r="G1095">
        <v>0.506832220694082</v>
      </c>
      <c r="H1095">
        <v>0.377388042898053</v>
      </c>
      <c r="I1095">
        <v>0.301924503349688</v>
      </c>
      <c r="J1095">
        <v>0.282228907891093</v>
      </c>
      <c r="K1095">
        <v>0.189470272319525</v>
      </c>
      <c r="L1095">
        <v>794.417982553726</v>
      </c>
      <c r="M1095">
        <v>15.4457379789281</v>
      </c>
      <c r="N1095">
        <v>53.4840945702316</v>
      </c>
      <c r="O1095">
        <v>50.5938264951572</v>
      </c>
      <c r="P1095">
        <v>-0.0592696705974881</v>
      </c>
      <c r="Q1095">
        <v>0.223498582698838</v>
      </c>
      <c r="R1095">
        <v>0.968585856591151</v>
      </c>
      <c r="S1095" t="s">
        <v>3288</v>
      </c>
      <c r="T1095" t="s">
        <v>4362</v>
      </c>
      <c r="U1095" t="s">
        <v>4362</v>
      </c>
      <c r="V1095" t="s">
        <v>4362</v>
      </c>
      <c r="W1095" t="s">
        <v>5454</v>
      </c>
      <c r="X1095">
        <v>17</v>
      </c>
      <c r="Y1095" t="s">
        <v>7616</v>
      </c>
      <c r="Z1095" t="s">
        <v>9783</v>
      </c>
      <c r="AA1095">
        <v>0.611833372475012</v>
      </c>
      <c r="AB1095">
        <f>HYPERLINK("Melting_Curves/meltCurve_P11349_narH.pdf", "Melting_Curves/meltCurve_P11349_narH.pdf")</f>
        <v>0</v>
      </c>
    </row>
    <row r="1096" spans="1:28">
      <c r="A1096" t="s">
        <v>1122</v>
      </c>
      <c r="B1096">
        <v>0.999739202189716</v>
      </c>
      <c r="C1096">
        <v>1.09936266759518</v>
      </c>
      <c r="D1096">
        <v>0.891144757105588</v>
      </c>
      <c r="E1096">
        <v>1.00643874131712</v>
      </c>
      <c r="F1096">
        <v>0.934845025550045</v>
      </c>
      <c r="G1096">
        <v>0.88597846099786</v>
      </c>
      <c r="H1096">
        <v>0.505184726352601</v>
      </c>
      <c r="I1096">
        <v>0.109337483113118</v>
      </c>
      <c r="J1096">
        <v>0.100972018465146</v>
      </c>
      <c r="K1096">
        <v>0.0690226452875697</v>
      </c>
      <c r="L1096">
        <v>1982.23517007326</v>
      </c>
      <c r="M1096">
        <v>34.7173526660268</v>
      </c>
      <c r="N1096">
        <v>57.2986190642548</v>
      </c>
      <c r="O1096">
        <v>56.9079272281484</v>
      </c>
      <c r="P1096">
        <v>-0.143720963928</v>
      </c>
      <c r="Q1096">
        <v>0.0576662020776533</v>
      </c>
      <c r="R1096">
        <v>0.982602733683574</v>
      </c>
      <c r="S1096" t="s">
        <v>3289</v>
      </c>
      <c r="T1096" t="s">
        <v>4362</v>
      </c>
      <c r="U1096" t="s">
        <v>4362</v>
      </c>
      <c r="V1096" t="s">
        <v>4362</v>
      </c>
      <c r="W1096" t="s">
        <v>5455</v>
      </c>
      <c r="X1096">
        <v>11</v>
      </c>
      <c r="Y1096" t="s">
        <v>7617</v>
      </c>
      <c r="Z1096" t="s">
        <v>9784</v>
      </c>
      <c r="AA1096">
        <v>0.6934184662991684</v>
      </c>
      <c r="AB1096">
        <f>HYPERLINK("Melting_Curves/meltCurve_P11447_argH.pdf", "Melting_Curves/meltCurve_P11447_argH.pdf")</f>
        <v>0</v>
      </c>
    </row>
    <row r="1097" spans="1:28">
      <c r="A1097" t="s">
        <v>1123</v>
      </c>
      <c r="B1097">
        <v>0.999739202189716</v>
      </c>
      <c r="C1097">
        <v>1.06900588983729</v>
      </c>
      <c r="D1097">
        <v>0.60547825490428</v>
      </c>
      <c r="E1097">
        <v>0.452381510354415</v>
      </c>
      <c r="F1097">
        <v>0.293702232155885</v>
      </c>
      <c r="G1097">
        <v>0.176604707283328</v>
      </c>
      <c r="H1097">
        <v>0.13760757229472</v>
      </c>
      <c r="I1097">
        <v>0.100086567217229</v>
      </c>
      <c r="J1097">
        <v>0.107502947938858</v>
      </c>
      <c r="K1097">
        <v>0.09932482528237831</v>
      </c>
      <c r="L1097">
        <v>757.133940035337</v>
      </c>
      <c r="M1097">
        <v>16.8006354088886</v>
      </c>
      <c r="N1097">
        <v>45.7468725250413</v>
      </c>
      <c r="O1097">
        <v>44.4418535629808</v>
      </c>
      <c r="P1097">
        <v>-0.0840569678185371</v>
      </c>
      <c r="Q1097">
        <v>0.110651657113703</v>
      </c>
      <c r="R1097">
        <v>0.964811557991463</v>
      </c>
      <c r="S1097" t="s">
        <v>3290</v>
      </c>
      <c r="T1097" t="s">
        <v>4362</v>
      </c>
      <c r="U1097" t="s">
        <v>4362</v>
      </c>
      <c r="V1097" t="s">
        <v>4362</v>
      </c>
      <c r="W1097" t="s">
        <v>5456</v>
      </c>
      <c r="X1097">
        <v>4</v>
      </c>
      <c r="Y1097" t="s">
        <v>7618</v>
      </c>
      <c r="Z1097" t="s">
        <v>9785</v>
      </c>
      <c r="AA1097">
        <v>0.3665458488297554</v>
      </c>
      <c r="AB1097">
        <f>HYPERLINK("Melting_Curves/meltCurve_P11454_entF.pdf", "Melting_Curves/meltCurve_P11454_entF.pdf")</f>
        <v>0</v>
      </c>
    </row>
    <row r="1098" spans="1:28">
      <c r="A1098" t="s">
        <v>1124</v>
      </c>
      <c r="B1098">
        <v>0.999739202189716</v>
      </c>
      <c r="C1098">
        <v>1.17705651555292</v>
      </c>
      <c r="D1098">
        <v>1.00629586269558</v>
      </c>
      <c r="E1098">
        <v>1.47065983072162</v>
      </c>
      <c r="F1098">
        <v>0.935933110793103</v>
      </c>
      <c r="G1098">
        <v>0.795920938162309</v>
      </c>
      <c r="H1098">
        <v>0.74185907150106</v>
      </c>
      <c r="I1098">
        <v>0.474565741318776</v>
      </c>
      <c r="J1098">
        <v>0.440594885085266</v>
      </c>
      <c r="K1098">
        <v>0.270264063243728</v>
      </c>
      <c r="L1098">
        <v>1043.17787296682</v>
      </c>
      <c r="M1098">
        <v>17.6893880611806</v>
      </c>
      <c r="N1098">
        <v>61.0643450150437</v>
      </c>
      <c r="O1098">
        <v>58.2337945449772</v>
      </c>
      <c r="P1098">
        <v>-0.0586851467750244</v>
      </c>
      <c r="Q1098">
        <v>0.227270455486162</v>
      </c>
      <c r="R1098">
        <v>0.770966140744161</v>
      </c>
      <c r="S1098" t="s">
        <v>3291</v>
      </c>
      <c r="T1098" t="s">
        <v>4362</v>
      </c>
      <c r="U1098" t="s">
        <v>4362</v>
      </c>
      <c r="V1098" t="s">
        <v>4362</v>
      </c>
      <c r="W1098" t="s">
        <v>5457</v>
      </c>
      <c r="X1098">
        <v>9</v>
      </c>
      <c r="Y1098" t="s">
        <v>7619</v>
      </c>
      <c r="Z1098" t="s">
        <v>9786</v>
      </c>
      <c r="AA1098">
        <v>0.7952942302096246</v>
      </c>
      <c r="AB1098">
        <f>HYPERLINK("Melting_Curves/meltCurve_P11557_damX.pdf", "Melting_Curves/meltCurve_P11557_damX.pdf")</f>
        <v>0</v>
      </c>
    </row>
    <row r="1099" spans="1:28">
      <c r="A1099" t="s">
        <v>1125</v>
      </c>
      <c r="B1099">
        <v>0.999739202189716</v>
      </c>
      <c r="C1099">
        <v>1.08172973996855</v>
      </c>
      <c r="D1099">
        <v>0.855236163777693</v>
      </c>
      <c r="E1099">
        <v>0.634122280806191</v>
      </c>
      <c r="F1099">
        <v>0.215834797572082</v>
      </c>
      <c r="G1099">
        <v>0.156419287632502</v>
      </c>
      <c r="H1099">
        <v>0.130502231507076</v>
      </c>
      <c r="I1099">
        <v>0.102407279869818</v>
      </c>
      <c r="J1099">
        <v>0.0900582042527185</v>
      </c>
      <c r="K1099">
        <v>0.08449025321499851</v>
      </c>
      <c r="L1099">
        <v>1157.12524978567</v>
      </c>
      <c r="M1099">
        <v>24.6057655840362</v>
      </c>
      <c r="N1099">
        <v>47.4443860941489</v>
      </c>
      <c r="O1099">
        <v>46.7192758328398</v>
      </c>
      <c r="P1099">
        <v>-0.118845019010455</v>
      </c>
      <c r="Q1099">
        <v>0.0974027989981916</v>
      </c>
      <c r="R1099">
        <v>0.989211186555681</v>
      </c>
      <c r="S1099" t="s">
        <v>3292</v>
      </c>
      <c r="T1099" t="s">
        <v>4362</v>
      </c>
      <c r="U1099" t="s">
        <v>4362</v>
      </c>
      <c r="V1099" t="s">
        <v>4362</v>
      </c>
      <c r="W1099" t="s">
        <v>5458</v>
      </c>
      <c r="X1099">
        <v>22</v>
      </c>
      <c r="Y1099" t="s">
        <v>7620</v>
      </c>
      <c r="Z1099" t="s">
        <v>9787</v>
      </c>
      <c r="AA1099">
        <v>0.4068977985328347</v>
      </c>
      <c r="AB1099">
        <f>HYPERLINK("Melting_Curves/meltCurve_P11875_argS.pdf", "Melting_Curves/meltCurve_P11875_argS.pdf")</f>
        <v>0</v>
      </c>
    </row>
    <row r="1100" spans="1:28">
      <c r="A1100" t="s">
        <v>1126</v>
      </c>
      <c r="B1100">
        <v>0.999739202189716</v>
      </c>
      <c r="C1100">
        <v>0.989011792924626</v>
      </c>
      <c r="D1100">
        <v>1.2678720327521</v>
      </c>
      <c r="E1100">
        <v>0.645468706047493</v>
      </c>
      <c r="F1100">
        <v>0.217102002885975</v>
      </c>
      <c r="G1100">
        <v>0.131695033535901</v>
      </c>
      <c r="H1100">
        <v>0.113419675211199</v>
      </c>
      <c r="I1100">
        <v>0.0810790399307315</v>
      </c>
      <c r="J1100">
        <v>0.0917410479281414</v>
      </c>
      <c r="K1100">
        <v>0.0625830358611183</v>
      </c>
      <c r="L1100">
        <v>2241.37041969945</v>
      </c>
      <c r="M1100">
        <v>47.555958459346</v>
      </c>
      <c r="N1100">
        <v>47.3696472844077</v>
      </c>
      <c r="O1100">
        <v>47.0480991391091</v>
      </c>
      <c r="P1100">
        <v>-0.225804561715263</v>
      </c>
      <c r="Q1100">
        <v>0.106428187102106</v>
      </c>
      <c r="R1100">
        <v>0.957100465895628</v>
      </c>
      <c r="S1100" t="s">
        <v>3293</v>
      </c>
      <c r="T1100" t="s">
        <v>4362</v>
      </c>
      <c r="U1100" t="s">
        <v>4362</v>
      </c>
      <c r="V1100" t="s">
        <v>4362</v>
      </c>
      <c r="W1100" t="s">
        <v>5459</v>
      </c>
      <c r="X1100">
        <v>4</v>
      </c>
      <c r="Y1100" t="s">
        <v>7621</v>
      </c>
      <c r="Z1100" t="s">
        <v>9788</v>
      </c>
      <c r="AA1100">
        <v>0.4102487756247458</v>
      </c>
      <c r="AB1100">
        <f>HYPERLINK("Melting_Curves/meltCurve_P11880_murF.pdf", "Melting_Curves/meltCurve_P11880_murF.pdf")</f>
        <v>0</v>
      </c>
    </row>
    <row r="1101" spans="1:28">
      <c r="A1101" t="s">
        <v>1127</v>
      </c>
      <c r="B1101">
        <v>0.999739202189716</v>
      </c>
      <c r="C1101">
        <v>0.8232175954401511</v>
      </c>
      <c r="D1101">
        <v>0.768548119204385</v>
      </c>
      <c r="E1101">
        <v>0.242401295809805</v>
      </c>
      <c r="F1101">
        <v>0.169194147913944</v>
      </c>
      <c r="G1101">
        <v>0.08740383540398081</v>
      </c>
      <c r="H1101">
        <v>0.0671861316892936</v>
      </c>
      <c r="I1101">
        <v>0.0527807038969875</v>
      </c>
      <c r="J1101">
        <v>0.0548197484918117</v>
      </c>
      <c r="K1101">
        <v>0.0518027122520921</v>
      </c>
      <c r="L1101">
        <v>964.1316746117629</v>
      </c>
      <c r="M1101">
        <v>21.7049016052889</v>
      </c>
      <c r="N1101">
        <v>44.6717767462252</v>
      </c>
      <c r="O1101">
        <v>44.0480830727012</v>
      </c>
      <c r="P1101">
        <v>-0.116098984041278</v>
      </c>
      <c r="Q1101">
        <v>0.0575735670432544</v>
      </c>
      <c r="R1101">
        <v>0.982104580461959</v>
      </c>
      <c r="S1101" t="s">
        <v>3294</v>
      </c>
      <c r="T1101" t="s">
        <v>4362</v>
      </c>
      <c r="U1101" t="s">
        <v>4362</v>
      </c>
      <c r="V1101" t="s">
        <v>4362</v>
      </c>
      <c r="W1101" t="s">
        <v>5460</v>
      </c>
      <c r="X1101">
        <v>8</v>
      </c>
      <c r="Y1101" t="s">
        <v>7622</v>
      </c>
      <c r="Z1101" t="s">
        <v>9789</v>
      </c>
      <c r="AA1101">
        <v>0.3011353249038861</v>
      </c>
      <c r="AB1101">
        <f>HYPERLINK("Melting_Curves/meltCurve_P12008_aroC.pdf", "Melting_Curves/meltCurve_P12008_aroC.pdf")</f>
        <v>0</v>
      </c>
    </row>
    <row r="1102" spans="1:28">
      <c r="A1102" t="s">
        <v>1128</v>
      </c>
      <c r="B1102">
        <v>0.999739202189716</v>
      </c>
      <c r="C1102">
        <v>0.910689324774873</v>
      </c>
      <c r="D1102">
        <v>0.932388475460311</v>
      </c>
      <c r="E1102">
        <v>0.813206844723543</v>
      </c>
      <c r="F1102">
        <v>0.334198878079079</v>
      </c>
      <c r="G1102">
        <v>0.123230049096902</v>
      </c>
      <c r="H1102">
        <v>0.0943568930462301</v>
      </c>
      <c r="I1102">
        <v>0.0732257499056457</v>
      </c>
      <c r="J1102">
        <v>0.0581071333974848</v>
      </c>
      <c r="K1102">
        <v>0.044588013100229</v>
      </c>
      <c r="L1102">
        <v>1366.58080997809</v>
      </c>
      <c r="M1102">
        <v>28.0586840571479</v>
      </c>
      <c r="N1102">
        <v>48.9343901830909</v>
      </c>
      <c r="O1102">
        <v>48.4590027509212</v>
      </c>
      <c r="P1102">
        <v>-0.135813653372301</v>
      </c>
      <c r="Q1102">
        <v>0.061775226930281</v>
      </c>
      <c r="R1102">
        <v>0.99306663321841</v>
      </c>
      <c r="S1102" t="s">
        <v>3295</v>
      </c>
      <c r="T1102" t="s">
        <v>4362</v>
      </c>
      <c r="U1102" t="s">
        <v>4362</v>
      </c>
      <c r="V1102" t="s">
        <v>4362</v>
      </c>
      <c r="W1102" t="s">
        <v>5461</v>
      </c>
      <c r="X1102">
        <v>5</v>
      </c>
      <c r="Y1102" t="s">
        <v>7623</v>
      </c>
      <c r="Z1102" t="s">
        <v>9790</v>
      </c>
      <c r="AA1102">
        <v>0.4342515836250014</v>
      </c>
      <c r="AB1102">
        <f>HYPERLINK("Melting_Curves/meltCurve_P12281_moeA.pdf", "Melting_Curves/meltCurve_P12281_moeA.pdf")</f>
        <v>0</v>
      </c>
    </row>
    <row r="1103" spans="1:28">
      <c r="A1103" t="s">
        <v>1129</v>
      </c>
      <c r="B1103">
        <v>0.999739202189716</v>
      </c>
      <c r="C1103">
        <v>1.08752317624422</v>
      </c>
      <c r="D1103">
        <v>0.9440120538890659</v>
      </c>
      <c r="E1103">
        <v>1.13872447517572</v>
      </c>
      <c r="F1103">
        <v>0.8745061691306421</v>
      </c>
      <c r="G1103">
        <v>0.641447072475208</v>
      </c>
      <c r="H1103">
        <v>0.347172868747211</v>
      </c>
      <c r="I1103">
        <v>0.222443087670828</v>
      </c>
      <c r="J1103">
        <v>0.184041216538648</v>
      </c>
      <c r="K1103">
        <v>0.153978359310908</v>
      </c>
      <c r="L1103">
        <v>1352.63305104971</v>
      </c>
      <c r="M1103">
        <v>24.8451151963799</v>
      </c>
      <c r="N1103">
        <v>55.3011931713284</v>
      </c>
      <c r="O1103">
        <v>54.0935880922586</v>
      </c>
      <c r="P1103">
        <v>-0.0964513270443715</v>
      </c>
      <c r="Q1103">
        <v>0.160023784125592</v>
      </c>
      <c r="R1103">
        <v>0.975430518040455</v>
      </c>
      <c r="S1103" t="s">
        <v>3296</v>
      </c>
      <c r="T1103" t="s">
        <v>4362</v>
      </c>
      <c r="U1103" t="s">
        <v>4362</v>
      </c>
      <c r="V1103" t="s">
        <v>4362</v>
      </c>
      <c r="W1103" t="s">
        <v>5462</v>
      </c>
      <c r="X1103">
        <v>2</v>
      </c>
      <c r="Y1103" t="s">
        <v>7624</v>
      </c>
      <c r="Z1103" t="s">
        <v>9791</v>
      </c>
      <c r="AA1103">
        <v>0.655737446979071</v>
      </c>
      <c r="AB1103">
        <f>HYPERLINK("Melting_Curves/meltCurve_P12282_moeB.pdf", "Melting_Curves/meltCurve_P12282_moeB.pdf")</f>
        <v>0</v>
      </c>
    </row>
    <row r="1104" spans="1:28">
      <c r="A1104" t="s">
        <v>1130</v>
      </c>
      <c r="B1104">
        <v>0.999739202189716</v>
      </c>
      <c r="C1104">
        <v>0.764386923190297</v>
      </c>
      <c r="D1104">
        <v>0.998051814311803</v>
      </c>
      <c r="E1104">
        <v>0.552708634678263</v>
      </c>
      <c r="F1104">
        <v>0.218143831919249</v>
      </c>
      <c r="G1104">
        <v>0.135018596116728</v>
      </c>
      <c r="H1104">
        <v>0.107735656555453</v>
      </c>
      <c r="I1104">
        <v>0.0991944019533364</v>
      </c>
      <c r="J1104">
        <v>0.08157672763203259</v>
      </c>
      <c r="K1104">
        <v>0.0892550196860433</v>
      </c>
      <c r="L1104">
        <v>1327.09798362372</v>
      </c>
      <c r="M1104">
        <v>28.3824642122796</v>
      </c>
      <c r="N1104">
        <v>47.1170322766144</v>
      </c>
      <c r="O1104">
        <v>46.5274028733275</v>
      </c>
      <c r="P1104">
        <v>-0.13766278488285</v>
      </c>
      <c r="Q1104">
        <v>0.09732435007365089</v>
      </c>
      <c r="R1104">
        <v>0.957091782755754</v>
      </c>
      <c r="S1104" t="s">
        <v>3297</v>
      </c>
      <c r="T1104" t="s">
        <v>4362</v>
      </c>
      <c r="U1104" t="s">
        <v>4362</v>
      </c>
      <c r="V1104" t="s">
        <v>4362</v>
      </c>
      <c r="W1104" t="s">
        <v>5463</v>
      </c>
      <c r="X1104">
        <v>2</v>
      </c>
      <c r="Y1104" t="s">
        <v>7625</v>
      </c>
      <c r="Z1104" t="s">
        <v>9792</v>
      </c>
      <c r="AA1104">
        <v>0.3967681716721113</v>
      </c>
      <c r="AB1104">
        <f>HYPERLINK("Melting_Curves/meltCurve_P12295_ung.pdf", "Melting_Curves/meltCurve_P12295_ung.pdf")</f>
        <v>0</v>
      </c>
    </row>
    <row r="1105" spans="1:28">
      <c r="A1105" t="s">
        <v>1131</v>
      </c>
      <c r="B1105">
        <v>0.999739202189716</v>
      </c>
      <c r="C1105">
        <v>0.77956873345069</v>
      </c>
      <c r="D1105">
        <v>1.25489694207908</v>
      </c>
      <c r="E1105">
        <v>0.873345071039951</v>
      </c>
      <c r="F1105">
        <v>0.941716294795781</v>
      </c>
      <c r="G1105">
        <v>0.9680260035289751</v>
      </c>
      <c r="H1105">
        <v>0.641159566229572</v>
      </c>
      <c r="I1105">
        <v>0.335398434986646</v>
      </c>
      <c r="J1105">
        <v>0.0470455816856556</v>
      </c>
      <c r="K1105">
        <v>0.0379411110047488</v>
      </c>
      <c r="L1105">
        <v>1596.24562293066</v>
      </c>
      <c r="M1105">
        <v>27.0839444971064</v>
      </c>
      <c r="N1105">
        <v>58.9369581636758</v>
      </c>
      <c r="O1105">
        <v>58.6184875028176</v>
      </c>
      <c r="P1105">
        <v>-0.115510547912223</v>
      </c>
      <c r="Q1105">
        <v>0</v>
      </c>
      <c r="R1105">
        <v>0.91061227078087</v>
      </c>
      <c r="S1105" t="s">
        <v>3298</v>
      </c>
      <c r="T1105" t="s">
        <v>4362</v>
      </c>
      <c r="U1105" t="s">
        <v>4362</v>
      </c>
      <c r="V1105" t="s">
        <v>4362</v>
      </c>
      <c r="W1105" t="s">
        <v>5464</v>
      </c>
      <c r="X1105">
        <v>11</v>
      </c>
      <c r="Y1105" t="s">
        <v>7626</v>
      </c>
      <c r="Z1105" t="s">
        <v>9793</v>
      </c>
      <c r="AA1105">
        <v>0.7363380594033856</v>
      </c>
      <c r="AB1105">
        <f>HYPERLINK("Melting_Curves/meltCurve_P12758_udp.pdf", "Melting_Curves/meltCurve_P12758_udp.pdf")</f>
        <v>0</v>
      </c>
    </row>
    <row r="1106" spans="1:28">
      <c r="A1106" t="s">
        <v>1132</v>
      </c>
      <c r="B1106">
        <v>0.999739202189716</v>
      </c>
      <c r="C1106">
        <v>1.04009961107692</v>
      </c>
      <c r="D1106">
        <v>0.966532352940155</v>
      </c>
      <c r="E1106">
        <v>1.08865927250593</v>
      </c>
      <c r="F1106">
        <v>0.788006915758967</v>
      </c>
      <c r="G1106">
        <v>0.422150018276018</v>
      </c>
      <c r="H1106">
        <v>0.192827408153525</v>
      </c>
      <c r="I1106">
        <v>0.12833589900717</v>
      </c>
      <c r="J1106">
        <v>0.102006897788634</v>
      </c>
      <c r="K1106">
        <v>0.07955234536936651</v>
      </c>
      <c r="L1106">
        <v>1470.13804107159</v>
      </c>
      <c r="M1106">
        <v>27.9165635999602</v>
      </c>
      <c r="N1106">
        <v>53.0746428203396</v>
      </c>
      <c r="O1106">
        <v>52.3938719827577</v>
      </c>
      <c r="P1106">
        <v>-0.120207739859032</v>
      </c>
      <c r="Q1106">
        <v>0.0975834694643589</v>
      </c>
      <c r="R1106">
        <v>0.99014265688591</v>
      </c>
      <c r="S1106" t="s">
        <v>3299</v>
      </c>
      <c r="T1106" t="s">
        <v>4362</v>
      </c>
      <c r="U1106" t="s">
        <v>4362</v>
      </c>
      <c r="V1106" t="s">
        <v>4362</v>
      </c>
      <c r="W1106" t="s">
        <v>5465</v>
      </c>
      <c r="X1106">
        <v>4</v>
      </c>
      <c r="Y1106" t="s">
        <v>7627</v>
      </c>
      <c r="Z1106" t="s">
        <v>9794</v>
      </c>
      <c r="AA1106">
        <v>0.5752534787766318</v>
      </c>
      <c r="AB1106">
        <f>HYPERLINK("Melting_Curves/meltCurve_P12994_ybhB.pdf", "Melting_Curves/meltCurve_P12994_ybhB.pdf")</f>
        <v>0</v>
      </c>
    </row>
    <row r="1107" spans="1:28">
      <c r="A1107" t="s">
        <v>1133</v>
      </c>
      <c r="B1107">
        <v>0.999739202189716</v>
      </c>
      <c r="C1107">
        <v>0.76034091533853</v>
      </c>
      <c r="D1107">
        <v>1.15633176421782</v>
      </c>
      <c r="E1107">
        <v>0.800727286780226</v>
      </c>
      <c r="F1107">
        <v>0.8393422058461329</v>
      </c>
      <c r="G1107">
        <v>0.456182126144707</v>
      </c>
      <c r="H1107">
        <v>0.152612505797628</v>
      </c>
      <c r="I1107">
        <v>0.105502827021748</v>
      </c>
      <c r="J1107">
        <v>0.113152125910303</v>
      </c>
      <c r="K1107">
        <v>0.0916136918470716</v>
      </c>
      <c r="L1107">
        <v>1258.62993671699</v>
      </c>
      <c r="M1107">
        <v>23.8090463160442</v>
      </c>
      <c r="N1107">
        <v>53.2279239875661</v>
      </c>
      <c r="O1107">
        <v>52.4948262065502</v>
      </c>
      <c r="P1107">
        <v>-0.104862027266747</v>
      </c>
      <c r="Q1107">
        <v>0.07520461744007199</v>
      </c>
      <c r="R1107">
        <v>0.9251071584956519</v>
      </c>
      <c r="S1107" t="s">
        <v>3300</v>
      </c>
      <c r="T1107" t="s">
        <v>4362</v>
      </c>
      <c r="U1107" t="s">
        <v>4362</v>
      </c>
      <c r="V1107" t="s">
        <v>4362</v>
      </c>
      <c r="W1107" t="s">
        <v>5466</v>
      </c>
      <c r="X1107">
        <v>2</v>
      </c>
      <c r="Y1107" t="s">
        <v>7628</v>
      </c>
      <c r="Z1107" t="s">
        <v>9795</v>
      </c>
      <c r="AA1107">
        <v>0.5731108372464481</v>
      </c>
      <c r="AB1107">
        <f>HYPERLINK("Melting_Curves/meltCurve_P13001_bioH.pdf", "Melting_Curves/meltCurve_P13001_bioH.pdf")</f>
        <v>0</v>
      </c>
    </row>
    <row r="1108" spans="1:28">
      <c r="A1108" t="s">
        <v>1134</v>
      </c>
      <c r="B1108">
        <v>0.999739202189716</v>
      </c>
      <c r="C1108">
        <v>0.96225558020376</v>
      </c>
      <c r="D1108">
        <v>0.526002128694993</v>
      </c>
      <c r="E1108">
        <v>0.334037327808138</v>
      </c>
      <c r="F1108">
        <v>0.182393983366082</v>
      </c>
      <c r="G1108">
        <v>0.109588882856415</v>
      </c>
      <c r="H1108">
        <v>0.0939125530789439</v>
      </c>
      <c r="I1108">
        <v>0.0674890805234154</v>
      </c>
      <c r="J1108">
        <v>0.0769858625450266</v>
      </c>
      <c r="K1108">
        <v>0.06397603692459269</v>
      </c>
      <c r="L1108">
        <v>856.737909494432</v>
      </c>
      <c r="M1108">
        <v>19.6191868445225</v>
      </c>
      <c r="N1108">
        <v>44.0775560351131</v>
      </c>
      <c r="O1108">
        <v>43.2222792625842</v>
      </c>
      <c r="P1108">
        <v>-0.104034581185387</v>
      </c>
      <c r="Q1108">
        <v>0.0832538636154713</v>
      </c>
      <c r="R1108">
        <v>0.984150482280116</v>
      </c>
      <c r="S1108" t="s">
        <v>3301</v>
      </c>
      <c r="T1108" t="s">
        <v>4362</v>
      </c>
      <c r="U1108" t="s">
        <v>4362</v>
      </c>
      <c r="V1108" t="s">
        <v>4362</v>
      </c>
      <c r="W1108" t="s">
        <v>5467</v>
      </c>
      <c r="X1108">
        <v>5</v>
      </c>
      <c r="Y1108" t="s">
        <v>7629</v>
      </c>
      <c r="Z1108" t="s">
        <v>9796</v>
      </c>
      <c r="AA1108">
        <v>0.2999663183933846</v>
      </c>
      <c r="AB1108">
        <f>HYPERLINK("Melting_Curves/meltCurve_P13009_metH.pdf", "Melting_Curves/meltCurve_P13009_metH.pdf")</f>
        <v>0</v>
      </c>
    </row>
    <row r="1109" spans="1:28">
      <c r="A1109" t="s">
        <v>1135</v>
      </c>
      <c r="B1109">
        <v>0.999739202189716</v>
      </c>
      <c r="C1109">
        <v>1.05604613997843</v>
      </c>
      <c r="D1109">
        <v>0.685273441763307</v>
      </c>
      <c r="E1109">
        <v>0.668231790176918</v>
      </c>
      <c r="F1109">
        <v>0.440765272272687</v>
      </c>
      <c r="G1109">
        <v>0.24120424711438</v>
      </c>
      <c r="H1109">
        <v>0.163844068119068</v>
      </c>
      <c r="I1109">
        <v>0.110364271341096</v>
      </c>
      <c r="J1109">
        <v>0.0978716251479997</v>
      </c>
      <c r="K1109">
        <v>0.0921301795643312</v>
      </c>
      <c r="L1109">
        <v>585.058256963243</v>
      </c>
      <c r="M1109">
        <v>12.1252000931774</v>
      </c>
      <c r="N1109">
        <v>48.6744852463435</v>
      </c>
      <c r="O1109">
        <v>46.9952107621524</v>
      </c>
      <c r="P1109">
        <v>-0.0612906225484751</v>
      </c>
      <c r="Q1109">
        <v>0.0500114775328346</v>
      </c>
      <c r="R1109">
        <v>0.9694162281651439</v>
      </c>
      <c r="S1109" t="s">
        <v>3302</v>
      </c>
      <c r="T1109" t="s">
        <v>4362</v>
      </c>
      <c r="U1109" t="s">
        <v>4362</v>
      </c>
      <c r="V1109" t="s">
        <v>4362</v>
      </c>
      <c r="W1109" t="s">
        <v>5468</v>
      </c>
      <c r="X1109">
        <v>4</v>
      </c>
      <c r="Y1109" t="s">
        <v>7630</v>
      </c>
      <c r="Z1109" t="s">
        <v>9797</v>
      </c>
      <c r="AA1109">
        <v>0.4352379843794721</v>
      </c>
      <c r="AB1109">
        <f>HYPERLINK("Melting_Curves/meltCurve_P13016_ampD.pdf", "Melting_Curves/meltCurve_P13016_ampD.pdf")</f>
        <v>0</v>
      </c>
    </row>
    <row r="1110" spans="1:28">
      <c r="A1110" t="s">
        <v>1136</v>
      </c>
      <c r="B1110">
        <v>0.999739202189716</v>
      </c>
      <c r="C1110">
        <v>0.743726441138199</v>
      </c>
      <c r="D1110">
        <v>0.929646546427476</v>
      </c>
      <c r="E1110">
        <v>0.665099411465179</v>
      </c>
      <c r="F1110">
        <v>0.516048533095228</v>
      </c>
      <c r="G1110">
        <v>0.301926064823714</v>
      </c>
      <c r="H1110">
        <v>0.213510467692059</v>
      </c>
      <c r="I1110">
        <v>0.152041072999992</v>
      </c>
      <c r="J1110">
        <v>0.126597241516475</v>
      </c>
      <c r="K1110">
        <v>0.0934100838478186</v>
      </c>
      <c r="L1110">
        <v>475.631670559002</v>
      </c>
      <c r="M1110">
        <v>9.51897747625185</v>
      </c>
      <c r="N1110">
        <v>50.0035040253609</v>
      </c>
      <c r="O1110">
        <v>47.9105815240639</v>
      </c>
      <c r="P1110">
        <v>-0.0495260773859554</v>
      </c>
      <c r="Q1110">
        <v>0.00349334921957923</v>
      </c>
      <c r="R1110">
        <v>0.957748436803869</v>
      </c>
      <c r="S1110" t="s">
        <v>3303</v>
      </c>
      <c r="T1110" t="s">
        <v>4362</v>
      </c>
      <c r="U1110" t="s">
        <v>4362</v>
      </c>
      <c r="V1110" t="s">
        <v>4362</v>
      </c>
      <c r="W1110" t="s">
        <v>5469</v>
      </c>
      <c r="X1110">
        <v>6</v>
      </c>
      <c r="Y1110" t="s">
        <v>7631</v>
      </c>
      <c r="Z1110" t="s">
        <v>9798</v>
      </c>
      <c r="AA1110">
        <v>0.4697123998685092</v>
      </c>
      <c r="AB1110">
        <f>HYPERLINK("Melting_Curves/meltCurve_P13024_fdhE.pdf", "Melting_Curves/meltCurve_P13024_fdhE.pdf")</f>
        <v>0</v>
      </c>
    </row>
    <row r="1111" spans="1:28">
      <c r="A1111" t="s">
        <v>1137</v>
      </c>
      <c r="B1111">
        <v>0.999739202189716</v>
      </c>
      <c r="C1111">
        <v>1.58326049060724</v>
      </c>
      <c r="D1111">
        <v>1.28479383665766</v>
      </c>
      <c r="E1111">
        <v>1.57165560859722</v>
      </c>
      <c r="F1111">
        <v>0.466253077894755</v>
      </c>
      <c r="G1111">
        <v>0.233233942365675</v>
      </c>
      <c r="H1111">
        <v>0.123402487669827</v>
      </c>
      <c r="I1111">
        <v>0.09607524403565811</v>
      </c>
      <c r="J1111">
        <v>0.08379051630751989</v>
      </c>
      <c r="K1111">
        <v>0.0780193258048779</v>
      </c>
      <c r="L1111">
        <v>12527.8530228822</v>
      </c>
      <c r="M1111">
        <v>250</v>
      </c>
      <c r="N1111">
        <v>50.1680285185952</v>
      </c>
      <c r="O1111">
        <v>50.1082056956711</v>
      </c>
      <c r="P1111">
        <v>-1.09400210000982</v>
      </c>
      <c r="Q1111">
        <v>0.122904291925602</v>
      </c>
      <c r="R1111">
        <v>0.792530544018718</v>
      </c>
      <c r="S1111" t="s">
        <v>3304</v>
      </c>
      <c r="T1111" t="s">
        <v>4362</v>
      </c>
      <c r="U1111" t="s">
        <v>4362</v>
      </c>
      <c r="V1111" t="s">
        <v>4362</v>
      </c>
      <c r="W1111" t="s">
        <v>5470</v>
      </c>
      <c r="X1111">
        <v>35</v>
      </c>
      <c r="Y1111" t="s">
        <v>7632</v>
      </c>
      <c r="Z1111" t="s">
        <v>9799</v>
      </c>
      <c r="AA1111">
        <v>0.506313536962719</v>
      </c>
      <c r="AB1111">
        <f>HYPERLINK("Melting_Curves/meltCurve_P13029_katG.pdf", "Melting_Curves/meltCurve_P13029_katG.pdf")</f>
        <v>0</v>
      </c>
    </row>
    <row r="1112" spans="1:28">
      <c r="A1112" t="s">
        <v>1138</v>
      </c>
      <c r="B1112">
        <v>0.999739202189716</v>
      </c>
      <c r="C1112">
        <v>1.04709715353986</v>
      </c>
      <c r="D1112">
        <v>0.813592740544524</v>
      </c>
      <c r="E1112">
        <v>0.654130067555004</v>
      </c>
      <c r="F1112">
        <v>0.553233854843141</v>
      </c>
      <c r="G1112">
        <v>0.324777526272534</v>
      </c>
      <c r="H1112">
        <v>0.211911102005769</v>
      </c>
      <c r="I1112">
        <v>0.155918479504832</v>
      </c>
      <c r="J1112">
        <v>0.118310208297197</v>
      </c>
      <c r="K1112">
        <v>0.0947665504034413</v>
      </c>
      <c r="L1112">
        <v>564.370718871493</v>
      </c>
      <c r="M1112">
        <v>11.3376194078557</v>
      </c>
      <c r="N1112">
        <v>50.2230381933575</v>
      </c>
      <c r="O1112">
        <v>48.3053905089211</v>
      </c>
      <c r="P1112">
        <v>-0.0558928324225346</v>
      </c>
      <c r="Q1112">
        <v>0.0477314298140739</v>
      </c>
      <c r="R1112">
        <v>0.985197443435251</v>
      </c>
      <c r="S1112" t="s">
        <v>3305</v>
      </c>
      <c r="T1112" t="s">
        <v>4362</v>
      </c>
      <c r="U1112" t="s">
        <v>4362</v>
      </c>
      <c r="V1112" t="s">
        <v>4362</v>
      </c>
      <c r="W1112" t="s">
        <v>5471</v>
      </c>
      <c r="X1112">
        <v>11</v>
      </c>
      <c r="Y1112" t="s">
        <v>7633</v>
      </c>
      <c r="Z1112" t="s">
        <v>9800</v>
      </c>
      <c r="AA1112">
        <v>0.4822470989269502</v>
      </c>
      <c r="AB1112">
        <f>HYPERLINK("Melting_Curves/meltCurve_P13035_glpD.pdf", "Melting_Curves/meltCurve_P13035_glpD.pdf")</f>
        <v>0</v>
      </c>
    </row>
    <row r="1113" spans="1:28">
      <c r="A1113" t="s">
        <v>1139</v>
      </c>
      <c r="B1113">
        <v>0.999739202189716</v>
      </c>
      <c r="C1113">
        <v>1.2225439488943</v>
      </c>
      <c r="D1113">
        <v>0.890164130480511</v>
      </c>
      <c r="E1113">
        <v>1.24868114665059</v>
      </c>
      <c r="F1113">
        <v>0.907796379663798</v>
      </c>
      <c r="G1113">
        <v>0.784740285537521</v>
      </c>
      <c r="H1113">
        <v>0.776367446476651</v>
      </c>
      <c r="I1113">
        <v>0.697650499739953</v>
      </c>
      <c r="J1113">
        <v>0.822306703707246</v>
      </c>
      <c r="K1113">
        <v>0.607587339274706</v>
      </c>
      <c r="L1113">
        <v>2126.64445172866</v>
      </c>
      <c r="M1113">
        <v>41.1435110045054</v>
      </c>
      <c r="O1113">
        <v>51.5668023604655</v>
      </c>
      <c r="P1113">
        <v>-0.0546066220649084</v>
      </c>
      <c r="Q1113">
        <v>0.726237925313389</v>
      </c>
      <c r="R1113">
        <v>0.616189882852917</v>
      </c>
      <c r="S1113" t="s">
        <v>3306</v>
      </c>
      <c r="T1113" t="s">
        <v>4362</v>
      </c>
      <c r="U1113" t="s">
        <v>4362</v>
      </c>
      <c r="V1113" t="s">
        <v>4362</v>
      </c>
      <c r="W1113" t="s">
        <v>5472</v>
      </c>
      <c r="X1113">
        <v>6</v>
      </c>
      <c r="Y1113" t="s">
        <v>7634</v>
      </c>
      <c r="Z1113" t="s">
        <v>9801</v>
      </c>
      <c r="AA1113">
        <v>0.8611985877104972</v>
      </c>
      <c r="AB1113">
        <f>HYPERLINK("Melting_Curves/meltCurve_P13036_fecA.pdf", "Melting_Curves/meltCurve_P13036_fecA.pdf")</f>
        <v>0</v>
      </c>
    </row>
    <row r="1114" spans="1:28">
      <c r="A1114" t="s">
        <v>1140</v>
      </c>
      <c r="B1114">
        <v>0.999739202189716</v>
      </c>
      <c r="C1114">
        <v>0.785689319504458</v>
      </c>
      <c r="D1114">
        <v>0.5347219103359711</v>
      </c>
      <c r="E1114">
        <v>0.348437213524577</v>
      </c>
      <c r="F1114">
        <v>0.250621694629185</v>
      </c>
      <c r="G1114">
        <v>0.155666863912541</v>
      </c>
      <c r="H1114">
        <v>0.121768671799801</v>
      </c>
      <c r="I1114">
        <v>0.0977519474438527</v>
      </c>
      <c r="J1114">
        <v>0.08866350432482011</v>
      </c>
      <c r="K1114">
        <v>0.0942914549997434</v>
      </c>
      <c r="L1114">
        <v>615.804416696207</v>
      </c>
      <c r="M1114">
        <v>14.2032858381954</v>
      </c>
      <c r="N1114">
        <v>44.0087948901793</v>
      </c>
      <c r="O1114">
        <v>42.5241672953612</v>
      </c>
      <c r="P1114">
        <v>-0.0755846257980104</v>
      </c>
      <c r="Q1114">
        <v>0.0949217511573769</v>
      </c>
      <c r="R1114">
        <v>0.990321881848079</v>
      </c>
      <c r="S1114" t="s">
        <v>3307</v>
      </c>
      <c r="T1114" t="s">
        <v>4362</v>
      </c>
      <c r="U1114" t="s">
        <v>4362</v>
      </c>
      <c r="V1114" t="s">
        <v>4362</v>
      </c>
      <c r="W1114" t="s">
        <v>5473</v>
      </c>
      <c r="X1114">
        <v>3</v>
      </c>
      <c r="Y1114" t="s">
        <v>7635</v>
      </c>
      <c r="Z1114" t="s">
        <v>9802</v>
      </c>
      <c r="AA1114">
        <v>0.3128544678278548</v>
      </c>
      <c r="AB1114">
        <f>HYPERLINK("Melting_Curves/meltCurve_P13445_rpoS.pdf", "Melting_Curves/meltCurve_P13445_rpoS.pdf")</f>
        <v>0</v>
      </c>
    </row>
    <row r="1115" spans="1:28">
      <c r="A1115" t="s">
        <v>1141</v>
      </c>
      <c r="B1115">
        <v>0.999739202189716</v>
      </c>
      <c r="C1115">
        <v>1.15614024194734</v>
      </c>
      <c r="D1115">
        <v>0.309183800579039</v>
      </c>
      <c r="E1115">
        <v>0.404793159504047</v>
      </c>
      <c r="F1115">
        <v>0.314549946592555</v>
      </c>
      <c r="G1115">
        <v>0.192440189157171</v>
      </c>
      <c r="H1115">
        <v>0.211654387845814</v>
      </c>
      <c r="I1115">
        <v>0.166677676616359</v>
      </c>
      <c r="J1115">
        <v>0.167273081007001</v>
      </c>
      <c r="K1115">
        <v>0.155731169324205</v>
      </c>
      <c r="L1115">
        <v>10656.6149650162</v>
      </c>
      <c r="M1115">
        <v>250</v>
      </c>
      <c r="N1115">
        <v>42.7320651314931</v>
      </c>
      <c r="O1115">
        <v>42.6237320902857</v>
      </c>
      <c r="P1115">
        <v>-1.12841237987838</v>
      </c>
      <c r="Q1115">
        <v>0.230445650163989</v>
      </c>
      <c r="R1115">
        <v>0.935227899970565</v>
      </c>
      <c r="S1115" t="s">
        <v>3308</v>
      </c>
      <c r="T1115" t="s">
        <v>4362</v>
      </c>
      <c r="U1115" t="s">
        <v>4362</v>
      </c>
      <c r="V1115" t="s">
        <v>4362</v>
      </c>
      <c r="W1115" t="s">
        <v>5474</v>
      </c>
      <c r="X1115">
        <v>1</v>
      </c>
      <c r="Y1115" t="s">
        <v>7636</v>
      </c>
      <c r="Z1115" t="s">
        <v>9803</v>
      </c>
      <c r="AA1115">
        <v>0.3748321082308357</v>
      </c>
      <c r="AB1115">
        <f>HYPERLINK("Melting_Curves/meltCurve_P13458_sbcC.pdf", "Melting_Curves/meltCurve_P13458_sbcC.pdf")</f>
        <v>0</v>
      </c>
    </row>
    <row r="1116" spans="1:28">
      <c r="A1116" t="s">
        <v>1142</v>
      </c>
      <c r="B1116">
        <v>0.999739202189716</v>
      </c>
      <c r="C1116">
        <v>1.01392415988504</v>
      </c>
      <c r="D1116">
        <v>0.916967684485447</v>
      </c>
      <c r="E1116">
        <v>0.989470756305406</v>
      </c>
      <c r="F1116">
        <v>0.737200875487282</v>
      </c>
      <c r="G1116">
        <v>0.428512063636654</v>
      </c>
      <c r="H1116">
        <v>0.230945033470429</v>
      </c>
      <c r="I1116">
        <v>0.142953431255867</v>
      </c>
      <c r="J1116">
        <v>0.113565167066668</v>
      </c>
      <c r="K1116">
        <v>0.0958962322346744</v>
      </c>
      <c r="L1116">
        <v>1118.53522508107</v>
      </c>
      <c r="M1116">
        <v>21.3153411333495</v>
      </c>
      <c r="N1116">
        <v>53.0028121811254</v>
      </c>
      <c r="O1116">
        <v>52.0202836194178</v>
      </c>
      <c r="P1116">
        <v>-0.0926544779167127</v>
      </c>
      <c r="Q1116">
        <v>0.0955267093782259</v>
      </c>
      <c r="R1116">
        <v>0.99421196771521</v>
      </c>
      <c r="S1116" t="s">
        <v>3309</v>
      </c>
      <c r="T1116" t="s">
        <v>4362</v>
      </c>
      <c r="U1116" t="s">
        <v>4362</v>
      </c>
      <c r="V1116" t="s">
        <v>4362</v>
      </c>
      <c r="W1116" t="s">
        <v>5475</v>
      </c>
      <c r="X1116">
        <v>15</v>
      </c>
      <c r="Y1116" t="s">
        <v>7637</v>
      </c>
      <c r="Z1116" t="s">
        <v>9804</v>
      </c>
      <c r="AA1116">
        <v>0.5725762075278126</v>
      </c>
      <c r="AB1116">
        <f>HYPERLINK("Melting_Curves/meltCurve_P13482_treA.pdf", "Melting_Curves/meltCurve_P13482_treA.pdf")</f>
        <v>0</v>
      </c>
    </row>
    <row r="1117" spans="1:28">
      <c r="A1117" t="s">
        <v>1143</v>
      </c>
      <c r="B1117">
        <v>0.999739202189716</v>
      </c>
      <c r="C1117">
        <v>0.407355236295797</v>
      </c>
      <c r="D1117">
        <v>0.31280377312158</v>
      </c>
      <c r="E1117">
        <v>0.198240774521109</v>
      </c>
      <c r="F1117">
        <v>0.135330105389098</v>
      </c>
      <c r="G1117">
        <v>0.114888518942515</v>
      </c>
      <c r="H1117">
        <v>0.06845758755185689</v>
      </c>
      <c r="I1117">
        <v>0.0696210274118524</v>
      </c>
      <c r="J1117">
        <v>0.0639306627998857</v>
      </c>
      <c r="K1117">
        <v>0.0486861967442887</v>
      </c>
      <c r="L1117">
        <v>1143.37561266624</v>
      </c>
      <c r="M1117">
        <v>28.9077776889637</v>
      </c>
      <c r="N1117">
        <v>39.8899574243904</v>
      </c>
      <c r="O1117">
        <v>39.3647081178958</v>
      </c>
      <c r="P1117">
        <v>-0.163677628093787</v>
      </c>
      <c r="Q1117">
        <v>0.108465286439304</v>
      </c>
      <c r="R1117">
        <v>0.933789616715458</v>
      </c>
      <c r="S1117" t="s">
        <v>3310</v>
      </c>
      <c r="T1117" t="s">
        <v>4362</v>
      </c>
      <c r="U1117" t="s">
        <v>4362</v>
      </c>
      <c r="V1117" t="s">
        <v>4362</v>
      </c>
      <c r="W1117" t="s">
        <v>5476</v>
      </c>
      <c r="X1117">
        <v>1</v>
      </c>
      <c r="Y1117" t="s">
        <v>7638</v>
      </c>
      <c r="Z1117" t="s">
        <v>9805</v>
      </c>
      <c r="AA1117">
        <v>0.1932907711814231</v>
      </c>
      <c r="AB1117">
        <f>HYPERLINK("Melting_Curves/meltCurve_P13518_csrD.pdf", "Melting_Curves/meltCurve_P13518_csrD.pdf")</f>
        <v>0</v>
      </c>
    </row>
    <row r="1118" spans="1:28">
      <c r="A1118" t="s">
        <v>1144</v>
      </c>
      <c r="B1118">
        <v>0.999739202189716</v>
      </c>
      <c r="C1118">
        <v>1.13100943356839</v>
      </c>
      <c r="D1118">
        <v>1.06113921772321</v>
      </c>
      <c r="E1118">
        <v>1.06918734751015</v>
      </c>
      <c r="F1118">
        <v>0.845913073224678</v>
      </c>
      <c r="G1118">
        <v>0.263580741539613</v>
      </c>
      <c r="H1118">
        <v>0.154506959423535</v>
      </c>
      <c r="I1118">
        <v>0.107569742169002</v>
      </c>
      <c r="J1118">
        <v>0.0976508971503173</v>
      </c>
      <c r="K1118">
        <v>0.0719259413766873</v>
      </c>
      <c r="L1118">
        <v>2322.18428057833</v>
      </c>
      <c r="M1118">
        <v>44.6614040639115</v>
      </c>
      <c r="N1118">
        <v>52.2663104199394</v>
      </c>
      <c r="O1118">
        <v>51.8914037488902</v>
      </c>
      <c r="P1118">
        <v>-0.192929564202306</v>
      </c>
      <c r="Q1118">
        <v>0.103353536174602</v>
      </c>
      <c r="R1118">
        <v>0.98565633050324</v>
      </c>
      <c r="S1118" t="s">
        <v>3311</v>
      </c>
      <c r="T1118" t="s">
        <v>4362</v>
      </c>
      <c r="U1118" t="s">
        <v>4362</v>
      </c>
      <c r="V1118" t="s">
        <v>4362</v>
      </c>
      <c r="W1118" t="s">
        <v>5477</v>
      </c>
      <c r="X1118">
        <v>2</v>
      </c>
      <c r="Y1118" t="s">
        <v>7639</v>
      </c>
      <c r="Z1118" t="s">
        <v>9806</v>
      </c>
      <c r="AA1118">
        <v>0.5541155138395747</v>
      </c>
      <c r="AB1118">
        <f>HYPERLINK("Melting_Curves/meltCurve_P13656_chiA.pdf", "Melting_Curves/meltCurve_P13656_chiA.pdf")</f>
        <v>0</v>
      </c>
    </row>
    <row r="1119" spans="1:28">
      <c r="A1119" t="s">
        <v>1145</v>
      </c>
      <c r="B1119">
        <v>0.999739202189716</v>
      </c>
      <c r="C1119">
        <v>1.45793929227479</v>
      </c>
      <c r="D1119">
        <v>0.483235490891352</v>
      </c>
      <c r="E1119">
        <v>0.473482088213067</v>
      </c>
      <c r="F1119">
        <v>0.416316627210521</v>
      </c>
      <c r="G1119">
        <v>0.211292503842608</v>
      </c>
      <c r="H1119">
        <v>0.172987962940296</v>
      </c>
      <c r="I1119">
        <v>0.0805874767505886</v>
      </c>
      <c r="J1119">
        <v>0.0689430358643877</v>
      </c>
      <c r="K1119">
        <v>0.0523040922162081</v>
      </c>
      <c r="L1119">
        <v>743.793509441929</v>
      </c>
      <c r="M1119">
        <v>16.162834487884</v>
      </c>
      <c r="N1119">
        <v>46.6529954437944</v>
      </c>
      <c r="O1119">
        <v>45.3315936012447</v>
      </c>
      <c r="P1119">
        <v>-0.0803509501842764</v>
      </c>
      <c r="Q1119">
        <v>0.0986327876907262</v>
      </c>
      <c r="R1119">
        <v>0.792194774340211</v>
      </c>
      <c r="S1119" t="s">
        <v>3312</v>
      </c>
      <c r="T1119" t="s">
        <v>4362</v>
      </c>
      <c r="U1119" t="s">
        <v>4362</v>
      </c>
      <c r="V1119" t="s">
        <v>4362</v>
      </c>
      <c r="W1119" t="s">
        <v>5478</v>
      </c>
      <c r="X1119">
        <v>2</v>
      </c>
      <c r="Y1119" t="s">
        <v>7640</v>
      </c>
      <c r="Z1119" t="s">
        <v>9807</v>
      </c>
      <c r="AA1119">
        <v>0.3876113711173259</v>
      </c>
      <c r="AB1119">
        <f>HYPERLINK("Melting_Curves/meltCurve_P13738_nhaA.pdf", "Melting_Curves/meltCurve_P13738_nhaA.pdf")</f>
        <v>0</v>
      </c>
    </row>
    <row r="1120" spans="1:28">
      <c r="A1120" t="s">
        <v>1146</v>
      </c>
      <c r="B1120">
        <v>0.999739202189716</v>
      </c>
      <c r="C1120">
        <v>0.8636080450953409</v>
      </c>
      <c r="D1120">
        <v>1.04262530678204</v>
      </c>
      <c r="E1120">
        <v>1.01785949003194</v>
      </c>
      <c r="F1120">
        <v>0.841327926920707</v>
      </c>
      <c r="G1120">
        <v>0.6519548494524841</v>
      </c>
      <c r="H1120">
        <v>0.5119997204250319</v>
      </c>
      <c r="I1120">
        <v>0.411782356275009</v>
      </c>
      <c r="J1120">
        <v>0.288158551972727</v>
      </c>
      <c r="K1120">
        <v>0.228592088573751</v>
      </c>
      <c r="L1120">
        <v>769.103948220818</v>
      </c>
      <c r="M1120">
        <v>13.7885895109887</v>
      </c>
      <c r="N1120">
        <v>57.5778197649087</v>
      </c>
      <c r="O1120">
        <v>54.6443402510641</v>
      </c>
      <c r="P1120">
        <v>-0.0520476320208257</v>
      </c>
      <c r="Q1120">
        <v>0.175054391000474</v>
      </c>
      <c r="R1120">
        <v>0.965909871759717</v>
      </c>
      <c r="S1120" t="s">
        <v>3313</v>
      </c>
      <c r="T1120" t="s">
        <v>4362</v>
      </c>
      <c r="U1120" t="s">
        <v>4362</v>
      </c>
      <c r="V1120" t="s">
        <v>4362</v>
      </c>
      <c r="W1120" t="s">
        <v>5479</v>
      </c>
      <c r="X1120">
        <v>2</v>
      </c>
      <c r="Y1120" t="s">
        <v>7641</v>
      </c>
      <c r="Z1120" t="s">
        <v>9808</v>
      </c>
      <c r="AA1120">
        <v>0.7012774596321754</v>
      </c>
      <c r="AB1120">
        <f>HYPERLINK("Melting_Curves/meltCurve_P13857_rimL.pdf", "Melting_Curves/meltCurve_P13857_rimL.pdf")</f>
        <v>0</v>
      </c>
    </row>
    <row r="1121" spans="1:28">
      <c r="A1121" t="s">
        <v>1147</v>
      </c>
      <c r="B1121">
        <v>0.999739202189716</v>
      </c>
      <c r="C1121">
        <v>0.695556578886517</v>
      </c>
      <c r="D1121">
        <v>0.331680545560635</v>
      </c>
      <c r="E1121">
        <v>0.283888106426654</v>
      </c>
      <c r="F1121">
        <v>0.216435344764753</v>
      </c>
      <c r="G1121">
        <v>0.2021517695261</v>
      </c>
      <c r="H1121">
        <v>0.174606174550725</v>
      </c>
      <c r="I1121">
        <v>0.127487969573103</v>
      </c>
      <c r="J1121">
        <v>0.137081492933466</v>
      </c>
      <c r="K1121">
        <v>0.107709493504345</v>
      </c>
      <c r="L1121">
        <v>1028.1186450821</v>
      </c>
      <c r="M1121">
        <v>25.1481282012457</v>
      </c>
      <c r="N1121">
        <v>41.5614431778037</v>
      </c>
      <c r="O1121">
        <v>40.6266273605921</v>
      </c>
      <c r="P1121">
        <v>-0.128686082181109</v>
      </c>
      <c r="Q1121">
        <v>0.168444963216169</v>
      </c>
      <c r="R1121">
        <v>0.97507232622815</v>
      </c>
      <c r="S1121" t="s">
        <v>3314</v>
      </c>
      <c r="T1121" t="s">
        <v>4362</v>
      </c>
      <c r="U1121" t="s">
        <v>4362</v>
      </c>
      <c r="V1121" t="s">
        <v>4362</v>
      </c>
      <c r="W1121" t="s">
        <v>5480</v>
      </c>
      <c r="X1121">
        <v>4</v>
      </c>
      <c r="Y1121" t="s">
        <v>7642</v>
      </c>
      <c r="Z1121" t="s">
        <v>9809</v>
      </c>
      <c r="AA1121">
        <v>0.284463496607839</v>
      </c>
      <c r="AB1121">
        <f>HYPERLINK("Melting_Curves/meltCurve_P14081_selB.pdf", "Melting_Curves/meltCurve_P14081_selB.pdf")</f>
        <v>0</v>
      </c>
    </row>
    <row r="1122" spans="1:28">
      <c r="A1122" t="s">
        <v>1148</v>
      </c>
      <c r="B1122">
        <v>0.999739202189716</v>
      </c>
      <c r="C1122">
        <v>1.1306963482997</v>
      </c>
      <c r="D1122">
        <v>0.86153135883265</v>
      </c>
      <c r="E1122">
        <v>0.869926712573535</v>
      </c>
      <c r="F1122">
        <v>0.5923555628188441</v>
      </c>
      <c r="G1122">
        <v>0.45054966415382</v>
      </c>
      <c r="H1122">
        <v>0.327915598981803</v>
      </c>
      <c r="I1122">
        <v>0.279050711949824</v>
      </c>
      <c r="J1122">
        <v>0.274871257162733</v>
      </c>
      <c r="K1122">
        <v>0.134251561170395</v>
      </c>
      <c r="L1122">
        <v>701.954533056399</v>
      </c>
      <c r="M1122">
        <v>13.7661006990474</v>
      </c>
      <c r="N1122">
        <v>52.6537391101284</v>
      </c>
      <c r="O1122">
        <v>49.9516155724464</v>
      </c>
      <c r="P1122">
        <v>-0.0567634026314831</v>
      </c>
      <c r="Q1122">
        <v>0.176230638276278</v>
      </c>
      <c r="R1122">
        <v>0.96322959748774</v>
      </c>
      <c r="S1122" t="s">
        <v>3315</v>
      </c>
      <c r="T1122" t="s">
        <v>4362</v>
      </c>
      <c r="U1122" t="s">
        <v>4362</v>
      </c>
      <c r="V1122" t="s">
        <v>4362</v>
      </c>
      <c r="W1122" t="s">
        <v>5481</v>
      </c>
      <c r="X1122">
        <v>1</v>
      </c>
      <c r="Y1122" t="s">
        <v>7643</v>
      </c>
      <c r="Z1122" t="s">
        <v>9810</v>
      </c>
      <c r="AA1122">
        <v>0.5788942533752175</v>
      </c>
      <c r="AB1122">
        <f>HYPERLINK("Melting_Curves/meltCurve_P14294_topB.pdf", "Melting_Curves/meltCurve_P14294_topB.pdf")</f>
        <v>0</v>
      </c>
    </row>
    <row r="1123" spans="1:28">
      <c r="A1123" t="s">
        <v>1149</v>
      </c>
      <c r="B1123">
        <v>0.999739202189716</v>
      </c>
      <c r="C1123">
        <v>1.04197380527054</v>
      </c>
      <c r="D1123">
        <v>0.679934165721459</v>
      </c>
      <c r="E1123">
        <v>0.6382986344468869</v>
      </c>
      <c r="F1123">
        <v>0.246779550687631</v>
      </c>
      <c r="G1123">
        <v>0.179934218968333</v>
      </c>
      <c r="H1123">
        <v>0.145367689033399</v>
      </c>
      <c r="I1123">
        <v>0.113303998341633</v>
      </c>
      <c r="J1123">
        <v>0.112895493047323</v>
      </c>
      <c r="K1123">
        <v>0.0890676104661644</v>
      </c>
      <c r="L1123">
        <v>744.662859979628</v>
      </c>
      <c r="M1123">
        <v>16.009614113596</v>
      </c>
      <c r="N1123">
        <v>47.1024381724016</v>
      </c>
      <c r="O1123">
        <v>45.805911938383</v>
      </c>
      <c r="P1123">
        <v>-0.0794577878135266</v>
      </c>
      <c r="Q1123">
        <v>0.09070846299350011</v>
      </c>
      <c r="R1123">
        <v>0.9689612500007661</v>
      </c>
      <c r="S1123" t="s">
        <v>3316</v>
      </c>
      <c r="T1123" t="s">
        <v>4362</v>
      </c>
      <c r="U1123" t="s">
        <v>4362</v>
      </c>
      <c r="V1123" t="s">
        <v>4362</v>
      </c>
      <c r="W1123" t="s">
        <v>5482</v>
      </c>
      <c r="X1123">
        <v>1</v>
      </c>
      <c r="Y1123" t="s">
        <v>7644</v>
      </c>
      <c r="Z1123" t="s">
        <v>9811</v>
      </c>
      <c r="AA1123">
        <v>0.3973916355567801</v>
      </c>
      <c r="AB1123">
        <f>HYPERLINK("Melting_Curves/meltCurve_P14375_zraR.pdf", "Melting_Curves/meltCurve_P14375_zraR.pdf")</f>
        <v>0</v>
      </c>
    </row>
    <row r="1124" spans="1:28">
      <c r="A1124" t="s">
        <v>1150</v>
      </c>
      <c r="B1124">
        <v>0.999739202189716</v>
      </c>
      <c r="C1124">
        <v>0.943909855341013</v>
      </c>
      <c r="D1124">
        <v>0.954266701781924</v>
      </c>
      <c r="E1124">
        <v>0.502893671604739</v>
      </c>
      <c r="F1124">
        <v>0.252459565795572</v>
      </c>
      <c r="G1124">
        <v>0.148663764369599</v>
      </c>
      <c r="H1124">
        <v>0.100069789123683</v>
      </c>
      <c r="I1124">
        <v>0.07329860764635809</v>
      </c>
      <c r="J1124">
        <v>0.10707646537298</v>
      </c>
      <c r="K1124">
        <v>0.118216041046038</v>
      </c>
      <c r="L1124">
        <v>1220.58742961996</v>
      </c>
      <c r="M1124">
        <v>26.2679073398569</v>
      </c>
      <c r="N1124">
        <v>46.8942278181294</v>
      </c>
      <c r="O1124">
        <v>46.2000716598998</v>
      </c>
      <c r="P1124">
        <v>-0.127012609982787</v>
      </c>
      <c r="Q1124">
        <v>0.106449282052175</v>
      </c>
      <c r="R1124">
        <v>0.993876529754105</v>
      </c>
      <c r="S1124" t="s">
        <v>3317</v>
      </c>
      <c r="T1124" t="s">
        <v>4362</v>
      </c>
      <c r="U1124" t="s">
        <v>4362</v>
      </c>
      <c r="V1124" t="s">
        <v>4362</v>
      </c>
      <c r="W1124" t="s">
        <v>5483</v>
      </c>
      <c r="X1124">
        <v>13</v>
      </c>
      <c r="Y1124" t="s">
        <v>7645</v>
      </c>
      <c r="Z1124" t="s">
        <v>9812</v>
      </c>
      <c r="AA1124">
        <v>0.3951561716938228</v>
      </c>
      <c r="AB1124">
        <f>HYPERLINK("Melting_Curves/meltCurve_P14407_fumB.pdf", "Melting_Curves/meltCurve_P14407_fumB.pdf")</f>
        <v>0</v>
      </c>
    </row>
    <row r="1125" spans="1:28">
      <c r="A1125" t="s">
        <v>1151</v>
      </c>
      <c r="B1125">
        <v>0.999739202189716</v>
      </c>
      <c r="C1125">
        <v>0.971679719020783</v>
      </c>
      <c r="D1125">
        <v>1.1385358010698</v>
      </c>
      <c r="E1125">
        <v>0.963029202825744</v>
      </c>
      <c r="F1125">
        <v>0.439599974228619</v>
      </c>
      <c r="G1125">
        <v>0.104170707035628</v>
      </c>
      <c r="H1125">
        <v>0.07171048076420621</v>
      </c>
      <c r="I1125">
        <v>0.0543642629966372</v>
      </c>
      <c r="J1125">
        <v>0.0506557043859446</v>
      </c>
      <c r="K1125">
        <v>0.0415782374285979</v>
      </c>
      <c r="L1125">
        <v>2228.63999746378</v>
      </c>
      <c r="M1125">
        <v>44.7613142864611</v>
      </c>
      <c r="N1125">
        <v>49.9244545126466</v>
      </c>
      <c r="O1125">
        <v>49.6903540910168</v>
      </c>
      <c r="P1125">
        <v>-0.212363892516256</v>
      </c>
      <c r="Q1125">
        <v>0.0570051322276086</v>
      </c>
      <c r="R1125">
        <v>0.989779765307735</v>
      </c>
      <c r="S1125" t="s">
        <v>3318</v>
      </c>
      <c r="T1125" t="s">
        <v>4362</v>
      </c>
      <c r="U1125" t="s">
        <v>4362</v>
      </c>
      <c r="V1125" t="s">
        <v>4362</v>
      </c>
      <c r="W1125" t="s">
        <v>5484</v>
      </c>
      <c r="X1125">
        <v>8</v>
      </c>
      <c r="Y1125" t="s">
        <v>7646</v>
      </c>
      <c r="Z1125" t="s">
        <v>9813</v>
      </c>
      <c r="AA1125">
        <v>0.461604248132252</v>
      </c>
      <c r="AB1125">
        <f>HYPERLINK("Melting_Curves/meltCurve_P14900_murD.pdf", "Melting_Curves/meltCurve_P14900_murD.pdf")</f>
        <v>0</v>
      </c>
    </row>
    <row r="1126" spans="1:28">
      <c r="A1126" t="s">
        <v>1152</v>
      </c>
      <c r="B1126">
        <v>0.999739202189716</v>
      </c>
      <c r="C1126">
        <v>0.878928712211997</v>
      </c>
      <c r="D1126">
        <v>0.757209536886611</v>
      </c>
      <c r="E1126">
        <v>0.951132677451364</v>
      </c>
      <c r="F1126">
        <v>0.839142292129098</v>
      </c>
      <c r="G1126">
        <v>0.706643831707604</v>
      </c>
      <c r="H1126">
        <v>0.513674277201405</v>
      </c>
      <c r="I1126">
        <v>0.163660145878149</v>
      </c>
      <c r="J1126">
        <v>0.0945807170487477</v>
      </c>
      <c r="K1126">
        <v>0.0771823046490393</v>
      </c>
      <c r="L1126">
        <v>908.778440675722</v>
      </c>
      <c r="M1126">
        <v>16.090221175655</v>
      </c>
      <c r="N1126">
        <v>56.4801712462468</v>
      </c>
      <c r="O1126">
        <v>55.6293602910621</v>
      </c>
      <c r="P1126">
        <v>-0.0723154782910132</v>
      </c>
      <c r="Q1126">
        <v>0</v>
      </c>
      <c r="R1126">
        <v>0.928309014417909</v>
      </c>
      <c r="S1126" t="s">
        <v>3319</v>
      </c>
      <c r="T1126" t="s">
        <v>4362</v>
      </c>
      <c r="U1126" t="s">
        <v>4362</v>
      </c>
      <c r="V1126" t="s">
        <v>4362</v>
      </c>
      <c r="W1126" t="s">
        <v>5485</v>
      </c>
      <c r="X1126">
        <v>4</v>
      </c>
      <c r="Y1126" t="s">
        <v>7647</v>
      </c>
      <c r="Z1126" t="s">
        <v>9814</v>
      </c>
      <c r="AA1126">
        <v>0.6595440982641088</v>
      </c>
      <c r="AB1126">
        <f>HYPERLINK("Melting_Curves/meltCurve_P15028_fecB.pdf", "Melting_Curves/meltCurve_P15028_fecB.pdf")</f>
        <v>0</v>
      </c>
    </row>
    <row r="1127" spans="1:28">
      <c r="A1127" t="s">
        <v>1153</v>
      </c>
      <c r="B1127">
        <v>0.999739202189716</v>
      </c>
      <c r="C1127">
        <v>1.16279210623258</v>
      </c>
      <c r="D1127">
        <v>0.5385449367191379</v>
      </c>
      <c r="E1127">
        <v>0.432993391295447</v>
      </c>
      <c r="F1127">
        <v>0.30798916084865</v>
      </c>
      <c r="G1127">
        <v>0.205084290776797</v>
      </c>
      <c r="H1127">
        <v>0.16900626806739</v>
      </c>
      <c r="I1127">
        <v>0.138732360468277</v>
      </c>
      <c r="J1127">
        <v>0.123732199020039</v>
      </c>
      <c r="K1127">
        <v>0.111124392988179</v>
      </c>
      <c r="L1127">
        <v>894.4136821735081</v>
      </c>
      <c r="M1127">
        <v>20.1820688822112</v>
      </c>
      <c r="N1127">
        <v>45.1569788874962</v>
      </c>
      <c r="O1127">
        <v>43.8890236207189</v>
      </c>
      <c r="P1127">
        <v>-0.09697712442380529</v>
      </c>
      <c r="Q1127">
        <v>0.156459594650684</v>
      </c>
      <c r="R1127">
        <v>0.921870917121917</v>
      </c>
      <c r="S1127" t="s">
        <v>3320</v>
      </c>
      <c r="T1127" t="s">
        <v>4362</v>
      </c>
      <c r="U1127" t="s">
        <v>4362</v>
      </c>
      <c r="V1127" t="s">
        <v>4362</v>
      </c>
      <c r="W1127" t="s">
        <v>5486</v>
      </c>
      <c r="X1127">
        <v>3</v>
      </c>
      <c r="Y1127" t="s">
        <v>7648</v>
      </c>
      <c r="Z1127" t="s">
        <v>9815</v>
      </c>
      <c r="AA1127">
        <v>0.3731900535125436</v>
      </c>
      <c r="AB1127">
        <f>HYPERLINK("Melting_Curves/meltCurve_P15032_recE.pdf", "Melting_Curves/meltCurve_P15032_recE.pdf")</f>
        <v>0</v>
      </c>
    </row>
    <row r="1128" spans="1:28">
      <c r="A1128" t="s">
        <v>1154</v>
      </c>
      <c r="B1128">
        <v>0.999739202189716</v>
      </c>
      <c r="C1128">
        <v>0.9701343980693991</v>
      </c>
      <c r="D1128">
        <v>1.05988812969618</v>
      </c>
      <c r="E1128">
        <v>0.828695785500646</v>
      </c>
      <c r="F1128">
        <v>0.725288199087026</v>
      </c>
      <c r="G1128">
        <v>0.426278345753893</v>
      </c>
      <c r="H1128">
        <v>0.210880073996196</v>
      </c>
      <c r="I1128">
        <v>0.147410162652136</v>
      </c>
      <c r="J1128">
        <v>0.132036534651353</v>
      </c>
      <c r="K1128">
        <v>0.125650317614298</v>
      </c>
      <c r="L1128">
        <v>942.619849965976</v>
      </c>
      <c r="M1128">
        <v>18.1121195477893</v>
      </c>
      <c r="N1128">
        <v>52.665982442028</v>
      </c>
      <c r="O1128">
        <v>51.4216250735242</v>
      </c>
      <c r="P1128">
        <v>-0.0795771840856354</v>
      </c>
      <c r="Q1128">
        <v>0.09634202471187921</v>
      </c>
      <c r="R1128">
        <v>0.989533109107825</v>
      </c>
      <c r="S1128" t="s">
        <v>3321</v>
      </c>
      <c r="T1128" t="s">
        <v>4362</v>
      </c>
      <c r="U1128" t="s">
        <v>4362</v>
      </c>
      <c r="V1128" t="s">
        <v>4362</v>
      </c>
      <c r="W1128" t="s">
        <v>5487</v>
      </c>
      <c r="X1128">
        <v>13</v>
      </c>
      <c r="Y1128" t="s">
        <v>7649</v>
      </c>
      <c r="Z1128" t="s">
        <v>9816</v>
      </c>
      <c r="AA1128">
        <v>0.5630090027784449</v>
      </c>
      <c r="AB1128">
        <f>HYPERLINK("Melting_Curves/meltCurve_P15034_pepP.pdf", "Melting_Curves/meltCurve_P15034_pepP.pdf")</f>
        <v>0</v>
      </c>
    </row>
    <row r="1129" spans="1:28">
      <c r="A1129" t="s">
        <v>1155</v>
      </c>
      <c r="B1129">
        <v>0.999739202189716</v>
      </c>
      <c r="C1129">
        <v>0.820707001987324</v>
      </c>
      <c r="D1129">
        <v>0.551666808515309</v>
      </c>
      <c r="E1129">
        <v>0.452748360056098</v>
      </c>
      <c r="F1129">
        <v>0.308564855230958</v>
      </c>
      <c r="G1129">
        <v>0.22032570702987</v>
      </c>
      <c r="H1129">
        <v>0.185402921527135</v>
      </c>
      <c r="I1129">
        <v>0.160319566179902</v>
      </c>
      <c r="J1129">
        <v>0.166398035163441</v>
      </c>
      <c r="K1129">
        <v>0.148219106316601</v>
      </c>
      <c r="L1129">
        <v>574.146845620858</v>
      </c>
      <c r="M1129">
        <v>13.1248677594608</v>
      </c>
      <c r="N1129">
        <v>44.9850185534424</v>
      </c>
      <c r="O1129">
        <v>42.7668197895105</v>
      </c>
      <c r="P1129">
        <v>-0.06508862893979669</v>
      </c>
      <c r="Q1129">
        <v>0.151790246627168</v>
      </c>
      <c r="R1129">
        <v>0.984626230792949</v>
      </c>
      <c r="S1129" t="s">
        <v>3322</v>
      </c>
      <c r="T1129" t="s">
        <v>4362</v>
      </c>
      <c r="U1129" t="s">
        <v>4362</v>
      </c>
      <c r="V1129" t="s">
        <v>4362</v>
      </c>
      <c r="W1129" t="s">
        <v>5488</v>
      </c>
      <c r="X1129">
        <v>7</v>
      </c>
      <c r="Y1129" t="s">
        <v>7650</v>
      </c>
      <c r="Z1129" t="s">
        <v>9817</v>
      </c>
      <c r="AA1129">
        <v>0.3705425814082137</v>
      </c>
      <c r="AB1129">
        <f>HYPERLINK("Melting_Curves/meltCurve_P15038_helD.pdf", "Melting_Curves/meltCurve_P15038_helD.pdf")</f>
        <v>0</v>
      </c>
    </row>
    <row r="1130" spans="1:28">
      <c r="A1130" t="s">
        <v>1156</v>
      </c>
      <c r="B1130">
        <v>0.999739202189716</v>
      </c>
      <c r="C1130">
        <v>1.25347517511451</v>
      </c>
      <c r="D1130">
        <v>1.06721712903888</v>
      </c>
      <c r="E1130">
        <v>0.716820718365371</v>
      </c>
      <c r="F1130">
        <v>0.518734667825783</v>
      </c>
      <c r="G1130">
        <v>0.161300167159436</v>
      </c>
      <c r="H1130">
        <v>0.130405402157273</v>
      </c>
      <c r="I1130">
        <v>0.0906618157866781</v>
      </c>
      <c r="J1130">
        <v>0.0878100335430594</v>
      </c>
      <c r="K1130">
        <v>0.07169293115853401</v>
      </c>
      <c r="L1130">
        <v>1099.46445572074</v>
      </c>
      <c r="M1130">
        <v>22.254906143972</v>
      </c>
      <c r="N1130">
        <v>49.7708723661269</v>
      </c>
      <c r="O1130">
        <v>49.009536107827</v>
      </c>
      <c r="P1130">
        <v>-0.104921353757254</v>
      </c>
      <c r="Q1130">
        <v>0.07579260131432369</v>
      </c>
      <c r="R1130">
        <v>0.953600597998464</v>
      </c>
      <c r="S1130" t="s">
        <v>3323</v>
      </c>
      <c r="T1130" t="s">
        <v>4362</v>
      </c>
      <c r="U1130" t="s">
        <v>4362</v>
      </c>
      <c r="V1130" t="s">
        <v>4362</v>
      </c>
      <c r="W1130" t="s">
        <v>5489</v>
      </c>
      <c r="X1130">
        <v>14</v>
      </c>
      <c r="Y1130" t="s">
        <v>7651</v>
      </c>
      <c r="Z1130" t="s">
        <v>9818</v>
      </c>
      <c r="AA1130">
        <v>0.4679117562016998</v>
      </c>
      <c r="AB1130">
        <f>HYPERLINK("Melting_Curves/meltCurve_P15042_ligA.pdf", "Melting_Curves/meltCurve_P15042_ligA.pdf")</f>
        <v>0</v>
      </c>
    </row>
    <row r="1131" spans="1:28">
      <c r="A1131" t="s">
        <v>1157</v>
      </c>
      <c r="B1131">
        <v>0.999739202189716</v>
      </c>
      <c r="C1131">
        <v>0.82202802986738</v>
      </c>
      <c r="D1131">
        <v>0.638668480323055</v>
      </c>
      <c r="E1131">
        <v>0.519337540827003</v>
      </c>
      <c r="F1131">
        <v>0.337709331719328</v>
      </c>
      <c r="G1131">
        <v>0.207600514443157</v>
      </c>
      <c r="H1131">
        <v>0.128736396944247</v>
      </c>
      <c r="I1131">
        <v>0.106616011845514</v>
      </c>
      <c r="J1131">
        <v>0.121981947174234</v>
      </c>
      <c r="K1131">
        <v>0.127085019419625</v>
      </c>
      <c r="L1131">
        <v>510.584358386617</v>
      </c>
      <c r="M1131">
        <v>11.2089222874514</v>
      </c>
      <c r="N1131">
        <v>46.2380493995391</v>
      </c>
      <c r="O1131">
        <v>44.1739168918962</v>
      </c>
      <c r="P1131">
        <v>-0.0585923559057264</v>
      </c>
      <c r="Q1131">
        <v>0.0766493006544056</v>
      </c>
      <c r="R1131">
        <v>0.988548752820943</v>
      </c>
      <c r="S1131" t="s">
        <v>3324</v>
      </c>
      <c r="T1131" t="s">
        <v>4362</v>
      </c>
      <c r="U1131" t="s">
        <v>4362</v>
      </c>
      <c r="V1131" t="s">
        <v>4362</v>
      </c>
      <c r="W1131" t="s">
        <v>5490</v>
      </c>
      <c r="X1131">
        <v>5</v>
      </c>
      <c r="Y1131" t="s">
        <v>7652</v>
      </c>
      <c r="Z1131" t="s">
        <v>9819</v>
      </c>
      <c r="AA1131">
        <v>0.3764847885473693</v>
      </c>
      <c r="AB1131">
        <f>HYPERLINK("Melting_Curves/meltCurve_P15047_entA.pdf", "Melting_Curves/meltCurve_P15047_entA.pdf")</f>
        <v>0</v>
      </c>
    </row>
    <row r="1132" spans="1:28">
      <c r="A1132" t="s">
        <v>1158</v>
      </c>
      <c r="B1132">
        <v>0.999739202189716</v>
      </c>
      <c r="C1132">
        <v>1.09565066860315</v>
      </c>
      <c r="D1132">
        <v>0.805590076706732</v>
      </c>
      <c r="E1132">
        <v>0.409094592063677</v>
      </c>
      <c r="F1132">
        <v>0.212848556714129</v>
      </c>
      <c r="G1132">
        <v>0.134479248600765</v>
      </c>
      <c r="H1132">
        <v>0.102065076580604</v>
      </c>
      <c r="I1132">
        <v>0.0820695805833057</v>
      </c>
      <c r="J1132">
        <v>0.0721007041029553</v>
      </c>
      <c r="K1132">
        <v>0.07023874458329479</v>
      </c>
      <c r="L1132">
        <v>1120.44750738073</v>
      </c>
      <c r="M1132">
        <v>24.5905502638735</v>
      </c>
      <c r="N1132">
        <v>45.938830315615</v>
      </c>
      <c r="O1132">
        <v>45.2660282760663</v>
      </c>
      <c r="P1132">
        <v>-0.123472579198139</v>
      </c>
      <c r="Q1132">
        <v>0.09086491220119849</v>
      </c>
      <c r="R1132">
        <v>0.987708164330927</v>
      </c>
      <c r="S1132" t="s">
        <v>3325</v>
      </c>
      <c r="T1132" t="s">
        <v>4362</v>
      </c>
      <c r="U1132" t="s">
        <v>4362</v>
      </c>
      <c r="V1132" t="s">
        <v>4362</v>
      </c>
      <c r="W1132" t="s">
        <v>5491</v>
      </c>
      <c r="X1132">
        <v>5</v>
      </c>
      <c r="Y1132" t="s">
        <v>7653</v>
      </c>
      <c r="Z1132" t="s">
        <v>9820</v>
      </c>
      <c r="AA1132">
        <v>0.3581547811683647</v>
      </c>
      <c r="AB1132">
        <f>HYPERLINK("Melting_Curves/meltCurve_P15067_glgX.pdf", "Melting_Curves/meltCurve_P15067_glgX.pdf")</f>
        <v>0</v>
      </c>
    </row>
    <row r="1133" spans="1:28">
      <c r="A1133" t="s">
        <v>1159</v>
      </c>
      <c r="B1133">
        <v>0.999739202189716</v>
      </c>
      <c r="C1133">
        <v>0.871575141643973</v>
      </c>
      <c r="D1133">
        <v>1.08339979666628</v>
      </c>
      <c r="E1133">
        <v>0.994462016241952</v>
      </c>
      <c r="F1133">
        <v>1.25531501684538</v>
      </c>
      <c r="G1133">
        <v>0.960258132807541</v>
      </c>
      <c r="H1133">
        <v>1.06253410514906</v>
      </c>
      <c r="I1133">
        <v>0.883457646295662</v>
      </c>
      <c r="J1133">
        <v>0.82484056117162</v>
      </c>
      <c r="K1133">
        <v>0.566477781832003</v>
      </c>
      <c r="L1133">
        <v>1647.10362197493</v>
      </c>
      <c r="M1133">
        <v>24.2948362572931</v>
      </c>
      <c r="Q1133">
        <v>0</v>
      </c>
      <c r="R1133">
        <v>0.670958331727133</v>
      </c>
      <c r="S1133" t="s">
        <v>3326</v>
      </c>
      <c r="T1133" t="s">
        <v>4362</v>
      </c>
      <c r="U1133" t="s">
        <v>4362</v>
      </c>
      <c r="V1133" t="s">
        <v>4362</v>
      </c>
      <c r="W1133" t="s">
        <v>5492</v>
      </c>
      <c r="X1133">
        <v>2</v>
      </c>
      <c r="Y1133" t="s">
        <v>7654</v>
      </c>
      <c r="Z1133" t="s">
        <v>9821</v>
      </c>
      <c r="AA1133">
        <v>0.9534149051865853</v>
      </c>
      <c r="AB1133">
        <f>HYPERLINK("Melting_Curves/meltCurve_P15070_fliN.pdf", "Melting_Curves/meltCurve_P15070_fliN.pdf")</f>
        <v>0</v>
      </c>
    </row>
    <row r="1134" spans="1:28">
      <c r="A1134" t="s">
        <v>1160</v>
      </c>
      <c r="B1134">
        <v>0.999739202189716</v>
      </c>
      <c r="C1134">
        <v>1.26254637491022</v>
      </c>
      <c r="D1134">
        <v>0.813024097423851</v>
      </c>
      <c r="E1134">
        <v>0.55247028012163</v>
      </c>
      <c r="F1134">
        <v>0.274809243592229</v>
      </c>
      <c r="G1134">
        <v>0.154008575447391</v>
      </c>
      <c r="H1134">
        <v>0.100139993363627</v>
      </c>
      <c r="I1134">
        <v>0.0757854329393433</v>
      </c>
      <c r="J1134">
        <v>0.0690740986640587</v>
      </c>
      <c r="K1134">
        <v>0.0594511340813891</v>
      </c>
      <c r="L1134">
        <v>1013.49929056011</v>
      </c>
      <c r="M1134">
        <v>21.6345088640418</v>
      </c>
      <c r="N1134">
        <v>47.2124090248807</v>
      </c>
      <c r="O1134">
        <v>46.4516789079639</v>
      </c>
      <c r="P1134">
        <v>-0.107449299552632</v>
      </c>
      <c r="Q1134">
        <v>0.07719999435271339</v>
      </c>
      <c r="R1134">
        <v>0.9511188040910979</v>
      </c>
      <c r="S1134" t="s">
        <v>3327</v>
      </c>
      <c r="T1134" t="s">
        <v>4362</v>
      </c>
      <c r="U1134" t="s">
        <v>4362</v>
      </c>
      <c r="V1134" t="s">
        <v>4362</v>
      </c>
      <c r="W1134" t="s">
        <v>5493</v>
      </c>
      <c r="X1134">
        <v>5</v>
      </c>
      <c r="Y1134" t="s">
        <v>7655</v>
      </c>
      <c r="Z1134" t="s">
        <v>9822</v>
      </c>
      <c r="AA1134">
        <v>0.3904113121204772</v>
      </c>
      <c r="AB1134">
        <f>HYPERLINK("Melting_Curves/meltCurve_P15078_cstA.pdf", "Melting_Curves/meltCurve_P15078_cstA.pdf")</f>
        <v>0</v>
      </c>
    </row>
    <row r="1135" spans="1:28">
      <c r="A1135" t="s">
        <v>1161</v>
      </c>
      <c r="B1135">
        <v>0.999739202189716</v>
      </c>
      <c r="C1135">
        <v>0.919057706962788</v>
      </c>
      <c r="D1135">
        <v>0.655985439716578</v>
      </c>
      <c r="E1135">
        <v>0.477392189584581</v>
      </c>
      <c r="F1135">
        <v>0.217952493823236</v>
      </c>
      <c r="G1135">
        <v>0.124875259999798</v>
      </c>
      <c r="H1135">
        <v>0.110200344550806</v>
      </c>
      <c r="I1135">
        <v>0.0923257489335983</v>
      </c>
      <c r="J1135">
        <v>0.0864683077277435</v>
      </c>
      <c r="K1135">
        <v>0.0710455683361326</v>
      </c>
      <c r="L1135">
        <v>694.853111561284</v>
      </c>
      <c r="M1135">
        <v>15.3712764569259</v>
      </c>
      <c r="N1135">
        <v>45.6491137794559</v>
      </c>
      <c r="O1135">
        <v>44.4602754689864</v>
      </c>
      <c r="P1135">
        <v>-0.0804330268499992</v>
      </c>
      <c r="Q1135">
        <v>0.0694991871395715</v>
      </c>
      <c r="R1135">
        <v>0.993750928234615</v>
      </c>
      <c r="S1135" t="s">
        <v>3328</v>
      </c>
      <c r="T1135" t="s">
        <v>4362</v>
      </c>
      <c r="U1135" t="s">
        <v>4362</v>
      </c>
      <c r="V1135" t="s">
        <v>4362</v>
      </c>
      <c r="W1135" t="s">
        <v>5494</v>
      </c>
      <c r="X1135">
        <v>3</v>
      </c>
      <c r="Y1135" t="s">
        <v>7656</v>
      </c>
      <c r="Z1135" t="s">
        <v>9823</v>
      </c>
      <c r="AA1135">
        <v>0.3449169243519241</v>
      </c>
      <c r="AB1135">
        <f>HYPERLINK("Melting_Curves/meltCurve_P15082_srlR.pdf", "Melting_Curves/meltCurve_P15082_srlR.pdf")</f>
        <v>0</v>
      </c>
    </row>
    <row r="1136" spans="1:28">
      <c r="A1136" t="s">
        <v>1162</v>
      </c>
      <c r="B1136">
        <v>0.999739202189716</v>
      </c>
      <c r="C1136">
        <v>1.21949804114334</v>
      </c>
      <c r="D1136">
        <v>0.506441982929019</v>
      </c>
      <c r="E1136">
        <v>0.351232518568685</v>
      </c>
      <c r="F1136">
        <v>0.215063661651012</v>
      </c>
      <c r="G1136">
        <v>0.165971656245278</v>
      </c>
      <c r="H1136">
        <v>0.137202690756842</v>
      </c>
      <c r="I1136">
        <v>0.112295617530656</v>
      </c>
      <c r="J1136">
        <v>0.104892420074809</v>
      </c>
      <c r="K1136">
        <v>0.0782314124343428</v>
      </c>
      <c r="L1136">
        <v>10733.9778092383</v>
      </c>
      <c r="M1136">
        <v>250</v>
      </c>
      <c r="N1136">
        <v>43.0055317878924</v>
      </c>
      <c r="O1136">
        <v>42.9331648486921</v>
      </c>
      <c r="P1136">
        <v>-1.21349540437934</v>
      </c>
      <c r="Q1136">
        <v>0.1664128529268</v>
      </c>
      <c r="R1136">
        <v>0.93218062246075</v>
      </c>
      <c r="S1136" t="s">
        <v>3329</v>
      </c>
      <c r="T1136" t="s">
        <v>4362</v>
      </c>
      <c r="U1136" t="s">
        <v>4362</v>
      </c>
      <c r="V1136" t="s">
        <v>4362</v>
      </c>
      <c r="W1136" t="s">
        <v>5495</v>
      </c>
      <c r="X1136">
        <v>18</v>
      </c>
      <c r="Y1136" t="s">
        <v>7657</v>
      </c>
      <c r="Z1136" t="s">
        <v>9824</v>
      </c>
      <c r="AA1136">
        <v>0.3314123090418474</v>
      </c>
      <c r="AB1136">
        <f>HYPERLINK("Melting_Curves/meltCurve_P15254_purL.pdf", "Melting_Curves/meltCurve_P15254_purL.pdf")</f>
        <v>0</v>
      </c>
    </row>
    <row r="1137" spans="1:28">
      <c r="A1137" t="s">
        <v>1163</v>
      </c>
      <c r="B1137">
        <v>0.999739202189716</v>
      </c>
      <c r="C1137">
        <v>1.15699466946283</v>
      </c>
      <c r="D1137">
        <v>0.9144236522796531</v>
      </c>
      <c r="E1137">
        <v>1.08073840629871</v>
      </c>
      <c r="F1137">
        <v>0.942659813849993</v>
      </c>
      <c r="G1137">
        <v>0.610365347125306</v>
      </c>
      <c r="H1137">
        <v>0.475788027970249</v>
      </c>
      <c r="I1137">
        <v>0.342055018437782</v>
      </c>
      <c r="J1137">
        <v>0.333116115271739</v>
      </c>
      <c r="K1137">
        <v>0.270299270812086</v>
      </c>
      <c r="L1137">
        <v>1416.0200127694</v>
      </c>
      <c r="M1137">
        <v>26.2906805168639</v>
      </c>
      <c r="N1137">
        <v>55.9035433999294</v>
      </c>
      <c r="O1137">
        <v>53.5514334506293</v>
      </c>
      <c r="P1137">
        <v>-0.0848430476345898</v>
      </c>
      <c r="Q1137">
        <v>0.308741092938144</v>
      </c>
      <c r="R1137">
        <v>0.9539102305949509</v>
      </c>
      <c r="S1137" t="s">
        <v>3330</v>
      </c>
      <c r="T1137" t="s">
        <v>4362</v>
      </c>
      <c r="U1137" t="s">
        <v>4362</v>
      </c>
      <c r="V1137" t="s">
        <v>4362</v>
      </c>
      <c r="W1137" t="s">
        <v>5496</v>
      </c>
      <c r="X1137">
        <v>1</v>
      </c>
      <c r="Y1137" t="s">
        <v>7658</v>
      </c>
      <c r="Z1137" t="s">
        <v>9825</v>
      </c>
      <c r="AA1137">
        <v>0.7027963206055184</v>
      </c>
      <c r="AB1137">
        <f>HYPERLINK("Melting_Curves/meltCurve_P15286_flk.pdf", "Melting_Curves/meltCurve_P15286_flk.pdf")</f>
        <v>0</v>
      </c>
    </row>
    <row r="1138" spans="1:28">
      <c r="A1138" t="s">
        <v>1164</v>
      </c>
      <c r="B1138">
        <v>0.999739202189716</v>
      </c>
      <c r="C1138">
        <v>1.10123630448426</v>
      </c>
      <c r="D1138">
        <v>1.16805976833284</v>
      </c>
      <c r="E1138">
        <v>0.983662692772318</v>
      </c>
      <c r="F1138">
        <v>1.04259361573267</v>
      </c>
      <c r="G1138">
        <v>0.678094643487842</v>
      </c>
      <c r="H1138">
        <v>0.364270924066329</v>
      </c>
      <c r="I1138">
        <v>0.160583259083093</v>
      </c>
      <c r="J1138">
        <v>0.116956392526563</v>
      </c>
      <c r="K1138">
        <v>0.08676767698009159</v>
      </c>
      <c r="L1138">
        <v>1559.04666109148</v>
      </c>
      <c r="M1138">
        <v>28.1588293427969</v>
      </c>
      <c r="N1138">
        <v>55.7839862649811</v>
      </c>
      <c r="O1138">
        <v>55.089198136441</v>
      </c>
      <c r="P1138">
        <v>-0.115639110266268</v>
      </c>
      <c r="Q1138">
        <v>0.095074256119522</v>
      </c>
      <c r="R1138">
        <v>0.9720424143916701</v>
      </c>
      <c r="S1138" t="s">
        <v>3331</v>
      </c>
      <c r="T1138" t="s">
        <v>4362</v>
      </c>
      <c r="U1138" t="s">
        <v>4362</v>
      </c>
      <c r="V1138" t="s">
        <v>4362</v>
      </c>
      <c r="W1138" t="s">
        <v>5497</v>
      </c>
      <c r="X1138">
        <v>11</v>
      </c>
      <c r="Y1138" t="s">
        <v>7659</v>
      </c>
      <c r="Z1138" t="s">
        <v>9826</v>
      </c>
      <c r="AA1138">
        <v>0.6554141421190152</v>
      </c>
      <c r="AB1138">
        <f>HYPERLINK("Melting_Curves/meltCurve_P15288_pepD.pdf", "Melting_Curves/meltCurve_P15288_pepD.pdf")</f>
        <v>0</v>
      </c>
    </row>
    <row r="1139" spans="1:28">
      <c r="A1139" t="s">
        <v>1165</v>
      </c>
      <c r="B1139">
        <v>0.999739202189716</v>
      </c>
      <c r="C1139">
        <v>1.17265326675276</v>
      </c>
      <c r="D1139">
        <v>1.03350956157573</v>
      </c>
      <c r="E1139">
        <v>1.24597760955055</v>
      </c>
      <c r="F1139">
        <v>0.961004276669873</v>
      </c>
      <c r="G1139">
        <v>0.939890027694696</v>
      </c>
      <c r="H1139">
        <v>0.7598441739235799</v>
      </c>
      <c r="I1139">
        <v>0.706628607797227</v>
      </c>
      <c r="J1139">
        <v>0.464265288951345</v>
      </c>
      <c r="K1139">
        <v>0.590282630367798</v>
      </c>
      <c r="L1139">
        <v>1367.70904878577</v>
      </c>
      <c r="M1139">
        <v>23.5880926611494</v>
      </c>
      <c r="O1139">
        <v>57.5711047762821</v>
      </c>
      <c r="P1139">
        <v>-0.0491334441410993</v>
      </c>
      <c r="Q1139">
        <v>0.520331036409048</v>
      </c>
      <c r="R1139">
        <v>0.803020143158421</v>
      </c>
      <c r="S1139" t="s">
        <v>3332</v>
      </c>
      <c r="T1139" t="s">
        <v>4362</v>
      </c>
      <c r="U1139" t="s">
        <v>4362</v>
      </c>
      <c r="V1139" t="s">
        <v>4362</v>
      </c>
      <c r="W1139" t="s">
        <v>5498</v>
      </c>
      <c r="X1139">
        <v>3</v>
      </c>
      <c r="Y1139" t="s">
        <v>7660</v>
      </c>
      <c r="Z1139" t="s">
        <v>9827</v>
      </c>
      <c r="AA1139">
        <v>0.8590520953557967</v>
      </c>
      <c r="AB1139">
        <f>HYPERLINK("Melting_Curves/meltCurve_P15373_prlF.pdf", "Melting_Curves/meltCurve_P15373_prlF.pdf")</f>
        <v>0</v>
      </c>
    </row>
    <row r="1140" spans="1:28">
      <c r="A1140" t="s">
        <v>1166</v>
      </c>
      <c r="B1140">
        <v>0.999739202189716</v>
      </c>
      <c r="C1140">
        <v>1.31448989467717</v>
      </c>
      <c r="D1140">
        <v>1.01282082961205</v>
      </c>
      <c r="E1140">
        <v>1.05354472891381</v>
      </c>
      <c r="F1140">
        <v>1.01025633288998</v>
      </c>
      <c r="G1140">
        <v>0.706379065599773</v>
      </c>
      <c r="H1140">
        <v>0.246582157393055</v>
      </c>
      <c r="I1140">
        <v>0.129824591779557</v>
      </c>
      <c r="J1140">
        <v>0.111776886187954</v>
      </c>
      <c r="K1140">
        <v>0.0782276377188806</v>
      </c>
      <c r="L1140">
        <v>2104.86000839477</v>
      </c>
      <c r="M1140">
        <v>38.351731605206</v>
      </c>
      <c r="N1140">
        <v>55.2032133461879</v>
      </c>
      <c r="O1140">
        <v>54.7344767474775</v>
      </c>
      <c r="P1140">
        <v>-0.157705040943184</v>
      </c>
      <c r="Q1140">
        <v>0.09971413897408631</v>
      </c>
      <c r="R1140">
        <v>0.948953646618128</v>
      </c>
      <c r="S1140" t="s">
        <v>3333</v>
      </c>
      <c r="T1140" t="s">
        <v>4362</v>
      </c>
      <c r="U1140" t="s">
        <v>4362</v>
      </c>
      <c r="V1140" t="s">
        <v>4362</v>
      </c>
      <c r="W1140" t="s">
        <v>5499</v>
      </c>
      <c r="X1140">
        <v>15</v>
      </c>
      <c r="Y1140" t="s">
        <v>7661</v>
      </c>
      <c r="Z1140" t="s">
        <v>9828</v>
      </c>
      <c r="AA1140">
        <v>0.6400287110609596</v>
      </c>
      <c r="AB1140">
        <f>HYPERLINK("Melting_Curves/meltCurve_P15639_purH.pdf", "Melting_Curves/meltCurve_P15639_purH.pdf")</f>
        <v>0</v>
      </c>
    </row>
    <row r="1141" spans="1:28">
      <c r="A1141" t="s">
        <v>1167</v>
      </c>
      <c r="B1141">
        <v>0.999739202189716</v>
      </c>
      <c r="C1141">
        <v>0.930734685602159</v>
      </c>
      <c r="D1141">
        <v>0.897370612543417</v>
      </c>
      <c r="E1141">
        <v>0.827674633309234</v>
      </c>
      <c r="F1141">
        <v>0.692114145076542</v>
      </c>
      <c r="G1141">
        <v>0.430884319104007</v>
      </c>
      <c r="H1141">
        <v>0.300495130337941</v>
      </c>
      <c r="I1141">
        <v>0.231730737288361</v>
      </c>
      <c r="J1141">
        <v>0.180335237080727</v>
      </c>
      <c r="K1141">
        <v>0.183282514117556</v>
      </c>
      <c r="L1141">
        <v>640.850609479433</v>
      </c>
      <c r="M1141">
        <v>12.3636663611586</v>
      </c>
      <c r="N1141">
        <v>52.9152812259776</v>
      </c>
      <c r="O1141">
        <v>50.5333291010181</v>
      </c>
      <c r="P1141">
        <v>-0.0543463802815114</v>
      </c>
      <c r="Q1141">
        <v>0.111682503863404</v>
      </c>
      <c r="R1141">
        <v>0.99254262726191</v>
      </c>
      <c r="S1141" t="s">
        <v>3334</v>
      </c>
      <c r="T1141" t="s">
        <v>4362</v>
      </c>
      <c r="U1141" t="s">
        <v>4362</v>
      </c>
      <c r="V1141" t="s">
        <v>4362</v>
      </c>
      <c r="W1141" t="s">
        <v>5500</v>
      </c>
      <c r="X1141">
        <v>8</v>
      </c>
      <c r="Y1141" t="s">
        <v>7662</v>
      </c>
      <c r="Z1141" t="s">
        <v>9829</v>
      </c>
      <c r="AA1141">
        <v>0.571834774160494</v>
      </c>
      <c r="AB1141">
        <f>HYPERLINK("Melting_Curves/meltCurve_P15640_purD.pdf", "Melting_Curves/meltCurve_P15640_purD.pdf")</f>
        <v>0</v>
      </c>
    </row>
    <row r="1142" spans="1:28">
      <c r="A1142" t="s">
        <v>1168</v>
      </c>
      <c r="B1142">
        <v>0.999739202189716</v>
      </c>
      <c r="C1142">
        <v>0.9525452963996091</v>
      </c>
      <c r="D1142">
        <v>0.81017326045573</v>
      </c>
      <c r="E1142">
        <v>0.9020608216306431</v>
      </c>
      <c r="F1142">
        <v>0.710893781359199</v>
      </c>
      <c r="G1142">
        <v>0.570340276038462</v>
      </c>
      <c r="H1142">
        <v>0.429940514921548</v>
      </c>
      <c r="I1142">
        <v>0.396347553290726</v>
      </c>
      <c r="J1142">
        <v>0.306759234809605</v>
      </c>
      <c r="K1142">
        <v>0.305261481282305</v>
      </c>
      <c r="L1142">
        <v>460.74532477152</v>
      </c>
      <c r="M1142">
        <v>8.57647396214163</v>
      </c>
      <c r="N1142">
        <v>56.1697700481261</v>
      </c>
      <c r="O1142">
        <v>51.0404755150966</v>
      </c>
      <c r="P1142">
        <v>-0.0354889924221368</v>
      </c>
      <c r="Q1142">
        <v>0.155924276422217</v>
      </c>
      <c r="R1142">
        <v>0.970641587074892</v>
      </c>
      <c r="S1142" t="s">
        <v>3335</v>
      </c>
      <c r="T1142" t="s">
        <v>4362</v>
      </c>
      <c r="U1142" t="s">
        <v>4362</v>
      </c>
      <c r="V1142" t="s">
        <v>4362</v>
      </c>
      <c r="W1142" t="s">
        <v>5501</v>
      </c>
      <c r="X1142">
        <v>3</v>
      </c>
      <c r="Y1142" t="s">
        <v>7663</v>
      </c>
      <c r="Z1142" t="s">
        <v>9830</v>
      </c>
      <c r="AA1142">
        <v>0.6413453775812983</v>
      </c>
      <c r="AB1142">
        <f>HYPERLINK("Melting_Curves/meltCurve_P15723_dgt.pdf", "Melting_Curves/meltCurve_P15723_dgt.pdf")</f>
        <v>0</v>
      </c>
    </row>
    <row r="1143" spans="1:28">
      <c r="A1143" t="s">
        <v>1169</v>
      </c>
      <c r="B1143">
        <v>0.999739202189716</v>
      </c>
      <c r="C1143">
        <v>0.896101900134852</v>
      </c>
      <c r="D1143">
        <v>0.744449040205145</v>
      </c>
      <c r="E1143">
        <v>0.747638781171421</v>
      </c>
      <c r="F1143">
        <v>0.487064269020862</v>
      </c>
      <c r="G1143">
        <v>0.274951195224889</v>
      </c>
      <c r="H1143">
        <v>0.132591786500419</v>
      </c>
      <c r="I1143">
        <v>0.07613197104203651</v>
      </c>
      <c r="J1143">
        <v>0.07196438125987351</v>
      </c>
      <c r="K1143">
        <v>0.0559332692633455</v>
      </c>
      <c r="L1143">
        <v>558.635524399081</v>
      </c>
      <c r="M1143">
        <v>11.2979010335326</v>
      </c>
      <c r="N1143">
        <v>49.4459793088383</v>
      </c>
      <c r="O1143">
        <v>47.9727975745039</v>
      </c>
      <c r="P1143">
        <v>-0.058894520405358</v>
      </c>
      <c r="Q1143">
        <v>0</v>
      </c>
      <c r="R1143">
        <v>0.982053831864808</v>
      </c>
      <c r="S1143" t="s">
        <v>3336</v>
      </c>
      <c r="T1143" t="s">
        <v>4362</v>
      </c>
      <c r="U1143" t="s">
        <v>4362</v>
      </c>
      <c r="V1143" t="s">
        <v>4362</v>
      </c>
      <c r="W1143" t="s">
        <v>5502</v>
      </c>
      <c r="X1143">
        <v>4</v>
      </c>
      <c r="Y1143" t="s">
        <v>7664</v>
      </c>
      <c r="Z1143" t="s">
        <v>9831</v>
      </c>
      <c r="AA1143">
        <v>0.4460515684916053</v>
      </c>
      <c r="AB1143">
        <f>HYPERLINK("Melting_Curves/meltCurve_P15770_aroE.pdf", "Melting_Curves/meltCurve_P15770_aroE.pdf")</f>
        <v>0</v>
      </c>
    </row>
    <row r="1144" spans="1:28">
      <c r="A1144" t="s">
        <v>1170</v>
      </c>
      <c r="B1144">
        <v>0.999739202189716</v>
      </c>
      <c r="C1144">
        <v>1.03353839359098</v>
      </c>
      <c r="D1144">
        <v>0.492101580009695</v>
      </c>
      <c r="E1144">
        <v>0.298997186592928</v>
      </c>
      <c r="F1144">
        <v>0.200305559175671</v>
      </c>
      <c r="G1144">
        <v>0.123315726220938</v>
      </c>
      <c r="H1144">
        <v>0.110408940764807</v>
      </c>
      <c r="I1144">
        <v>0.0911323119385614</v>
      </c>
      <c r="J1144">
        <v>0.0887723986090958</v>
      </c>
      <c r="K1144">
        <v>0.07435858673323829</v>
      </c>
      <c r="L1144">
        <v>1234.26344436661</v>
      </c>
      <c r="M1144">
        <v>28.6654424087148</v>
      </c>
      <c r="N1144">
        <v>43.4752949368552</v>
      </c>
      <c r="O1144">
        <v>42.8496257714629</v>
      </c>
      <c r="P1144">
        <v>-0.147112161171426</v>
      </c>
      <c r="Q1144">
        <v>0.120383126861881</v>
      </c>
      <c r="R1144">
        <v>0.971544553787459</v>
      </c>
      <c r="S1144" t="s">
        <v>3337</v>
      </c>
      <c r="T1144" t="s">
        <v>4362</v>
      </c>
      <c r="U1144" t="s">
        <v>4362</v>
      </c>
      <c r="V1144" t="s">
        <v>4362</v>
      </c>
      <c r="W1144" t="s">
        <v>5503</v>
      </c>
      <c r="X1144">
        <v>21</v>
      </c>
      <c r="Y1144" t="s">
        <v>7665</v>
      </c>
      <c r="Z1144" t="s">
        <v>9832</v>
      </c>
      <c r="AA1144">
        <v>0.303412475071843</v>
      </c>
      <c r="AB1144">
        <f>HYPERLINK("Melting_Curves/meltCurve_P15877_gcd.pdf", "Melting_Curves/meltCurve_P15877_gcd.pdf")</f>
        <v>0</v>
      </c>
    </row>
    <row r="1145" spans="1:28">
      <c r="A1145" t="s">
        <v>1171</v>
      </c>
      <c r="B1145">
        <v>0.999739202189716</v>
      </c>
      <c r="C1145">
        <v>1.51249601874246</v>
      </c>
      <c r="D1145">
        <v>1.26132663957722</v>
      </c>
      <c r="E1145">
        <v>0.593052147161331</v>
      </c>
      <c r="F1145">
        <v>0.221033844348386</v>
      </c>
      <c r="G1145">
        <v>0.154388171217802</v>
      </c>
      <c r="H1145">
        <v>0.13160075257182</v>
      </c>
      <c r="I1145">
        <v>0.0982756862017536</v>
      </c>
      <c r="J1145">
        <v>0.0906050093293925</v>
      </c>
      <c r="K1145">
        <v>0.100683024473138</v>
      </c>
      <c r="L1145">
        <v>3895.16770507654</v>
      </c>
      <c r="M1145">
        <v>83.45446042840339</v>
      </c>
      <c r="N1145">
        <v>46.8465461394825</v>
      </c>
      <c r="O1145">
        <v>46.6473900917401</v>
      </c>
      <c r="P1145">
        <v>-0.388132596549413</v>
      </c>
      <c r="Q1145">
        <v>0.1322035804692</v>
      </c>
      <c r="R1145">
        <v>0.872055892702703</v>
      </c>
      <c r="S1145" t="s">
        <v>3338</v>
      </c>
      <c r="T1145" t="s">
        <v>4362</v>
      </c>
      <c r="U1145" t="s">
        <v>4362</v>
      </c>
      <c r="V1145" t="s">
        <v>4362</v>
      </c>
      <c r="W1145" t="s">
        <v>5504</v>
      </c>
      <c r="X1145">
        <v>10</v>
      </c>
      <c r="Y1145" t="s">
        <v>7666</v>
      </c>
      <c r="Z1145" t="s">
        <v>9833</v>
      </c>
      <c r="AA1145">
        <v>0.4126829518529535</v>
      </c>
      <c r="AB1145">
        <f>HYPERLINK("Melting_Curves/meltCurve_P15977_malQ.pdf", "Melting_Curves/meltCurve_P15977_malQ.pdf")</f>
        <v>0</v>
      </c>
    </row>
    <row r="1146" spans="1:28">
      <c r="A1146" t="s">
        <v>1172</v>
      </c>
      <c r="B1146">
        <v>0.999739202189716</v>
      </c>
      <c r="C1146">
        <v>1.05664563986207</v>
      </c>
      <c r="D1146">
        <v>0.795381022669016</v>
      </c>
      <c r="E1146">
        <v>0.655654202036595</v>
      </c>
      <c r="F1146">
        <v>0.464319165850783</v>
      </c>
      <c r="G1146">
        <v>0.2236227443036</v>
      </c>
      <c r="H1146">
        <v>0.15417972361913</v>
      </c>
      <c r="I1146">
        <v>0.112085436178705</v>
      </c>
      <c r="J1146">
        <v>0.100281611785174</v>
      </c>
      <c r="K1146">
        <v>0.0825475356994316</v>
      </c>
      <c r="L1146">
        <v>675.733749899742</v>
      </c>
      <c r="M1146">
        <v>13.9308945482924</v>
      </c>
      <c r="N1146">
        <v>48.9694886683279</v>
      </c>
      <c r="O1146">
        <v>47.5394011376784</v>
      </c>
      <c r="P1146">
        <v>-0.0687452604487085</v>
      </c>
      <c r="Q1146">
        <v>0.0617493682057636</v>
      </c>
      <c r="R1146">
        <v>0.986695029640845</v>
      </c>
      <c r="S1146" t="s">
        <v>3339</v>
      </c>
      <c r="T1146" t="s">
        <v>4362</v>
      </c>
      <c r="U1146" t="s">
        <v>4362</v>
      </c>
      <c r="V1146" t="s">
        <v>4362</v>
      </c>
      <c r="W1146" t="s">
        <v>5505</v>
      </c>
      <c r="X1146">
        <v>9</v>
      </c>
      <c r="Y1146" t="s">
        <v>7667</v>
      </c>
      <c r="Z1146" t="s">
        <v>9834</v>
      </c>
      <c r="AA1146">
        <v>0.4445807355033228</v>
      </c>
      <c r="AB1146">
        <f>HYPERLINK("Melting_Curves/meltCurve_P16095_sdaA.pdf", "Melting_Curves/meltCurve_P16095_sdaA.pdf")</f>
        <v>0</v>
      </c>
    </row>
    <row r="1147" spans="1:28">
      <c r="A1147" t="s">
        <v>1173</v>
      </c>
      <c r="B1147">
        <v>0.999739202189716</v>
      </c>
      <c r="C1147">
        <v>1.35189062742312</v>
      </c>
      <c r="D1147">
        <v>0.664107311277054</v>
      </c>
      <c r="E1147">
        <v>0.366492500124669</v>
      </c>
      <c r="F1147">
        <v>0.218324700731068</v>
      </c>
      <c r="G1147">
        <v>0.1536810473757</v>
      </c>
      <c r="H1147">
        <v>0.102376887843957</v>
      </c>
      <c r="I1147">
        <v>0.05717138583358</v>
      </c>
      <c r="J1147">
        <v>0.0440743967923801</v>
      </c>
      <c r="K1147">
        <v>0.0303928418526538</v>
      </c>
      <c r="L1147">
        <v>1166.06587661761</v>
      </c>
      <c r="M1147">
        <v>25.9328693043976</v>
      </c>
      <c r="N1147">
        <v>45.299660658755</v>
      </c>
      <c r="O1147">
        <v>44.6999847441044</v>
      </c>
      <c r="P1147">
        <v>-0.13238909975191</v>
      </c>
      <c r="Q1147">
        <v>0.0872249524234209</v>
      </c>
      <c r="R1147">
        <v>0.906432186532331</v>
      </c>
      <c r="S1147" t="s">
        <v>3340</v>
      </c>
      <c r="T1147" t="s">
        <v>4362</v>
      </c>
      <c r="U1147" t="s">
        <v>4362</v>
      </c>
      <c r="V1147" t="s">
        <v>4362</v>
      </c>
      <c r="W1147" t="s">
        <v>5506</v>
      </c>
      <c r="X1147">
        <v>1</v>
      </c>
      <c r="Y1147" t="s">
        <v>7668</v>
      </c>
      <c r="Z1147" t="s">
        <v>9835</v>
      </c>
      <c r="AA1147">
        <v>0.3364972021227984</v>
      </c>
      <c r="AB1147">
        <f>HYPERLINK("Melting_Curves/meltCurve_P16256_panF.pdf", "Melting_Curves/meltCurve_P16256_panF.pdf")</f>
        <v>0</v>
      </c>
    </row>
    <row r="1148" spans="1:28">
      <c r="A1148" t="s">
        <v>1174</v>
      </c>
      <c r="B1148">
        <v>0.999739202189716</v>
      </c>
      <c r="C1148">
        <v>1.24342074333675</v>
      </c>
      <c r="D1148">
        <v>0.754414492380894</v>
      </c>
      <c r="E1148">
        <v>0.451880428859974</v>
      </c>
      <c r="F1148">
        <v>0.114120667363314</v>
      </c>
      <c r="G1148">
        <v>0.0449467581587938</v>
      </c>
      <c r="H1148">
        <v>0.0279814705123072</v>
      </c>
      <c r="I1148">
        <v>0.0206613426786457</v>
      </c>
      <c r="J1148">
        <v>0.0163308386417418</v>
      </c>
      <c r="K1148">
        <v>0.014846872606568</v>
      </c>
      <c r="L1148">
        <v>1147.44491755125</v>
      </c>
      <c r="M1148">
        <v>24.982304318295</v>
      </c>
      <c r="N1148">
        <v>45.9987226722666</v>
      </c>
      <c r="O1148">
        <v>45.6390580147735</v>
      </c>
      <c r="P1148">
        <v>-0.134353281040951</v>
      </c>
      <c r="Q1148">
        <v>0.0182374816281046</v>
      </c>
      <c r="R1148">
        <v>0.959323812658505</v>
      </c>
      <c r="S1148" t="s">
        <v>3341</v>
      </c>
      <c r="T1148" t="s">
        <v>4362</v>
      </c>
      <c r="U1148" t="s">
        <v>4362</v>
      </c>
      <c r="V1148" t="s">
        <v>4362</v>
      </c>
      <c r="W1148" t="s">
        <v>5507</v>
      </c>
      <c r="X1148">
        <v>2</v>
      </c>
      <c r="Y1148" t="s">
        <v>7669</v>
      </c>
      <c r="Z1148" t="s">
        <v>9836</v>
      </c>
      <c r="AA1148">
        <v>0.3186253724000388</v>
      </c>
      <c r="AB1148">
        <f>HYPERLINK("Melting_Curves/meltCurve_P16384_miaA.pdf", "Melting_Curves/meltCurve_P16384_miaA.pdf")</f>
        <v>0</v>
      </c>
    </row>
    <row r="1149" spans="1:28">
      <c r="A1149" t="s">
        <v>1175</v>
      </c>
      <c r="B1149">
        <v>0.999739202189716</v>
      </c>
      <c r="C1149">
        <v>0.847440419898623</v>
      </c>
      <c r="D1149">
        <v>0.864308626391004</v>
      </c>
      <c r="E1149">
        <v>0.784136927760727</v>
      </c>
      <c r="F1149">
        <v>0.723927891924083</v>
      </c>
      <c r="G1149">
        <v>0.5207028277911731</v>
      </c>
      <c r="H1149">
        <v>0.46196092381707</v>
      </c>
      <c r="I1149">
        <v>0.350290822729678</v>
      </c>
      <c r="J1149">
        <v>0.289083219556749</v>
      </c>
      <c r="K1149">
        <v>0.216985956256936</v>
      </c>
      <c r="L1149">
        <v>370.207030235197</v>
      </c>
      <c r="M1149">
        <v>6.67598866851289</v>
      </c>
      <c r="N1149">
        <v>55.4535279267922</v>
      </c>
      <c r="O1149">
        <v>51.112664182649</v>
      </c>
      <c r="P1149">
        <v>-0.0327252911820741</v>
      </c>
      <c r="Q1149">
        <v>0</v>
      </c>
      <c r="R1149">
        <v>0.9802984062210029</v>
      </c>
      <c r="S1149" t="s">
        <v>3342</v>
      </c>
      <c r="T1149" t="s">
        <v>4362</v>
      </c>
      <c r="U1149" t="s">
        <v>4362</v>
      </c>
      <c r="V1149" t="s">
        <v>4362</v>
      </c>
      <c r="W1149" t="s">
        <v>5508</v>
      </c>
      <c r="X1149">
        <v>9</v>
      </c>
      <c r="Y1149" t="s">
        <v>7670</v>
      </c>
      <c r="Z1149" t="s">
        <v>9837</v>
      </c>
      <c r="AA1149">
        <v>0.6105543992803416</v>
      </c>
      <c r="AB1149">
        <f>HYPERLINK("Melting_Curves/meltCurve_P16456_selD.pdf", "Melting_Curves/meltCurve_P16456_selD.pdf")</f>
        <v>0</v>
      </c>
    </row>
    <row r="1150" spans="1:28">
      <c r="A1150" t="s">
        <v>1176</v>
      </c>
      <c r="B1150">
        <v>0.999739202189716</v>
      </c>
      <c r="C1150">
        <v>1.20360244740044</v>
      </c>
      <c r="D1150">
        <v>1.03279310835604</v>
      </c>
      <c r="E1150">
        <v>0.787224133420284</v>
      </c>
      <c r="F1150">
        <v>0.369884681097839</v>
      </c>
      <c r="G1150">
        <v>0.352096766600642</v>
      </c>
      <c r="H1150">
        <v>0.242102162144328</v>
      </c>
      <c r="I1150">
        <v>0.216771068425932</v>
      </c>
      <c r="J1150">
        <v>0.169127248579317</v>
      </c>
      <c r="K1150">
        <v>0.137239262479689</v>
      </c>
      <c r="L1150">
        <v>1368.58311747767</v>
      </c>
      <c r="M1150">
        <v>28.3468906324965</v>
      </c>
      <c r="N1150">
        <v>49.2045672465286</v>
      </c>
      <c r="O1150">
        <v>48.0414583308365</v>
      </c>
      <c r="P1150">
        <v>-0.117051636435967</v>
      </c>
      <c r="Q1150">
        <v>0.206503847527774</v>
      </c>
      <c r="R1150">
        <v>0.957079987590268</v>
      </c>
      <c r="S1150" t="s">
        <v>3343</v>
      </c>
      <c r="T1150" t="s">
        <v>4362</v>
      </c>
      <c r="U1150" t="s">
        <v>4362</v>
      </c>
      <c r="V1150" t="s">
        <v>4362</v>
      </c>
      <c r="W1150" t="s">
        <v>5509</v>
      </c>
      <c r="X1150">
        <v>4</v>
      </c>
      <c r="Y1150" t="s">
        <v>7671</v>
      </c>
      <c r="Z1150" t="s">
        <v>9838</v>
      </c>
      <c r="AA1150">
        <v>0.5101451545865345</v>
      </c>
      <c r="AB1150">
        <f>HYPERLINK("Melting_Curves/meltCurve_P16525_tus.pdf", "Melting_Curves/meltCurve_P16525_tus.pdf")</f>
        <v>0</v>
      </c>
    </row>
    <row r="1151" spans="1:28">
      <c r="A1151" t="s">
        <v>1177</v>
      </c>
      <c r="B1151">
        <v>0.999739202189716</v>
      </c>
      <c r="C1151">
        <v>1.02352964441697</v>
      </c>
      <c r="D1151">
        <v>1.1805259862575</v>
      </c>
      <c r="E1151">
        <v>0.988848447084962</v>
      </c>
      <c r="F1151">
        <v>0.959265925942795</v>
      </c>
      <c r="G1151">
        <v>0.888041764978979</v>
      </c>
      <c r="H1151">
        <v>0.614899513898061</v>
      </c>
      <c r="I1151">
        <v>0.390603389450415</v>
      </c>
      <c r="J1151">
        <v>0.315849615832563</v>
      </c>
      <c r="K1151">
        <v>0.23583164576923</v>
      </c>
      <c r="L1151">
        <v>1330.52157750953</v>
      </c>
      <c r="M1151">
        <v>23.1094634949969</v>
      </c>
      <c r="N1151">
        <v>59.1048195450429</v>
      </c>
      <c r="O1151">
        <v>57.1488333793682</v>
      </c>
      <c r="P1151">
        <v>-0.078337478635783</v>
      </c>
      <c r="Q1151">
        <v>0.225111825649458</v>
      </c>
      <c r="R1151">
        <v>0.966576431177456</v>
      </c>
      <c r="S1151" t="s">
        <v>3344</v>
      </c>
      <c r="T1151" t="s">
        <v>4362</v>
      </c>
      <c r="U1151" t="s">
        <v>4362</v>
      </c>
      <c r="V1151" t="s">
        <v>4362</v>
      </c>
      <c r="W1151" t="s">
        <v>5510</v>
      </c>
      <c r="X1151">
        <v>5</v>
      </c>
      <c r="Y1151" t="s">
        <v>7672</v>
      </c>
      <c r="Z1151" t="s">
        <v>9839</v>
      </c>
      <c r="AA1151">
        <v>0.7622491992747328</v>
      </c>
      <c r="AB1151">
        <f>HYPERLINK("Melting_Curves/meltCurve_P16528_iclR.pdf", "Melting_Curves/meltCurve_P16528_iclR.pdf")</f>
        <v>0</v>
      </c>
    </row>
    <row r="1152" spans="1:28">
      <c r="A1152" t="s">
        <v>1178</v>
      </c>
      <c r="B1152">
        <v>0.999739202189716</v>
      </c>
      <c r="C1152">
        <v>0.74429379239932</v>
      </c>
      <c r="D1152">
        <v>0.401621850708817</v>
      </c>
      <c r="E1152">
        <v>0.21325806825616</v>
      </c>
      <c r="F1152">
        <v>0.135169674908373</v>
      </c>
      <c r="G1152">
        <v>0.0840682515884669</v>
      </c>
      <c r="H1152">
        <v>0.0763364737120808</v>
      </c>
      <c r="I1152">
        <v>0.06285011561058571</v>
      </c>
      <c r="J1152">
        <v>0.0606457733618367</v>
      </c>
      <c r="K1152">
        <v>0.0457241883703045</v>
      </c>
      <c r="L1152">
        <v>839.243975926162</v>
      </c>
      <c r="M1152">
        <v>20.0003614601344</v>
      </c>
      <c r="N1152">
        <v>42.2839571765316</v>
      </c>
      <c r="O1152">
        <v>41.5487076018035</v>
      </c>
      <c r="P1152">
        <v>-0.111832638443237</v>
      </c>
      <c r="Q1152">
        <v>0.0707468317057377</v>
      </c>
      <c r="R1152">
        <v>0.993040342663056</v>
      </c>
      <c r="S1152" t="s">
        <v>3345</v>
      </c>
      <c r="T1152" t="s">
        <v>4362</v>
      </c>
      <c r="U1152" t="s">
        <v>4362</v>
      </c>
      <c r="V1152" t="s">
        <v>4362</v>
      </c>
      <c r="W1152" t="s">
        <v>5511</v>
      </c>
      <c r="X1152">
        <v>15</v>
      </c>
      <c r="Y1152" t="s">
        <v>7673</v>
      </c>
      <c r="Z1152" t="s">
        <v>9840</v>
      </c>
      <c r="AA1152">
        <v>0.2384854490897709</v>
      </c>
      <c r="AB1152">
        <f>HYPERLINK("Melting_Curves/meltCurve_P16659_proS.pdf", "Melting_Curves/meltCurve_P16659_proS.pdf")</f>
        <v>0</v>
      </c>
    </row>
    <row r="1153" spans="1:28">
      <c r="A1153" t="s">
        <v>1179</v>
      </c>
      <c r="B1153">
        <v>0.999739202189716</v>
      </c>
      <c r="C1153">
        <v>2.03256363219317</v>
      </c>
      <c r="D1153">
        <v>1.88341286952753</v>
      </c>
      <c r="E1153">
        <v>1.49042824772155</v>
      </c>
      <c r="F1153">
        <v>1.42433862012174</v>
      </c>
      <c r="G1153">
        <v>1.32977479395953</v>
      </c>
      <c r="H1153">
        <v>0.438172525256729</v>
      </c>
      <c r="I1153">
        <v>0.441176608878507</v>
      </c>
      <c r="J1153">
        <v>0</v>
      </c>
      <c r="K1153">
        <v>0.308134857148872</v>
      </c>
      <c r="L1153">
        <v>14287.2840340544</v>
      </c>
      <c r="M1153">
        <v>250</v>
      </c>
      <c r="N1153">
        <v>57.3078183835331</v>
      </c>
      <c r="O1153">
        <v>57.1454889367578</v>
      </c>
      <c r="P1153">
        <v>-0.820526033418233</v>
      </c>
      <c r="Q1153">
        <v>0.249770349523509</v>
      </c>
      <c r="R1153">
        <v>0.445612076172756</v>
      </c>
      <c r="S1153" t="s">
        <v>3346</v>
      </c>
      <c r="T1153" t="s">
        <v>4362</v>
      </c>
      <c r="U1153" t="s">
        <v>4362</v>
      </c>
      <c r="V1153" t="s">
        <v>4362</v>
      </c>
      <c r="W1153" t="s">
        <v>5512</v>
      </c>
      <c r="X1153">
        <v>1</v>
      </c>
      <c r="Y1153" t="s">
        <v>7674</v>
      </c>
      <c r="Z1153" t="s">
        <v>9841</v>
      </c>
      <c r="AA1153">
        <v>0.7537282398024512</v>
      </c>
      <c r="AB1153">
        <f>HYPERLINK("Melting_Curves/meltCurve_P16676_cysA.pdf", "Melting_Curves/meltCurve_P16676_cysA.pdf")</f>
        <v>0</v>
      </c>
    </row>
    <row r="1154" spans="1:28">
      <c r="A1154" t="s">
        <v>1180</v>
      </c>
      <c r="B1154">
        <v>0.999739202189716</v>
      </c>
      <c r="C1154">
        <v>0.741761965900347</v>
      </c>
      <c r="D1154">
        <v>1.45191085350441</v>
      </c>
      <c r="E1154">
        <v>0.738989440299487</v>
      </c>
      <c r="F1154">
        <v>1.01917897501903</v>
      </c>
      <c r="G1154">
        <v>0.771001143240008</v>
      </c>
      <c r="H1154">
        <v>0.508352649011265</v>
      </c>
      <c r="I1154">
        <v>0.521450893589596</v>
      </c>
      <c r="J1154">
        <v>0.439415548076154</v>
      </c>
      <c r="K1154">
        <v>0.431728827415557</v>
      </c>
      <c r="L1154">
        <v>2270.59741715115</v>
      </c>
      <c r="M1154">
        <v>41.8618504736245</v>
      </c>
      <c r="N1154">
        <v>57.7628611521382</v>
      </c>
      <c r="O1154">
        <v>54.1169128854996</v>
      </c>
      <c r="P1154">
        <v>-0.104221353004521</v>
      </c>
      <c r="Q1154">
        <v>0.461072223003081</v>
      </c>
      <c r="R1154">
        <v>0.631456386181904</v>
      </c>
      <c r="S1154" t="s">
        <v>3347</v>
      </c>
      <c r="T1154" t="s">
        <v>4362</v>
      </c>
      <c r="U1154" t="s">
        <v>4362</v>
      </c>
      <c r="V1154" t="s">
        <v>4362</v>
      </c>
      <c r="W1154" t="s">
        <v>5513</v>
      </c>
      <c r="X1154">
        <v>1</v>
      </c>
      <c r="Y1154" t="s">
        <v>7675</v>
      </c>
      <c r="Z1154" t="s">
        <v>9842</v>
      </c>
      <c r="AA1154">
        <v>0.7726115168476767</v>
      </c>
      <c r="AB1154">
        <f>HYPERLINK("Melting_Curves/meltCurve_P16677_phnC.pdf", "Melting_Curves/meltCurve_P16677_phnC.pdf")</f>
        <v>0</v>
      </c>
    </row>
    <row r="1155" spans="1:28">
      <c r="A1155" t="s">
        <v>1181</v>
      </c>
      <c r="B1155">
        <v>0.999739202189716</v>
      </c>
      <c r="C1155">
        <v>0.871927131539324</v>
      </c>
      <c r="D1155">
        <v>0.8280381996221921</v>
      </c>
      <c r="E1155">
        <v>1.07378490591139</v>
      </c>
      <c r="F1155">
        <v>1.02812615095721</v>
      </c>
      <c r="G1155">
        <v>0.901377420118778</v>
      </c>
      <c r="H1155">
        <v>1.006528302573</v>
      </c>
      <c r="I1155">
        <v>0.940704995265881</v>
      </c>
      <c r="J1155">
        <v>0.934488546665872</v>
      </c>
      <c r="K1155">
        <v>0.82645154302046</v>
      </c>
      <c r="L1155">
        <v>954.503415426017</v>
      </c>
      <c r="M1155">
        <v>12.6029873867356</v>
      </c>
      <c r="Q1155">
        <v>0</v>
      </c>
      <c r="R1155">
        <v>0.0410252249907911</v>
      </c>
      <c r="S1155" t="s">
        <v>3348</v>
      </c>
      <c r="T1155" t="s">
        <v>4362</v>
      </c>
      <c r="U1155" t="s">
        <v>4362</v>
      </c>
      <c r="V1155" t="s">
        <v>4362</v>
      </c>
      <c r="W1155" t="s">
        <v>5514</v>
      </c>
      <c r="X1155">
        <v>7</v>
      </c>
      <c r="Y1155" t="s">
        <v>7676</v>
      </c>
      <c r="Z1155" t="s">
        <v>9843</v>
      </c>
      <c r="AA1155">
        <v>0.9756672769294921</v>
      </c>
      <c r="AB1155">
        <f>HYPERLINK("Melting_Curves/meltCurve_P16681_phnB.pdf", "Melting_Curves/meltCurve_P16681_phnB.pdf")</f>
        <v>0</v>
      </c>
    </row>
    <row r="1156" spans="1:28">
      <c r="A1156" t="s">
        <v>1182</v>
      </c>
      <c r="B1156">
        <v>0.999739202189716</v>
      </c>
      <c r="C1156">
        <v>1.00683167403376</v>
      </c>
      <c r="D1156">
        <v>0.745887314561911</v>
      </c>
      <c r="E1156">
        <v>0.757250816125845</v>
      </c>
      <c r="F1156">
        <v>0.641893801890237</v>
      </c>
      <c r="G1156">
        <v>0.636440590525985</v>
      </c>
      <c r="H1156">
        <v>0.500805752572808</v>
      </c>
      <c r="I1156">
        <v>0.39417315394833</v>
      </c>
      <c r="J1156">
        <v>0.27335096107215</v>
      </c>
      <c r="K1156">
        <v>0.249334960139784</v>
      </c>
      <c r="L1156">
        <v>340.422197686763</v>
      </c>
      <c r="M1156">
        <v>6.06896082027605</v>
      </c>
      <c r="N1156">
        <v>56.0923512649123</v>
      </c>
      <c r="O1156">
        <v>50.9150223234033</v>
      </c>
      <c r="P1156">
        <v>-0.0298921023318095</v>
      </c>
      <c r="Q1156">
        <v>0</v>
      </c>
      <c r="R1156">
        <v>0.948930153051551</v>
      </c>
      <c r="S1156" t="s">
        <v>3349</v>
      </c>
      <c r="T1156" t="s">
        <v>4362</v>
      </c>
      <c r="U1156" t="s">
        <v>4362</v>
      </c>
      <c r="V1156" t="s">
        <v>4362</v>
      </c>
      <c r="W1156" t="s">
        <v>5515</v>
      </c>
      <c r="X1156">
        <v>3</v>
      </c>
      <c r="Y1156" t="s">
        <v>7677</v>
      </c>
      <c r="Z1156" t="s">
        <v>9844</v>
      </c>
      <c r="AA1156">
        <v>0.6196103859249095</v>
      </c>
      <c r="AB1156">
        <f>HYPERLINK("Melting_Curves/meltCurve_P16692_phnP.pdf", "Melting_Curves/meltCurve_P16692_phnP.pdf")</f>
        <v>0</v>
      </c>
    </row>
    <row r="1157" spans="1:28">
      <c r="A1157" t="s">
        <v>1183</v>
      </c>
      <c r="B1157">
        <v>0.999739202189716</v>
      </c>
      <c r="C1157">
        <v>0.901747902093465</v>
      </c>
      <c r="D1157">
        <v>1.00135572132807</v>
      </c>
      <c r="E1157">
        <v>0.872388155243808</v>
      </c>
      <c r="F1157">
        <v>1.05075397792601</v>
      </c>
      <c r="G1157">
        <v>0.876629102213381</v>
      </c>
      <c r="H1157">
        <v>0.879283440831768</v>
      </c>
      <c r="I1157">
        <v>0.705896255760853</v>
      </c>
      <c r="J1157">
        <v>0.412051881911618</v>
      </c>
      <c r="K1157">
        <v>0.143245020197326</v>
      </c>
      <c r="L1157">
        <v>1503.32138363091</v>
      </c>
      <c r="M1157">
        <v>23.8972583174575</v>
      </c>
      <c r="N1157">
        <v>62.9076921707692</v>
      </c>
      <c r="O1157">
        <v>62.4721455702011</v>
      </c>
      <c r="P1157">
        <v>-0.09563319260645591</v>
      </c>
      <c r="Q1157">
        <v>0</v>
      </c>
      <c r="R1157">
        <v>0.941962359619916</v>
      </c>
      <c r="S1157" t="s">
        <v>3350</v>
      </c>
      <c r="T1157" t="s">
        <v>4362</v>
      </c>
      <c r="U1157" t="s">
        <v>4362</v>
      </c>
      <c r="V1157" t="s">
        <v>4362</v>
      </c>
      <c r="W1157" t="s">
        <v>5516</v>
      </c>
      <c r="X1157">
        <v>28</v>
      </c>
      <c r="Y1157" t="s">
        <v>7678</v>
      </c>
      <c r="Z1157" t="s">
        <v>9845</v>
      </c>
      <c r="AA1157">
        <v>0.8529026035482684</v>
      </c>
      <c r="AB1157">
        <f>HYPERLINK("Melting_Curves/meltCurve_P16700_cysP.pdf", "Melting_Curves/meltCurve_P16700_cysP.pdf")</f>
        <v>0</v>
      </c>
    </row>
    <row r="1158" spans="1:28">
      <c r="A1158" t="s">
        <v>1184</v>
      </c>
      <c r="B1158">
        <v>0.999739202189716</v>
      </c>
      <c r="C1158">
        <v>1.12071065135299</v>
      </c>
      <c r="D1158">
        <v>0.69609730120001</v>
      </c>
      <c r="E1158">
        <v>0.782189791919358</v>
      </c>
      <c r="F1158">
        <v>0.828066556087094</v>
      </c>
      <c r="G1158">
        <v>0.598017704133463</v>
      </c>
      <c r="H1158">
        <v>0.580997701162149</v>
      </c>
      <c r="I1158">
        <v>0.481456013290711</v>
      </c>
      <c r="J1158">
        <v>0.43046582005901</v>
      </c>
      <c r="K1158">
        <v>0.21296349531722</v>
      </c>
      <c r="L1158">
        <v>357.52546015713</v>
      </c>
      <c r="M1158">
        <v>6.07721113518131</v>
      </c>
      <c r="N1158">
        <v>58.8305150302002</v>
      </c>
      <c r="O1158">
        <v>53.4130422493498</v>
      </c>
      <c r="P1158">
        <v>-0.028532416392578</v>
      </c>
      <c r="Q1158">
        <v>0</v>
      </c>
      <c r="R1158">
        <v>0.844015601294746</v>
      </c>
      <c r="S1158" t="s">
        <v>3351</v>
      </c>
      <c r="T1158" t="s">
        <v>4362</v>
      </c>
      <c r="U1158" t="s">
        <v>4362</v>
      </c>
      <c r="V1158" t="s">
        <v>4362</v>
      </c>
      <c r="W1158" t="s">
        <v>5517</v>
      </c>
      <c r="X1158">
        <v>13</v>
      </c>
      <c r="Y1158" t="s">
        <v>7679</v>
      </c>
      <c r="Z1158" t="s">
        <v>9846</v>
      </c>
      <c r="AA1158">
        <v>0.6758272092833018</v>
      </c>
      <c r="AB1158">
        <f>HYPERLINK("Melting_Curves/meltCurve_P16703_cysM.pdf", "Melting_Curves/meltCurve_P16703_cysM.pdf")</f>
        <v>0</v>
      </c>
    </row>
    <row r="1159" spans="1:28">
      <c r="A1159" t="s">
        <v>1185</v>
      </c>
      <c r="B1159">
        <v>0.999739202189716</v>
      </c>
      <c r="C1159">
        <v>1.27479817562243</v>
      </c>
      <c r="D1159">
        <v>0.781546824491488</v>
      </c>
      <c r="E1159">
        <v>0.838861669288515</v>
      </c>
      <c r="F1159">
        <v>0.735523837213556</v>
      </c>
      <c r="G1159">
        <v>0.331077967190129</v>
      </c>
      <c r="H1159">
        <v>0.15445444445123</v>
      </c>
      <c r="I1159">
        <v>0.08515221868188121</v>
      </c>
      <c r="J1159">
        <v>0.0744460913681699</v>
      </c>
      <c r="K1159">
        <v>0.0579330787003433</v>
      </c>
      <c r="L1159">
        <v>914.862399866914</v>
      </c>
      <c r="M1159">
        <v>17.6303458837861</v>
      </c>
      <c r="N1159">
        <v>52.0513615931985</v>
      </c>
      <c r="O1159">
        <v>51.2375452924512</v>
      </c>
      <c r="P1159">
        <v>-0.0837579737135653</v>
      </c>
      <c r="Q1159">
        <v>0.0263779936615048</v>
      </c>
      <c r="R1159">
        <v>0.929038561833038</v>
      </c>
      <c r="S1159" t="s">
        <v>3352</v>
      </c>
      <c r="T1159" t="s">
        <v>4362</v>
      </c>
      <c r="U1159" t="s">
        <v>4362</v>
      </c>
      <c r="V1159" t="s">
        <v>4362</v>
      </c>
      <c r="W1159" t="s">
        <v>5518</v>
      </c>
      <c r="X1159">
        <v>7</v>
      </c>
      <c r="Y1159" t="s">
        <v>7680</v>
      </c>
      <c r="Z1159" t="s">
        <v>9847</v>
      </c>
      <c r="AA1159">
        <v>0.5248772197378631</v>
      </c>
      <c r="AB1159">
        <f>HYPERLINK("Melting_Curves/meltCurve_P16926_mreC.pdf", "Melting_Curves/meltCurve_P16926_mreC.pdf")</f>
        <v>0</v>
      </c>
    </row>
    <row r="1160" spans="1:28">
      <c r="A1160" t="s">
        <v>1186</v>
      </c>
      <c r="B1160">
        <v>0.999739202189716</v>
      </c>
      <c r="C1160">
        <v>1.23402566233907</v>
      </c>
      <c r="D1160">
        <v>1.00291395289215</v>
      </c>
      <c r="E1160">
        <v>0.982653500680055</v>
      </c>
      <c r="F1160">
        <v>0.708970270041043</v>
      </c>
      <c r="G1160">
        <v>0.40023124955453</v>
      </c>
      <c r="H1160">
        <v>0.294315243753489</v>
      </c>
      <c r="I1160">
        <v>0.230088691584588</v>
      </c>
      <c r="J1160">
        <v>0.23244832195881</v>
      </c>
      <c r="K1160">
        <v>0.170548772133204</v>
      </c>
      <c r="L1160">
        <v>1322.5540604824</v>
      </c>
      <c r="M1160">
        <v>25.7217489420327</v>
      </c>
      <c r="N1160">
        <v>52.5462150648725</v>
      </c>
      <c r="O1160">
        <v>51.1099657068002</v>
      </c>
      <c r="P1160">
        <v>-0.0991167523080618</v>
      </c>
      <c r="Q1160">
        <v>0.212216398695998</v>
      </c>
      <c r="R1160">
        <v>0.959298712396733</v>
      </c>
      <c r="S1160" t="s">
        <v>3353</v>
      </c>
      <c r="T1160" t="s">
        <v>4362</v>
      </c>
      <c r="U1160" t="s">
        <v>4362</v>
      </c>
      <c r="V1160" t="s">
        <v>4362</v>
      </c>
      <c r="W1160" t="s">
        <v>5519</v>
      </c>
      <c r="X1160">
        <v>4</v>
      </c>
      <c r="Y1160" t="s">
        <v>7681</v>
      </c>
      <c r="Z1160" t="s">
        <v>9848</v>
      </c>
      <c r="AA1160">
        <v>0.5974289582315813</v>
      </c>
      <c r="AB1160">
        <f>HYPERLINK("Melting_Curves/meltCurve_P17109_menD.pdf", "Melting_Curves/meltCurve_P17109_menD.pdf")</f>
        <v>0</v>
      </c>
    </row>
    <row r="1161" spans="1:28">
      <c r="A1161" t="s">
        <v>1187</v>
      </c>
      <c r="B1161">
        <v>0.999739202189716</v>
      </c>
      <c r="C1161">
        <v>0.9594595647397151</v>
      </c>
      <c r="D1161">
        <v>0.955110715280007</v>
      </c>
      <c r="E1161">
        <v>0.831206639190793</v>
      </c>
      <c r="F1161">
        <v>0.744971672125142</v>
      </c>
      <c r="G1161">
        <v>0.526914942561583</v>
      </c>
      <c r="H1161">
        <v>0.357502161574654</v>
      </c>
      <c r="I1161">
        <v>0.197998629404629</v>
      </c>
      <c r="J1161">
        <v>0.13348606110561</v>
      </c>
      <c r="K1161">
        <v>0.106461596079071</v>
      </c>
      <c r="L1161">
        <v>625.908638874742</v>
      </c>
      <c r="M1161">
        <v>11.5382506953007</v>
      </c>
      <c r="N1161">
        <v>54.2464012016166</v>
      </c>
      <c r="O1161">
        <v>52.6937254071282</v>
      </c>
      <c r="P1161">
        <v>-0.0547574126496983</v>
      </c>
      <c r="Q1161">
        <v>0</v>
      </c>
      <c r="R1161">
        <v>0.996961326088413</v>
      </c>
      <c r="S1161" t="s">
        <v>3354</v>
      </c>
      <c r="T1161" t="s">
        <v>4362</v>
      </c>
      <c r="U1161" t="s">
        <v>4362</v>
      </c>
      <c r="V1161" t="s">
        <v>4362</v>
      </c>
      <c r="W1161" t="s">
        <v>5520</v>
      </c>
      <c r="X1161">
        <v>8</v>
      </c>
      <c r="Y1161" t="s">
        <v>7682</v>
      </c>
      <c r="Z1161" t="s">
        <v>9849</v>
      </c>
      <c r="AA1161">
        <v>0.5919301994484418</v>
      </c>
      <c r="AB1161">
        <f>HYPERLINK("Melting_Curves/meltCurve_P17115_gutQ.pdf", "Melting_Curves/meltCurve_P17115_gutQ.pdf")</f>
        <v>0</v>
      </c>
    </row>
    <row r="1162" spans="1:28">
      <c r="A1162" t="s">
        <v>1188</v>
      </c>
      <c r="B1162">
        <v>0.999739202189716</v>
      </c>
      <c r="C1162">
        <v>0.818570063913679</v>
      </c>
      <c r="D1162">
        <v>0.805968219796661</v>
      </c>
      <c r="E1162">
        <v>0.853834109421717</v>
      </c>
      <c r="F1162">
        <v>0.919563610103163</v>
      </c>
      <c r="G1162">
        <v>0.453533893668849</v>
      </c>
      <c r="H1162">
        <v>0.209919917193737</v>
      </c>
      <c r="I1162">
        <v>0.143255704992525</v>
      </c>
      <c r="J1162">
        <v>0.1331974109814</v>
      </c>
      <c r="K1162">
        <v>0.110704084164657</v>
      </c>
      <c r="L1162">
        <v>1697.93943200781</v>
      </c>
      <c r="M1162">
        <v>31.985404778303</v>
      </c>
      <c r="N1162">
        <v>53.5649939484262</v>
      </c>
      <c r="O1162">
        <v>52.878610466183</v>
      </c>
      <c r="P1162">
        <v>-0.132373121118375</v>
      </c>
      <c r="Q1162">
        <v>0.124641837668624</v>
      </c>
      <c r="R1162">
        <v>0.925592377179757</v>
      </c>
      <c r="S1162" t="s">
        <v>3355</v>
      </c>
      <c r="T1162" t="s">
        <v>4362</v>
      </c>
      <c r="U1162" t="s">
        <v>4362</v>
      </c>
      <c r="V1162" t="s">
        <v>4362</v>
      </c>
      <c r="W1162" t="s">
        <v>5521</v>
      </c>
      <c r="X1162">
        <v>10</v>
      </c>
      <c r="Y1162" t="s">
        <v>7683</v>
      </c>
      <c r="Z1162" t="s">
        <v>9850</v>
      </c>
      <c r="AA1162">
        <v>0.5989153103274245</v>
      </c>
      <c r="AB1162">
        <f>HYPERLINK("Melting_Curves/meltCurve_P17117_nfsA.pdf", "Melting_Curves/meltCurve_P17117_nfsA.pdf")</f>
        <v>0</v>
      </c>
    </row>
    <row r="1163" spans="1:28">
      <c r="A1163" t="s">
        <v>1189</v>
      </c>
      <c r="B1163">
        <v>0.999739202189716</v>
      </c>
      <c r="C1163">
        <v>1.22302100213143</v>
      </c>
      <c r="D1163">
        <v>1.01240755813981</v>
      </c>
      <c r="E1163">
        <v>0.890407364820763</v>
      </c>
      <c r="F1163">
        <v>0.633063296469431</v>
      </c>
      <c r="G1163">
        <v>0.439848082999668</v>
      </c>
      <c r="H1163">
        <v>0.211091200223629</v>
      </c>
      <c r="I1163">
        <v>0.108376669616</v>
      </c>
      <c r="J1163">
        <v>0.07826344401911731</v>
      </c>
      <c r="K1163">
        <v>0.063168938323395</v>
      </c>
      <c r="L1163">
        <v>888.847592340757</v>
      </c>
      <c r="M1163">
        <v>17.0232658626081</v>
      </c>
      <c r="N1163">
        <v>52.4792959512775</v>
      </c>
      <c r="O1163">
        <v>51.5091396091319</v>
      </c>
      <c r="P1163">
        <v>-0.07921739629841459</v>
      </c>
      <c r="Q1163">
        <v>0.0412723011837642</v>
      </c>
      <c r="R1163">
        <v>0.967904703722767</v>
      </c>
      <c r="S1163" t="s">
        <v>3356</v>
      </c>
      <c r="T1163" t="s">
        <v>4362</v>
      </c>
      <c r="U1163" t="s">
        <v>4362</v>
      </c>
      <c r="V1163" t="s">
        <v>4362</v>
      </c>
      <c r="W1163" t="s">
        <v>5522</v>
      </c>
      <c r="X1163">
        <v>16</v>
      </c>
      <c r="Y1163" t="s">
        <v>7684</v>
      </c>
      <c r="Z1163" t="s">
        <v>9851</v>
      </c>
      <c r="AA1163">
        <v>0.5429915393420052</v>
      </c>
      <c r="AB1163">
        <f>HYPERLINK("Melting_Curves/meltCurve_P17169_glmS.pdf", "Melting_Curves/meltCurve_P17169_glmS.pdf")</f>
        <v>0</v>
      </c>
    </row>
    <row r="1164" spans="1:28">
      <c r="A1164" t="s">
        <v>1190</v>
      </c>
      <c r="B1164">
        <v>0.999739202189716</v>
      </c>
      <c r="C1164">
        <v>1.13715456495944</v>
      </c>
      <c r="D1164">
        <v>0.738753314069632</v>
      </c>
      <c r="E1164">
        <v>0.839692700278579</v>
      </c>
      <c r="F1164">
        <v>0.714086937963476</v>
      </c>
      <c r="G1164">
        <v>0.653293141689537</v>
      </c>
      <c r="H1164">
        <v>0.588109604419956</v>
      </c>
      <c r="I1164">
        <v>0.527954596572389</v>
      </c>
      <c r="J1164">
        <v>0.591043062179148</v>
      </c>
      <c r="K1164">
        <v>0.391863531025608</v>
      </c>
      <c r="L1164">
        <v>429.837947254747</v>
      </c>
      <c r="M1164">
        <v>8.39723585349479</v>
      </c>
      <c r="N1164">
        <v>64.1023137067732</v>
      </c>
      <c r="O1164">
        <v>48.5320387959733</v>
      </c>
      <c r="P1164">
        <v>-0.0256360996668782</v>
      </c>
      <c r="Q1164">
        <v>0.407900505490441</v>
      </c>
      <c r="R1164">
        <v>0.825360270116033</v>
      </c>
      <c r="S1164" t="s">
        <v>3357</v>
      </c>
      <c r="T1164" t="s">
        <v>4362</v>
      </c>
      <c r="U1164" t="s">
        <v>4362</v>
      </c>
      <c r="V1164" t="s">
        <v>4362</v>
      </c>
      <c r="W1164" t="s">
        <v>5523</v>
      </c>
      <c r="X1164">
        <v>4</v>
      </c>
      <c r="Y1164" t="s">
        <v>7685</v>
      </c>
      <c r="Z1164" t="s">
        <v>9852</v>
      </c>
      <c r="AA1164">
        <v>0.7074447767743732</v>
      </c>
      <c r="AB1164">
        <f>HYPERLINK("Melting_Curves/meltCurve_P17315_cirA.pdf", "Melting_Curves/meltCurve_P17315_cirA.pdf")</f>
        <v>0</v>
      </c>
    </row>
    <row r="1165" spans="1:28">
      <c r="A1165" t="s">
        <v>1191</v>
      </c>
      <c r="B1165">
        <v>0.999739202189716</v>
      </c>
      <c r="C1165">
        <v>0.636678615731306</v>
      </c>
      <c r="D1165">
        <v>0.502286648992343</v>
      </c>
      <c r="E1165">
        <v>0.233924604538566</v>
      </c>
      <c r="F1165">
        <v>0.148177904711096</v>
      </c>
      <c r="G1165">
        <v>0.09516961319859139</v>
      </c>
      <c r="H1165">
        <v>0.0803413262851197</v>
      </c>
      <c r="I1165">
        <v>0.06783753209586139</v>
      </c>
      <c r="J1165">
        <v>0.0536674820709195</v>
      </c>
      <c r="K1165">
        <v>0.0445178378710426</v>
      </c>
      <c r="L1165">
        <v>639.332779063976</v>
      </c>
      <c r="M1165">
        <v>15.1346099319195</v>
      </c>
      <c r="N1165">
        <v>42.5809594660087</v>
      </c>
      <c r="O1165">
        <v>41.5261823968933</v>
      </c>
      <c r="P1165">
        <v>-0.08596808640290959</v>
      </c>
      <c r="Q1165">
        <v>0.0565787355120293</v>
      </c>
      <c r="R1165">
        <v>0.97927078399712</v>
      </c>
      <c r="S1165" t="s">
        <v>3358</v>
      </c>
      <c r="T1165" t="s">
        <v>4362</v>
      </c>
      <c r="U1165" t="s">
        <v>4362</v>
      </c>
      <c r="V1165" t="s">
        <v>4362</v>
      </c>
      <c r="W1165" t="s">
        <v>5524</v>
      </c>
      <c r="X1165">
        <v>6</v>
      </c>
      <c r="Y1165" t="s">
        <v>7686</v>
      </c>
      <c r="Z1165" t="s">
        <v>9853</v>
      </c>
      <c r="AA1165">
        <v>0.2475123377918343</v>
      </c>
      <c r="AB1165">
        <f>HYPERLINK("Melting_Curves/meltCurve_P17443_murG.pdf", "Melting_Curves/meltCurve_P17443_murG.pdf")</f>
        <v>0</v>
      </c>
    </row>
    <row r="1166" spans="1:28">
      <c r="A1166" t="s">
        <v>1192</v>
      </c>
      <c r="B1166">
        <v>0.999739202189716</v>
      </c>
      <c r="C1166">
        <v>1.30088189274927</v>
      </c>
      <c r="D1166">
        <v>0.884958602532132</v>
      </c>
      <c r="E1166">
        <v>0.492147464337287</v>
      </c>
      <c r="F1166">
        <v>0.219803227167986</v>
      </c>
      <c r="G1166">
        <v>0.122931960147371</v>
      </c>
      <c r="H1166">
        <v>0.0944545719177006</v>
      </c>
      <c r="I1166">
        <v>0.07434357676230249</v>
      </c>
      <c r="J1166">
        <v>0.0692116437655859</v>
      </c>
      <c r="K1166">
        <v>0.0566347581796946</v>
      </c>
      <c r="L1166">
        <v>1312.11768681268</v>
      </c>
      <c r="M1166">
        <v>28.2874693249663</v>
      </c>
      <c r="N1166">
        <v>46.6882548546236</v>
      </c>
      <c r="O1166">
        <v>46.1551612281177</v>
      </c>
      <c r="P1166">
        <v>-0.140367484361857</v>
      </c>
      <c r="Q1166">
        <v>0.0838868640636987</v>
      </c>
      <c r="R1166">
        <v>0.9482888295998591</v>
      </c>
      <c r="S1166" t="s">
        <v>3359</v>
      </c>
      <c r="T1166" t="s">
        <v>4362</v>
      </c>
      <c r="U1166" t="s">
        <v>4362</v>
      </c>
      <c r="V1166" t="s">
        <v>4362</v>
      </c>
      <c r="W1166" t="s">
        <v>5525</v>
      </c>
      <c r="X1166">
        <v>7</v>
      </c>
      <c r="Y1166" t="s">
        <v>7687</v>
      </c>
      <c r="Z1166" t="s">
        <v>9854</v>
      </c>
      <c r="AA1166">
        <v>0.3764134048137633</v>
      </c>
      <c r="AB1166">
        <f>HYPERLINK("Melting_Curves/meltCurve_P17445_betB.pdf", "Melting_Curves/meltCurve_P17445_betB.pdf")</f>
        <v>0</v>
      </c>
    </row>
    <row r="1167" spans="1:28">
      <c r="A1167" t="s">
        <v>1193</v>
      </c>
      <c r="B1167">
        <v>0.999739202189716</v>
      </c>
      <c r="C1167">
        <v>0.617018365012545</v>
      </c>
      <c r="D1167">
        <v>0.330986141185818</v>
      </c>
      <c r="E1167">
        <v>0.214268408617077</v>
      </c>
      <c r="F1167">
        <v>0.163756947872352</v>
      </c>
      <c r="G1167">
        <v>0.119429071328538</v>
      </c>
      <c r="H1167">
        <v>0.0977817866211356</v>
      </c>
      <c r="I1167">
        <v>0.07562082467523611</v>
      </c>
      <c r="J1167">
        <v>0.0533232676380575</v>
      </c>
      <c r="K1167">
        <v>0.0527954077162937</v>
      </c>
      <c r="L1167">
        <v>846.08243034365</v>
      </c>
      <c r="M1167">
        <v>20.6695578916397</v>
      </c>
      <c r="N1167">
        <v>41.3511714821792</v>
      </c>
      <c r="O1167">
        <v>40.556356845235</v>
      </c>
      <c r="P1167">
        <v>-0.115418257309261</v>
      </c>
      <c r="Q1167">
        <v>0.0941630762927632</v>
      </c>
      <c r="R1167">
        <v>0.976624829751579</v>
      </c>
      <c r="S1167" t="s">
        <v>3360</v>
      </c>
      <c r="T1167" t="s">
        <v>4362</v>
      </c>
      <c r="U1167" t="s">
        <v>4362</v>
      </c>
      <c r="V1167" t="s">
        <v>4362</v>
      </c>
      <c r="W1167" t="s">
        <v>5526</v>
      </c>
      <c r="X1167">
        <v>8</v>
      </c>
      <c r="Y1167" t="s">
        <v>7688</v>
      </c>
      <c r="Z1167" t="s">
        <v>9855</v>
      </c>
      <c r="AA1167">
        <v>0.2274663082299948</v>
      </c>
      <c r="AB1167">
        <f>HYPERLINK("Melting_Curves/meltCurve_P17846_cysI.pdf", "Melting_Curves/meltCurve_P17846_cysI.pdf")</f>
        <v>0</v>
      </c>
    </row>
    <row r="1168" spans="1:28">
      <c r="A1168" t="s">
        <v>1194</v>
      </c>
      <c r="B1168">
        <v>0.999739202189716</v>
      </c>
      <c r="C1168">
        <v>0.749263887757738</v>
      </c>
      <c r="D1168">
        <v>0.997782432736295</v>
      </c>
      <c r="E1168">
        <v>0.385683516280892</v>
      </c>
      <c r="F1168">
        <v>0.155233441281033</v>
      </c>
      <c r="G1168">
        <v>0.0723629383434721</v>
      </c>
      <c r="H1168">
        <v>0.0596866207257448</v>
      </c>
      <c r="I1168">
        <v>0.0480449904773416</v>
      </c>
      <c r="J1168">
        <v>0.0510809584598631</v>
      </c>
      <c r="K1168">
        <v>0.0471192865039025</v>
      </c>
      <c r="L1168">
        <v>1936.18948572053</v>
      </c>
      <c r="M1168">
        <v>42.1284964745098</v>
      </c>
      <c r="N1168">
        <v>46.1139587592329</v>
      </c>
      <c r="O1168">
        <v>45.8559470562956</v>
      </c>
      <c r="P1168">
        <v>-0.214534069815164</v>
      </c>
      <c r="Q1168">
        <v>0.0659390044410884</v>
      </c>
      <c r="R1168">
        <v>0.952846559207322</v>
      </c>
      <c r="S1168" t="s">
        <v>3361</v>
      </c>
      <c r="T1168" t="s">
        <v>4362</v>
      </c>
      <c r="U1168" t="s">
        <v>4362</v>
      </c>
      <c r="V1168" t="s">
        <v>4362</v>
      </c>
      <c r="W1168" t="s">
        <v>5527</v>
      </c>
      <c r="X1168">
        <v>5</v>
      </c>
      <c r="Y1168" t="s">
        <v>7689</v>
      </c>
      <c r="Z1168" t="s">
        <v>9856</v>
      </c>
      <c r="AA1168">
        <v>0.3475592816701712</v>
      </c>
      <c r="AB1168">
        <f>HYPERLINK("Melting_Curves/meltCurve_P17854_cysH.pdf", "Melting_Curves/meltCurve_P17854_cysH.pdf")</f>
        <v>0</v>
      </c>
    </row>
    <row r="1169" spans="1:28">
      <c r="A1169" t="s">
        <v>1195</v>
      </c>
      <c r="B1169">
        <v>0.999739202189716</v>
      </c>
      <c r="C1169">
        <v>0.920586913602489</v>
      </c>
      <c r="D1169">
        <v>0.5378808042369581</v>
      </c>
      <c r="E1169">
        <v>0.225873117913197</v>
      </c>
      <c r="F1169">
        <v>0.168535251361945</v>
      </c>
      <c r="G1169">
        <v>0.10558798717448</v>
      </c>
      <c r="H1169">
        <v>0.0875142441509599</v>
      </c>
      <c r="I1169">
        <v>0.0700993333937579</v>
      </c>
      <c r="J1169">
        <v>0.0668137715514609</v>
      </c>
      <c r="K1169">
        <v>0.0553779211536179</v>
      </c>
      <c r="L1169">
        <v>1031.67630592637</v>
      </c>
      <c r="M1169">
        <v>23.8957751111935</v>
      </c>
      <c r="N1169">
        <v>43.5106754698348</v>
      </c>
      <c r="O1169">
        <v>42.8750484564743</v>
      </c>
      <c r="P1169">
        <v>-0.127574848909273</v>
      </c>
      <c r="Q1169">
        <v>0.0844088888001033</v>
      </c>
      <c r="R1169">
        <v>0.994561097543904</v>
      </c>
      <c r="S1169" t="s">
        <v>3362</v>
      </c>
      <c r="T1169" t="s">
        <v>4362</v>
      </c>
      <c r="U1169" t="s">
        <v>4362</v>
      </c>
      <c r="V1169" t="s">
        <v>4362</v>
      </c>
      <c r="W1169" t="s">
        <v>5528</v>
      </c>
      <c r="X1169">
        <v>5</v>
      </c>
      <c r="Y1169" t="s">
        <v>7690</v>
      </c>
      <c r="Z1169" t="s">
        <v>9857</v>
      </c>
      <c r="AA1169">
        <v>0.2812885223141566</v>
      </c>
      <c r="AB1169">
        <f>HYPERLINK("Melting_Curves/meltCurve_P17952_murC.pdf", "Melting_Curves/meltCurve_P17952_murC.pdf")</f>
        <v>0</v>
      </c>
    </row>
    <row r="1170" spans="1:28">
      <c r="A1170" t="s">
        <v>1196</v>
      </c>
      <c r="B1170">
        <v>0.999739202189716</v>
      </c>
      <c r="C1170">
        <v>0.886778599138352</v>
      </c>
      <c r="D1170">
        <v>1.05382644039145</v>
      </c>
      <c r="E1170">
        <v>0.701963136850443</v>
      </c>
      <c r="F1170">
        <v>0.322594625697557</v>
      </c>
      <c r="G1170">
        <v>0.171817155140113</v>
      </c>
      <c r="H1170">
        <v>0.140479485966116</v>
      </c>
      <c r="I1170">
        <v>0.131539638975537</v>
      </c>
      <c r="J1170">
        <v>0.112006437979637</v>
      </c>
      <c r="K1170">
        <v>0.08159833609777629</v>
      </c>
      <c r="L1170">
        <v>1329.30397662721</v>
      </c>
      <c r="M1170">
        <v>27.7261060338509</v>
      </c>
      <c r="N1170">
        <v>48.409563294113</v>
      </c>
      <c r="O1170">
        <v>47.6968013634876</v>
      </c>
      <c r="P1170">
        <v>-0.128323298402808</v>
      </c>
      <c r="Q1170">
        <v>0.116997360548205</v>
      </c>
      <c r="R1170">
        <v>0.984609141964047</v>
      </c>
      <c r="S1170" t="s">
        <v>3363</v>
      </c>
      <c r="T1170" t="s">
        <v>4362</v>
      </c>
      <c r="U1170" t="s">
        <v>4362</v>
      </c>
      <c r="V1170" t="s">
        <v>4362</v>
      </c>
      <c r="W1170" t="s">
        <v>5529</v>
      </c>
      <c r="X1170">
        <v>6</v>
      </c>
      <c r="Y1170" t="s">
        <v>7691</v>
      </c>
      <c r="Z1170" t="s">
        <v>9858</v>
      </c>
      <c r="AA1170">
        <v>0.445239005382592</v>
      </c>
      <c r="AB1170">
        <f>HYPERLINK("Melting_Curves/meltCurve_P17993_ubiG.pdf", "Melting_Curves/meltCurve_P17993_ubiG.pdf")</f>
        <v>0</v>
      </c>
    </row>
    <row r="1171" spans="1:28">
      <c r="A1171" t="s">
        <v>1197</v>
      </c>
      <c r="B1171">
        <v>0.999739202189716</v>
      </c>
      <c r="C1171">
        <v>0.886878039343118</v>
      </c>
      <c r="D1171">
        <v>0.977925988354607</v>
      </c>
      <c r="E1171">
        <v>0.803115881216347</v>
      </c>
      <c r="F1171">
        <v>0.531244982361552</v>
      </c>
      <c r="G1171">
        <v>0.23658057057194</v>
      </c>
      <c r="H1171">
        <v>0.199680304352135</v>
      </c>
      <c r="I1171">
        <v>0.219329885794704</v>
      </c>
      <c r="J1171">
        <v>0.193361351418338</v>
      </c>
      <c r="K1171">
        <v>0.119381562667623</v>
      </c>
      <c r="L1171">
        <v>1062.81115567782</v>
      </c>
      <c r="M1171">
        <v>21.5491247679117</v>
      </c>
      <c r="N1171">
        <v>50.2307697435871</v>
      </c>
      <c r="O1171">
        <v>48.9015445840637</v>
      </c>
      <c r="P1171">
        <v>-0.0923586917681338</v>
      </c>
      <c r="Q1171">
        <v>0.161660013237148</v>
      </c>
      <c r="R1171">
        <v>0.983760521054429</v>
      </c>
      <c r="S1171" t="s">
        <v>3364</v>
      </c>
      <c r="T1171" t="s">
        <v>4362</v>
      </c>
      <c r="U1171" t="s">
        <v>4362</v>
      </c>
      <c r="V1171" t="s">
        <v>4362</v>
      </c>
      <c r="W1171" t="s">
        <v>5530</v>
      </c>
      <c r="X1171">
        <v>11</v>
      </c>
      <c r="Y1171" t="s">
        <v>7692</v>
      </c>
      <c r="Z1171" t="s">
        <v>9859</v>
      </c>
      <c r="AA1171">
        <v>0.5155889839120771</v>
      </c>
      <c r="AB1171">
        <f>HYPERLINK("Melting_Curves/meltCurve_P18196_minC.pdf", "Melting_Curves/meltCurve_P18196_minC.pdf")</f>
        <v>0</v>
      </c>
    </row>
    <row r="1172" spans="1:28">
      <c r="A1172" t="s">
        <v>1198</v>
      </c>
      <c r="B1172">
        <v>0.999739202189716</v>
      </c>
      <c r="C1172">
        <v>1.01931016488135</v>
      </c>
      <c r="D1172">
        <v>1.01643810569616</v>
      </c>
      <c r="E1172">
        <v>0.670770610603425</v>
      </c>
      <c r="F1172">
        <v>0.342783245259534</v>
      </c>
      <c r="G1172">
        <v>0.1926316274033</v>
      </c>
      <c r="H1172">
        <v>0.1484618076295</v>
      </c>
      <c r="I1172">
        <v>0.0973474542588483</v>
      </c>
      <c r="J1172">
        <v>0.07866374691543319</v>
      </c>
      <c r="K1172">
        <v>0.0697279224876701</v>
      </c>
      <c r="L1172">
        <v>1113.96519109767</v>
      </c>
      <c r="M1172">
        <v>23.1829058337416</v>
      </c>
      <c r="N1172">
        <v>48.4958968551183</v>
      </c>
      <c r="O1172">
        <v>47.6978947723643</v>
      </c>
      <c r="P1172">
        <v>-0.109874920385951</v>
      </c>
      <c r="Q1172">
        <v>0.0957635197704593</v>
      </c>
      <c r="R1172">
        <v>0.9936205578409379</v>
      </c>
      <c r="S1172" t="s">
        <v>3365</v>
      </c>
      <c r="T1172" t="s">
        <v>4362</v>
      </c>
      <c r="U1172" t="s">
        <v>4362</v>
      </c>
      <c r="V1172" t="s">
        <v>4362</v>
      </c>
      <c r="W1172" t="s">
        <v>5531</v>
      </c>
      <c r="X1172">
        <v>7</v>
      </c>
      <c r="Y1172" t="s">
        <v>7693</v>
      </c>
      <c r="Z1172" t="s">
        <v>9860</v>
      </c>
      <c r="AA1172">
        <v>0.4378028800408295</v>
      </c>
      <c r="AB1172">
        <f>HYPERLINK("Melting_Curves/meltCurve_P18335_argD.pdf", "Melting_Curves/meltCurve_P18335_argD.pdf")</f>
        <v>0</v>
      </c>
    </row>
    <row r="1173" spans="1:28">
      <c r="A1173" t="s">
        <v>1199</v>
      </c>
      <c r="B1173">
        <v>0.999739202189716</v>
      </c>
      <c r="C1173">
        <v>1.37140475645149</v>
      </c>
      <c r="D1173">
        <v>0.456729569998993</v>
      </c>
      <c r="E1173">
        <v>0.539024596932827</v>
      </c>
      <c r="F1173">
        <v>0.403260723997304</v>
      </c>
      <c r="G1173">
        <v>0.245727603268548</v>
      </c>
      <c r="H1173">
        <v>0.209084561545078</v>
      </c>
      <c r="I1173">
        <v>0.151218539623172</v>
      </c>
      <c r="J1173">
        <v>0.177980266938759</v>
      </c>
      <c r="K1173">
        <v>0.13969265399496</v>
      </c>
      <c r="L1173">
        <v>799.544624117936</v>
      </c>
      <c r="M1173">
        <v>17.7188811558233</v>
      </c>
      <c r="N1173">
        <v>46.3267172324006</v>
      </c>
      <c r="O1173">
        <v>44.560892238437</v>
      </c>
      <c r="P1173">
        <v>-0.08108396534515649</v>
      </c>
      <c r="Q1173">
        <v>0.184376456671978</v>
      </c>
      <c r="R1173">
        <v>0.796947140596203</v>
      </c>
      <c r="S1173" t="s">
        <v>3366</v>
      </c>
      <c r="T1173" t="s">
        <v>4362</v>
      </c>
      <c r="U1173" t="s">
        <v>4362</v>
      </c>
      <c r="V1173" t="s">
        <v>4362</v>
      </c>
      <c r="W1173" t="s">
        <v>5532</v>
      </c>
      <c r="X1173">
        <v>5</v>
      </c>
      <c r="Y1173" t="s">
        <v>7694</v>
      </c>
      <c r="Z1173" t="s">
        <v>9861</v>
      </c>
      <c r="AA1173">
        <v>0.4190216562076528</v>
      </c>
      <c r="AB1173">
        <f>HYPERLINK("Melting_Curves/meltCurve_P18392_rstB.pdf", "Melting_Curves/meltCurve_P18392_rstB.pdf")</f>
        <v>0</v>
      </c>
    </row>
    <row r="1174" spans="1:28">
      <c r="A1174" t="s">
        <v>1200</v>
      </c>
      <c r="B1174">
        <v>0.999739202189716</v>
      </c>
      <c r="C1174">
        <v>0.988940744185078</v>
      </c>
      <c r="D1174">
        <v>0.761772739095121</v>
      </c>
      <c r="E1174">
        <v>0.671034957801279</v>
      </c>
      <c r="F1174">
        <v>0.446416390884786</v>
      </c>
      <c r="G1174">
        <v>0.332351204624113</v>
      </c>
      <c r="H1174">
        <v>0.221043065808578</v>
      </c>
      <c r="I1174">
        <v>0.131708781350464</v>
      </c>
      <c r="J1174">
        <v>0.0921018209916597</v>
      </c>
      <c r="K1174">
        <v>0.0735106997141889</v>
      </c>
      <c r="L1174">
        <v>508.795803212828</v>
      </c>
      <c r="M1174">
        <v>10.2984850873284</v>
      </c>
      <c r="N1174">
        <v>49.5565770547059</v>
      </c>
      <c r="O1174">
        <v>47.6508547813666</v>
      </c>
      <c r="P1174">
        <v>-0.0532158286070364</v>
      </c>
      <c r="Q1174">
        <v>0.0155139657935107</v>
      </c>
      <c r="R1174">
        <v>0.990704008090339</v>
      </c>
      <c r="S1174" t="s">
        <v>3367</v>
      </c>
      <c r="T1174" t="s">
        <v>4362</v>
      </c>
      <c r="U1174" t="s">
        <v>4362</v>
      </c>
      <c r="V1174" t="s">
        <v>4362</v>
      </c>
      <c r="W1174" t="s">
        <v>5533</v>
      </c>
      <c r="X1174">
        <v>23</v>
      </c>
      <c r="Y1174" t="s">
        <v>7695</v>
      </c>
      <c r="Z1174" t="s">
        <v>9862</v>
      </c>
      <c r="AA1174">
        <v>0.4568092387621852</v>
      </c>
      <c r="AB1174">
        <f>HYPERLINK("Melting_Curves/meltCurve_P18775_dmsA.pdf", "Melting_Curves/meltCurve_P18775_dmsA.pdf")</f>
        <v>0</v>
      </c>
    </row>
    <row r="1175" spans="1:28">
      <c r="A1175" t="s">
        <v>1201</v>
      </c>
      <c r="B1175">
        <v>0.999739202189716</v>
      </c>
      <c r="C1175">
        <v>0.774679272061111</v>
      </c>
      <c r="D1175">
        <v>1.02935554401069</v>
      </c>
      <c r="E1175">
        <v>0.783820549833908</v>
      </c>
      <c r="F1175">
        <v>0.824926875726543</v>
      </c>
      <c r="G1175">
        <v>0.709377168448529</v>
      </c>
      <c r="H1175">
        <v>0.69085465712045</v>
      </c>
      <c r="I1175">
        <v>0.633899521872742</v>
      </c>
      <c r="J1175">
        <v>0.651094528862313</v>
      </c>
      <c r="K1175">
        <v>0.507866709753334</v>
      </c>
      <c r="L1175">
        <v>224.521288716588</v>
      </c>
      <c r="M1175">
        <v>3.12805762967132</v>
      </c>
      <c r="O1175">
        <v>53.81194029004</v>
      </c>
      <c r="P1175">
        <v>-0.0149299444204186</v>
      </c>
      <c r="Q1175">
        <v>0</v>
      </c>
      <c r="R1175">
        <v>0.762684998843784</v>
      </c>
      <c r="S1175" t="s">
        <v>3368</v>
      </c>
      <c r="T1175" t="s">
        <v>4362</v>
      </c>
      <c r="U1175" t="s">
        <v>4362</v>
      </c>
      <c r="V1175" t="s">
        <v>4362</v>
      </c>
      <c r="W1175" t="s">
        <v>5534</v>
      </c>
      <c r="X1175">
        <v>10</v>
      </c>
      <c r="Y1175" t="s">
        <v>7696</v>
      </c>
      <c r="Z1175" t="s">
        <v>9863</v>
      </c>
      <c r="AA1175">
        <v>0.7624970843386799</v>
      </c>
      <c r="AB1175">
        <f>HYPERLINK("Melting_Curves/meltCurve_P18776_dmsB.pdf", "Melting_Curves/meltCurve_P18776_dmsB.pdf")</f>
        <v>0</v>
      </c>
    </row>
    <row r="1176" spans="1:28">
      <c r="A1176" t="s">
        <v>1202</v>
      </c>
      <c r="B1176">
        <v>0.999739202189716</v>
      </c>
      <c r="C1176">
        <v>0.7913164119932879</v>
      </c>
      <c r="D1176">
        <v>0.634314401307451</v>
      </c>
      <c r="E1176">
        <v>0.216305804982006</v>
      </c>
      <c r="F1176">
        <v>0.136960785367485</v>
      </c>
      <c r="G1176">
        <v>0.08719250766773549</v>
      </c>
      <c r="H1176">
        <v>0.0650457228273493</v>
      </c>
      <c r="I1176">
        <v>0.0520654035856496</v>
      </c>
      <c r="J1176">
        <v>0.046543059173391</v>
      </c>
      <c r="K1176">
        <v>0.0458966597683849</v>
      </c>
      <c r="L1176">
        <v>810.542245018043</v>
      </c>
      <c r="M1176">
        <v>18.6218094687972</v>
      </c>
      <c r="N1176">
        <v>43.7677855344578</v>
      </c>
      <c r="O1176">
        <v>43.0338698613505</v>
      </c>
      <c r="P1176">
        <v>-0.102908240970658</v>
      </c>
      <c r="Q1176">
        <v>0.0487822885992666</v>
      </c>
      <c r="R1176">
        <v>0.990817371023773</v>
      </c>
      <c r="S1176" t="s">
        <v>3369</v>
      </c>
      <c r="T1176" t="s">
        <v>4362</v>
      </c>
      <c r="U1176" t="s">
        <v>4362</v>
      </c>
      <c r="V1176" t="s">
        <v>4362</v>
      </c>
      <c r="W1176" t="s">
        <v>5535</v>
      </c>
      <c r="X1176">
        <v>14</v>
      </c>
      <c r="Y1176" t="s">
        <v>7697</v>
      </c>
      <c r="Z1176" t="s">
        <v>9864</v>
      </c>
      <c r="AA1176">
        <v>0.2708841644142283</v>
      </c>
      <c r="AB1176">
        <f>HYPERLINK("Melting_Curves/meltCurve_P18843_nadE.pdf", "Melting_Curves/meltCurve_P18843_nadE.pdf")</f>
        <v>0</v>
      </c>
    </row>
    <row r="1177" spans="1:28">
      <c r="A1177" t="s">
        <v>1203</v>
      </c>
      <c r="B1177">
        <v>0.999739202189716</v>
      </c>
      <c r="C1177">
        <v>0.962859842685903</v>
      </c>
      <c r="D1177">
        <v>0.958215805246614</v>
      </c>
      <c r="E1177">
        <v>0.935168079242265</v>
      </c>
      <c r="F1177">
        <v>1.04260254736215</v>
      </c>
      <c r="G1177">
        <v>0.852982229767893</v>
      </c>
      <c r="H1177">
        <v>0.679453062679492</v>
      </c>
      <c r="I1177">
        <v>0.422050217241435</v>
      </c>
      <c r="J1177">
        <v>0.412228256768751</v>
      </c>
      <c r="K1177">
        <v>0.306473690768475</v>
      </c>
      <c r="L1177">
        <v>1331.37405467392</v>
      </c>
      <c r="M1177">
        <v>23.1533940294514</v>
      </c>
      <c r="N1177">
        <v>59.9691962554515</v>
      </c>
      <c r="O1177">
        <v>57.0785368151211</v>
      </c>
      <c r="P1177">
        <v>-0.07026860134604899</v>
      </c>
      <c r="Q1177">
        <v>0.307098499786287</v>
      </c>
      <c r="R1177">
        <v>0.9769615062334061</v>
      </c>
      <c r="S1177" t="s">
        <v>3370</v>
      </c>
      <c r="T1177" t="s">
        <v>4362</v>
      </c>
      <c r="U1177" t="s">
        <v>4362</v>
      </c>
      <c r="V1177" t="s">
        <v>4362</v>
      </c>
      <c r="W1177" t="s">
        <v>5536</v>
      </c>
      <c r="X1177">
        <v>17</v>
      </c>
      <c r="Y1177" t="s">
        <v>7698</v>
      </c>
      <c r="Z1177" t="s">
        <v>9865</v>
      </c>
      <c r="AA1177">
        <v>0.7857908578345297</v>
      </c>
      <c r="AB1177">
        <f>HYPERLINK("Melting_Curves/meltCurve_P18956_ggt.pdf", "Melting_Curves/meltCurve_P18956_ggt.pdf")</f>
        <v>0</v>
      </c>
    </row>
    <row r="1178" spans="1:28">
      <c r="A1178" t="s">
        <v>1204</v>
      </c>
      <c r="B1178">
        <v>0.999739202189716</v>
      </c>
      <c r="C1178">
        <v>1.12711542443478</v>
      </c>
      <c r="D1178">
        <v>1.02231118766179</v>
      </c>
      <c r="E1178">
        <v>0.962105856960154</v>
      </c>
      <c r="F1178">
        <v>0.793340200575222</v>
      </c>
      <c r="G1178">
        <v>0.669387854977449</v>
      </c>
      <c r="H1178">
        <v>0.503848539981934</v>
      </c>
      <c r="I1178">
        <v>0.40017218190409</v>
      </c>
      <c r="J1178">
        <v>0.386681841244303</v>
      </c>
      <c r="K1178">
        <v>0.26773729540902</v>
      </c>
      <c r="L1178">
        <v>776.956247992009</v>
      </c>
      <c r="M1178">
        <v>14.2642086266233</v>
      </c>
      <c r="N1178">
        <v>57.4985424084217</v>
      </c>
      <c r="O1178">
        <v>53.4319343557467</v>
      </c>
      <c r="P1178">
        <v>-0.0491140261277555</v>
      </c>
      <c r="Q1178">
        <v>0.264190611185086</v>
      </c>
      <c r="R1178">
        <v>0.971509462764105</v>
      </c>
      <c r="S1178" t="s">
        <v>3371</v>
      </c>
      <c r="T1178" t="s">
        <v>4362</v>
      </c>
      <c r="U1178" t="s">
        <v>4362</v>
      </c>
      <c r="V1178" t="s">
        <v>4362</v>
      </c>
      <c r="W1178" t="s">
        <v>5537</v>
      </c>
      <c r="X1178">
        <v>11</v>
      </c>
      <c r="Y1178" t="s">
        <v>7699</v>
      </c>
      <c r="Z1178" t="s">
        <v>9866</v>
      </c>
      <c r="AA1178">
        <v>0.704184939037087</v>
      </c>
      <c r="AB1178">
        <f>HYPERLINK("Melting_Curves/meltCurve_P19318_narY.pdf", "Melting_Curves/meltCurve_P19318_narY.pdf")</f>
        <v>0</v>
      </c>
    </row>
    <row r="1179" spans="1:28">
      <c r="A1179" t="s">
        <v>1205</v>
      </c>
      <c r="B1179">
        <v>0.999739202189716</v>
      </c>
      <c r="C1179">
        <v>1.44481061240498</v>
      </c>
      <c r="D1179">
        <v>0.895595631958133</v>
      </c>
      <c r="E1179">
        <v>0.985265103994325</v>
      </c>
      <c r="F1179">
        <v>0.496753231733115</v>
      </c>
      <c r="G1179">
        <v>0.318574374057227</v>
      </c>
      <c r="H1179">
        <v>0.243260984262393</v>
      </c>
      <c r="I1179">
        <v>0.196894197642038</v>
      </c>
      <c r="J1179">
        <v>0.180956916575793</v>
      </c>
      <c r="K1179">
        <v>0.160503559240011</v>
      </c>
      <c r="L1179">
        <v>1784.43087531396</v>
      </c>
      <c r="M1179">
        <v>35.9215328609893</v>
      </c>
      <c r="N1179">
        <v>50.4172922075047</v>
      </c>
      <c r="O1179">
        <v>49.5226015626464</v>
      </c>
      <c r="P1179">
        <v>-0.14412928060627</v>
      </c>
      <c r="Q1179">
        <v>0.205197170955946</v>
      </c>
      <c r="R1179">
        <v>0.881460942697741</v>
      </c>
      <c r="S1179" t="s">
        <v>3372</v>
      </c>
      <c r="T1179" t="s">
        <v>4362</v>
      </c>
      <c r="U1179" t="s">
        <v>4362</v>
      </c>
      <c r="V1179" t="s">
        <v>4362</v>
      </c>
      <c r="W1179" t="s">
        <v>5538</v>
      </c>
      <c r="X1179">
        <v>21</v>
      </c>
      <c r="Y1179" t="s">
        <v>7700</v>
      </c>
      <c r="Z1179" t="s">
        <v>9867</v>
      </c>
      <c r="AA1179">
        <v>0.5444082537177058</v>
      </c>
      <c r="AB1179">
        <f>HYPERLINK("Melting_Curves/meltCurve_P19319_narZ.pdf", "Melting_Curves/meltCurve_P19319_narZ.pdf")</f>
        <v>0</v>
      </c>
    </row>
    <row r="1180" spans="1:28">
      <c r="A1180" t="s">
        <v>1206</v>
      </c>
      <c r="B1180">
        <v>0.999739202189716</v>
      </c>
      <c r="C1180">
        <v>1.00593199806057</v>
      </c>
      <c r="D1180">
        <v>0.256933012922177</v>
      </c>
      <c r="E1180">
        <v>0.6707053002108589</v>
      </c>
      <c r="F1180">
        <v>0.482799151685862</v>
      </c>
      <c r="G1180">
        <v>0.195748956399023</v>
      </c>
      <c r="H1180">
        <v>0.180247839087277</v>
      </c>
      <c r="I1180">
        <v>0.103461526754022</v>
      </c>
      <c r="J1180">
        <v>0.135564312497654</v>
      </c>
      <c r="K1180">
        <v>0.08793680979326859</v>
      </c>
      <c r="L1180">
        <v>396.313558053807</v>
      </c>
      <c r="M1180">
        <v>8.524832404635159</v>
      </c>
      <c r="N1180">
        <v>46.7849812116201</v>
      </c>
      <c r="O1180">
        <v>44.1429334903195</v>
      </c>
      <c r="P1180">
        <v>-0.0470554974933033</v>
      </c>
      <c r="Q1180">
        <v>0.0262249416591944</v>
      </c>
      <c r="R1180">
        <v>0.769692118616471</v>
      </c>
      <c r="S1180" t="s">
        <v>3373</v>
      </c>
      <c r="T1180" t="s">
        <v>4362</v>
      </c>
      <c r="U1180" t="s">
        <v>4362</v>
      </c>
      <c r="V1180" t="s">
        <v>4362</v>
      </c>
      <c r="W1180" t="s">
        <v>5539</v>
      </c>
      <c r="X1180">
        <v>1</v>
      </c>
      <c r="Y1180" t="s">
        <v>7701</v>
      </c>
      <c r="Z1180" t="s">
        <v>9868</v>
      </c>
      <c r="AA1180">
        <v>0.3883934156083167</v>
      </c>
      <c r="AB1180">
        <f>HYPERLINK("Melting_Curves/meltCurve_P19624_pdxA.pdf", "Melting_Curves/meltCurve_P19624_pdxA.pdf")</f>
        <v>0</v>
      </c>
    </row>
    <row r="1181" spans="1:28">
      <c r="A1181" t="s">
        <v>1207</v>
      </c>
      <c r="B1181">
        <v>0.999739202189716</v>
      </c>
      <c r="C1181">
        <v>0.93621988601814</v>
      </c>
      <c r="D1181">
        <v>0.758266566666308</v>
      </c>
      <c r="E1181">
        <v>0.679630741962594</v>
      </c>
      <c r="F1181">
        <v>0.502014777609419</v>
      </c>
      <c r="G1181">
        <v>0.303297067947108</v>
      </c>
      <c r="H1181">
        <v>0.232576160514185</v>
      </c>
      <c r="I1181">
        <v>0.18049677844171</v>
      </c>
      <c r="J1181">
        <v>0.163971229840573</v>
      </c>
      <c r="K1181">
        <v>0.145704342604905</v>
      </c>
      <c r="L1181">
        <v>516.463161097093</v>
      </c>
      <c r="M1181">
        <v>10.6100789630481</v>
      </c>
      <c r="N1181">
        <v>49.6063962448079</v>
      </c>
      <c r="O1181">
        <v>47.0429776932412</v>
      </c>
      <c r="P1181">
        <v>-0.05132086329826</v>
      </c>
      <c r="Q1181">
        <v>0.0901667192153402</v>
      </c>
      <c r="R1181">
        <v>0.992040245250489</v>
      </c>
      <c r="S1181" t="s">
        <v>3374</v>
      </c>
      <c r="T1181" t="s">
        <v>4362</v>
      </c>
      <c r="U1181" t="s">
        <v>4362</v>
      </c>
      <c r="V1181" t="s">
        <v>4362</v>
      </c>
      <c r="W1181" t="s">
        <v>5540</v>
      </c>
      <c r="X1181">
        <v>8</v>
      </c>
      <c r="Y1181" t="s">
        <v>7702</v>
      </c>
      <c r="Z1181" t="s">
        <v>9869</v>
      </c>
      <c r="AA1181">
        <v>0.4765955870838037</v>
      </c>
      <c r="AB1181">
        <f>HYPERLINK("Melting_Curves/meltCurve_P19636_eutC.pdf", "Melting_Curves/meltCurve_P19636_eutC.pdf")</f>
        <v>0</v>
      </c>
    </row>
    <row r="1182" spans="1:28">
      <c r="A1182" t="s">
        <v>1208</v>
      </c>
      <c r="B1182">
        <v>0.999739202189716</v>
      </c>
      <c r="C1182">
        <v>0.911095486584227</v>
      </c>
      <c r="D1182">
        <v>1.05460088869653</v>
      </c>
      <c r="E1182">
        <v>1.1220125730639</v>
      </c>
      <c r="F1182">
        <v>0.886248421799006</v>
      </c>
      <c r="G1182">
        <v>0.805269634850988</v>
      </c>
      <c r="H1182">
        <v>0.221934097806327</v>
      </c>
      <c r="I1182">
        <v>0.05448227400557</v>
      </c>
      <c r="J1182">
        <v>0.0404682158371178</v>
      </c>
      <c r="K1182">
        <v>0.0348224077849337</v>
      </c>
      <c r="L1182">
        <v>2261.43574152166</v>
      </c>
      <c r="M1182">
        <v>40.7538929472596</v>
      </c>
      <c r="N1182">
        <v>55.5807007637214</v>
      </c>
      <c r="O1182">
        <v>55.3569539779832</v>
      </c>
      <c r="P1182">
        <v>-0.178133854165354</v>
      </c>
      <c r="Q1182">
        <v>0.0321486472210518</v>
      </c>
      <c r="R1182">
        <v>0.981169716896191</v>
      </c>
      <c r="S1182" t="s">
        <v>3375</v>
      </c>
      <c r="T1182" t="s">
        <v>4362</v>
      </c>
      <c r="U1182" t="s">
        <v>4362</v>
      </c>
      <c r="V1182" t="s">
        <v>4362</v>
      </c>
      <c r="W1182" t="s">
        <v>5541</v>
      </c>
      <c r="X1182">
        <v>18</v>
      </c>
      <c r="Y1182" t="s">
        <v>7703</v>
      </c>
      <c r="Z1182" t="s">
        <v>9870</v>
      </c>
      <c r="AA1182">
        <v>0.6321834544680728</v>
      </c>
      <c r="AB1182">
        <f>HYPERLINK("Melting_Curves/meltCurve_P19926_agp.pdf", "Melting_Curves/meltCurve_P19926_agp.pdf")</f>
        <v>0</v>
      </c>
    </row>
    <row r="1183" spans="1:28">
      <c r="A1183" t="s">
        <v>1209</v>
      </c>
      <c r="B1183">
        <v>0.999739202189716</v>
      </c>
      <c r="C1183">
        <v>0.982825807482141</v>
      </c>
      <c r="D1183">
        <v>0.86435367339346</v>
      </c>
      <c r="E1183">
        <v>0.8741580213815811</v>
      </c>
      <c r="F1183">
        <v>0.926843462626643</v>
      </c>
      <c r="G1183">
        <v>0.750552918271788</v>
      </c>
      <c r="H1183">
        <v>0.682578493069409</v>
      </c>
      <c r="I1183">
        <v>0.655372614220199</v>
      </c>
      <c r="J1183">
        <v>0.644477102982724</v>
      </c>
      <c r="K1183">
        <v>0.600784660071348</v>
      </c>
      <c r="L1183">
        <v>348.686805795296</v>
      </c>
      <c r="M1183">
        <v>6.05585699806807</v>
      </c>
      <c r="O1183">
        <v>52.2443271564461</v>
      </c>
      <c r="P1183">
        <v>-0.0166708819949897</v>
      </c>
      <c r="Q1183">
        <v>0.426512974014691</v>
      </c>
      <c r="R1183">
        <v>0.916384838474761</v>
      </c>
      <c r="S1183" t="s">
        <v>3376</v>
      </c>
      <c r="T1183" t="s">
        <v>4362</v>
      </c>
      <c r="U1183" t="s">
        <v>4362</v>
      </c>
      <c r="V1183" t="s">
        <v>4362</v>
      </c>
      <c r="W1183" t="s">
        <v>5542</v>
      </c>
      <c r="X1183">
        <v>16</v>
      </c>
      <c r="Y1183" t="s">
        <v>7704</v>
      </c>
      <c r="Z1183" t="s">
        <v>9871</v>
      </c>
      <c r="AA1183">
        <v>0.799549795425243</v>
      </c>
      <c r="AB1183">
        <f>HYPERLINK("Melting_Curves/meltCurve_P19934_tolA.pdf", "Melting_Curves/meltCurve_P19934_tolA.pdf")</f>
        <v>0</v>
      </c>
    </row>
    <row r="1184" spans="1:28">
      <c r="A1184" t="s">
        <v>1210</v>
      </c>
      <c r="B1184">
        <v>0.999739202189716</v>
      </c>
      <c r="C1184">
        <v>0.912939966292886</v>
      </c>
      <c r="D1184">
        <v>0.844367649990211</v>
      </c>
      <c r="E1184">
        <v>0.523761039593721</v>
      </c>
      <c r="F1184">
        <v>0.282599475199423</v>
      </c>
      <c r="G1184">
        <v>0.145426989414412</v>
      </c>
      <c r="H1184">
        <v>0.121928364919406</v>
      </c>
      <c r="I1184">
        <v>0.0914685708500759</v>
      </c>
      <c r="J1184">
        <v>0.0922497089685672</v>
      </c>
      <c r="K1184">
        <v>0.07904508639006361</v>
      </c>
      <c r="L1184">
        <v>815.503650596199</v>
      </c>
      <c r="M1184">
        <v>17.5370835494308</v>
      </c>
      <c r="N1184">
        <v>46.9654106090061</v>
      </c>
      <c r="O1184">
        <v>45.9096574854256</v>
      </c>
      <c r="P1184">
        <v>-0.0879105554834069</v>
      </c>
      <c r="Q1184">
        <v>0.0794996662515475</v>
      </c>
      <c r="R1184">
        <v>0.9980357827230339</v>
      </c>
      <c r="S1184" t="s">
        <v>3377</v>
      </c>
      <c r="T1184" t="s">
        <v>4362</v>
      </c>
      <c r="U1184" t="s">
        <v>4362</v>
      </c>
      <c r="V1184" t="s">
        <v>4362</v>
      </c>
      <c r="W1184" t="s">
        <v>5543</v>
      </c>
      <c r="X1184">
        <v>10</v>
      </c>
      <c r="Y1184" t="s">
        <v>7705</v>
      </c>
      <c r="Z1184" t="s">
        <v>9872</v>
      </c>
      <c r="AA1184">
        <v>0.3866321352195554</v>
      </c>
      <c r="AB1184">
        <f>HYPERLINK("Melting_Curves/meltCurve_P20083_parE.pdf", "Melting_Curves/meltCurve_P20083_parE.pdf")</f>
        <v>0</v>
      </c>
    </row>
    <row r="1185" spans="1:28">
      <c r="A1185" t="s">
        <v>1211</v>
      </c>
      <c r="B1185">
        <v>0.999739202189716</v>
      </c>
      <c r="C1185">
        <v>1.12123593386498</v>
      </c>
      <c r="D1185">
        <v>0.784655901260953</v>
      </c>
      <c r="E1185">
        <v>0.866091167170565</v>
      </c>
      <c r="F1185">
        <v>0.497575475936</v>
      </c>
      <c r="G1185">
        <v>0.325325791655329</v>
      </c>
      <c r="H1185">
        <v>0.253874788894096</v>
      </c>
      <c r="I1185">
        <v>0.173208607052465</v>
      </c>
      <c r="J1185">
        <v>0.16770079179312</v>
      </c>
      <c r="K1185">
        <v>0.117600505541871</v>
      </c>
      <c r="L1185">
        <v>781.063430768509</v>
      </c>
      <c r="M1185">
        <v>15.6816465856847</v>
      </c>
      <c r="N1185">
        <v>50.7592616342079</v>
      </c>
      <c r="O1185">
        <v>49.0186492289043</v>
      </c>
      <c r="P1185">
        <v>-0.0697965661233672</v>
      </c>
      <c r="Q1185">
        <v>0.127376971009017</v>
      </c>
      <c r="R1185">
        <v>0.959760707818464</v>
      </c>
      <c r="S1185" t="s">
        <v>3378</v>
      </c>
      <c r="T1185" t="s">
        <v>4362</v>
      </c>
      <c r="U1185" t="s">
        <v>4362</v>
      </c>
      <c r="V1185" t="s">
        <v>4362</v>
      </c>
      <c r="W1185" t="s">
        <v>5544</v>
      </c>
      <c r="X1185">
        <v>9</v>
      </c>
      <c r="Y1185" t="s">
        <v>7706</v>
      </c>
      <c r="Z1185" t="s">
        <v>9873</v>
      </c>
      <c r="AA1185">
        <v>0.5170852175875489</v>
      </c>
      <c r="AB1185">
        <f>HYPERLINK("Melting_Curves/meltCurve_P20099_bisC.pdf", "Melting_Curves/meltCurve_P20099_bisC.pdf")</f>
        <v>0</v>
      </c>
    </row>
    <row r="1186" spans="1:28">
      <c r="A1186" t="s">
        <v>1212</v>
      </c>
      <c r="B1186">
        <v>0.999739202189716</v>
      </c>
      <c r="C1186">
        <v>0.924496099729577</v>
      </c>
      <c r="D1186">
        <v>0.990335562031025</v>
      </c>
      <c r="E1186">
        <v>1.00330281530309</v>
      </c>
      <c r="F1186">
        <v>0.972849810482618</v>
      </c>
      <c r="G1186">
        <v>0.733076623112796</v>
      </c>
      <c r="H1186">
        <v>0.341402440595333</v>
      </c>
      <c r="I1186">
        <v>0.0994982425796976</v>
      </c>
      <c r="J1186">
        <v>0.0815361729636406</v>
      </c>
      <c r="K1186">
        <v>0.0613532203349689</v>
      </c>
      <c r="L1186">
        <v>1610.33342124043</v>
      </c>
      <c r="M1186">
        <v>28.940468055603</v>
      </c>
      <c r="N1186">
        <v>55.8521942621328</v>
      </c>
      <c r="O1186">
        <v>55.3793034466691</v>
      </c>
      <c r="P1186">
        <v>-0.123935862955059</v>
      </c>
      <c r="Q1186">
        <v>0.05137234941507</v>
      </c>
      <c r="R1186">
        <v>0.9957667421574981</v>
      </c>
      <c r="S1186" t="s">
        <v>3379</v>
      </c>
      <c r="T1186" t="s">
        <v>4362</v>
      </c>
      <c r="U1186" t="s">
        <v>4362</v>
      </c>
      <c r="V1186" t="s">
        <v>4362</v>
      </c>
      <c r="W1186" t="s">
        <v>5545</v>
      </c>
      <c r="X1186">
        <v>6</v>
      </c>
      <c r="Y1186" t="s">
        <v>7707</v>
      </c>
      <c r="Z1186" t="s">
        <v>9874</v>
      </c>
      <c r="AA1186">
        <v>0.6471971041455681</v>
      </c>
      <c r="AB1186">
        <f>HYPERLINK("Melting_Curves/meltCurve_P20605_fic.pdf", "Melting_Curves/meltCurve_P20605_fic.pdf")</f>
        <v>0</v>
      </c>
    </row>
    <row r="1187" spans="1:28">
      <c r="A1187" t="s">
        <v>1213</v>
      </c>
      <c r="B1187">
        <v>0.999739202189716</v>
      </c>
      <c r="C1187">
        <v>1.24735826107811</v>
      </c>
      <c r="D1187">
        <v>0.655222040292918</v>
      </c>
      <c r="E1187">
        <v>0.512408388278525</v>
      </c>
      <c r="F1187">
        <v>0.358153173655364</v>
      </c>
      <c r="G1187">
        <v>0.196109045548121</v>
      </c>
      <c r="H1187">
        <v>0.151054516552996</v>
      </c>
      <c r="I1187">
        <v>0.117860582504909</v>
      </c>
      <c r="J1187">
        <v>0.126805041750371</v>
      </c>
      <c r="K1187">
        <v>0.110034678819669</v>
      </c>
      <c r="L1187">
        <v>817.054653366283</v>
      </c>
      <c r="M1187">
        <v>17.736191551983</v>
      </c>
      <c r="N1187">
        <v>46.8316423417569</v>
      </c>
      <c r="O1187">
        <v>45.4934524226218</v>
      </c>
      <c r="P1187">
        <v>-0.0852185633296345</v>
      </c>
      <c r="Q1187">
        <v>0.125701358140739</v>
      </c>
      <c r="R1187">
        <v>0.9194452808075541</v>
      </c>
      <c r="S1187" t="s">
        <v>3380</v>
      </c>
      <c r="T1187" t="s">
        <v>4362</v>
      </c>
      <c r="U1187" t="s">
        <v>4362</v>
      </c>
      <c r="V1187" t="s">
        <v>4362</v>
      </c>
      <c r="W1187" t="s">
        <v>5546</v>
      </c>
      <c r="X1187">
        <v>9</v>
      </c>
      <c r="Y1187" t="s">
        <v>7708</v>
      </c>
      <c r="Z1187" t="s">
        <v>9875</v>
      </c>
      <c r="AA1187">
        <v>0.4044884937145421</v>
      </c>
      <c r="AB1187">
        <f>HYPERLINK("Melting_Curves/meltCurve_P20966_fruA.pdf", "Melting_Curves/meltCurve_P20966_fruA.pdf")</f>
        <v>0</v>
      </c>
    </row>
    <row r="1188" spans="1:28">
      <c r="A1188" t="s">
        <v>1214</v>
      </c>
      <c r="B1188">
        <v>0.999739202189716</v>
      </c>
      <c r="C1188">
        <v>0.9942766568015829</v>
      </c>
      <c r="D1188">
        <v>0.621119064259579</v>
      </c>
      <c r="E1188">
        <v>0.685744720155635</v>
      </c>
      <c r="F1188">
        <v>0.671360907785288</v>
      </c>
      <c r="G1188">
        <v>0.451652166437125</v>
      </c>
      <c r="H1188">
        <v>0.448058069908455</v>
      </c>
      <c r="I1188">
        <v>0.369234865360815</v>
      </c>
      <c r="J1188">
        <v>0.379802184304529</v>
      </c>
      <c r="K1188">
        <v>0.299219791483512</v>
      </c>
      <c r="L1188">
        <v>376.362557909401</v>
      </c>
      <c r="M1188">
        <v>7.74897563045467</v>
      </c>
      <c r="N1188">
        <v>53.4254073370487</v>
      </c>
      <c r="O1188">
        <v>45.6526626876442</v>
      </c>
      <c r="P1188">
        <v>-0.0317481502225455</v>
      </c>
      <c r="Q1188">
        <v>0.252781811463809</v>
      </c>
      <c r="R1188">
        <v>0.893092052049611</v>
      </c>
      <c r="S1188" t="s">
        <v>3381</v>
      </c>
      <c r="T1188" t="s">
        <v>4362</v>
      </c>
      <c r="U1188" t="s">
        <v>4362</v>
      </c>
      <c r="V1188" t="s">
        <v>4362</v>
      </c>
      <c r="W1188" t="s">
        <v>5547</v>
      </c>
      <c r="X1188">
        <v>9</v>
      </c>
      <c r="Y1188" t="s">
        <v>7709</v>
      </c>
      <c r="Z1188" t="s">
        <v>9876</v>
      </c>
      <c r="AA1188">
        <v>0.5784995995676088</v>
      </c>
      <c r="AB1188">
        <f>HYPERLINK("Melting_Curves/meltCurve_P21151_fadA.pdf", "Melting_Curves/meltCurve_P21151_fadA.pdf")</f>
        <v>0</v>
      </c>
    </row>
    <row r="1189" spans="1:28">
      <c r="A1189" t="s">
        <v>1215</v>
      </c>
      <c r="B1189">
        <v>0.999739202189716</v>
      </c>
      <c r="C1189">
        <v>1.84228628450542</v>
      </c>
      <c r="D1189">
        <v>1.36681315725978</v>
      </c>
      <c r="E1189">
        <v>1.83062970615849</v>
      </c>
      <c r="F1189">
        <v>0.80910549183606</v>
      </c>
      <c r="G1189">
        <v>0.786051042408502</v>
      </c>
      <c r="H1189">
        <v>0.399584106190632</v>
      </c>
      <c r="I1189">
        <v>0.320180422636465</v>
      </c>
      <c r="J1189">
        <v>0.214070505514086</v>
      </c>
      <c r="K1189">
        <v>0.163358239109234</v>
      </c>
      <c r="L1189">
        <v>1561.47570526723</v>
      </c>
      <c r="M1189">
        <v>28.1390765956325</v>
      </c>
      <c r="N1189">
        <v>56.5067839557916</v>
      </c>
      <c r="O1189">
        <v>55.2133728031694</v>
      </c>
      <c r="P1189">
        <v>-0.102127367721525</v>
      </c>
      <c r="Q1189">
        <v>0.198445760899659</v>
      </c>
      <c r="R1189">
        <v>0.563346021642865</v>
      </c>
      <c r="S1189" t="s">
        <v>3382</v>
      </c>
      <c r="T1189" t="s">
        <v>4362</v>
      </c>
      <c r="U1189" t="s">
        <v>4362</v>
      </c>
      <c r="V1189" t="s">
        <v>4362</v>
      </c>
      <c r="W1189" t="s">
        <v>5548</v>
      </c>
      <c r="X1189">
        <v>3</v>
      </c>
      <c r="Y1189" t="s">
        <v>7710</v>
      </c>
      <c r="Z1189" t="s">
        <v>9877</v>
      </c>
      <c r="AA1189">
        <v>0.6981095627063316</v>
      </c>
      <c r="AB1189">
        <f>HYPERLINK("Melting_Curves/meltCurve_P21156_cysD.pdf", "Melting_Curves/meltCurve_P21156_cysD.pdf")</f>
        <v>0</v>
      </c>
    </row>
    <row r="1190" spans="1:28">
      <c r="A1190" t="s">
        <v>1216</v>
      </c>
      <c r="B1190">
        <v>0.999739202189716</v>
      </c>
      <c r="C1190">
        <v>1.01641352857062</v>
      </c>
      <c r="D1190">
        <v>1.16482916485725</v>
      </c>
      <c r="E1190">
        <v>0.964262854991397</v>
      </c>
      <c r="F1190">
        <v>1.02001172953124</v>
      </c>
      <c r="G1190">
        <v>0.968885061343452</v>
      </c>
      <c r="H1190">
        <v>0.763563286561711</v>
      </c>
      <c r="I1190">
        <v>0.490830987612832</v>
      </c>
      <c r="J1190">
        <v>0.159137052025602</v>
      </c>
      <c r="K1190">
        <v>0.0765763627152297</v>
      </c>
      <c r="L1190">
        <v>1537.39683494379</v>
      </c>
      <c r="M1190">
        <v>25.4111833511433</v>
      </c>
      <c r="N1190">
        <v>60.50079665275</v>
      </c>
      <c r="O1190">
        <v>60.1298448381801</v>
      </c>
      <c r="P1190">
        <v>-0.105652624286354</v>
      </c>
      <c r="Q1190">
        <v>0</v>
      </c>
      <c r="R1190">
        <v>0.974931976897521</v>
      </c>
      <c r="S1190" t="s">
        <v>3383</v>
      </c>
      <c r="T1190" t="s">
        <v>4362</v>
      </c>
      <c r="U1190" t="s">
        <v>4362</v>
      </c>
      <c r="V1190" t="s">
        <v>4362</v>
      </c>
      <c r="W1190" t="s">
        <v>5549</v>
      </c>
      <c r="X1190">
        <v>12</v>
      </c>
      <c r="Y1190" t="s">
        <v>7711</v>
      </c>
      <c r="Z1190" t="s">
        <v>9878</v>
      </c>
      <c r="AA1190">
        <v>0.7851039524233566</v>
      </c>
      <c r="AB1190">
        <f>HYPERLINK("Melting_Curves/meltCurve_P21165_pepQ.pdf", "Melting_Curves/meltCurve_P21165_pepQ.pdf")</f>
        <v>0</v>
      </c>
    </row>
    <row r="1191" spans="1:28">
      <c r="A1191" t="s">
        <v>1217</v>
      </c>
      <c r="B1191">
        <v>0.999739202189716</v>
      </c>
      <c r="C1191">
        <v>1.27179600900074</v>
      </c>
      <c r="D1191">
        <v>1.04674438224501</v>
      </c>
      <c r="E1191">
        <v>1.23523508995272</v>
      </c>
      <c r="F1191">
        <v>0.709027189002335</v>
      </c>
      <c r="G1191">
        <v>0.421998340385097</v>
      </c>
      <c r="H1191">
        <v>0.221275055474179</v>
      </c>
      <c r="I1191">
        <v>0.183808193599815</v>
      </c>
      <c r="J1191">
        <v>0.154932658895066</v>
      </c>
      <c r="K1191">
        <v>0.127253461615361</v>
      </c>
      <c r="L1191">
        <v>1573.37982089697</v>
      </c>
      <c r="M1191">
        <v>30.2414257787238</v>
      </c>
      <c r="N1191">
        <v>52.6985108733311</v>
      </c>
      <c r="O1191">
        <v>51.8013929080182</v>
      </c>
      <c r="P1191">
        <v>-0.122621838075674</v>
      </c>
      <c r="Q1191">
        <v>0.159835656490379</v>
      </c>
      <c r="R1191">
        <v>0.922822577082977</v>
      </c>
      <c r="S1191" t="s">
        <v>3384</v>
      </c>
      <c r="T1191" t="s">
        <v>4362</v>
      </c>
      <c r="U1191" t="s">
        <v>4362</v>
      </c>
      <c r="V1191" t="s">
        <v>4362</v>
      </c>
      <c r="W1191" t="s">
        <v>5550</v>
      </c>
      <c r="X1191">
        <v>13</v>
      </c>
      <c r="Y1191" t="s">
        <v>7712</v>
      </c>
      <c r="Z1191" t="s">
        <v>9879</v>
      </c>
      <c r="AA1191">
        <v>0.5859041847308931</v>
      </c>
      <c r="AB1191">
        <f>HYPERLINK("Melting_Curves/meltCurve_P21169_speC.pdf", "Melting_Curves/meltCurve_P21169_speC.pdf")</f>
        <v>0</v>
      </c>
    </row>
    <row r="1192" spans="1:28">
      <c r="A1192" t="s">
        <v>1218</v>
      </c>
      <c r="B1192">
        <v>0.999739202189716</v>
      </c>
      <c r="C1192">
        <v>0.98001370070259</v>
      </c>
      <c r="D1192">
        <v>0.523511504438094</v>
      </c>
      <c r="E1192">
        <v>0.240643745812939</v>
      </c>
      <c r="F1192">
        <v>0.112343816135429</v>
      </c>
      <c r="G1192">
        <v>0.0702737541678054</v>
      </c>
      <c r="H1192">
        <v>0.0504665032766511</v>
      </c>
      <c r="I1192">
        <v>0.0356229034990777</v>
      </c>
      <c r="J1192">
        <v>0.0326868405729899</v>
      </c>
      <c r="K1192">
        <v>0.0260142097415042</v>
      </c>
      <c r="L1192">
        <v>1070.39245402648</v>
      </c>
      <c r="M1192">
        <v>24.6598651076797</v>
      </c>
      <c r="N1192">
        <v>43.5932401122335</v>
      </c>
      <c r="O1192">
        <v>43.1238148032018</v>
      </c>
      <c r="P1192">
        <v>-0.135787215426051</v>
      </c>
      <c r="Q1192">
        <v>0.0501842672958934</v>
      </c>
      <c r="R1192">
        <v>0.990250317139345</v>
      </c>
      <c r="S1192" t="s">
        <v>3385</v>
      </c>
      <c r="T1192" t="s">
        <v>4362</v>
      </c>
      <c r="U1192" t="s">
        <v>4362</v>
      </c>
      <c r="V1192" t="s">
        <v>4362</v>
      </c>
      <c r="W1192" t="s">
        <v>5551</v>
      </c>
      <c r="X1192">
        <v>14</v>
      </c>
      <c r="Y1192" t="s">
        <v>7713</v>
      </c>
      <c r="Z1192" t="s">
        <v>9880</v>
      </c>
      <c r="AA1192">
        <v>0.2611240427445298</v>
      </c>
      <c r="AB1192">
        <f>HYPERLINK("Melting_Curves/meltCurve_P21170_speA.pdf", "Melting_Curves/meltCurve_P21170_speA.pdf")</f>
        <v>0</v>
      </c>
    </row>
    <row r="1193" spans="1:28">
      <c r="A1193" t="s">
        <v>1219</v>
      </c>
      <c r="B1193">
        <v>0.999739202189716</v>
      </c>
      <c r="C1193">
        <v>0.83838104714157</v>
      </c>
      <c r="D1193">
        <v>0.487106869950126</v>
      </c>
      <c r="E1193">
        <v>0.437402778211505</v>
      </c>
      <c r="F1193">
        <v>0.326356401409545</v>
      </c>
      <c r="G1193">
        <v>0.257270490623917</v>
      </c>
      <c r="H1193">
        <v>0.215334571370561</v>
      </c>
      <c r="I1193">
        <v>0.189837892430376</v>
      </c>
      <c r="J1193">
        <v>0.176817213731755</v>
      </c>
      <c r="K1193">
        <v>0.162709792484116</v>
      </c>
      <c r="L1193">
        <v>625.91827245847</v>
      </c>
      <c r="M1193">
        <v>14.5654710589852</v>
      </c>
      <c r="N1193">
        <v>44.4474322037163</v>
      </c>
      <c r="O1193">
        <v>42.1871169837109</v>
      </c>
      <c r="P1193">
        <v>-0.0697834535031594</v>
      </c>
      <c r="Q1193">
        <v>0.191614863960704</v>
      </c>
      <c r="R1193">
        <v>0.968093414801624</v>
      </c>
      <c r="S1193" t="s">
        <v>3386</v>
      </c>
      <c r="T1193" t="s">
        <v>4362</v>
      </c>
      <c r="U1193" t="s">
        <v>4362</v>
      </c>
      <c r="V1193" t="s">
        <v>4362</v>
      </c>
      <c r="W1193" t="s">
        <v>5552</v>
      </c>
      <c r="X1193">
        <v>15</v>
      </c>
      <c r="Y1193" t="s">
        <v>7714</v>
      </c>
      <c r="Z1193" t="s">
        <v>9881</v>
      </c>
      <c r="AA1193">
        <v>0.375340290640747</v>
      </c>
      <c r="AB1193">
        <f>HYPERLINK("Melting_Curves/meltCurve_P21177_fadB.pdf", "Melting_Curves/meltCurve_P21177_fadB.pdf")</f>
        <v>0</v>
      </c>
    </row>
    <row r="1194" spans="1:28">
      <c r="A1194" t="s">
        <v>1220</v>
      </c>
      <c r="B1194">
        <v>0.999739202189716</v>
      </c>
      <c r="C1194">
        <v>1.61035186926565</v>
      </c>
      <c r="D1194">
        <v>1.17406060703682</v>
      </c>
      <c r="E1194">
        <v>1.78816300819852</v>
      </c>
      <c r="F1194">
        <v>0.856397479653471</v>
      </c>
      <c r="G1194">
        <v>1.02552546293125</v>
      </c>
      <c r="H1194">
        <v>0.575096217641381</v>
      </c>
      <c r="I1194">
        <v>0.5090312978221599</v>
      </c>
      <c r="J1194">
        <v>0.481383883499599</v>
      </c>
      <c r="K1194">
        <v>0.505849369234008</v>
      </c>
      <c r="L1194">
        <v>14251.4645102785</v>
      </c>
      <c r="M1194">
        <v>250</v>
      </c>
      <c r="N1194">
        <v>58.4064990339308</v>
      </c>
      <c r="O1194">
        <v>57.0021872655882</v>
      </c>
      <c r="P1194">
        <v>-0.549589636180267</v>
      </c>
      <c r="Q1194">
        <v>0.498754817259898</v>
      </c>
      <c r="R1194">
        <v>0.46577820504984</v>
      </c>
      <c r="S1194" t="s">
        <v>3387</v>
      </c>
      <c r="T1194" t="s">
        <v>4362</v>
      </c>
      <c r="U1194" t="s">
        <v>4362</v>
      </c>
      <c r="V1194" t="s">
        <v>4362</v>
      </c>
      <c r="W1194" t="s">
        <v>5553</v>
      </c>
      <c r="X1194">
        <v>28</v>
      </c>
      <c r="Y1194" t="s">
        <v>7715</v>
      </c>
      <c r="Z1194" t="s">
        <v>9882</v>
      </c>
      <c r="AA1194">
        <v>0.8330662963533019</v>
      </c>
      <c r="AB1194">
        <f>HYPERLINK("Melting_Curves/meltCurve_P21179_katE.pdf", "Melting_Curves/meltCurve_P21179_katE.pdf")</f>
        <v>0</v>
      </c>
    </row>
    <row r="1195" spans="1:28">
      <c r="A1195" t="s">
        <v>1221</v>
      </c>
      <c r="B1195">
        <v>0.999739202189716</v>
      </c>
      <c r="C1195">
        <v>1.02477986547014</v>
      </c>
      <c r="D1195">
        <v>0.60641495407776</v>
      </c>
      <c r="E1195">
        <v>0.338982923421914</v>
      </c>
      <c r="F1195">
        <v>0.25951861141294</v>
      </c>
      <c r="G1195">
        <v>0.189497723350502</v>
      </c>
      <c r="H1195">
        <v>0.147852834768265</v>
      </c>
      <c r="I1195">
        <v>0.10981990487537</v>
      </c>
      <c r="J1195">
        <v>0.09624842003657889</v>
      </c>
      <c r="K1195">
        <v>0.09206949543158729</v>
      </c>
      <c r="L1195">
        <v>942.9769939275</v>
      </c>
      <c r="M1195">
        <v>21.4228827887519</v>
      </c>
      <c r="N1195">
        <v>44.6577919741071</v>
      </c>
      <c r="O1195">
        <v>43.6391170871933</v>
      </c>
      <c r="P1195">
        <v>-0.106496938110398</v>
      </c>
      <c r="Q1195">
        <v>0.13227046542971</v>
      </c>
      <c r="R1195">
        <v>0.977275436121853</v>
      </c>
      <c r="S1195" t="s">
        <v>3388</v>
      </c>
      <c r="T1195" t="s">
        <v>4362</v>
      </c>
      <c r="U1195" t="s">
        <v>4362</v>
      </c>
      <c r="V1195" t="s">
        <v>4362</v>
      </c>
      <c r="W1195" t="s">
        <v>5554</v>
      </c>
      <c r="X1195">
        <v>6</v>
      </c>
      <c r="Y1195" t="s">
        <v>7716</v>
      </c>
      <c r="Z1195" t="s">
        <v>9883</v>
      </c>
      <c r="AA1195">
        <v>0.3452237397309228</v>
      </c>
      <c r="AB1195">
        <f>HYPERLINK("Melting_Curves/meltCurve_P21189_polB.pdf", "Melting_Curves/meltCurve_P21189_polB.pdf")</f>
        <v>0</v>
      </c>
    </row>
    <row r="1196" spans="1:28">
      <c r="A1196" t="s">
        <v>1222</v>
      </c>
      <c r="B1196">
        <v>0.999739202189716</v>
      </c>
      <c r="C1196">
        <v>1.11132543830846</v>
      </c>
      <c r="D1196">
        <v>1.3559033082787</v>
      </c>
      <c r="E1196">
        <v>1.31240621128911</v>
      </c>
      <c r="F1196">
        <v>1.2916378378289</v>
      </c>
      <c r="G1196">
        <v>1.14065765243005</v>
      </c>
      <c r="H1196">
        <v>0.900834629161218</v>
      </c>
      <c r="I1196">
        <v>0.45325654657852</v>
      </c>
      <c r="J1196">
        <v>0.119502527114071</v>
      </c>
      <c r="K1196">
        <v>0.0749560382563509</v>
      </c>
      <c r="L1196">
        <v>2698.20836133166</v>
      </c>
      <c r="M1196">
        <v>44.584017573159</v>
      </c>
      <c r="N1196">
        <v>60.6831920858367</v>
      </c>
      <c r="O1196">
        <v>60.3982534028035</v>
      </c>
      <c r="P1196">
        <v>-0.17409464112151</v>
      </c>
      <c r="Q1196">
        <v>0.0566127792261135</v>
      </c>
      <c r="R1196">
        <v>0.838665731149575</v>
      </c>
      <c r="S1196" t="s">
        <v>3389</v>
      </c>
      <c r="T1196" t="s">
        <v>4362</v>
      </c>
      <c r="U1196" t="s">
        <v>4362</v>
      </c>
      <c r="V1196" t="s">
        <v>4362</v>
      </c>
      <c r="W1196" t="s">
        <v>5555</v>
      </c>
      <c r="X1196">
        <v>12</v>
      </c>
      <c r="Y1196" t="s">
        <v>7717</v>
      </c>
      <c r="Z1196" t="s">
        <v>9884</v>
      </c>
      <c r="AA1196">
        <v>0.7986547119031387</v>
      </c>
      <c r="AB1196">
        <f>HYPERLINK("Melting_Curves/meltCurve_P21338_rna.pdf", "Melting_Curves/meltCurve_P21338_rna.pdf")</f>
        <v>0</v>
      </c>
    </row>
    <row r="1197" spans="1:28">
      <c r="A1197" t="s">
        <v>1223</v>
      </c>
      <c r="B1197">
        <v>0.999739202189716</v>
      </c>
      <c r="C1197">
        <v>0.932586989123891</v>
      </c>
      <c r="D1197">
        <v>1.07196815279279</v>
      </c>
      <c r="E1197">
        <v>1.15672517486552</v>
      </c>
      <c r="F1197">
        <v>1.56774257452392</v>
      </c>
      <c r="G1197">
        <v>1.23132451605883</v>
      </c>
      <c r="H1197">
        <v>1.40145945094572</v>
      </c>
      <c r="I1197">
        <v>1.39255925023479</v>
      </c>
      <c r="J1197">
        <v>1.22307401029587</v>
      </c>
      <c r="K1197">
        <v>0.868924269452463</v>
      </c>
      <c r="L1197">
        <v>11639.1315898598</v>
      </c>
      <c r="M1197">
        <v>250</v>
      </c>
      <c r="O1197">
        <v>46.5535408624141</v>
      </c>
      <c r="P1197">
        <v>0.37704879920322</v>
      </c>
      <c r="Q1197">
        <v>1.28084734397358</v>
      </c>
      <c r="R1197">
        <v>0.347712471559266</v>
      </c>
      <c r="S1197" t="s">
        <v>3390</v>
      </c>
      <c r="T1197" t="s">
        <v>4362</v>
      </c>
      <c r="U1197" t="s">
        <v>4362</v>
      </c>
      <c r="V1197" t="s">
        <v>4362</v>
      </c>
      <c r="W1197" t="s">
        <v>5556</v>
      </c>
      <c r="X1197">
        <v>3</v>
      </c>
      <c r="Y1197" t="s">
        <v>7718</v>
      </c>
      <c r="Z1197" t="s">
        <v>9885</v>
      </c>
      <c r="AA1197">
        <v>1.191360228877607</v>
      </c>
      <c r="AB1197">
        <f>HYPERLINK("Melting_Curves/meltCurve_P21362_yciF.pdf", "Melting_Curves/meltCurve_P21362_yciF.pdf")</f>
        <v>0</v>
      </c>
    </row>
    <row r="1198" spans="1:28">
      <c r="A1198" t="s">
        <v>1224</v>
      </c>
      <c r="B1198">
        <v>0.999739202189716</v>
      </c>
      <c r="C1198">
        <v>0.943976384133835</v>
      </c>
      <c r="D1198">
        <v>0.840944137905463</v>
      </c>
      <c r="E1198">
        <v>0.99806994951661</v>
      </c>
      <c r="F1198">
        <v>0.995921348760426</v>
      </c>
      <c r="G1198">
        <v>0.800908292687624</v>
      </c>
      <c r="H1198">
        <v>0.695679683648264</v>
      </c>
      <c r="I1198">
        <v>0.529987639763533</v>
      </c>
      <c r="J1198">
        <v>0.424637767800809</v>
      </c>
      <c r="K1198">
        <v>0.418325507262542</v>
      </c>
      <c r="L1198">
        <v>963.607589528552</v>
      </c>
      <c r="M1198">
        <v>16.7894536083899</v>
      </c>
      <c r="N1198">
        <v>61.8613631048431</v>
      </c>
      <c r="O1198">
        <v>56.5979531475109</v>
      </c>
      <c r="P1198">
        <v>-0.048112637110624</v>
      </c>
      <c r="Q1198">
        <v>0.35128324269255</v>
      </c>
      <c r="R1198">
        <v>0.93391628080675</v>
      </c>
      <c r="S1198" t="s">
        <v>3391</v>
      </c>
      <c r="T1198" t="s">
        <v>4362</v>
      </c>
      <c r="U1198" t="s">
        <v>4362</v>
      </c>
      <c r="V1198" t="s">
        <v>4362</v>
      </c>
      <c r="W1198" t="s">
        <v>5557</v>
      </c>
      <c r="X1198">
        <v>9</v>
      </c>
      <c r="Y1198" t="s">
        <v>7719</v>
      </c>
      <c r="Z1198" t="s">
        <v>9886</v>
      </c>
      <c r="AA1198">
        <v>0.7972701011441576</v>
      </c>
      <c r="AB1198">
        <f>HYPERLINK("Melting_Curves/meltCurve_P21363_yciE.pdf", "Melting_Curves/meltCurve_P21363_yciE.pdf")</f>
        <v>0</v>
      </c>
    </row>
    <row r="1199" spans="1:28">
      <c r="A1199" t="s">
        <v>1225</v>
      </c>
      <c r="B1199">
        <v>0.999739202189716</v>
      </c>
      <c r="C1199">
        <v>1.05447372200164</v>
      </c>
      <c r="D1199">
        <v>0.850415472085953</v>
      </c>
      <c r="E1199">
        <v>0.83722729804334</v>
      </c>
      <c r="F1199">
        <v>0.43313132606844</v>
      </c>
      <c r="G1199">
        <v>0.284442070404728</v>
      </c>
      <c r="H1199">
        <v>0.170152047479686</v>
      </c>
      <c r="I1199">
        <v>0.123118552081648</v>
      </c>
      <c r="J1199">
        <v>0.0941866414913729</v>
      </c>
      <c r="K1199">
        <v>0.0594356435373494</v>
      </c>
      <c r="L1199">
        <v>849.130772052816</v>
      </c>
      <c r="M1199">
        <v>17.1320223493886</v>
      </c>
      <c r="N1199">
        <v>50.0338310626952</v>
      </c>
      <c r="O1199">
        <v>48.9034454892599</v>
      </c>
      <c r="P1199">
        <v>-0.0810778611558929</v>
      </c>
      <c r="Q1199">
        <v>0.07430706275464059</v>
      </c>
      <c r="R1199">
        <v>0.985226446014148</v>
      </c>
      <c r="S1199" t="s">
        <v>3392</v>
      </c>
      <c r="T1199" t="s">
        <v>4362</v>
      </c>
      <c r="U1199" t="s">
        <v>4362</v>
      </c>
      <c r="V1199" t="s">
        <v>4362</v>
      </c>
      <c r="W1199" t="s">
        <v>5558</v>
      </c>
      <c r="X1199">
        <v>1</v>
      </c>
      <c r="Y1199" t="s">
        <v>7720</v>
      </c>
      <c r="Z1199" t="s">
        <v>9887</v>
      </c>
      <c r="AA1199">
        <v>0.4778959612902735</v>
      </c>
      <c r="AB1199">
        <f>HYPERLINK("Melting_Curves/meltCurve_P21365_yciC.pdf", "Melting_Curves/meltCurve_P21365_yciC.pdf")</f>
        <v>0</v>
      </c>
    </row>
    <row r="1200" spans="1:28">
      <c r="A1200" t="s">
        <v>1226</v>
      </c>
      <c r="B1200">
        <v>0.999739202189716</v>
      </c>
      <c r="C1200">
        <v>0.9366301104699351</v>
      </c>
      <c r="D1200">
        <v>0.985021767466112</v>
      </c>
      <c r="E1200">
        <v>1.08408822040106</v>
      </c>
      <c r="F1200">
        <v>0.974975747614237</v>
      </c>
      <c r="G1200">
        <v>0.901125991220323</v>
      </c>
      <c r="H1200">
        <v>0.532809202033167</v>
      </c>
      <c r="I1200">
        <v>0.134151276702345</v>
      </c>
      <c r="J1200">
        <v>0.0716866289777542</v>
      </c>
      <c r="K1200">
        <v>0.0480543880952064</v>
      </c>
      <c r="L1200">
        <v>1971.84509412976</v>
      </c>
      <c r="M1200">
        <v>34.3383284344711</v>
      </c>
      <c r="N1200">
        <v>57.5553248797541</v>
      </c>
      <c r="O1200">
        <v>57.2303130969525</v>
      </c>
      <c r="P1200">
        <v>-0.144350453055359</v>
      </c>
      <c r="Q1200">
        <v>0.0376711607046529</v>
      </c>
      <c r="R1200">
        <v>0.992524812203386</v>
      </c>
      <c r="S1200" t="s">
        <v>3393</v>
      </c>
      <c r="T1200" t="s">
        <v>4362</v>
      </c>
      <c r="U1200" t="s">
        <v>4362</v>
      </c>
      <c r="V1200" t="s">
        <v>4362</v>
      </c>
      <c r="W1200" t="s">
        <v>5559</v>
      </c>
      <c r="X1200">
        <v>4</v>
      </c>
      <c r="Y1200" t="s">
        <v>7721</v>
      </c>
      <c r="Z1200" t="s">
        <v>9888</v>
      </c>
      <c r="AA1200">
        <v>0.6974483069843308</v>
      </c>
      <c r="AB1200">
        <f>HYPERLINK("Melting_Curves/meltCurve_P21367_ycaC.pdf", "Melting_Curves/meltCurve_P21367_ycaC.pdf")</f>
        <v>0</v>
      </c>
    </row>
    <row r="1201" spans="1:28">
      <c r="A1201" t="s">
        <v>1227</v>
      </c>
      <c r="B1201">
        <v>0.999739202189716</v>
      </c>
      <c r="C1201">
        <v>0.915572499935047</v>
      </c>
      <c r="D1201">
        <v>0.823199988932692</v>
      </c>
      <c r="E1201">
        <v>0.895494726627046</v>
      </c>
      <c r="F1201">
        <v>0.848150781607656</v>
      </c>
      <c r="G1201">
        <v>0.454473044894764</v>
      </c>
      <c r="H1201">
        <v>0.28590414463931</v>
      </c>
      <c r="I1201">
        <v>0.196318309752101</v>
      </c>
      <c r="J1201">
        <v>0.25503797211136</v>
      </c>
      <c r="K1201">
        <v>0.267480832371552</v>
      </c>
      <c r="L1201">
        <v>1504.44337746741</v>
      </c>
      <c r="M1201">
        <v>28.8027035183179</v>
      </c>
      <c r="N1201">
        <v>53.3963984899451</v>
      </c>
      <c r="O1201">
        <v>51.9828890781105</v>
      </c>
      <c r="P1201">
        <v>-0.106232949443532</v>
      </c>
      <c r="Q1201">
        <v>0.233092603441181</v>
      </c>
      <c r="R1201">
        <v>0.9491798237414359</v>
      </c>
      <c r="S1201" t="s">
        <v>3394</v>
      </c>
      <c r="T1201" t="s">
        <v>4362</v>
      </c>
      <c r="U1201" t="s">
        <v>4362</v>
      </c>
      <c r="V1201" t="s">
        <v>4362</v>
      </c>
      <c r="W1201" t="s">
        <v>5560</v>
      </c>
      <c r="X1201">
        <v>1</v>
      </c>
      <c r="Y1201" t="s">
        <v>7722</v>
      </c>
      <c r="Z1201" t="s">
        <v>9889</v>
      </c>
      <c r="AA1201">
        <v>0.6277351729459394</v>
      </c>
      <c r="AB1201">
        <f>HYPERLINK("Melting_Curves/meltCurve_P21369_pncA.pdf", "Melting_Curves/meltCurve_P21369_pncA.pdf")</f>
        <v>0</v>
      </c>
    </row>
    <row r="1202" spans="1:28">
      <c r="A1202" t="s">
        <v>1228</v>
      </c>
      <c r="B1202">
        <v>0.999739202189716</v>
      </c>
      <c r="C1202">
        <v>1.82315961174301</v>
      </c>
      <c r="D1202">
        <v>1.19715709250308</v>
      </c>
      <c r="E1202">
        <v>1.64378591142519</v>
      </c>
      <c r="F1202">
        <v>1.02291535521001</v>
      </c>
      <c r="G1202">
        <v>0.388085526844704</v>
      </c>
      <c r="H1202">
        <v>0.150048642832744</v>
      </c>
      <c r="I1202">
        <v>0.11232191654614</v>
      </c>
      <c r="J1202">
        <v>0.108020462663908</v>
      </c>
      <c r="K1202">
        <v>0.0878932981820801</v>
      </c>
      <c r="L1202">
        <v>7839.66854511792</v>
      </c>
      <c r="M1202">
        <v>146.52385674581</v>
      </c>
      <c r="N1202">
        <v>53.5995714957249</v>
      </c>
      <c r="O1202">
        <v>53.4944185766647</v>
      </c>
      <c r="P1202">
        <v>-0.606317500243002</v>
      </c>
      <c r="Q1202">
        <v>0.114557810905023</v>
      </c>
      <c r="R1202">
        <v>0.719112105389494</v>
      </c>
      <c r="S1202" t="s">
        <v>3395</v>
      </c>
      <c r="T1202" t="s">
        <v>4362</v>
      </c>
      <c r="U1202" t="s">
        <v>4362</v>
      </c>
      <c r="V1202" t="s">
        <v>4362</v>
      </c>
      <c r="W1202" t="s">
        <v>5561</v>
      </c>
      <c r="X1202">
        <v>22</v>
      </c>
      <c r="Y1202" t="s">
        <v>7723</v>
      </c>
      <c r="Z1202" t="s">
        <v>9890</v>
      </c>
      <c r="AA1202">
        <v>0.6019225189371931</v>
      </c>
      <c r="AB1202">
        <f>HYPERLINK("Melting_Curves/meltCurve_P21499_rnr.pdf", "Melting_Curves/meltCurve_P21499_rnr.pdf")</f>
        <v>0</v>
      </c>
    </row>
    <row r="1203" spans="1:28">
      <c r="A1203" t="s">
        <v>1229</v>
      </c>
      <c r="B1203">
        <v>0.999739202189716</v>
      </c>
      <c r="C1203">
        <v>0.997930079808337</v>
      </c>
      <c r="D1203">
        <v>0.699200022410875</v>
      </c>
      <c r="E1203">
        <v>0.42444858401758</v>
      </c>
      <c r="F1203">
        <v>0.250240091891053</v>
      </c>
      <c r="G1203">
        <v>0.192970747810922</v>
      </c>
      <c r="H1203">
        <v>0.183215764337195</v>
      </c>
      <c r="I1203">
        <v>0.146038126334113</v>
      </c>
      <c r="J1203">
        <v>0.138524198495435</v>
      </c>
      <c r="K1203">
        <v>0.121993472211706</v>
      </c>
      <c r="L1203">
        <v>887.2986238151</v>
      </c>
      <c r="M1203">
        <v>19.814812458297</v>
      </c>
      <c r="N1203">
        <v>45.5908196534265</v>
      </c>
      <c r="O1203">
        <v>44.3309549556933</v>
      </c>
      <c r="P1203">
        <v>-0.09514536305031281</v>
      </c>
      <c r="Q1203">
        <v>0.148567793919832</v>
      </c>
      <c r="R1203">
        <v>0.992661339585072</v>
      </c>
      <c r="S1203" t="s">
        <v>3396</v>
      </c>
      <c r="T1203" t="s">
        <v>4362</v>
      </c>
      <c r="U1203" t="s">
        <v>4362</v>
      </c>
      <c r="V1203" t="s">
        <v>4362</v>
      </c>
      <c r="W1203" t="s">
        <v>5562</v>
      </c>
      <c r="X1203">
        <v>7</v>
      </c>
      <c r="Y1203" t="s">
        <v>7724</v>
      </c>
      <c r="Z1203" t="s">
        <v>9891</v>
      </c>
      <c r="AA1203">
        <v>0.3808014374571554</v>
      </c>
      <c r="AB1203">
        <f>HYPERLINK("Melting_Curves/meltCurve_P21507_srmB.pdf", "Melting_Curves/meltCurve_P21507_srmB.pdf")</f>
        <v>0</v>
      </c>
    </row>
    <row r="1204" spans="1:28">
      <c r="A1204" t="s">
        <v>1230</v>
      </c>
      <c r="B1204">
        <v>0.999739202189716</v>
      </c>
      <c r="C1204">
        <v>1.86288219950647</v>
      </c>
      <c r="D1204">
        <v>0.825665152381182</v>
      </c>
      <c r="E1204">
        <v>0.447966756326309</v>
      </c>
      <c r="F1204">
        <v>0.371986172007478</v>
      </c>
      <c r="G1204">
        <v>0.300977869445261</v>
      </c>
      <c r="H1204">
        <v>0.220447580932697</v>
      </c>
      <c r="I1204">
        <v>0.225346697157989</v>
      </c>
      <c r="J1204">
        <v>0.224683229847434</v>
      </c>
      <c r="K1204">
        <v>0.220703155404413</v>
      </c>
      <c r="L1204">
        <v>1709.3377265625</v>
      </c>
      <c r="M1204">
        <v>37.7874948492675</v>
      </c>
      <c r="N1204">
        <v>46.1164282295121</v>
      </c>
      <c r="O1204">
        <v>45.1094073902359</v>
      </c>
      <c r="P1204">
        <v>-0.155586961568767</v>
      </c>
      <c r="Q1204">
        <v>0.257064525366266</v>
      </c>
      <c r="R1204">
        <v>0.693435198300682</v>
      </c>
      <c r="S1204" t="s">
        <v>3397</v>
      </c>
      <c r="T1204" t="s">
        <v>4362</v>
      </c>
      <c r="U1204" t="s">
        <v>4362</v>
      </c>
      <c r="V1204" t="s">
        <v>4362</v>
      </c>
      <c r="W1204" t="s">
        <v>5563</v>
      </c>
      <c r="X1204">
        <v>14</v>
      </c>
      <c r="Y1204" t="s">
        <v>7725</v>
      </c>
      <c r="Z1204" t="s">
        <v>9892</v>
      </c>
      <c r="AA1204">
        <v>0.4636241503488633</v>
      </c>
      <c r="AB1204">
        <f>HYPERLINK("Melting_Curves/meltCurve_P21513_rne.pdf", "Melting_Curves/meltCurve_P21513_rne.pdf")</f>
        <v>0</v>
      </c>
    </row>
    <row r="1205" spans="1:28">
      <c r="A1205" t="s">
        <v>1231</v>
      </c>
      <c r="B1205">
        <v>0.999739202189716</v>
      </c>
      <c r="C1205">
        <v>1.28549090765499</v>
      </c>
      <c r="D1205">
        <v>1.23537955763279</v>
      </c>
      <c r="E1205">
        <v>1.16330184583061</v>
      </c>
      <c r="F1205">
        <v>0.82197600980394</v>
      </c>
      <c r="G1205">
        <v>0.267636346200987</v>
      </c>
      <c r="H1205">
        <v>0.102423054970611</v>
      </c>
      <c r="I1205">
        <v>0.08035120572190201</v>
      </c>
      <c r="J1205">
        <v>0.0683863956996324</v>
      </c>
      <c r="K1205">
        <v>0.0674846215878482</v>
      </c>
      <c r="L1205">
        <v>2208.68177011396</v>
      </c>
      <c r="M1205">
        <v>42.4387712802097</v>
      </c>
      <c r="N1205">
        <v>52.2460042920872</v>
      </c>
      <c r="O1205">
        <v>51.9288015021349</v>
      </c>
      <c r="P1205">
        <v>-0.188850474205288</v>
      </c>
      <c r="Q1205">
        <v>0.075678918411893</v>
      </c>
      <c r="R1205">
        <v>0.9358535549333969</v>
      </c>
      <c r="S1205" t="s">
        <v>3398</v>
      </c>
      <c r="T1205" t="s">
        <v>4362</v>
      </c>
      <c r="U1205" t="s">
        <v>4362</v>
      </c>
      <c r="V1205" t="s">
        <v>4362</v>
      </c>
      <c r="W1205" t="s">
        <v>5564</v>
      </c>
      <c r="X1205">
        <v>21</v>
      </c>
      <c r="Y1205" t="s">
        <v>7726</v>
      </c>
      <c r="Z1205" t="s">
        <v>9893</v>
      </c>
      <c r="AA1205">
        <v>0.5421407128340487</v>
      </c>
      <c r="AB1205">
        <f>HYPERLINK("Melting_Curves/meltCurve_P21599_pykA.pdf", "Melting_Curves/meltCurve_P21599_pykA.pdf")</f>
        <v>0</v>
      </c>
    </row>
    <row r="1206" spans="1:28">
      <c r="A1206" t="s">
        <v>1232</v>
      </c>
      <c r="B1206">
        <v>0.999739202189716</v>
      </c>
      <c r="C1206">
        <v>1.22388954349414</v>
      </c>
      <c r="D1206">
        <v>0.656992322047783</v>
      </c>
      <c r="E1206">
        <v>0.590685812597414</v>
      </c>
      <c r="F1206">
        <v>0.316943904074201</v>
      </c>
      <c r="G1206">
        <v>0.196225913947548</v>
      </c>
      <c r="H1206">
        <v>0.123269369513284</v>
      </c>
      <c r="I1206">
        <v>0.0909375631542375</v>
      </c>
      <c r="J1206">
        <v>0.09636963846002559</v>
      </c>
      <c r="K1206">
        <v>0.0795605175463798</v>
      </c>
      <c r="L1206">
        <v>773.125620721723</v>
      </c>
      <c r="M1206">
        <v>16.5307003550819</v>
      </c>
      <c r="N1206">
        <v>47.2963000855676</v>
      </c>
      <c r="O1206">
        <v>46.100725376279</v>
      </c>
      <c r="P1206">
        <v>-0.0821070243502388</v>
      </c>
      <c r="Q1206">
        <v>0.0841447333243521</v>
      </c>
      <c r="R1206">
        <v>0.931478625028007</v>
      </c>
      <c r="S1206" t="s">
        <v>3399</v>
      </c>
      <c r="T1206" t="s">
        <v>4362</v>
      </c>
      <c r="U1206" t="s">
        <v>4362</v>
      </c>
      <c r="V1206" t="s">
        <v>4362</v>
      </c>
      <c r="W1206" t="s">
        <v>5565</v>
      </c>
      <c r="X1206">
        <v>4</v>
      </c>
      <c r="Y1206" t="s">
        <v>7727</v>
      </c>
      <c r="Z1206" t="s">
        <v>9894</v>
      </c>
      <c r="AA1206">
        <v>0.399695638415759</v>
      </c>
      <c r="AB1206">
        <f>HYPERLINK("Melting_Curves/meltCurve_P21645_lpxD.pdf", "Melting_Curves/meltCurve_P21645_lpxD.pdf")</f>
        <v>0</v>
      </c>
    </row>
    <row r="1207" spans="1:28">
      <c r="A1207" t="s">
        <v>1233</v>
      </c>
      <c r="B1207">
        <v>0.999739202189716</v>
      </c>
      <c r="C1207">
        <v>0.789980005224426</v>
      </c>
      <c r="D1207">
        <v>0.411675079176763</v>
      </c>
      <c r="E1207">
        <v>0.231555163601084</v>
      </c>
      <c r="F1207">
        <v>0.146660939852644</v>
      </c>
      <c r="G1207">
        <v>0.122567120868239</v>
      </c>
      <c r="H1207">
        <v>0.0861887948411104</v>
      </c>
      <c r="I1207">
        <v>0.0570009499768957</v>
      </c>
      <c r="J1207">
        <v>0.0513397336405767</v>
      </c>
      <c r="K1207">
        <v>0.0654722298741939</v>
      </c>
      <c r="L1207">
        <v>869.439672140689</v>
      </c>
      <c r="M1207">
        <v>20.6220366695383</v>
      </c>
      <c r="N1207">
        <v>42.5300364131149</v>
      </c>
      <c r="O1207">
        <v>41.7702607490779</v>
      </c>
      <c r="P1207">
        <v>-0.113310596385743</v>
      </c>
      <c r="Q1207">
        <v>0.08197691868823349</v>
      </c>
      <c r="R1207">
        <v>0.9910584082589839</v>
      </c>
      <c r="S1207" t="s">
        <v>3400</v>
      </c>
      <c r="T1207" t="s">
        <v>4362</v>
      </c>
      <c r="U1207" t="s">
        <v>4362</v>
      </c>
      <c r="V1207" t="s">
        <v>4362</v>
      </c>
      <c r="W1207" t="s">
        <v>5566</v>
      </c>
      <c r="X1207">
        <v>1</v>
      </c>
      <c r="Y1207" t="s">
        <v>7728</v>
      </c>
      <c r="Z1207" t="s">
        <v>9895</v>
      </c>
      <c r="AA1207">
        <v>0.2525783009989157</v>
      </c>
      <c r="AB1207">
        <f>HYPERLINK("Melting_Curves/meltCurve_P21865_kdpD.pdf", "Melting_Curves/meltCurve_P21865_kdpD.pdf")</f>
        <v>0</v>
      </c>
    </row>
    <row r="1208" spans="1:28">
      <c r="A1208" t="s">
        <v>1234</v>
      </c>
      <c r="B1208">
        <v>0.999739202189716</v>
      </c>
      <c r="C1208">
        <v>0.914870540675312</v>
      </c>
      <c r="D1208">
        <v>0.822502746996996</v>
      </c>
      <c r="E1208">
        <v>0.919542791007075</v>
      </c>
      <c r="F1208">
        <v>0.817975285179766</v>
      </c>
      <c r="G1208">
        <v>0.5191292570706389</v>
      </c>
      <c r="H1208">
        <v>0.27556675510365</v>
      </c>
      <c r="I1208">
        <v>0.157849297995735</v>
      </c>
      <c r="J1208">
        <v>0.152759698671399</v>
      </c>
      <c r="K1208">
        <v>0.127404766302223</v>
      </c>
      <c r="L1208">
        <v>944.4253552626431</v>
      </c>
      <c r="M1208">
        <v>17.6806930894914</v>
      </c>
      <c r="N1208">
        <v>54.0215676935748</v>
      </c>
      <c r="O1208">
        <v>52.7463704597789</v>
      </c>
      <c r="P1208">
        <v>-0.0762671203595668</v>
      </c>
      <c r="Q1208">
        <v>0.0899449950025793</v>
      </c>
      <c r="R1208">
        <v>0.968294794746054</v>
      </c>
      <c r="S1208" t="s">
        <v>3401</v>
      </c>
      <c r="T1208" t="s">
        <v>4362</v>
      </c>
      <c r="U1208" t="s">
        <v>4362</v>
      </c>
      <c r="V1208" t="s">
        <v>4362</v>
      </c>
      <c r="W1208" t="s">
        <v>5567</v>
      </c>
      <c r="X1208">
        <v>5</v>
      </c>
      <c r="Y1208" t="s">
        <v>7729</v>
      </c>
      <c r="Z1208" t="s">
        <v>9896</v>
      </c>
      <c r="AA1208">
        <v>0.6011464412119073</v>
      </c>
      <c r="AB1208">
        <f>HYPERLINK("Melting_Curves/meltCurve_P21866_kdpE.pdf", "Melting_Curves/meltCurve_P21866_kdpE.pdf")</f>
        <v>0</v>
      </c>
    </row>
    <row r="1209" spans="1:28">
      <c r="A1209" t="s">
        <v>1235</v>
      </c>
      <c r="B1209">
        <v>0.999739202189716</v>
      </c>
      <c r="C1209">
        <v>1.09429758719324</v>
      </c>
      <c r="D1209">
        <v>1.02778166037236</v>
      </c>
      <c r="E1209">
        <v>0.986580903344532</v>
      </c>
      <c r="F1209">
        <v>0.575286500320536</v>
      </c>
      <c r="G1209">
        <v>0.213528379022132</v>
      </c>
      <c r="H1209">
        <v>0.128544953949045</v>
      </c>
      <c r="I1209">
        <v>0.09945021577477831</v>
      </c>
      <c r="J1209">
        <v>0.081325655954171</v>
      </c>
      <c r="K1209">
        <v>0.0688642299850499</v>
      </c>
      <c r="L1209">
        <v>1703.875709835</v>
      </c>
      <c r="M1209">
        <v>33.7363841210807</v>
      </c>
      <c r="N1209">
        <v>50.8136024656437</v>
      </c>
      <c r="O1209">
        <v>50.3291151099793</v>
      </c>
      <c r="P1209">
        <v>-0.152082674981786</v>
      </c>
      <c r="Q1209">
        <v>0.0924747766751086</v>
      </c>
      <c r="R1209">
        <v>0.992985410183849</v>
      </c>
      <c r="S1209" t="s">
        <v>3402</v>
      </c>
      <c r="T1209" t="s">
        <v>4362</v>
      </c>
      <c r="U1209" t="s">
        <v>4362</v>
      </c>
      <c r="V1209" t="s">
        <v>4362</v>
      </c>
      <c r="W1209" t="s">
        <v>5568</v>
      </c>
      <c r="X1209">
        <v>19</v>
      </c>
      <c r="Y1209" t="s">
        <v>7730</v>
      </c>
      <c r="Z1209" t="s">
        <v>9897</v>
      </c>
      <c r="AA1209">
        <v>0.5054800848845402</v>
      </c>
      <c r="AB1209">
        <f>HYPERLINK("Melting_Curves/meltCurve_P21888_cysS.pdf", "Melting_Curves/meltCurve_P21888_cysS.pdf")</f>
        <v>0</v>
      </c>
    </row>
    <row r="1210" spans="1:28">
      <c r="A1210" t="s">
        <v>1236</v>
      </c>
      <c r="B1210">
        <v>0.999739202189716</v>
      </c>
      <c r="C1210">
        <v>0.870227372820731</v>
      </c>
      <c r="D1210">
        <v>0.399376138649383</v>
      </c>
      <c r="E1210">
        <v>0.216729302709501</v>
      </c>
      <c r="F1210">
        <v>0.170357861781126</v>
      </c>
      <c r="G1210">
        <v>0.12741449396653</v>
      </c>
      <c r="H1210">
        <v>0.0865969535754693</v>
      </c>
      <c r="I1210">
        <v>0.0561364816434438</v>
      </c>
      <c r="J1210">
        <v>0.0434092049877292</v>
      </c>
      <c r="K1210">
        <v>0.0436460005425257</v>
      </c>
      <c r="L1210">
        <v>1085.0672556437</v>
      </c>
      <c r="M1210">
        <v>25.678338638524</v>
      </c>
      <c r="N1210">
        <v>42.5799562378509</v>
      </c>
      <c r="O1210">
        <v>42.0023591494609</v>
      </c>
      <c r="P1210">
        <v>-0.139283517090013</v>
      </c>
      <c r="Q1210">
        <v>0.08870041643998459</v>
      </c>
      <c r="R1210">
        <v>0.984523901132472</v>
      </c>
      <c r="S1210" t="s">
        <v>3403</v>
      </c>
      <c r="T1210" t="s">
        <v>4362</v>
      </c>
      <c r="U1210" t="s">
        <v>4362</v>
      </c>
      <c r="V1210" t="s">
        <v>4362</v>
      </c>
      <c r="W1210" t="s">
        <v>5569</v>
      </c>
      <c r="X1210">
        <v>24</v>
      </c>
      <c r="Y1210" t="s">
        <v>7731</v>
      </c>
      <c r="Z1210" t="s">
        <v>9898</v>
      </c>
      <c r="AA1210">
        <v>0.2558226063067701</v>
      </c>
      <c r="AB1210">
        <f>HYPERLINK("Melting_Curves/meltCurve_P21889_aspS.pdf", "Melting_Curves/meltCurve_P21889_aspS.pdf")</f>
        <v>0</v>
      </c>
    </row>
    <row r="1211" spans="1:28">
      <c r="A1211" t="s">
        <v>1237</v>
      </c>
      <c r="B1211">
        <v>0.999739202189716</v>
      </c>
      <c r="C1211">
        <v>0.9205377477436339</v>
      </c>
      <c r="D1211">
        <v>0.6838011701017001</v>
      </c>
      <c r="E1211">
        <v>0.318063275593711</v>
      </c>
      <c r="F1211">
        <v>0.198681422684138</v>
      </c>
      <c r="G1211">
        <v>0.141782787078424</v>
      </c>
      <c r="H1211">
        <v>0.12270259370741</v>
      </c>
      <c r="I1211">
        <v>0.0965784488958488</v>
      </c>
      <c r="J1211">
        <v>0.09338182005894941</v>
      </c>
      <c r="K1211">
        <v>0.08149250994918721</v>
      </c>
      <c r="L1211">
        <v>914.003868366504</v>
      </c>
      <c r="M1211">
        <v>20.6559112885159</v>
      </c>
      <c r="N1211">
        <v>44.7443365805257</v>
      </c>
      <c r="O1211">
        <v>43.8405544728766</v>
      </c>
      <c r="P1211">
        <v>-0.105754875195043</v>
      </c>
      <c r="Q1211">
        <v>0.102199951829895</v>
      </c>
      <c r="R1211">
        <v>0.998019341225335</v>
      </c>
      <c r="S1211" t="s">
        <v>3404</v>
      </c>
      <c r="T1211" t="s">
        <v>4362</v>
      </c>
      <c r="U1211" t="s">
        <v>4362</v>
      </c>
      <c r="V1211" t="s">
        <v>4362</v>
      </c>
      <c r="W1211" t="s">
        <v>5570</v>
      </c>
      <c r="X1211">
        <v>12</v>
      </c>
      <c r="Y1211" t="s">
        <v>7732</v>
      </c>
      <c r="Z1211" t="s">
        <v>9899</v>
      </c>
      <c r="AA1211">
        <v>0.3302709674037813</v>
      </c>
      <c r="AB1211">
        <f>HYPERLINK("Melting_Curves/meltCurve_P22106_asnB.pdf", "Melting_Curves/meltCurve_P22106_asnB.pdf")</f>
        <v>0</v>
      </c>
    </row>
    <row r="1212" spans="1:28">
      <c r="A1212" t="s">
        <v>1238</v>
      </c>
      <c r="B1212">
        <v>0.999739202189716</v>
      </c>
      <c r="C1212">
        <v>1.45276950960612</v>
      </c>
      <c r="D1212">
        <v>1.05980850923041</v>
      </c>
      <c r="E1212">
        <v>1.07040124881516</v>
      </c>
      <c r="F1212">
        <v>0.651423580619881</v>
      </c>
      <c r="G1212">
        <v>0.581438057446937</v>
      </c>
      <c r="H1212">
        <v>0.504016662351118</v>
      </c>
      <c r="I1212">
        <v>0.490685449248566</v>
      </c>
      <c r="J1212">
        <v>0.362201023061692</v>
      </c>
      <c r="K1212">
        <v>0.402947788396335</v>
      </c>
      <c r="L1212">
        <v>4597.38724325023</v>
      </c>
      <c r="M1212">
        <v>92.2144778529189</v>
      </c>
      <c r="N1212">
        <v>51.3870393362721</v>
      </c>
      <c r="O1212">
        <v>49.8319426095719</v>
      </c>
      <c r="P1212">
        <v>-0.246122393625242</v>
      </c>
      <c r="Q1212">
        <v>0.467990024817571</v>
      </c>
      <c r="R1212">
        <v>0.795455494446293</v>
      </c>
      <c r="S1212" t="s">
        <v>3405</v>
      </c>
      <c r="T1212" t="s">
        <v>4362</v>
      </c>
      <c r="U1212" t="s">
        <v>4362</v>
      </c>
      <c r="V1212" t="s">
        <v>4362</v>
      </c>
      <c r="W1212" t="s">
        <v>5571</v>
      </c>
      <c r="X1212">
        <v>2</v>
      </c>
      <c r="Y1212" t="s">
        <v>7733</v>
      </c>
      <c r="Z1212" t="s">
        <v>9900</v>
      </c>
      <c r="AA1212">
        <v>0.6963055329805843</v>
      </c>
      <c r="AB1212">
        <f>HYPERLINK("Melting_Curves/meltCurve_P22186_mraZ.pdf", "Melting_Curves/meltCurve_P22186_mraZ.pdf")</f>
        <v>0</v>
      </c>
    </row>
    <row r="1213" spans="1:28">
      <c r="A1213" t="s">
        <v>1239</v>
      </c>
      <c r="B1213">
        <v>0.999739202189716</v>
      </c>
      <c r="C1213">
        <v>0.968268156838726</v>
      </c>
      <c r="D1213">
        <v>0.957327243200438</v>
      </c>
      <c r="E1213">
        <v>0.816473553329083</v>
      </c>
      <c r="F1213">
        <v>0.47291368682794</v>
      </c>
      <c r="G1213">
        <v>0.18709742765643</v>
      </c>
      <c r="H1213">
        <v>0.12513262222851</v>
      </c>
      <c r="I1213">
        <v>0.08018872527258861</v>
      </c>
      <c r="J1213">
        <v>0.0724850472372021</v>
      </c>
      <c r="K1213">
        <v>0.0637413556430346</v>
      </c>
      <c r="L1213">
        <v>1091.21504508219</v>
      </c>
      <c r="M1213">
        <v>22.0241678316193</v>
      </c>
      <c r="N1213">
        <v>49.8639329271472</v>
      </c>
      <c r="O1213">
        <v>49.1432084589076</v>
      </c>
      <c r="P1213">
        <v>-0.104709213423819</v>
      </c>
      <c r="Q1213">
        <v>0.0654571172033814</v>
      </c>
      <c r="R1213">
        <v>0.999035202445347</v>
      </c>
      <c r="S1213" t="s">
        <v>3406</v>
      </c>
      <c r="T1213" t="s">
        <v>4362</v>
      </c>
      <c r="U1213" t="s">
        <v>4362</v>
      </c>
      <c r="V1213" t="s">
        <v>4362</v>
      </c>
      <c r="W1213" t="s">
        <v>5572</v>
      </c>
      <c r="X1213">
        <v>15</v>
      </c>
      <c r="Y1213" t="s">
        <v>7734</v>
      </c>
      <c r="Z1213" t="s">
        <v>9901</v>
      </c>
      <c r="AA1213">
        <v>0.4666242690548398</v>
      </c>
      <c r="AB1213">
        <f>HYPERLINK("Melting_Curves/meltCurve_P22188_murE.pdf", "Melting_Curves/meltCurve_P22188_murE.pdf")</f>
        <v>0</v>
      </c>
    </row>
    <row r="1214" spans="1:28">
      <c r="A1214" t="s">
        <v>1240</v>
      </c>
      <c r="B1214">
        <v>0.999739202189716</v>
      </c>
      <c r="C1214">
        <v>1.01254474927311</v>
      </c>
      <c r="D1214">
        <v>0.837620449410422</v>
      </c>
      <c r="E1214">
        <v>1.02698834995415</v>
      </c>
      <c r="F1214">
        <v>0.8348006073990351</v>
      </c>
      <c r="G1214">
        <v>0.444388694398756</v>
      </c>
      <c r="H1214">
        <v>0.14072501502406</v>
      </c>
      <c r="I1214">
        <v>0.0839536033997872</v>
      </c>
      <c r="J1214">
        <v>0.0742482207715183</v>
      </c>
      <c r="K1214">
        <v>0.0701738046710647</v>
      </c>
      <c r="L1214">
        <v>1556.83117848661</v>
      </c>
      <c r="M1214">
        <v>29.3642640787249</v>
      </c>
      <c r="N1214">
        <v>53.2680701365099</v>
      </c>
      <c r="O1214">
        <v>52.7738216143168</v>
      </c>
      <c r="P1214">
        <v>-0.130144510909557</v>
      </c>
      <c r="Q1214">
        <v>0.06441728872782</v>
      </c>
      <c r="R1214">
        <v>0.9827771985404</v>
      </c>
      <c r="S1214" t="s">
        <v>3407</v>
      </c>
      <c r="T1214" t="s">
        <v>4362</v>
      </c>
      <c r="U1214" t="s">
        <v>4362</v>
      </c>
      <c r="V1214" t="s">
        <v>4362</v>
      </c>
      <c r="W1214" t="s">
        <v>5573</v>
      </c>
      <c r="X1214">
        <v>8</v>
      </c>
      <c r="Y1214" t="s">
        <v>7735</v>
      </c>
      <c r="Z1214" t="s">
        <v>9902</v>
      </c>
      <c r="AA1214">
        <v>0.5701506213551547</v>
      </c>
      <c r="AB1214">
        <f>HYPERLINK("Melting_Curves/meltCurve_P22255_cysQ.pdf", "Melting_Curves/meltCurve_P22255_cysQ.pdf")</f>
        <v>0</v>
      </c>
    </row>
    <row r="1215" spans="1:28">
      <c r="A1215" t="s">
        <v>1241</v>
      </c>
      <c r="B1215">
        <v>0.999739202189716</v>
      </c>
      <c r="C1215">
        <v>1.03403993438932</v>
      </c>
      <c r="D1215">
        <v>1.07738603806555</v>
      </c>
      <c r="E1215">
        <v>0.947480306692258</v>
      </c>
      <c r="F1215">
        <v>0.858902573057397</v>
      </c>
      <c r="G1215">
        <v>0.843583648590269</v>
      </c>
      <c r="H1215">
        <v>0.6009724677157809</v>
      </c>
      <c r="I1215">
        <v>0.473047224804959</v>
      </c>
      <c r="J1215">
        <v>0.33246008710342</v>
      </c>
      <c r="K1215">
        <v>0.125706288897642</v>
      </c>
      <c r="L1215">
        <v>775.3759959162491</v>
      </c>
      <c r="M1215">
        <v>12.9736991429137</v>
      </c>
      <c r="N1215">
        <v>59.7652209692086</v>
      </c>
      <c r="O1215">
        <v>58.398748345255</v>
      </c>
      <c r="P1215">
        <v>-0.0555491969624305</v>
      </c>
      <c r="Q1215">
        <v>0</v>
      </c>
      <c r="R1215">
        <v>0.975935600733087</v>
      </c>
      <c r="S1215" t="s">
        <v>3408</v>
      </c>
      <c r="T1215" t="s">
        <v>4362</v>
      </c>
      <c r="U1215" t="s">
        <v>4362</v>
      </c>
      <c r="V1215" t="s">
        <v>4362</v>
      </c>
      <c r="W1215" t="s">
        <v>5574</v>
      </c>
      <c r="X1215">
        <v>17</v>
      </c>
      <c r="Y1215" t="s">
        <v>7736</v>
      </c>
      <c r="Z1215" t="s">
        <v>9903</v>
      </c>
      <c r="AA1215">
        <v>0.7481279115689757</v>
      </c>
      <c r="AB1215">
        <f>HYPERLINK("Melting_Curves/meltCurve_P22256_gabT.pdf", "Melting_Curves/meltCurve_P22256_gabT.pdf")</f>
        <v>0</v>
      </c>
    </row>
    <row r="1216" spans="1:28">
      <c r="A1216" t="s">
        <v>1242</v>
      </c>
      <c r="B1216">
        <v>0.999739202189716</v>
      </c>
      <c r="C1216">
        <v>1.06575836327406</v>
      </c>
      <c r="D1216">
        <v>1.06646400073338</v>
      </c>
      <c r="E1216">
        <v>0.98455247553517</v>
      </c>
      <c r="F1216">
        <v>0.958686111162364</v>
      </c>
      <c r="G1216">
        <v>0.69685441762466</v>
      </c>
      <c r="H1216">
        <v>0.332587077431992</v>
      </c>
      <c r="I1216">
        <v>0.0800042510770531</v>
      </c>
      <c r="J1216">
        <v>0.0542820600793483</v>
      </c>
      <c r="K1216">
        <v>0.0390612592949283</v>
      </c>
      <c r="L1216">
        <v>1471.16302707931</v>
      </c>
      <c r="M1216">
        <v>26.4780235048404</v>
      </c>
      <c r="N1216">
        <v>55.6501951694509</v>
      </c>
      <c r="O1216">
        <v>55.2476425899764</v>
      </c>
      <c r="P1216">
        <v>-0.117345284345438</v>
      </c>
      <c r="Q1216">
        <v>0.020624660844462</v>
      </c>
      <c r="R1216">
        <v>0.994357795014257</v>
      </c>
      <c r="S1216" t="s">
        <v>3409</v>
      </c>
      <c r="T1216" t="s">
        <v>4362</v>
      </c>
      <c r="U1216" t="s">
        <v>4362</v>
      </c>
      <c r="V1216" t="s">
        <v>4362</v>
      </c>
      <c r="W1216" t="s">
        <v>5575</v>
      </c>
      <c r="X1216">
        <v>24</v>
      </c>
      <c r="Y1216" t="s">
        <v>7737</v>
      </c>
      <c r="Z1216" t="s">
        <v>9904</v>
      </c>
      <c r="AA1216">
        <v>0.6340797428183689</v>
      </c>
      <c r="AB1216">
        <f>HYPERLINK("Melting_Curves/meltCurve_P22259_pckA.pdf", "Melting_Curves/meltCurve_P22259_pckA.pdf")</f>
        <v>0</v>
      </c>
    </row>
    <row r="1217" spans="1:28">
      <c r="A1217" t="s">
        <v>1243</v>
      </c>
      <c r="B1217">
        <v>0.999739202189716</v>
      </c>
      <c r="C1217">
        <v>0.826022085409558</v>
      </c>
      <c r="D1217">
        <v>0.830150492309169</v>
      </c>
      <c r="E1217">
        <v>0.653911364559312</v>
      </c>
      <c r="F1217">
        <v>0.525700831191477</v>
      </c>
      <c r="G1217">
        <v>0.342255888861631</v>
      </c>
      <c r="H1217">
        <v>0.236603425733685</v>
      </c>
      <c r="I1217">
        <v>0.188745257453916</v>
      </c>
      <c r="J1217">
        <v>0.149736862047729</v>
      </c>
      <c r="K1217">
        <v>0.122833283344896</v>
      </c>
      <c r="L1217">
        <v>434.148702045574</v>
      </c>
      <c r="M1217">
        <v>8.704701712877061</v>
      </c>
      <c r="N1217">
        <v>50.11287246546</v>
      </c>
      <c r="O1217">
        <v>47.4527415893483</v>
      </c>
      <c r="P1217">
        <v>-0.0449694631200464</v>
      </c>
      <c r="Q1217">
        <v>0.0202224476395752</v>
      </c>
      <c r="R1217">
        <v>0.989577905213101</v>
      </c>
      <c r="S1217" t="s">
        <v>3410</v>
      </c>
      <c r="T1217" t="s">
        <v>4362</v>
      </c>
      <c r="U1217" t="s">
        <v>4362</v>
      </c>
      <c r="V1217" t="s">
        <v>4362</v>
      </c>
      <c r="W1217" t="s">
        <v>5576</v>
      </c>
      <c r="X1217">
        <v>7</v>
      </c>
      <c r="Y1217" t="s">
        <v>7738</v>
      </c>
      <c r="Z1217" t="s">
        <v>9905</v>
      </c>
      <c r="AA1217">
        <v>0.4787888078617876</v>
      </c>
      <c r="AB1217">
        <f>HYPERLINK("Melting_Curves/meltCurve_P22333_add.pdf", "Melting_Curves/meltCurve_P22333_add.pdf")</f>
        <v>0</v>
      </c>
    </row>
    <row r="1218" spans="1:28">
      <c r="A1218" t="s">
        <v>1244</v>
      </c>
      <c r="B1218">
        <v>0.999739202189716</v>
      </c>
      <c r="C1218">
        <v>1.32491329351271</v>
      </c>
      <c r="D1218">
        <v>0.602779697205248</v>
      </c>
      <c r="E1218">
        <v>0.425430397789415</v>
      </c>
      <c r="F1218">
        <v>0.264189903839732</v>
      </c>
      <c r="G1218">
        <v>0.173324260114339</v>
      </c>
      <c r="H1218">
        <v>0.154401842584887</v>
      </c>
      <c r="I1218">
        <v>0.120307784156409</v>
      </c>
      <c r="J1218">
        <v>0.129333855141536</v>
      </c>
      <c r="K1218">
        <v>0.112531604888726</v>
      </c>
      <c r="L1218">
        <v>1110.28076989879</v>
      </c>
      <c r="M1218">
        <v>24.8824637019244</v>
      </c>
      <c r="N1218">
        <v>45.2686492530919</v>
      </c>
      <c r="O1218">
        <v>44.3358019743558</v>
      </c>
      <c r="P1218">
        <v>-0.119296578356453</v>
      </c>
      <c r="Q1218">
        <v>0.149756706084704</v>
      </c>
      <c r="R1218">
        <v>0.89440319190254</v>
      </c>
      <c r="S1218" t="s">
        <v>3411</v>
      </c>
      <c r="T1218" t="s">
        <v>4362</v>
      </c>
      <c r="U1218" t="s">
        <v>4362</v>
      </c>
      <c r="V1218" t="s">
        <v>4362</v>
      </c>
      <c r="W1218" t="s">
        <v>5577</v>
      </c>
      <c r="X1218">
        <v>8</v>
      </c>
      <c r="Y1218" t="s">
        <v>7739</v>
      </c>
      <c r="Z1218" t="s">
        <v>9906</v>
      </c>
      <c r="AA1218">
        <v>0.3727875074675198</v>
      </c>
      <c r="AB1218">
        <f>HYPERLINK("Melting_Curves/meltCurve_P22523_mukB.pdf", "Melting_Curves/meltCurve_P22523_mukB.pdf")</f>
        <v>0</v>
      </c>
    </row>
    <row r="1219" spans="1:28">
      <c r="A1219" t="s">
        <v>1245</v>
      </c>
      <c r="B1219">
        <v>0.999739202189716</v>
      </c>
      <c r="C1219">
        <v>0.918185764290909</v>
      </c>
      <c r="D1219">
        <v>0.725186108101514</v>
      </c>
      <c r="E1219">
        <v>0.809094945963815</v>
      </c>
      <c r="F1219">
        <v>0.681602756717411</v>
      </c>
      <c r="G1219">
        <v>0.435564005831007</v>
      </c>
      <c r="H1219">
        <v>0.352619538140424</v>
      </c>
      <c r="I1219">
        <v>0.228367553650227</v>
      </c>
      <c r="J1219">
        <v>0.208970826348923</v>
      </c>
      <c r="K1219">
        <v>0.134155637556142</v>
      </c>
      <c r="L1219">
        <v>423.734993197924</v>
      </c>
      <c r="M1219">
        <v>8.009067627028889</v>
      </c>
      <c r="N1219">
        <v>52.906906632895</v>
      </c>
      <c r="O1219">
        <v>49.9142020721413</v>
      </c>
      <c r="P1219">
        <v>-0.0401593642564402</v>
      </c>
      <c r="Q1219">
        <v>0</v>
      </c>
      <c r="R1219">
        <v>0.9641446281649541</v>
      </c>
      <c r="S1219" t="s">
        <v>3412</v>
      </c>
      <c r="T1219" t="s">
        <v>4362</v>
      </c>
      <c r="U1219" t="s">
        <v>4362</v>
      </c>
      <c r="V1219" t="s">
        <v>4362</v>
      </c>
      <c r="W1219" t="s">
        <v>5578</v>
      </c>
      <c r="X1219">
        <v>6</v>
      </c>
      <c r="Y1219" t="s">
        <v>7740</v>
      </c>
      <c r="Z1219" t="s">
        <v>9907</v>
      </c>
      <c r="AA1219">
        <v>0.5527220626681333</v>
      </c>
      <c r="AB1219">
        <f>HYPERLINK("Melting_Curves/meltCurve_P22524_mukE.pdf", "Melting_Curves/meltCurve_P22524_mukE.pdf")</f>
        <v>0</v>
      </c>
    </row>
    <row r="1220" spans="1:28">
      <c r="A1220" t="s">
        <v>1246</v>
      </c>
      <c r="B1220">
        <v>0.999739202189716</v>
      </c>
      <c r="C1220">
        <v>0.956260437076218</v>
      </c>
      <c r="D1220">
        <v>0.523166316232635</v>
      </c>
      <c r="E1220">
        <v>0.339922053013994</v>
      </c>
      <c r="F1220">
        <v>0.216187193379066</v>
      </c>
      <c r="G1220">
        <v>0.142211910671233</v>
      </c>
      <c r="H1220">
        <v>0.118762914663611</v>
      </c>
      <c r="I1220">
        <v>0.0935820283426502</v>
      </c>
      <c r="J1220">
        <v>0.0802012384923554</v>
      </c>
      <c r="K1220">
        <v>0.0707151937388982</v>
      </c>
      <c r="L1220">
        <v>832.3453702066701</v>
      </c>
      <c r="M1220">
        <v>19.0922552965016</v>
      </c>
      <c r="N1220">
        <v>44.1249633274632</v>
      </c>
      <c r="O1220">
        <v>43.1261373635224</v>
      </c>
      <c r="P1220">
        <v>-0.0993594616052807</v>
      </c>
      <c r="Q1220">
        <v>0.102291024592382</v>
      </c>
      <c r="R1220">
        <v>0.981332088447447</v>
      </c>
      <c r="S1220" t="s">
        <v>3413</v>
      </c>
      <c r="T1220" t="s">
        <v>4362</v>
      </c>
      <c r="U1220" t="s">
        <v>4362</v>
      </c>
      <c r="V1220" t="s">
        <v>4362</v>
      </c>
      <c r="W1220" t="s">
        <v>5579</v>
      </c>
      <c r="X1220">
        <v>5</v>
      </c>
      <c r="Y1220" t="s">
        <v>7741</v>
      </c>
      <c r="Z1220" t="s">
        <v>9908</v>
      </c>
      <c r="AA1220">
        <v>0.3131650720633388</v>
      </c>
      <c r="AB1220">
        <f>HYPERLINK("Melting_Curves/meltCurve_P22525_ycbB.pdf", "Melting_Curves/meltCurve_P22525_ycbB.pdf")</f>
        <v>0</v>
      </c>
    </row>
    <row r="1221" spans="1:28">
      <c r="A1221" t="s">
        <v>1247</v>
      </c>
      <c r="B1221">
        <v>0.999739202189716</v>
      </c>
      <c r="C1221">
        <v>0.732989004048182</v>
      </c>
      <c r="D1221">
        <v>1.51496948292654</v>
      </c>
      <c r="E1221">
        <v>0.836770276621276</v>
      </c>
      <c r="F1221">
        <v>1.09283002587409</v>
      </c>
      <c r="G1221">
        <v>0.970873492542138</v>
      </c>
      <c r="H1221">
        <v>0.58161531089834</v>
      </c>
      <c r="I1221">
        <v>0.707272693772056</v>
      </c>
      <c r="J1221">
        <v>0.679071932479808</v>
      </c>
      <c r="K1221">
        <v>0.482406827046096</v>
      </c>
      <c r="L1221">
        <v>13585.0189724564</v>
      </c>
      <c r="M1221">
        <v>250</v>
      </c>
      <c r="O1221">
        <v>54.3365748138622</v>
      </c>
      <c r="P1221">
        <v>-0.445611764789215</v>
      </c>
      <c r="Q1221">
        <v>0.6125915586045541</v>
      </c>
      <c r="R1221">
        <v>0.501075700818972</v>
      </c>
      <c r="S1221" t="s">
        <v>3414</v>
      </c>
      <c r="T1221" t="s">
        <v>4362</v>
      </c>
      <c r="U1221" t="s">
        <v>4362</v>
      </c>
      <c r="V1221" t="s">
        <v>4362</v>
      </c>
      <c r="W1221" t="s">
        <v>5580</v>
      </c>
      <c r="X1221">
        <v>2</v>
      </c>
      <c r="Y1221" t="s">
        <v>7742</v>
      </c>
      <c r="Z1221" t="s">
        <v>9909</v>
      </c>
      <c r="AA1221">
        <v>0.8365515633316574</v>
      </c>
      <c r="AB1221">
        <f>HYPERLINK("Melting_Curves/meltCurve_P22564_rihC.pdf", "Melting_Curves/meltCurve_P22564_rihC.pdf")</f>
        <v>0</v>
      </c>
    </row>
    <row r="1222" spans="1:28">
      <c r="A1222" t="s">
        <v>1248</v>
      </c>
      <c r="B1222">
        <v>0.999739202189716</v>
      </c>
      <c r="C1222">
        <v>0.798894902767908</v>
      </c>
      <c r="D1222">
        <v>0.541997977759739</v>
      </c>
      <c r="E1222">
        <v>0.443517927372569</v>
      </c>
      <c r="F1222">
        <v>0.359244052790362</v>
      </c>
      <c r="G1222">
        <v>0.239781321969424</v>
      </c>
      <c r="H1222">
        <v>0.194191181857074</v>
      </c>
      <c r="I1222">
        <v>0.16280397104158</v>
      </c>
      <c r="J1222">
        <v>0.157919376621998</v>
      </c>
      <c r="K1222">
        <v>0.12973318851923</v>
      </c>
      <c r="L1222">
        <v>509.178674010883</v>
      </c>
      <c r="M1222">
        <v>11.5918827894648</v>
      </c>
      <c r="N1222">
        <v>45.2004993996095</v>
      </c>
      <c r="O1222">
        <v>42.6792484613026</v>
      </c>
      <c r="P1222">
        <v>-0.0584480114111663</v>
      </c>
      <c r="Q1222">
        <v>0.139456467857925</v>
      </c>
      <c r="R1222">
        <v>0.976919298367063</v>
      </c>
      <c r="S1222" t="s">
        <v>3415</v>
      </c>
      <c r="T1222" t="s">
        <v>4362</v>
      </c>
      <c r="U1222" t="s">
        <v>4362</v>
      </c>
      <c r="V1222" t="s">
        <v>4362</v>
      </c>
      <c r="W1222" t="s">
        <v>5581</v>
      </c>
      <c r="X1222">
        <v>3</v>
      </c>
      <c r="Y1222" t="s">
        <v>7743</v>
      </c>
      <c r="Z1222" t="s">
        <v>9910</v>
      </c>
      <c r="AA1222">
        <v>0.3737550585054444</v>
      </c>
      <c r="AB1222">
        <f>HYPERLINK("Melting_Curves/meltCurve_P22634_murI.pdf", "Melting_Curves/meltCurve_P22634_murI.pdf")</f>
        <v>0</v>
      </c>
    </row>
    <row r="1223" spans="1:28">
      <c r="A1223" t="s">
        <v>1249</v>
      </c>
      <c r="B1223">
        <v>0.999739202189716</v>
      </c>
      <c r="C1223">
        <v>0.647584516997137</v>
      </c>
      <c r="D1223">
        <v>0.419292320598531</v>
      </c>
      <c r="E1223">
        <v>0.227154633778812</v>
      </c>
      <c r="F1223">
        <v>0.150381523890757</v>
      </c>
      <c r="G1223">
        <v>0.09944153931132781</v>
      </c>
      <c r="H1223">
        <v>0.07838506161516649</v>
      </c>
      <c r="I1223">
        <v>0.0680934750129872</v>
      </c>
      <c r="J1223">
        <v>0.0582179148954599</v>
      </c>
      <c r="K1223">
        <v>0.056122292625103</v>
      </c>
      <c r="L1223">
        <v>712.110211167559</v>
      </c>
      <c r="M1223">
        <v>17.0742769827138</v>
      </c>
      <c r="N1223">
        <v>42.0917523377021</v>
      </c>
      <c r="O1223">
        <v>41.147117971277</v>
      </c>
      <c r="P1223">
        <v>-0.0962424566971582</v>
      </c>
      <c r="Q1223">
        <v>0.0723216758689801</v>
      </c>
      <c r="R1223">
        <v>0.98399007673023</v>
      </c>
      <c r="S1223" t="s">
        <v>3416</v>
      </c>
      <c r="T1223" t="s">
        <v>4362</v>
      </c>
      <c r="U1223" t="s">
        <v>4362</v>
      </c>
      <c r="V1223" t="s">
        <v>4362</v>
      </c>
      <c r="W1223" t="s">
        <v>5582</v>
      </c>
      <c r="X1223">
        <v>6</v>
      </c>
      <c r="Y1223" t="s">
        <v>7744</v>
      </c>
      <c r="Z1223" t="s">
        <v>9911</v>
      </c>
      <c r="AA1223">
        <v>0.2386258088972402</v>
      </c>
      <c r="AB1223">
        <f>HYPERLINK("Melting_Curves/meltCurve_P22939_ispA.pdf", "Melting_Curves/meltCurve_P22939_ispA.pdf")</f>
        <v>0</v>
      </c>
    </row>
    <row r="1224" spans="1:28">
      <c r="A1224" t="s">
        <v>1250</v>
      </c>
      <c r="B1224">
        <v>0.999739202189716</v>
      </c>
      <c r="C1224">
        <v>0.83233711595565</v>
      </c>
      <c r="D1224">
        <v>0.591404629323445</v>
      </c>
      <c r="E1224">
        <v>0.517193793313659</v>
      </c>
      <c r="F1224">
        <v>0.544187518184438</v>
      </c>
      <c r="G1224">
        <v>0.467847182044894</v>
      </c>
      <c r="H1224">
        <v>0.336041125084151</v>
      </c>
      <c r="I1224">
        <v>0.14987564679354</v>
      </c>
      <c r="J1224">
        <v>0.142174277946003</v>
      </c>
      <c r="K1224">
        <v>0.179818533654477</v>
      </c>
      <c r="L1224">
        <v>308.531903912573</v>
      </c>
      <c r="M1224">
        <v>6.25528049187646</v>
      </c>
      <c r="N1224">
        <v>49.3234314564145</v>
      </c>
      <c r="O1224">
        <v>45.0007719814945</v>
      </c>
      <c r="P1224">
        <v>-0.0348478963197323</v>
      </c>
      <c r="Q1224">
        <v>0</v>
      </c>
      <c r="R1224">
        <v>0.921385455863769</v>
      </c>
      <c r="S1224" t="s">
        <v>3417</v>
      </c>
      <c r="T1224" t="s">
        <v>4362</v>
      </c>
      <c r="U1224" t="s">
        <v>4362</v>
      </c>
      <c r="V1224" t="s">
        <v>4362</v>
      </c>
      <c r="W1224" t="s">
        <v>5583</v>
      </c>
      <c r="X1224">
        <v>4</v>
      </c>
      <c r="Y1224" t="s">
        <v>7745</v>
      </c>
      <c r="Z1224" t="s">
        <v>9912</v>
      </c>
      <c r="AA1224">
        <v>0.4639884716548904</v>
      </c>
      <c r="AB1224">
        <f>HYPERLINK("Melting_Curves/meltCurve_P23003_trmA.pdf", "Melting_Curves/meltCurve_P23003_trmA.pdf")</f>
        <v>0</v>
      </c>
    </row>
    <row r="1225" spans="1:28">
      <c r="A1225" t="s">
        <v>1251</v>
      </c>
      <c r="B1225">
        <v>0.999739202189716</v>
      </c>
      <c r="C1225">
        <v>1.24329539446239</v>
      </c>
      <c r="D1225">
        <v>0.6289564307179349</v>
      </c>
      <c r="E1225">
        <v>0.467400157232152</v>
      </c>
      <c r="F1225">
        <v>0.221169788794812</v>
      </c>
      <c r="G1225">
        <v>0.13281992558262</v>
      </c>
      <c r="H1225">
        <v>0.0743639851338404</v>
      </c>
      <c r="I1225">
        <v>0.0574726440427858</v>
      </c>
      <c r="J1225">
        <v>0.0537488321540444</v>
      </c>
      <c r="K1225">
        <v>0.0427804964891167</v>
      </c>
      <c r="L1225">
        <v>900.789172930851</v>
      </c>
      <c r="M1225">
        <v>19.7447855481084</v>
      </c>
      <c r="N1225">
        <v>45.9306226181241</v>
      </c>
      <c r="O1225">
        <v>45.161399825491</v>
      </c>
      <c r="P1225">
        <v>-0.102506831131127</v>
      </c>
      <c r="Q1225">
        <v>0.0621944907429326</v>
      </c>
      <c r="R1225">
        <v>0.932754815875392</v>
      </c>
      <c r="S1225" t="s">
        <v>3418</v>
      </c>
      <c r="T1225" t="s">
        <v>4362</v>
      </c>
      <c r="U1225" t="s">
        <v>4362</v>
      </c>
      <c r="V1225" t="s">
        <v>4362</v>
      </c>
      <c r="W1225" t="s">
        <v>5584</v>
      </c>
      <c r="X1225">
        <v>2</v>
      </c>
      <c r="Y1225" t="s">
        <v>7746</v>
      </c>
      <c r="Z1225" t="s">
        <v>9913</v>
      </c>
      <c r="AA1225">
        <v>0.3443073405059812</v>
      </c>
      <c r="AB1225">
        <f>HYPERLINK("Melting_Curves/meltCurve_P23173_tnaB.pdf", "Melting_Curves/meltCurve_P23173_tnaB.pdf")</f>
        <v>0</v>
      </c>
    </row>
    <row r="1226" spans="1:28">
      <c r="A1226" t="s">
        <v>1252</v>
      </c>
      <c r="B1226">
        <v>0.999739202189716</v>
      </c>
      <c r="C1226">
        <v>1.37506241393897</v>
      </c>
      <c r="D1226">
        <v>0.782753954821875</v>
      </c>
      <c r="E1226">
        <v>0.689479210554667</v>
      </c>
      <c r="F1226">
        <v>0.316756670251343</v>
      </c>
      <c r="G1226">
        <v>0.166510790399485</v>
      </c>
      <c r="H1226">
        <v>0.0942692480595366</v>
      </c>
      <c r="I1226">
        <v>0.0320181840899325</v>
      </c>
      <c r="J1226">
        <v>0.0203712329343009</v>
      </c>
      <c r="K1226">
        <v>0.0142849391899328</v>
      </c>
      <c r="L1226">
        <v>939.148014971079</v>
      </c>
      <c r="M1226">
        <v>19.4802632921673</v>
      </c>
      <c r="N1226">
        <v>48.3431628775646</v>
      </c>
      <c r="O1226">
        <v>47.7108069603179</v>
      </c>
      <c r="P1226">
        <v>-0.0994163838588354</v>
      </c>
      <c r="Q1226">
        <v>0.0260778272374659</v>
      </c>
      <c r="R1226">
        <v>0.917258593498079</v>
      </c>
      <c r="S1226" t="s">
        <v>3419</v>
      </c>
      <c r="T1226" t="s">
        <v>4362</v>
      </c>
      <c r="U1226" t="s">
        <v>4362</v>
      </c>
      <c r="V1226" t="s">
        <v>4362</v>
      </c>
      <c r="W1226" t="s">
        <v>5585</v>
      </c>
      <c r="X1226">
        <v>1</v>
      </c>
      <c r="Y1226" t="s">
        <v>7747</v>
      </c>
      <c r="Z1226" t="s">
        <v>9914</v>
      </c>
      <c r="AA1226">
        <v>0.403459050790378</v>
      </c>
      <c r="AB1226">
        <f>HYPERLINK("Melting_Curves/meltCurve_P23200_mglC.pdf", "Melting_Curves/meltCurve_P23200_mglC.pdf")</f>
        <v>0</v>
      </c>
    </row>
    <row r="1227" spans="1:28">
      <c r="A1227" t="s">
        <v>1253</v>
      </c>
      <c r="B1227">
        <v>0.999739202189716</v>
      </c>
      <c r="C1227">
        <v>0.784782463448683</v>
      </c>
      <c r="D1227">
        <v>0.640855054095655</v>
      </c>
      <c r="E1227">
        <v>0.538850711032508</v>
      </c>
      <c r="F1227">
        <v>0.474917765499001</v>
      </c>
      <c r="G1227">
        <v>0.319917057174871</v>
      </c>
      <c r="H1227">
        <v>0.241405197855314</v>
      </c>
      <c r="I1227">
        <v>0.192349326743516</v>
      </c>
      <c r="J1227">
        <v>0.179325873984984</v>
      </c>
      <c r="K1227">
        <v>0.156957128989094</v>
      </c>
      <c r="L1227">
        <v>381.759723705571</v>
      </c>
      <c r="M1227">
        <v>8.179302909658761</v>
      </c>
      <c r="N1227">
        <v>47.8109502930799</v>
      </c>
      <c r="O1227">
        <v>44.1328957732273</v>
      </c>
      <c r="P1227">
        <v>-0.0422820342815248</v>
      </c>
      <c r="Q1227">
        <v>0.08838802074458579</v>
      </c>
      <c r="R1227">
        <v>0.976945224098673</v>
      </c>
      <c r="S1227" t="s">
        <v>3420</v>
      </c>
      <c r="T1227" t="s">
        <v>4362</v>
      </c>
      <c r="U1227" t="s">
        <v>4362</v>
      </c>
      <c r="V1227" t="s">
        <v>4362</v>
      </c>
      <c r="W1227" t="s">
        <v>5586</v>
      </c>
      <c r="X1227">
        <v>4</v>
      </c>
      <c r="Y1227" t="s">
        <v>7748</v>
      </c>
      <c r="Z1227" t="s">
        <v>9915</v>
      </c>
      <c r="AA1227">
        <v>0.4348615581768622</v>
      </c>
      <c r="AB1227">
        <f>HYPERLINK("Melting_Curves/meltCurve_P23256_malY.pdf", "Melting_Curves/meltCurve_P23256_malY.pdf")</f>
        <v>0</v>
      </c>
    </row>
    <row r="1228" spans="1:28">
      <c r="A1228" t="s">
        <v>1254</v>
      </c>
      <c r="B1228">
        <v>0.999739202189716</v>
      </c>
      <c r="C1228">
        <v>1.01953895209732</v>
      </c>
      <c r="D1228">
        <v>1.13767799688133</v>
      </c>
      <c r="E1228">
        <v>1.06642099161686</v>
      </c>
      <c r="F1228">
        <v>1.10665058357687</v>
      </c>
      <c r="G1228">
        <v>0.959425380406278</v>
      </c>
      <c r="H1228">
        <v>1.07096243711633</v>
      </c>
      <c r="I1228">
        <v>1.06427967782314</v>
      </c>
      <c r="J1228">
        <v>1.08433570310151</v>
      </c>
      <c r="K1228">
        <v>0.774706207466443</v>
      </c>
      <c r="L1228">
        <v>15000</v>
      </c>
      <c r="M1228">
        <v>222.645486300572</v>
      </c>
      <c r="Q1228">
        <v>0</v>
      </c>
      <c r="R1228">
        <v>0.445973077935408</v>
      </c>
      <c r="S1228" t="s">
        <v>3421</v>
      </c>
      <c r="T1228" t="s">
        <v>4362</v>
      </c>
      <c r="U1228" t="s">
        <v>4362</v>
      </c>
      <c r="V1228" t="s">
        <v>4362</v>
      </c>
      <c r="W1228" t="s">
        <v>5587</v>
      </c>
      <c r="X1228">
        <v>2</v>
      </c>
      <c r="Y1228" t="s">
        <v>7749</v>
      </c>
      <c r="Z1228" t="s">
        <v>9916</v>
      </c>
      <c r="AA1228">
        <v>0.9974775091489394</v>
      </c>
      <c r="AB1228">
        <f>HYPERLINK("Melting_Curves/meltCurve_P23331_tdk.pdf", "Melting_Curves/meltCurve_P23331_tdk.pdf")</f>
        <v>0</v>
      </c>
    </row>
    <row r="1229" spans="1:28">
      <c r="A1229" t="s">
        <v>1255</v>
      </c>
      <c r="B1229">
        <v>0.999739202189716</v>
      </c>
      <c r="C1229">
        <v>0.937969070483374</v>
      </c>
      <c r="D1229">
        <v>0.699955556061423</v>
      </c>
      <c r="E1229">
        <v>0.509675667706699</v>
      </c>
      <c r="F1229">
        <v>0.454804242863865</v>
      </c>
      <c r="G1229">
        <v>0.346395011522112</v>
      </c>
      <c r="H1229">
        <v>0.278276689017435</v>
      </c>
      <c r="I1229">
        <v>0.211487847995055</v>
      </c>
      <c r="J1229">
        <v>0.187284426748915</v>
      </c>
      <c r="K1229">
        <v>0.125983364091852</v>
      </c>
      <c r="L1229">
        <v>481.169275218859</v>
      </c>
      <c r="M1229">
        <v>10.3035593945127</v>
      </c>
      <c r="N1229">
        <v>48.2054787484073</v>
      </c>
      <c r="O1229">
        <v>45.042871013254</v>
      </c>
      <c r="P1229">
        <v>-0.0493384728643538</v>
      </c>
      <c r="Q1229">
        <v>0.13762508269307</v>
      </c>
      <c r="R1229">
        <v>0.978115695909577</v>
      </c>
      <c r="S1229" t="s">
        <v>3422</v>
      </c>
      <c r="T1229" t="s">
        <v>4362</v>
      </c>
      <c r="U1229" t="s">
        <v>4362</v>
      </c>
      <c r="V1229" t="s">
        <v>4362</v>
      </c>
      <c r="W1229" t="s">
        <v>5588</v>
      </c>
      <c r="X1229">
        <v>3</v>
      </c>
      <c r="Y1229" t="s">
        <v>7750</v>
      </c>
      <c r="Z1229" t="s">
        <v>9917</v>
      </c>
      <c r="AA1229">
        <v>0.452830809868678</v>
      </c>
      <c r="AB1229">
        <f>HYPERLINK("Melting_Curves/meltCurve_P23367_mutL.pdf", "Melting_Curves/meltCurve_P23367_mutL.pdf")</f>
        <v>0</v>
      </c>
    </row>
    <row r="1230" spans="1:28">
      <c r="A1230" t="s">
        <v>1256</v>
      </c>
      <c r="B1230">
        <v>0.999739202189716</v>
      </c>
      <c r="C1230">
        <v>0.998181628048335</v>
      </c>
      <c r="D1230">
        <v>1.02405018410837</v>
      </c>
      <c r="E1230">
        <v>1.093934957185</v>
      </c>
      <c r="F1230">
        <v>0.861424291796216</v>
      </c>
      <c r="G1230">
        <v>0.855674908479383</v>
      </c>
      <c r="H1230">
        <v>0.494542207900026</v>
      </c>
      <c r="I1230">
        <v>0.218592009252217</v>
      </c>
      <c r="J1230">
        <v>0.0975064353542511</v>
      </c>
      <c r="K1230">
        <v>0.0695179643518726</v>
      </c>
      <c r="L1230">
        <v>1303.6603255411</v>
      </c>
      <c r="M1230">
        <v>22.7567606312024</v>
      </c>
      <c r="N1230">
        <v>57.4192777919101</v>
      </c>
      <c r="O1230">
        <v>56.8498640973217</v>
      </c>
      <c r="P1230">
        <v>-0.09751537373157471</v>
      </c>
      <c r="Q1230">
        <v>0.0255858966176693</v>
      </c>
      <c r="R1230">
        <v>0.985352073821261</v>
      </c>
      <c r="S1230" t="s">
        <v>3423</v>
      </c>
      <c r="T1230" t="s">
        <v>4362</v>
      </c>
      <c r="U1230" t="s">
        <v>4362</v>
      </c>
      <c r="V1230" t="s">
        <v>4362</v>
      </c>
      <c r="W1230" t="s">
        <v>5589</v>
      </c>
      <c r="X1230">
        <v>5</v>
      </c>
      <c r="Y1230" t="s">
        <v>7751</v>
      </c>
      <c r="Z1230" t="s">
        <v>9918</v>
      </c>
      <c r="AA1230">
        <v>0.692107311133888</v>
      </c>
      <c r="AB1230">
        <f>HYPERLINK("Melting_Curves/meltCurve_P23522_garL.pdf", "Melting_Curves/meltCurve_P23522_garL.pdf")</f>
        <v>0</v>
      </c>
    </row>
    <row r="1231" spans="1:28">
      <c r="A1231" t="s">
        <v>1257</v>
      </c>
      <c r="B1231">
        <v>0.999739202189716</v>
      </c>
      <c r="C1231">
        <v>0.819810768060769</v>
      </c>
      <c r="D1231">
        <v>0.694750249521025</v>
      </c>
      <c r="E1231">
        <v>0.613890597209402</v>
      </c>
      <c r="F1231">
        <v>0.5508211804776389</v>
      </c>
      <c r="G1231">
        <v>0.43242367085982</v>
      </c>
      <c r="H1231">
        <v>0.365229759429296</v>
      </c>
      <c r="I1231">
        <v>0.286862542746934</v>
      </c>
      <c r="J1231">
        <v>0.264662606188975</v>
      </c>
      <c r="K1231">
        <v>0.223453199765077</v>
      </c>
      <c r="L1231">
        <v>333.09181676596</v>
      </c>
      <c r="M1231">
        <v>6.82002591954489</v>
      </c>
      <c r="N1231">
        <v>50.8143598602364</v>
      </c>
      <c r="O1231">
        <v>45.1575389096455</v>
      </c>
      <c r="P1231">
        <v>-0.0334307790181611</v>
      </c>
      <c r="Q1231">
        <v>0.116379113523121</v>
      </c>
      <c r="R1231">
        <v>0.977649514904001</v>
      </c>
      <c r="S1231" t="s">
        <v>3424</v>
      </c>
      <c r="T1231" t="s">
        <v>4362</v>
      </c>
      <c r="U1231" t="s">
        <v>4362</v>
      </c>
      <c r="V1231" t="s">
        <v>4362</v>
      </c>
      <c r="W1231" t="s">
        <v>5590</v>
      </c>
      <c r="X1231">
        <v>5</v>
      </c>
      <c r="Y1231" t="s">
        <v>7752</v>
      </c>
      <c r="Z1231" t="s">
        <v>9919</v>
      </c>
      <c r="AA1231">
        <v>0.5128641605779195</v>
      </c>
      <c r="AB1231">
        <f>HYPERLINK("Melting_Curves/meltCurve_P23524_garK.pdf", "Melting_Curves/meltCurve_P23524_garK.pdf")</f>
        <v>0</v>
      </c>
    </row>
    <row r="1232" spans="1:28">
      <c r="A1232" t="s">
        <v>1258</v>
      </c>
      <c r="B1232">
        <v>0.999739202189716</v>
      </c>
      <c r="C1232">
        <v>1.05398083147535</v>
      </c>
      <c r="D1232">
        <v>0.6369702038944119</v>
      </c>
      <c r="E1232">
        <v>0.393703335159954</v>
      </c>
      <c r="F1232">
        <v>0.181132607894138</v>
      </c>
      <c r="G1232">
        <v>0.108358167013076</v>
      </c>
      <c r="H1232">
        <v>0.0840887490726086</v>
      </c>
      <c r="I1232">
        <v>0.07051921738210121</v>
      </c>
      <c r="J1232">
        <v>0.0656083827847458</v>
      </c>
      <c r="K1232">
        <v>0.06264494014290729</v>
      </c>
      <c r="L1232">
        <v>905.110129049213</v>
      </c>
      <c r="M1232">
        <v>20.2119912370968</v>
      </c>
      <c r="N1232">
        <v>45.1304325587052</v>
      </c>
      <c r="O1232">
        <v>44.3494084360983</v>
      </c>
      <c r="P1232">
        <v>-0.105683493488856</v>
      </c>
      <c r="Q1232">
        <v>0.0724606965819226</v>
      </c>
      <c r="R1232">
        <v>0.982550915694445</v>
      </c>
      <c r="S1232" t="s">
        <v>3425</v>
      </c>
      <c r="T1232" t="s">
        <v>4362</v>
      </c>
      <c r="U1232" t="s">
        <v>4362</v>
      </c>
      <c r="V1232" t="s">
        <v>4362</v>
      </c>
      <c r="W1232" t="s">
        <v>5591</v>
      </c>
      <c r="X1232">
        <v>20</v>
      </c>
      <c r="Y1232" t="s">
        <v>7753</v>
      </c>
      <c r="Z1232" t="s">
        <v>9920</v>
      </c>
      <c r="AA1232">
        <v>0.3249779996959369</v>
      </c>
      <c r="AB1232">
        <f>HYPERLINK("Melting_Curves/meltCurve_P23538_ppsA.pdf", "Melting_Curves/meltCurve_P23538_ppsA.pdf")</f>
        <v>0</v>
      </c>
    </row>
    <row r="1233" spans="1:28">
      <c r="A1233" t="s">
        <v>1259</v>
      </c>
      <c r="B1233">
        <v>0.999739202189716</v>
      </c>
      <c r="C1233">
        <v>0.945803548211419</v>
      </c>
      <c r="D1233">
        <v>1.15048729555671</v>
      </c>
      <c r="E1233">
        <v>1.0013657411109</v>
      </c>
      <c r="F1233">
        <v>1.08967728352821</v>
      </c>
      <c r="G1233">
        <v>1.05407455762682</v>
      </c>
      <c r="H1233">
        <v>0.927438007785952</v>
      </c>
      <c r="I1233">
        <v>0.290013225072664</v>
      </c>
      <c r="J1233">
        <v>0.0946199493691757</v>
      </c>
      <c r="K1233">
        <v>0.0416047002851497</v>
      </c>
      <c r="L1233">
        <v>3469.26939188745</v>
      </c>
      <c r="M1233">
        <v>57.9687944822196</v>
      </c>
      <c r="N1233">
        <v>59.9704833254643</v>
      </c>
      <c r="O1233">
        <v>59.7760869054636</v>
      </c>
      <c r="P1233">
        <v>-0.228822203063998</v>
      </c>
      <c r="Q1233">
        <v>0.0561756142572871</v>
      </c>
      <c r="R1233">
        <v>0.978109706149484</v>
      </c>
      <c r="S1233" t="s">
        <v>3426</v>
      </c>
      <c r="T1233" t="s">
        <v>4362</v>
      </c>
      <c r="U1233" t="s">
        <v>4362</v>
      </c>
      <c r="V1233" t="s">
        <v>4362</v>
      </c>
      <c r="W1233" t="s">
        <v>5592</v>
      </c>
      <c r="X1233">
        <v>13</v>
      </c>
      <c r="Y1233" t="s">
        <v>7754</v>
      </c>
      <c r="Z1233" t="s">
        <v>9921</v>
      </c>
      <c r="AA1233">
        <v>0.7767308310404589</v>
      </c>
      <c r="AB1233">
        <f>HYPERLINK("Melting_Curves/meltCurve_P23721_serC.pdf", "Melting_Curves/meltCurve_P23721_serC.pdf")</f>
        <v>0</v>
      </c>
    </row>
    <row r="1234" spans="1:28">
      <c r="A1234" t="s">
        <v>1260</v>
      </c>
      <c r="B1234">
        <v>0.999739202189716</v>
      </c>
      <c r="C1234">
        <v>0.9976757929454531</v>
      </c>
      <c r="D1234">
        <v>1.04706217933534</v>
      </c>
      <c r="E1234">
        <v>1.06111976039873</v>
      </c>
      <c r="F1234">
        <v>1.10651898900082</v>
      </c>
      <c r="G1234">
        <v>0.9220970819393151</v>
      </c>
      <c r="H1234">
        <v>0.971727165140627</v>
      </c>
      <c r="I1234">
        <v>0.877207849641315</v>
      </c>
      <c r="J1234">
        <v>0.836939408951587</v>
      </c>
      <c r="K1234">
        <v>0.599666189849643</v>
      </c>
      <c r="L1234">
        <v>1257.88642145991</v>
      </c>
      <c r="M1234">
        <v>18.2914219850482</v>
      </c>
      <c r="Q1234">
        <v>0</v>
      </c>
      <c r="R1234">
        <v>0.863162089060886</v>
      </c>
      <c r="S1234" t="s">
        <v>3427</v>
      </c>
      <c r="T1234" t="s">
        <v>4362</v>
      </c>
      <c r="U1234" t="s">
        <v>4362</v>
      </c>
      <c r="V1234" t="s">
        <v>4362</v>
      </c>
      <c r="W1234" t="s">
        <v>5593</v>
      </c>
      <c r="X1234">
        <v>9</v>
      </c>
      <c r="Y1234" t="s">
        <v>7755</v>
      </c>
      <c r="Z1234" t="s">
        <v>9922</v>
      </c>
      <c r="AA1234">
        <v>0.9487348575454361</v>
      </c>
      <c r="AB1234">
        <f>HYPERLINK("Melting_Curves/meltCurve_P23827_eco.pdf", "Melting_Curves/meltCurve_P23827_eco.pdf")</f>
        <v>0</v>
      </c>
    </row>
    <row r="1235" spans="1:28">
      <c r="A1235" t="s">
        <v>1261</v>
      </c>
      <c r="B1235">
        <v>0.999739202189716</v>
      </c>
      <c r="C1235">
        <v>1.28199047777619</v>
      </c>
      <c r="D1235">
        <v>0.762803277740317</v>
      </c>
      <c r="E1235">
        <v>0.268401672693189</v>
      </c>
      <c r="F1235">
        <v>0.13159379827286</v>
      </c>
      <c r="G1235">
        <v>0.08230949414314551</v>
      </c>
      <c r="H1235">
        <v>0.0672612435444237</v>
      </c>
      <c r="I1235">
        <v>0.0467642376852973</v>
      </c>
      <c r="J1235">
        <v>0.0473112482598458</v>
      </c>
      <c r="K1235">
        <v>0.0403728627292003</v>
      </c>
      <c r="L1235">
        <v>1543.30909240606</v>
      </c>
      <c r="M1235">
        <v>34.5082876762373</v>
      </c>
      <c r="N1235">
        <v>44.9077652931977</v>
      </c>
      <c r="O1235">
        <v>44.5734810320159</v>
      </c>
      <c r="P1235">
        <v>-0.180729394558767</v>
      </c>
      <c r="Q1235">
        <v>0.0662295194173767</v>
      </c>
      <c r="R1235">
        <v>0.951572981012486</v>
      </c>
      <c r="S1235" t="s">
        <v>3428</v>
      </c>
      <c r="T1235" t="s">
        <v>4362</v>
      </c>
      <c r="U1235" t="s">
        <v>4362</v>
      </c>
      <c r="V1235" t="s">
        <v>4362</v>
      </c>
      <c r="W1235" t="s">
        <v>5594</v>
      </c>
      <c r="X1235">
        <v>15</v>
      </c>
      <c r="Y1235" t="s">
        <v>7756</v>
      </c>
      <c r="Z1235" t="s">
        <v>9923</v>
      </c>
      <c r="AA1235">
        <v>0.3105187918000553</v>
      </c>
      <c r="AB1235">
        <f>HYPERLINK("Melting_Curves/meltCurve_P23830_pssA.pdf", "Melting_Curves/meltCurve_P23830_pssA.pdf")</f>
        <v>0</v>
      </c>
    </row>
    <row r="1236" spans="1:28">
      <c r="A1236" t="s">
        <v>1262</v>
      </c>
      <c r="B1236">
        <v>0.999739202189716</v>
      </c>
      <c r="C1236">
        <v>0.835660463886113</v>
      </c>
      <c r="D1236">
        <v>0.890845703887655</v>
      </c>
      <c r="E1236">
        <v>0.859770062101274</v>
      </c>
      <c r="F1236">
        <v>0.665158414977956</v>
      </c>
      <c r="G1236">
        <v>0.322566412301544</v>
      </c>
      <c r="H1236">
        <v>0.140688593691016</v>
      </c>
      <c r="I1236">
        <v>0.09140599566213919</v>
      </c>
      <c r="J1236">
        <v>0.0845895354105894</v>
      </c>
      <c r="K1236">
        <v>0.0738024959972898</v>
      </c>
      <c r="L1236">
        <v>881.71491977633</v>
      </c>
      <c r="M1236">
        <v>17.1543907876992</v>
      </c>
      <c r="N1236">
        <v>51.6342231245886</v>
      </c>
      <c r="O1236">
        <v>50.7155362700625</v>
      </c>
      <c r="P1236">
        <v>-0.08138554734721321</v>
      </c>
      <c r="Q1236">
        <v>0.0376183901613535</v>
      </c>
      <c r="R1236">
        <v>0.9738940840358991</v>
      </c>
      <c r="S1236" t="s">
        <v>3429</v>
      </c>
      <c r="T1236" t="s">
        <v>4362</v>
      </c>
      <c r="U1236" t="s">
        <v>4362</v>
      </c>
      <c r="V1236" t="s">
        <v>4362</v>
      </c>
      <c r="W1236" t="s">
        <v>5595</v>
      </c>
      <c r="X1236">
        <v>6</v>
      </c>
      <c r="Y1236" t="s">
        <v>7757</v>
      </c>
      <c r="Z1236" t="s">
        <v>9924</v>
      </c>
      <c r="AA1236">
        <v>0.5154024997055071</v>
      </c>
      <c r="AB1236">
        <f>HYPERLINK("Melting_Curves/meltCurve_P23836_phoP.pdf", "Melting_Curves/meltCurve_P23836_phoP.pdf")</f>
        <v>0</v>
      </c>
    </row>
    <row r="1237" spans="1:28">
      <c r="A1237" t="s">
        <v>1263</v>
      </c>
      <c r="B1237">
        <v>0.999739202189716</v>
      </c>
      <c r="C1237">
        <v>1.06189923598411</v>
      </c>
      <c r="D1237">
        <v>0.450627561843834</v>
      </c>
      <c r="E1237">
        <v>0.456199689731179</v>
      </c>
      <c r="F1237">
        <v>0.338083066736869</v>
      </c>
      <c r="G1237">
        <v>0.187103008640968</v>
      </c>
      <c r="H1237">
        <v>0.163771172637105</v>
      </c>
      <c r="I1237">
        <v>0.117788755896785</v>
      </c>
      <c r="J1237">
        <v>0.185350652192515</v>
      </c>
      <c r="K1237">
        <v>0.174073266529371</v>
      </c>
      <c r="L1237">
        <v>825.245058835449</v>
      </c>
      <c r="M1237">
        <v>18.9508768704263</v>
      </c>
      <c r="N1237">
        <v>44.5960034491244</v>
      </c>
      <c r="O1237">
        <v>43.0703371328068</v>
      </c>
      <c r="P1237">
        <v>-0.090214589645586</v>
      </c>
      <c r="Q1237">
        <v>0.179897299655488</v>
      </c>
      <c r="R1237">
        <v>0.913561201277583</v>
      </c>
      <c r="S1237" t="s">
        <v>3430</v>
      </c>
      <c r="T1237" t="s">
        <v>4362</v>
      </c>
      <c r="U1237" t="s">
        <v>4362</v>
      </c>
      <c r="V1237" t="s">
        <v>4362</v>
      </c>
      <c r="W1237" t="s">
        <v>5596</v>
      </c>
      <c r="X1237">
        <v>8</v>
      </c>
      <c r="Y1237" t="s">
        <v>7758</v>
      </c>
      <c r="Z1237" t="s">
        <v>9925</v>
      </c>
      <c r="AA1237">
        <v>0.3714221133159795</v>
      </c>
      <c r="AB1237">
        <f>HYPERLINK("Melting_Curves/meltCurve_P23837_phoQ.pdf", "Melting_Curves/meltCurve_P23837_phoQ.pdf")</f>
        <v>0</v>
      </c>
    </row>
    <row r="1238" spans="1:28">
      <c r="A1238" t="s">
        <v>1264</v>
      </c>
      <c r="B1238">
        <v>0.999739202189716</v>
      </c>
      <c r="C1238">
        <v>1.00280831412803</v>
      </c>
      <c r="D1238">
        <v>1.13665037712331</v>
      </c>
      <c r="E1238">
        <v>1.03935850834631</v>
      </c>
      <c r="F1238">
        <v>0.848800353769588</v>
      </c>
      <c r="G1238">
        <v>0.488002900922739</v>
      </c>
      <c r="H1238">
        <v>0.108436118377594</v>
      </c>
      <c r="I1238">
        <v>0.0843874220340112</v>
      </c>
      <c r="J1238">
        <v>0.0717386127668925</v>
      </c>
      <c r="K1238">
        <v>0.06881318974425379</v>
      </c>
      <c r="L1238">
        <v>1694.71623754937</v>
      </c>
      <c r="M1238">
        <v>31.7911953980473</v>
      </c>
      <c r="N1238">
        <v>53.5201458042214</v>
      </c>
      <c r="O1238">
        <v>53.0981266455636</v>
      </c>
      <c r="P1238">
        <v>-0.14081014298201</v>
      </c>
      <c r="Q1238">
        <v>0.0592721005333249</v>
      </c>
      <c r="R1238">
        <v>0.987181389528681</v>
      </c>
      <c r="S1238" t="s">
        <v>3431</v>
      </c>
      <c r="T1238" t="s">
        <v>4362</v>
      </c>
      <c r="U1238" t="s">
        <v>4362</v>
      </c>
      <c r="V1238" t="s">
        <v>4362</v>
      </c>
      <c r="W1238" t="s">
        <v>5597</v>
      </c>
      <c r="X1238">
        <v>14</v>
      </c>
      <c r="Y1238" t="s">
        <v>7759</v>
      </c>
      <c r="Z1238" t="s">
        <v>9926</v>
      </c>
      <c r="AA1238">
        <v>0.5760247099293671</v>
      </c>
      <c r="AB1238">
        <f>HYPERLINK("Melting_Curves/meltCurve_P23839_yicC.pdf", "Melting_Curves/meltCurve_P23839_yicC.pdf")</f>
        <v>0</v>
      </c>
    </row>
    <row r="1239" spans="1:28">
      <c r="A1239" t="s">
        <v>1265</v>
      </c>
      <c r="B1239">
        <v>0.999739202189716</v>
      </c>
      <c r="C1239">
        <v>1.00719789463107</v>
      </c>
      <c r="D1239">
        <v>1.21942932272365</v>
      </c>
      <c r="E1239">
        <v>1.09504184204724</v>
      </c>
      <c r="F1239">
        <v>0.966912705281039</v>
      </c>
      <c r="G1239">
        <v>0.265437799230796</v>
      </c>
      <c r="H1239">
        <v>0.134767987517049</v>
      </c>
      <c r="I1239">
        <v>0.0878787029728212</v>
      </c>
      <c r="J1239">
        <v>0.0720850383494924</v>
      </c>
      <c r="K1239">
        <v>0.0546103749340844</v>
      </c>
      <c r="L1239">
        <v>3429.48347521703</v>
      </c>
      <c r="M1239">
        <v>65.13801281317321</v>
      </c>
      <c r="N1239">
        <v>52.8021179905932</v>
      </c>
      <c r="O1239">
        <v>52.5999386804919</v>
      </c>
      <c r="P1239">
        <v>-0.2830265605622</v>
      </c>
      <c r="Q1239">
        <v>0.08580722545936539</v>
      </c>
      <c r="R1239">
        <v>0.973185560068791</v>
      </c>
      <c r="S1239" t="s">
        <v>3432</v>
      </c>
      <c r="T1239" t="s">
        <v>4362</v>
      </c>
      <c r="U1239" t="s">
        <v>4362</v>
      </c>
      <c r="V1239" t="s">
        <v>4362</v>
      </c>
      <c r="W1239" t="s">
        <v>5598</v>
      </c>
      <c r="X1239">
        <v>26</v>
      </c>
      <c r="Y1239" t="s">
        <v>7760</v>
      </c>
      <c r="Z1239" t="s">
        <v>9927</v>
      </c>
      <c r="AA1239">
        <v>0.5639437763881108</v>
      </c>
      <c r="AB1239">
        <f>HYPERLINK("Melting_Curves/meltCurve_P23843_oppA.pdf", "Melting_Curves/meltCurve_P23843_oppA.pdf")</f>
        <v>0</v>
      </c>
    </row>
    <row r="1240" spans="1:28">
      <c r="A1240" t="s">
        <v>1266</v>
      </c>
      <c r="B1240">
        <v>0.999739202189716</v>
      </c>
      <c r="C1240">
        <v>0.89888469471573</v>
      </c>
      <c r="D1240">
        <v>0.582640603608661</v>
      </c>
      <c r="E1240">
        <v>0.458047854327022</v>
      </c>
      <c r="F1240">
        <v>0.317076622106949</v>
      </c>
      <c r="G1240">
        <v>0.202503146442623</v>
      </c>
      <c r="H1240">
        <v>0.18222728080672</v>
      </c>
      <c r="I1240">
        <v>0.119683080616642</v>
      </c>
      <c r="J1240">
        <v>0.136526952296365</v>
      </c>
      <c r="K1240">
        <v>0.121683368968274</v>
      </c>
      <c r="L1240">
        <v>596.7407682489001</v>
      </c>
      <c r="M1240">
        <v>13.3857633924384</v>
      </c>
      <c r="N1240">
        <v>45.5378398114879</v>
      </c>
      <c r="O1240">
        <v>43.6205626474734</v>
      </c>
      <c r="P1240">
        <v>-0.0673170182024848</v>
      </c>
      <c r="Q1240">
        <v>0.122667058689549</v>
      </c>
      <c r="R1240">
        <v>0.9843115578596831</v>
      </c>
      <c r="S1240" t="s">
        <v>3433</v>
      </c>
      <c r="T1240" t="s">
        <v>4362</v>
      </c>
      <c r="U1240" t="s">
        <v>4362</v>
      </c>
      <c r="V1240" t="s">
        <v>4362</v>
      </c>
      <c r="W1240" t="s">
        <v>5599</v>
      </c>
      <c r="X1240">
        <v>1</v>
      </c>
      <c r="Y1240" t="s">
        <v>7761</v>
      </c>
      <c r="Z1240" t="s">
        <v>9928</v>
      </c>
      <c r="AA1240">
        <v>0.3709444192753186</v>
      </c>
      <c r="AB1240">
        <f>HYPERLINK("Melting_Curves/meltCurve_P23845_cysN.pdf", "Melting_Curves/meltCurve_P23845_cysN.pdf")</f>
        <v>0</v>
      </c>
    </row>
    <row r="1241" spans="1:28">
      <c r="A1241" t="s">
        <v>1267</v>
      </c>
      <c r="B1241">
        <v>0.999739202189716</v>
      </c>
      <c r="C1241">
        <v>1.07525149194348</v>
      </c>
      <c r="D1241">
        <v>1.05381730583933</v>
      </c>
      <c r="E1241">
        <v>0.968213757669781</v>
      </c>
      <c r="F1241">
        <v>1.08456223672635</v>
      </c>
      <c r="G1241">
        <v>0.9752060734247739</v>
      </c>
      <c r="H1241">
        <v>0.993903497115567</v>
      </c>
      <c r="I1241">
        <v>0.869990469196402</v>
      </c>
      <c r="J1241">
        <v>0.58129214114496</v>
      </c>
      <c r="K1241">
        <v>0.135299912640172</v>
      </c>
      <c r="L1241">
        <v>2708.25335105594</v>
      </c>
      <c r="M1241">
        <v>42.0453775832381</v>
      </c>
      <c r="N1241">
        <v>64.41261395652189</v>
      </c>
      <c r="O1241">
        <v>64.2674321405963</v>
      </c>
      <c r="P1241">
        <v>-0.163556593281878</v>
      </c>
      <c r="Q1241">
        <v>0</v>
      </c>
      <c r="R1241">
        <v>0.97372969548146</v>
      </c>
      <c r="S1241" t="s">
        <v>3434</v>
      </c>
      <c r="T1241" t="s">
        <v>4362</v>
      </c>
      <c r="U1241" t="s">
        <v>4362</v>
      </c>
      <c r="V1241" t="s">
        <v>4362</v>
      </c>
      <c r="W1241" t="s">
        <v>5600</v>
      </c>
      <c r="X1241">
        <v>18</v>
      </c>
      <c r="Y1241" t="s">
        <v>7762</v>
      </c>
      <c r="Z1241" t="s">
        <v>9929</v>
      </c>
      <c r="AA1241">
        <v>0.9072807292448163</v>
      </c>
      <c r="AB1241">
        <f>HYPERLINK("Melting_Curves/meltCurve_P23847_dppA.pdf", "Melting_Curves/meltCurve_P23847_dppA.pdf")</f>
        <v>0</v>
      </c>
    </row>
    <row r="1242" spans="1:28">
      <c r="A1242" t="s">
        <v>1268</v>
      </c>
      <c r="B1242">
        <v>0.999739202189716</v>
      </c>
      <c r="C1242">
        <v>1.4069449869495</v>
      </c>
      <c r="D1242">
        <v>0.925062419472981</v>
      </c>
      <c r="E1242">
        <v>1.12262127292468</v>
      </c>
      <c r="F1242">
        <v>0.665165818981588</v>
      </c>
      <c r="G1242">
        <v>0.49813449440709</v>
      </c>
      <c r="H1242">
        <v>0.265089617311506</v>
      </c>
      <c r="I1242">
        <v>0.243806162917928</v>
      </c>
      <c r="J1242">
        <v>0.199245033479628</v>
      </c>
      <c r="K1242">
        <v>0.185464183595605</v>
      </c>
      <c r="L1242">
        <v>1257.25535252894</v>
      </c>
      <c r="M1242">
        <v>24.1970003469493</v>
      </c>
      <c r="N1242">
        <v>53.0916079654428</v>
      </c>
      <c r="O1242">
        <v>51.6081548393887</v>
      </c>
      <c r="P1242">
        <v>-0.0935873584100728</v>
      </c>
      <c r="Q1242">
        <v>0.201587490890411</v>
      </c>
      <c r="R1242">
        <v>0.878535117774183</v>
      </c>
      <c r="S1242" t="s">
        <v>3435</v>
      </c>
      <c r="T1242" t="s">
        <v>4362</v>
      </c>
      <c r="U1242" t="s">
        <v>4362</v>
      </c>
      <c r="V1242" t="s">
        <v>4362</v>
      </c>
      <c r="W1242" t="s">
        <v>5601</v>
      </c>
      <c r="X1242">
        <v>1</v>
      </c>
      <c r="Y1242" t="s">
        <v>7763</v>
      </c>
      <c r="Z1242" t="s">
        <v>9930</v>
      </c>
      <c r="AA1242">
        <v>0.6072039867907805</v>
      </c>
      <c r="AB1242">
        <f>HYPERLINK("Melting_Curves/meltCurve_P23849_trkG.pdf", "Melting_Curves/meltCurve_P23849_trkG.pdf")</f>
        <v>0</v>
      </c>
    </row>
    <row r="1243" spans="1:28">
      <c r="A1243" t="s">
        <v>1269</v>
      </c>
      <c r="B1243">
        <v>0.999739202189716</v>
      </c>
      <c r="C1243">
        <v>1.08931597342191</v>
      </c>
      <c r="D1243">
        <v>0.682816939124213</v>
      </c>
      <c r="E1243">
        <v>0.932925836952285</v>
      </c>
      <c r="F1243">
        <v>0.796927210373373</v>
      </c>
      <c r="G1243">
        <v>0.663433341833349</v>
      </c>
      <c r="H1243">
        <v>0.551607428170522</v>
      </c>
      <c r="I1243">
        <v>0.562581588068042</v>
      </c>
      <c r="J1243">
        <v>0.447252017674474</v>
      </c>
      <c r="K1243">
        <v>0.547179919834344</v>
      </c>
      <c r="L1243">
        <v>435.783940371533</v>
      </c>
      <c r="M1243">
        <v>8.34899197824998</v>
      </c>
      <c r="N1243">
        <v>65.3936732697199</v>
      </c>
      <c r="O1243">
        <v>49.4589873416262</v>
      </c>
      <c r="P1243">
        <v>-0.0250379950818247</v>
      </c>
      <c r="Q1243">
        <v>0.407276258400546</v>
      </c>
      <c r="R1243">
        <v>0.785144324727015</v>
      </c>
      <c r="S1243" t="s">
        <v>3436</v>
      </c>
      <c r="T1243" t="s">
        <v>4362</v>
      </c>
      <c r="U1243" t="s">
        <v>4362</v>
      </c>
      <c r="V1243" t="s">
        <v>4362</v>
      </c>
      <c r="W1243" t="s">
        <v>5602</v>
      </c>
      <c r="X1243">
        <v>4</v>
      </c>
      <c r="Y1243" t="s">
        <v>7764</v>
      </c>
      <c r="Z1243" t="s">
        <v>9931</v>
      </c>
      <c r="AA1243">
        <v>0.723614078802211</v>
      </c>
      <c r="AB1243">
        <f>HYPERLINK("Melting_Curves/meltCurve_P23857_pspE.pdf", "Melting_Curves/meltCurve_P23857_pspE.pdf")</f>
        <v>0</v>
      </c>
    </row>
    <row r="1244" spans="1:28">
      <c r="A1244" t="s">
        <v>1270</v>
      </c>
      <c r="B1244">
        <v>0.999739202189716</v>
      </c>
      <c r="C1244">
        <v>0.930499574771501</v>
      </c>
      <c r="D1244">
        <v>0.959312208178815</v>
      </c>
      <c r="E1244">
        <v>0.847834767988194</v>
      </c>
      <c r="F1244">
        <v>0.57565823050057</v>
      </c>
      <c r="G1244">
        <v>0.391139170381086</v>
      </c>
      <c r="H1244">
        <v>0.342008379043509</v>
      </c>
      <c r="I1244">
        <v>0.267905999294625</v>
      </c>
      <c r="J1244">
        <v>0.237010058115285</v>
      </c>
      <c r="K1244">
        <v>0.191385188930593</v>
      </c>
      <c r="L1244">
        <v>800.64906769053</v>
      </c>
      <c r="M1244">
        <v>15.9753414487448</v>
      </c>
      <c r="N1244">
        <v>51.8933790291227</v>
      </c>
      <c r="O1244">
        <v>49.3522171584291</v>
      </c>
      <c r="P1244">
        <v>-0.06389178767323619</v>
      </c>
      <c r="Q1244">
        <v>0.210545178679107</v>
      </c>
      <c r="R1244">
        <v>0.991784824540508</v>
      </c>
      <c r="S1244" t="s">
        <v>3437</v>
      </c>
      <c r="T1244" t="s">
        <v>4362</v>
      </c>
      <c r="U1244" t="s">
        <v>4362</v>
      </c>
      <c r="V1244" t="s">
        <v>4362</v>
      </c>
      <c r="W1244" t="s">
        <v>4492</v>
      </c>
      <c r="X1244">
        <v>4</v>
      </c>
      <c r="Y1244" t="s">
        <v>7765</v>
      </c>
      <c r="Z1244" t="s">
        <v>9932</v>
      </c>
      <c r="AA1244">
        <v>0.5707273716007266</v>
      </c>
      <c r="AB1244">
        <f>HYPERLINK("Melting_Curves/meltCurve_P23862_priC.pdf", "Melting_Curves/meltCurve_P23862_priC.pdf")</f>
        <v>0</v>
      </c>
    </row>
    <row r="1245" spans="1:28">
      <c r="A1245" t="s">
        <v>1271</v>
      </c>
      <c r="B1245">
        <v>0.999739202189716</v>
      </c>
      <c r="C1245">
        <v>1.26452598990202</v>
      </c>
      <c r="D1245">
        <v>0.742275992220651</v>
      </c>
      <c r="E1245">
        <v>0.467010386108794</v>
      </c>
      <c r="F1245">
        <v>0.153462825914206</v>
      </c>
      <c r="G1245">
        <v>0.0743119429662337</v>
      </c>
      <c r="H1245">
        <v>0.0592055512855748</v>
      </c>
      <c r="I1245">
        <v>0.044769620787219</v>
      </c>
      <c r="J1245">
        <v>0.045936093703847</v>
      </c>
      <c r="K1245">
        <v>0.0397939494614782</v>
      </c>
      <c r="L1245">
        <v>1115.73231685991</v>
      </c>
      <c r="M1245">
        <v>24.3026196415402</v>
      </c>
      <c r="N1245">
        <v>46.096621565073</v>
      </c>
      <c r="O1245">
        <v>45.6024967970096</v>
      </c>
      <c r="P1245">
        <v>-0.126989343626436</v>
      </c>
      <c r="Q1245">
        <v>0.0468609379773139</v>
      </c>
      <c r="R1245">
        <v>0.94988199392248</v>
      </c>
      <c r="S1245" t="s">
        <v>3438</v>
      </c>
      <c r="T1245" t="s">
        <v>4362</v>
      </c>
      <c r="U1245" t="s">
        <v>4362</v>
      </c>
      <c r="V1245" t="s">
        <v>4362</v>
      </c>
      <c r="W1245" t="s">
        <v>5603</v>
      </c>
      <c r="X1245">
        <v>15</v>
      </c>
      <c r="Y1245" t="s">
        <v>7766</v>
      </c>
      <c r="Z1245" t="s">
        <v>9933</v>
      </c>
      <c r="AA1245">
        <v>0.3383032488314713</v>
      </c>
      <c r="AB1245">
        <f>HYPERLINK("Melting_Curves/meltCurve_P23865_prc.pdf", "Melting_Curves/meltCurve_P23865_prc.pdf")</f>
        <v>0</v>
      </c>
    </row>
    <row r="1246" spans="1:28">
      <c r="A1246" t="s">
        <v>1272</v>
      </c>
      <c r="B1246">
        <v>0.999739202189716</v>
      </c>
      <c r="C1246">
        <v>0.873217705398295</v>
      </c>
      <c r="D1246">
        <v>1.08358142715595</v>
      </c>
      <c r="E1246">
        <v>1.01384087924891</v>
      </c>
      <c r="F1246">
        <v>1.07155078974556</v>
      </c>
      <c r="G1246">
        <v>0.694034316878687</v>
      </c>
      <c r="H1246">
        <v>0.514738698195325</v>
      </c>
      <c r="I1246">
        <v>0.409262493948376</v>
      </c>
      <c r="J1246">
        <v>0.358632683543742</v>
      </c>
      <c r="K1246">
        <v>0.271697567569819</v>
      </c>
      <c r="L1246">
        <v>1524.49251112608</v>
      </c>
      <c r="M1246">
        <v>27.7552400407804</v>
      </c>
      <c r="N1246">
        <v>57.1397723439973</v>
      </c>
      <c r="O1246">
        <v>54.6435404005398</v>
      </c>
      <c r="P1246">
        <v>-0.0851579618936205</v>
      </c>
      <c r="Q1246">
        <v>0.329381973999983</v>
      </c>
      <c r="R1246">
        <v>0.947332238885489</v>
      </c>
      <c r="S1246" t="s">
        <v>3439</v>
      </c>
      <c r="T1246" t="s">
        <v>4362</v>
      </c>
      <c r="U1246" t="s">
        <v>4362</v>
      </c>
      <c r="V1246" t="s">
        <v>4362</v>
      </c>
      <c r="W1246" t="s">
        <v>5604</v>
      </c>
      <c r="X1246">
        <v>8</v>
      </c>
      <c r="Y1246" t="s">
        <v>7767</v>
      </c>
      <c r="Z1246" t="s">
        <v>9934</v>
      </c>
      <c r="AA1246">
        <v>0.734960455819985</v>
      </c>
      <c r="AB1246">
        <f>HYPERLINK("Melting_Curves/meltCurve_P23869_ppiB.pdf", "Melting_Curves/meltCurve_P23869_ppiB.pdf")</f>
        <v>0</v>
      </c>
    </row>
    <row r="1247" spans="1:28">
      <c r="A1247" t="s">
        <v>1273</v>
      </c>
      <c r="B1247">
        <v>0.999739202189716</v>
      </c>
      <c r="C1247">
        <v>0.567722269671303</v>
      </c>
      <c r="D1247">
        <v>0.310101298442459</v>
      </c>
      <c r="E1247">
        <v>0.237076068873015</v>
      </c>
      <c r="F1247">
        <v>0.22009214743466</v>
      </c>
      <c r="G1247">
        <v>0.166439723412951</v>
      </c>
      <c r="H1247">
        <v>0.135978303236645</v>
      </c>
      <c r="I1247">
        <v>0.11909352489304</v>
      </c>
      <c r="J1247">
        <v>0.090634522956719</v>
      </c>
      <c r="K1247">
        <v>0.0773035786665747</v>
      </c>
      <c r="L1247">
        <v>1000.07883287278</v>
      </c>
      <c r="M1247">
        <v>24.8354824448718</v>
      </c>
      <c r="N1247">
        <v>40.8266861732212</v>
      </c>
      <c r="O1247">
        <v>40.0097920752526</v>
      </c>
      <c r="P1247">
        <v>-0.132834566557819</v>
      </c>
      <c r="Q1247">
        <v>0.144029509726095</v>
      </c>
      <c r="R1247">
        <v>0.96219933226739</v>
      </c>
      <c r="S1247" t="s">
        <v>3440</v>
      </c>
      <c r="T1247" t="s">
        <v>4362</v>
      </c>
      <c r="U1247" t="s">
        <v>4362</v>
      </c>
      <c r="V1247" t="s">
        <v>4362</v>
      </c>
      <c r="W1247" t="s">
        <v>5605</v>
      </c>
      <c r="X1247">
        <v>5</v>
      </c>
      <c r="Y1247" t="s">
        <v>7768</v>
      </c>
      <c r="Z1247" t="s">
        <v>9935</v>
      </c>
      <c r="AA1247">
        <v>0.2473892743913829</v>
      </c>
      <c r="AB1247">
        <f>HYPERLINK("Melting_Curves/meltCurve_P23871_hemH.pdf", "Melting_Curves/meltCurve_P23871_hemH.pdf")</f>
        <v>0</v>
      </c>
    </row>
    <row r="1248" spans="1:28">
      <c r="A1248" t="s">
        <v>1274</v>
      </c>
      <c r="B1248">
        <v>0.999739202189716</v>
      </c>
      <c r="C1248">
        <v>0.9738777114798161</v>
      </c>
      <c r="D1248">
        <v>0.841347905600099</v>
      </c>
      <c r="E1248">
        <v>0.569841869157791</v>
      </c>
      <c r="F1248">
        <v>0.216772418877761</v>
      </c>
      <c r="G1248">
        <v>0.148409779669786</v>
      </c>
      <c r="H1248">
        <v>0.10617133872016</v>
      </c>
      <c r="I1248">
        <v>0.0854746191372668</v>
      </c>
      <c r="J1248">
        <v>0.087256218513238</v>
      </c>
      <c r="K1248">
        <v>0.0854172987265253</v>
      </c>
      <c r="L1248">
        <v>977.0888048041541</v>
      </c>
      <c r="M1248">
        <v>20.9671283570093</v>
      </c>
      <c r="N1248">
        <v>47.0077833871142</v>
      </c>
      <c r="O1248">
        <v>46.1832894952536</v>
      </c>
      <c r="P1248">
        <v>-0.104085484873412</v>
      </c>
      <c r="Q1248">
        <v>0.08296825901172469</v>
      </c>
      <c r="R1248">
        <v>0.998069288457422</v>
      </c>
      <c r="S1248" t="s">
        <v>3441</v>
      </c>
      <c r="T1248" t="s">
        <v>4362</v>
      </c>
      <c r="U1248" t="s">
        <v>4362</v>
      </c>
      <c r="V1248" t="s">
        <v>4362</v>
      </c>
      <c r="W1248" t="s">
        <v>5606</v>
      </c>
      <c r="X1248">
        <v>9</v>
      </c>
      <c r="Y1248" t="s">
        <v>7769</v>
      </c>
      <c r="Z1248" t="s">
        <v>9936</v>
      </c>
      <c r="AA1248">
        <v>0.38736485697354</v>
      </c>
      <c r="AB1248">
        <f>HYPERLINK("Melting_Curves/meltCurve_P23882_fmt.pdf", "Melting_Curves/meltCurve_P23882_fmt.pdf")</f>
        <v>0</v>
      </c>
    </row>
    <row r="1249" spans="1:28">
      <c r="A1249" t="s">
        <v>1275</v>
      </c>
      <c r="B1249">
        <v>0.999739202189716</v>
      </c>
      <c r="C1249">
        <v>0.569192557997751</v>
      </c>
      <c r="D1249">
        <v>0.207578720614109</v>
      </c>
      <c r="E1249">
        <v>0.150959964144161</v>
      </c>
      <c r="F1249">
        <v>0.119522768796262</v>
      </c>
      <c r="G1249">
        <v>0.0648757420457112</v>
      </c>
      <c r="H1249">
        <v>0.0627100148104584</v>
      </c>
      <c r="I1249">
        <v>0.0442268463472149</v>
      </c>
      <c r="J1249">
        <v>0.0450094442348713</v>
      </c>
      <c r="K1249">
        <v>0.0296923952270536</v>
      </c>
      <c r="L1249">
        <v>1205.6370754608</v>
      </c>
      <c r="M1249">
        <v>29.9514970522208</v>
      </c>
      <c r="N1249">
        <v>40.4628034667604</v>
      </c>
      <c r="O1249">
        <v>40.0748310163307</v>
      </c>
      <c r="P1249">
        <v>-0.173408303672078</v>
      </c>
      <c r="Q1249">
        <v>0.07193133937235451</v>
      </c>
      <c r="R1249">
        <v>0.983846695093573</v>
      </c>
      <c r="S1249" t="s">
        <v>3442</v>
      </c>
      <c r="T1249" t="s">
        <v>4362</v>
      </c>
      <c r="U1249" t="s">
        <v>4362</v>
      </c>
      <c r="V1249" t="s">
        <v>4362</v>
      </c>
      <c r="W1249" t="s">
        <v>5607</v>
      </c>
      <c r="X1249">
        <v>2</v>
      </c>
      <c r="Y1249" t="s">
        <v>7770</v>
      </c>
      <c r="Z1249" t="s">
        <v>9937</v>
      </c>
      <c r="AA1249">
        <v>0.1795006457985491</v>
      </c>
      <c r="AB1249">
        <f>HYPERLINK("Melting_Curves/meltCurve_P23886_cydC.pdf", "Melting_Curves/meltCurve_P23886_cydC.pdf")</f>
        <v>0</v>
      </c>
    </row>
    <row r="1250" spans="1:28">
      <c r="A1250" t="s">
        <v>1276</v>
      </c>
      <c r="B1250">
        <v>0.999739202189716</v>
      </c>
      <c r="C1250">
        <v>0.657055846178643</v>
      </c>
      <c r="D1250">
        <v>0.311243577869619</v>
      </c>
      <c r="E1250">
        <v>0.238434535854507</v>
      </c>
      <c r="F1250">
        <v>0.181347177246034</v>
      </c>
      <c r="G1250">
        <v>0.11601715081699</v>
      </c>
      <c r="H1250">
        <v>0.09026974965254229</v>
      </c>
      <c r="I1250">
        <v>0.0742382737227902</v>
      </c>
      <c r="J1250">
        <v>0.0781389605270081</v>
      </c>
      <c r="K1250">
        <v>0.07665370032431761</v>
      </c>
      <c r="L1250">
        <v>913.074867259445</v>
      </c>
      <c r="M1250">
        <v>22.2864561597938</v>
      </c>
      <c r="N1250">
        <v>41.4170445264724</v>
      </c>
      <c r="O1250">
        <v>40.6443566700208</v>
      </c>
      <c r="P1250">
        <v>-0.122428093084563</v>
      </c>
      <c r="Q1250">
        <v>0.10691842171512</v>
      </c>
      <c r="R1250">
        <v>0.977462270970698</v>
      </c>
      <c r="S1250" t="s">
        <v>3443</v>
      </c>
      <c r="T1250" t="s">
        <v>4362</v>
      </c>
      <c r="U1250" t="s">
        <v>4362</v>
      </c>
      <c r="V1250" t="s">
        <v>4362</v>
      </c>
      <c r="W1250" t="s">
        <v>5608</v>
      </c>
      <c r="X1250">
        <v>8</v>
      </c>
      <c r="Y1250" t="s">
        <v>7771</v>
      </c>
      <c r="Z1250" t="s">
        <v>9938</v>
      </c>
      <c r="AA1250">
        <v>0.2370093663058932</v>
      </c>
      <c r="AB1250">
        <f>HYPERLINK("Melting_Curves/meltCurve_P23893_hemL.pdf", "Melting_Curves/meltCurve_P23893_hemL.pdf")</f>
        <v>0</v>
      </c>
    </row>
    <row r="1251" spans="1:28">
      <c r="A1251" t="s">
        <v>1277</v>
      </c>
      <c r="B1251">
        <v>0.999739202189716</v>
      </c>
      <c r="C1251">
        <v>0.929226653204525</v>
      </c>
      <c r="D1251">
        <v>0.86033909098062</v>
      </c>
      <c r="E1251">
        <v>1.01195500548231</v>
      </c>
      <c r="F1251">
        <v>1.00683332147394</v>
      </c>
      <c r="G1251">
        <v>0.881880342591194</v>
      </c>
      <c r="H1251">
        <v>0.913915060758711</v>
      </c>
      <c r="I1251">
        <v>0.915658645836973</v>
      </c>
      <c r="J1251">
        <v>0.940622113755725</v>
      </c>
      <c r="K1251">
        <v>0.767681089487528</v>
      </c>
      <c r="L1251">
        <v>195.768510803297</v>
      </c>
      <c r="M1251">
        <v>1.15258524722671</v>
      </c>
      <c r="Q1251">
        <v>0</v>
      </c>
      <c r="R1251">
        <v>0.276269656059574</v>
      </c>
      <c r="S1251" t="s">
        <v>3444</v>
      </c>
      <c r="T1251" t="s">
        <v>4362</v>
      </c>
      <c r="U1251" t="s">
        <v>4362</v>
      </c>
      <c r="V1251" t="s">
        <v>4362</v>
      </c>
      <c r="W1251" t="s">
        <v>5609</v>
      </c>
      <c r="X1251">
        <v>5</v>
      </c>
      <c r="Y1251" t="s">
        <v>7772</v>
      </c>
      <c r="Z1251" t="s">
        <v>9939</v>
      </c>
      <c r="AA1251">
        <v>0.9275144558510201</v>
      </c>
      <c r="AB1251">
        <f>HYPERLINK("Melting_Curves/meltCurve_P23894_htpX.pdf", "Melting_Curves/meltCurve_P23894_htpX.pdf")</f>
        <v>0</v>
      </c>
    </row>
    <row r="1252" spans="1:28">
      <c r="A1252" t="s">
        <v>1278</v>
      </c>
      <c r="B1252">
        <v>0.999739202189716</v>
      </c>
      <c r="C1252">
        <v>0.962106935918441</v>
      </c>
      <c r="D1252">
        <v>0.6924402446093429</v>
      </c>
      <c r="E1252">
        <v>0.736080644152325</v>
      </c>
      <c r="F1252">
        <v>0.953493966702005</v>
      </c>
      <c r="G1252">
        <v>0.735729911603121</v>
      </c>
      <c r="H1252">
        <v>0.912598782814298</v>
      </c>
      <c r="I1252">
        <v>0.666233600714773</v>
      </c>
      <c r="J1252">
        <v>0.705576969811147</v>
      </c>
      <c r="K1252">
        <v>0.282570410385359</v>
      </c>
      <c r="L1252">
        <v>269.63499560663</v>
      </c>
      <c r="M1252">
        <v>3.85342169279771</v>
      </c>
      <c r="O1252">
        <v>56.7518609968998</v>
      </c>
      <c r="P1252">
        <v>-0.0172206475969149</v>
      </c>
      <c r="Q1252">
        <v>0</v>
      </c>
      <c r="R1252">
        <v>0.462482584636837</v>
      </c>
      <c r="S1252" t="s">
        <v>3445</v>
      </c>
      <c r="T1252" t="s">
        <v>4362</v>
      </c>
      <c r="U1252" t="s">
        <v>4362</v>
      </c>
      <c r="V1252" t="s">
        <v>4362</v>
      </c>
      <c r="W1252" t="s">
        <v>5610</v>
      </c>
      <c r="X1252">
        <v>4</v>
      </c>
      <c r="Y1252" t="s">
        <v>7773</v>
      </c>
      <c r="Z1252" t="s">
        <v>9940</v>
      </c>
      <c r="AA1252">
        <v>0.7791460575148762</v>
      </c>
      <c r="AB1252">
        <f>HYPERLINK("Melting_Curves/meltCurve_P23908_argE.pdf", "Melting_Curves/meltCurve_P23908_argE.pdf")</f>
        <v>0</v>
      </c>
    </row>
    <row r="1253" spans="1:28">
      <c r="A1253" t="s">
        <v>1279</v>
      </c>
      <c r="B1253">
        <v>0.999739202189716</v>
      </c>
      <c r="C1253">
        <v>0.7094457329102321</v>
      </c>
      <c r="D1253">
        <v>0.508747652847486</v>
      </c>
      <c r="E1253">
        <v>0.471984417514809</v>
      </c>
      <c r="F1253">
        <v>0.37236147912264</v>
      </c>
      <c r="G1253">
        <v>0.2483587197664</v>
      </c>
      <c r="H1253">
        <v>0.188161179494488</v>
      </c>
      <c r="I1253">
        <v>0.127833077716557</v>
      </c>
      <c r="J1253">
        <v>0.132887635243664</v>
      </c>
      <c r="K1253">
        <v>0.12309940675057</v>
      </c>
      <c r="L1253">
        <v>413.317995166371</v>
      </c>
      <c r="M1253">
        <v>9.35247272540578</v>
      </c>
      <c r="N1253">
        <v>45.1793292289563</v>
      </c>
      <c r="O1253">
        <v>42.3141196323008</v>
      </c>
      <c r="P1253">
        <v>-0.0501873357148919</v>
      </c>
      <c r="Q1253">
        <v>0.0923039537628552</v>
      </c>
      <c r="R1253">
        <v>0.956903661263681</v>
      </c>
      <c r="S1253" t="s">
        <v>3446</v>
      </c>
      <c r="T1253" t="s">
        <v>4362</v>
      </c>
      <c r="U1253" t="s">
        <v>4362</v>
      </c>
      <c r="V1253" t="s">
        <v>4362</v>
      </c>
      <c r="W1253" t="s">
        <v>5611</v>
      </c>
      <c r="X1253">
        <v>4</v>
      </c>
      <c r="Y1253" t="s">
        <v>7774</v>
      </c>
      <c r="Z1253" t="s">
        <v>9941</v>
      </c>
      <c r="AA1253">
        <v>0.3630964553357798</v>
      </c>
      <c r="AB1253">
        <f>HYPERLINK("Melting_Curves/meltCurve_P23909_mutS.pdf", "Melting_Curves/meltCurve_P23909_mutS.pdf")</f>
        <v>0</v>
      </c>
    </row>
    <row r="1254" spans="1:28">
      <c r="A1254" t="s">
        <v>1280</v>
      </c>
      <c r="B1254">
        <v>0.999739202189716</v>
      </c>
      <c r="C1254">
        <v>0.988669739308917</v>
      </c>
      <c r="D1254">
        <v>0.8063952803828029</v>
      </c>
      <c r="E1254">
        <v>0.826845141694867</v>
      </c>
      <c r="F1254">
        <v>0.757214942233907</v>
      </c>
      <c r="G1254">
        <v>0.689776671182578</v>
      </c>
      <c r="H1254">
        <v>0.535109473604323</v>
      </c>
      <c r="I1254">
        <v>0.52073978743587</v>
      </c>
      <c r="J1254">
        <v>0.657107081415532</v>
      </c>
      <c r="K1254">
        <v>0.368573206339366</v>
      </c>
      <c r="L1254">
        <v>334.016764786024</v>
      </c>
      <c r="M1254">
        <v>6.09420308212093</v>
      </c>
      <c r="N1254">
        <v>64.0644466738926</v>
      </c>
      <c r="O1254">
        <v>49.7858139381367</v>
      </c>
      <c r="P1254">
        <v>-0.0217111733314066</v>
      </c>
      <c r="Q1254">
        <v>0.292700042020226</v>
      </c>
      <c r="R1254">
        <v>0.863686777646867</v>
      </c>
      <c r="S1254" t="s">
        <v>3447</v>
      </c>
      <c r="T1254" t="s">
        <v>4362</v>
      </c>
      <c r="U1254" t="s">
        <v>4362</v>
      </c>
      <c r="V1254" t="s">
        <v>4362</v>
      </c>
      <c r="W1254" t="s">
        <v>5612</v>
      </c>
      <c r="X1254">
        <v>2</v>
      </c>
      <c r="Y1254" t="s">
        <v>7775</v>
      </c>
      <c r="Z1254" t="s">
        <v>9942</v>
      </c>
      <c r="AA1254">
        <v>0.7114103117619899</v>
      </c>
      <c r="AB1254">
        <f>HYPERLINK("Melting_Curves/meltCurve_P23917_mak.pdf", "Melting_Curves/meltCurve_P23917_mak.pdf")</f>
        <v>0</v>
      </c>
    </row>
    <row r="1255" spans="1:28">
      <c r="A1255" t="s">
        <v>1281</v>
      </c>
      <c r="B1255">
        <v>0.999739202189716</v>
      </c>
      <c r="C1255">
        <v>1.42404254244264</v>
      </c>
      <c r="D1255">
        <v>0.716961260830445</v>
      </c>
      <c r="E1255">
        <v>0.691700855763657</v>
      </c>
      <c r="F1255">
        <v>0.317085922123808</v>
      </c>
      <c r="G1255">
        <v>0.203953850138571</v>
      </c>
      <c r="H1255">
        <v>0.166332361076262</v>
      </c>
      <c r="I1255">
        <v>0.151434395834447</v>
      </c>
      <c r="J1255">
        <v>0.142654266390096</v>
      </c>
      <c r="K1255">
        <v>0.118021047355471</v>
      </c>
      <c r="L1255">
        <v>1001.98701400832</v>
      </c>
      <c r="M1255">
        <v>21.1659120466848</v>
      </c>
      <c r="N1255">
        <v>48.0619322094448</v>
      </c>
      <c r="O1255">
        <v>46.9231617869953</v>
      </c>
      <c r="P1255">
        <v>-0.09740891250073749</v>
      </c>
      <c r="Q1255">
        <v>0.136230895199724</v>
      </c>
      <c r="R1255">
        <v>0.870852570892186</v>
      </c>
      <c r="S1255" t="s">
        <v>3448</v>
      </c>
      <c r="T1255" t="s">
        <v>4362</v>
      </c>
      <c r="U1255" t="s">
        <v>4362</v>
      </c>
      <c r="V1255" t="s">
        <v>4362</v>
      </c>
      <c r="W1255" t="s">
        <v>5613</v>
      </c>
      <c r="X1255">
        <v>8</v>
      </c>
      <c r="Y1255" t="s">
        <v>7776</v>
      </c>
      <c r="Z1255" t="s">
        <v>9943</v>
      </c>
      <c r="AA1255">
        <v>0.4440722752946558</v>
      </c>
      <c r="AB1255">
        <f>HYPERLINK("Melting_Curves/meltCurve_P23930_lnt.pdf", "Melting_Curves/meltCurve_P23930_lnt.pdf")</f>
        <v>0</v>
      </c>
    </row>
    <row r="1256" spans="1:28">
      <c r="A1256" t="s">
        <v>1282</v>
      </c>
      <c r="B1256">
        <v>0.999739202189716</v>
      </c>
      <c r="C1256">
        <v>1.07845494260379</v>
      </c>
      <c r="D1256">
        <v>0.981698471022015</v>
      </c>
      <c r="E1256">
        <v>1.03729730548724</v>
      </c>
      <c r="F1256">
        <v>0.664126025385084</v>
      </c>
      <c r="G1256">
        <v>0.262363461799486</v>
      </c>
      <c r="H1256">
        <v>0.137317426156496</v>
      </c>
      <c r="I1256">
        <v>0.0909672789371736</v>
      </c>
      <c r="J1256">
        <v>0.0837286408703618</v>
      </c>
      <c r="K1256">
        <v>0.0675392308513988</v>
      </c>
      <c r="L1256">
        <v>1648.48439053792</v>
      </c>
      <c r="M1256">
        <v>32.1830103825221</v>
      </c>
      <c r="N1256">
        <v>51.5304898474883</v>
      </c>
      <c r="O1256">
        <v>51.0256422016667</v>
      </c>
      <c r="P1256">
        <v>-0.14387282071492</v>
      </c>
      <c r="Q1256">
        <v>0.08757241685693511</v>
      </c>
      <c r="R1256">
        <v>0.992616884379991</v>
      </c>
      <c r="S1256" t="s">
        <v>3449</v>
      </c>
      <c r="T1256" t="s">
        <v>4362</v>
      </c>
      <c r="U1256" t="s">
        <v>4362</v>
      </c>
      <c r="V1256" t="s">
        <v>4362</v>
      </c>
      <c r="W1256" t="s">
        <v>5614</v>
      </c>
      <c r="X1256">
        <v>15</v>
      </c>
      <c r="Y1256" t="s">
        <v>7777</v>
      </c>
      <c r="Z1256" t="s">
        <v>9944</v>
      </c>
      <c r="AA1256">
        <v>0.5251001124904485</v>
      </c>
      <c r="AB1256">
        <f>HYPERLINK("Melting_Curves/meltCurve_P24171_dcp.pdf", "Melting_Curves/meltCurve_P24171_dcp.pdf")</f>
        <v>0</v>
      </c>
    </row>
    <row r="1257" spans="1:28">
      <c r="A1257" t="s">
        <v>1283</v>
      </c>
      <c r="B1257">
        <v>0.999739202189716</v>
      </c>
      <c r="C1257">
        <v>0.829576875656754</v>
      </c>
      <c r="D1257">
        <v>0.921973917878279</v>
      </c>
      <c r="E1257">
        <v>0.749983459020014</v>
      </c>
      <c r="F1257">
        <v>0.510380985592081</v>
      </c>
      <c r="G1257">
        <v>0.245015936779033</v>
      </c>
      <c r="H1257">
        <v>0.230083604486157</v>
      </c>
      <c r="I1257">
        <v>0.201262389875333</v>
      </c>
      <c r="J1257">
        <v>0.230413663333652</v>
      </c>
      <c r="K1257">
        <v>0.159263902933119</v>
      </c>
      <c r="L1257">
        <v>795.853809585152</v>
      </c>
      <c r="M1257">
        <v>16.3567385848149</v>
      </c>
      <c r="N1257">
        <v>49.8995358278518</v>
      </c>
      <c r="O1257">
        <v>47.9461923890564</v>
      </c>
      <c r="P1257">
        <v>-0.07101648352936329</v>
      </c>
      <c r="Q1257">
        <v>0.167382889412066</v>
      </c>
      <c r="R1257">
        <v>0.9700904706692171</v>
      </c>
      <c r="S1257" t="s">
        <v>3450</v>
      </c>
      <c r="T1257" t="s">
        <v>4362</v>
      </c>
      <c r="U1257" t="s">
        <v>4362</v>
      </c>
      <c r="V1257" t="s">
        <v>4362</v>
      </c>
      <c r="W1257" t="s">
        <v>5615</v>
      </c>
      <c r="X1257">
        <v>3</v>
      </c>
      <c r="Y1257" t="s">
        <v>7778</v>
      </c>
      <c r="Z1257" t="s">
        <v>9945</v>
      </c>
      <c r="AA1257">
        <v>0.5065418042962221</v>
      </c>
      <c r="AB1257">
        <f>HYPERLINK("Melting_Curves/meltCurve_P24173_rfaC.pdf", "Melting_Curves/meltCurve_P24173_rfaC.pdf")</f>
        <v>0</v>
      </c>
    </row>
    <row r="1258" spans="1:28">
      <c r="A1258" t="s">
        <v>1284</v>
      </c>
      <c r="B1258">
        <v>0.999739202189716</v>
      </c>
      <c r="C1258">
        <v>0.991295063676587</v>
      </c>
      <c r="D1258">
        <v>1.04774016467579</v>
      </c>
      <c r="E1258">
        <v>1.13129033532544</v>
      </c>
      <c r="F1258">
        <v>0.941710144982483</v>
      </c>
      <c r="G1258">
        <v>0.8073349791522439</v>
      </c>
      <c r="H1258">
        <v>0.688050799702378</v>
      </c>
      <c r="I1258">
        <v>0.503168328231494</v>
      </c>
      <c r="J1258">
        <v>0.372232027584245</v>
      </c>
      <c r="K1258">
        <v>0.328803102355689</v>
      </c>
      <c r="L1258">
        <v>975.635541338538</v>
      </c>
      <c r="M1258">
        <v>16.7548428891375</v>
      </c>
      <c r="N1258">
        <v>60.7784377926078</v>
      </c>
      <c r="O1258">
        <v>57.4195357910072</v>
      </c>
      <c r="P1258">
        <v>-0.0545454960798663</v>
      </c>
      <c r="Q1258">
        <v>0.252330338324785</v>
      </c>
      <c r="R1258">
        <v>0.967050690197881</v>
      </c>
      <c r="S1258" t="s">
        <v>3451</v>
      </c>
      <c r="T1258" t="s">
        <v>4362</v>
      </c>
      <c r="U1258" t="s">
        <v>4362</v>
      </c>
      <c r="V1258" t="s">
        <v>4362</v>
      </c>
      <c r="W1258" t="s">
        <v>5616</v>
      </c>
      <c r="X1258">
        <v>6</v>
      </c>
      <c r="Y1258" t="s">
        <v>7779</v>
      </c>
      <c r="Z1258" t="s">
        <v>9946</v>
      </c>
      <c r="AA1258">
        <v>0.7850417634621901</v>
      </c>
      <c r="AB1258">
        <f>HYPERLINK("Melting_Curves/meltCurve_P24178_yffB.pdf", "Melting_Curves/meltCurve_P24178_yffB.pdf")</f>
        <v>0</v>
      </c>
    </row>
    <row r="1259" spans="1:28">
      <c r="A1259" t="s">
        <v>1285</v>
      </c>
      <c r="B1259">
        <v>0.999739202189716</v>
      </c>
      <c r="C1259">
        <v>1.12656559831838</v>
      </c>
      <c r="D1259">
        <v>0.935499983472692</v>
      </c>
      <c r="E1259">
        <v>0.684963345261793</v>
      </c>
      <c r="F1259">
        <v>0.183679612046318</v>
      </c>
      <c r="G1259">
        <v>0.102619215831967</v>
      </c>
      <c r="H1259">
        <v>0.07280774806660981</v>
      </c>
      <c r="I1259">
        <v>0.0591314763462118</v>
      </c>
      <c r="J1259">
        <v>0.0593908515618189</v>
      </c>
      <c r="K1259">
        <v>0.0511756147943038</v>
      </c>
      <c r="L1259">
        <v>1582.99327149377</v>
      </c>
      <c r="M1259">
        <v>33.3296951883093</v>
      </c>
      <c r="N1259">
        <v>47.6868861964686</v>
      </c>
      <c r="O1259">
        <v>47.3249861173786</v>
      </c>
      <c r="P1259">
        <v>-0.165019315324585</v>
      </c>
      <c r="Q1259">
        <v>0.0627573857621012</v>
      </c>
      <c r="R1259">
        <v>0.989871362492425</v>
      </c>
      <c r="S1259" t="s">
        <v>3452</v>
      </c>
      <c r="T1259" t="s">
        <v>4362</v>
      </c>
      <c r="U1259" t="s">
        <v>4362</v>
      </c>
      <c r="V1259" t="s">
        <v>4362</v>
      </c>
      <c r="W1259" t="s">
        <v>5617</v>
      </c>
      <c r="X1259">
        <v>21</v>
      </c>
      <c r="Y1259" t="s">
        <v>7780</v>
      </c>
      <c r="Z1259" t="s">
        <v>9947</v>
      </c>
      <c r="AA1259">
        <v>0.3950822394767378</v>
      </c>
      <c r="AB1259">
        <f>HYPERLINK("Melting_Curves/meltCurve_P24182_accC.pdf", "Melting_Curves/meltCurve_P24182_accC.pdf")</f>
        <v>0</v>
      </c>
    </row>
    <row r="1260" spans="1:28">
      <c r="A1260" t="s">
        <v>1286</v>
      </c>
      <c r="B1260">
        <v>0.999739202189716</v>
      </c>
      <c r="C1260">
        <v>1.42743202826756</v>
      </c>
      <c r="D1260">
        <v>0.910125790109473</v>
      </c>
      <c r="E1260">
        <v>1.24766883299714</v>
      </c>
      <c r="F1260">
        <v>0.889528487724925</v>
      </c>
      <c r="G1260">
        <v>0.771546673188287</v>
      </c>
      <c r="H1260">
        <v>0.680038053786878</v>
      </c>
      <c r="I1260">
        <v>0.502845608590503</v>
      </c>
      <c r="J1260">
        <v>0.475969314184562</v>
      </c>
      <c r="K1260">
        <v>0.420689491219052</v>
      </c>
      <c r="L1260">
        <v>1074.00962803052</v>
      </c>
      <c r="M1260">
        <v>19.1937259195609</v>
      </c>
      <c r="N1260">
        <v>61.6238450625957</v>
      </c>
      <c r="O1260">
        <v>55.3594822731444</v>
      </c>
      <c r="P1260">
        <v>-0.0507579037754592</v>
      </c>
      <c r="Q1260">
        <v>0.414428580811756</v>
      </c>
      <c r="R1260">
        <v>0.7337362280098489</v>
      </c>
      <c r="S1260" t="s">
        <v>3453</v>
      </c>
      <c r="T1260" t="s">
        <v>4362</v>
      </c>
      <c r="U1260" t="s">
        <v>4362</v>
      </c>
      <c r="V1260" t="s">
        <v>4362</v>
      </c>
      <c r="W1260" t="s">
        <v>5618</v>
      </c>
      <c r="X1260">
        <v>14</v>
      </c>
      <c r="Y1260" t="s">
        <v>7781</v>
      </c>
      <c r="Z1260" t="s">
        <v>9948</v>
      </c>
      <c r="AA1260">
        <v>0.7906813835356533</v>
      </c>
      <c r="AB1260">
        <f>HYPERLINK("Melting_Curves/meltCurve_P24183_fdnG.pdf", "Melting_Curves/meltCurve_P24183_fdnG.pdf")</f>
        <v>0</v>
      </c>
    </row>
    <row r="1261" spans="1:28">
      <c r="A1261" t="s">
        <v>1287</v>
      </c>
      <c r="B1261">
        <v>0.999739202189716</v>
      </c>
      <c r="C1261">
        <v>0.871074034678629</v>
      </c>
      <c r="D1261">
        <v>0.7183893223711491</v>
      </c>
      <c r="E1261">
        <v>0.553933187007345</v>
      </c>
      <c r="F1261">
        <v>0.46719196295416</v>
      </c>
      <c r="G1261">
        <v>0.371087719360373</v>
      </c>
      <c r="H1261">
        <v>0.317376125106916</v>
      </c>
      <c r="I1261">
        <v>0.203653334155719</v>
      </c>
      <c r="J1261">
        <v>0.110484741679544</v>
      </c>
      <c r="K1261">
        <v>0.076350692532938</v>
      </c>
      <c r="L1261">
        <v>374.746493777186</v>
      </c>
      <c r="M1261">
        <v>7.60637405904193</v>
      </c>
      <c r="N1261">
        <v>49.2674263125055</v>
      </c>
      <c r="O1261">
        <v>46.2081016130026</v>
      </c>
      <c r="P1261">
        <v>-0.0412089768313856</v>
      </c>
      <c r="Q1261">
        <v>0</v>
      </c>
      <c r="R1261">
        <v>0.9803586730623</v>
      </c>
      <c r="S1261" t="s">
        <v>3454</v>
      </c>
      <c r="T1261" t="s">
        <v>4362</v>
      </c>
      <c r="U1261" t="s">
        <v>4362</v>
      </c>
      <c r="V1261" t="s">
        <v>4362</v>
      </c>
      <c r="W1261" t="s">
        <v>5619</v>
      </c>
      <c r="X1261">
        <v>5</v>
      </c>
      <c r="Y1261" t="s">
        <v>7782</v>
      </c>
      <c r="Z1261" t="s">
        <v>9949</v>
      </c>
      <c r="AA1261">
        <v>0.4557091475795097</v>
      </c>
      <c r="AB1261">
        <f>HYPERLINK("Melting_Curves/meltCurve_P24186_folD.pdf", "Melting_Curves/meltCurve_P24186_folD.pdf")</f>
        <v>0</v>
      </c>
    </row>
    <row r="1262" spans="1:28">
      <c r="A1262" t="s">
        <v>1288</v>
      </c>
      <c r="B1262">
        <v>0.999739202189716</v>
      </c>
      <c r="C1262">
        <v>0.883891326198696</v>
      </c>
      <c r="D1262">
        <v>0.595010113541751</v>
      </c>
      <c r="E1262">
        <v>0.629209736670218</v>
      </c>
      <c r="F1262">
        <v>0.526253929014232</v>
      </c>
      <c r="G1262">
        <v>0.402113538110648</v>
      </c>
      <c r="H1262">
        <v>0.334585397636907</v>
      </c>
      <c r="I1262">
        <v>0.24881919915692</v>
      </c>
      <c r="J1262">
        <v>0.224700475764822</v>
      </c>
      <c r="K1262">
        <v>0.216264946460271</v>
      </c>
      <c r="L1262">
        <v>360.459840586915</v>
      </c>
      <c r="M1262">
        <v>7.52604265659221</v>
      </c>
      <c r="N1262">
        <v>49.7695443863271</v>
      </c>
      <c r="O1262">
        <v>44.863591717468</v>
      </c>
      <c r="P1262">
        <v>-0.0368148285465608</v>
      </c>
      <c r="Q1262">
        <v>0.123414846330619</v>
      </c>
      <c r="R1262">
        <v>0.951671572381935</v>
      </c>
      <c r="S1262" t="s">
        <v>3455</v>
      </c>
      <c r="T1262" t="s">
        <v>4362</v>
      </c>
      <c r="U1262" t="s">
        <v>4362</v>
      </c>
      <c r="V1262" t="s">
        <v>4362</v>
      </c>
      <c r="W1262" t="s">
        <v>5620</v>
      </c>
      <c r="X1262">
        <v>3</v>
      </c>
      <c r="Y1262" t="s">
        <v>7783</v>
      </c>
      <c r="Z1262" t="s">
        <v>9950</v>
      </c>
      <c r="AA1262">
        <v>0.4907070651386753</v>
      </c>
      <c r="AB1262">
        <f>HYPERLINK("Melting_Curves/meltCurve_P24193_hypE.pdf", "Melting_Curves/meltCurve_P24193_hypE.pdf")</f>
        <v>0</v>
      </c>
    </row>
    <row r="1263" spans="1:28">
      <c r="A1263" t="s">
        <v>1289</v>
      </c>
      <c r="B1263">
        <v>0.999739202189716</v>
      </c>
      <c r="C1263">
        <v>0.740573201446084</v>
      </c>
      <c r="D1263">
        <v>0.560228616158825</v>
      </c>
      <c r="E1263">
        <v>0.275881304693507</v>
      </c>
      <c r="F1263">
        <v>0.156550850728089</v>
      </c>
      <c r="G1263">
        <v>0.103912728047131</v>
      </c>
      <c r="H1263">
        <v>0.0752234993377794</v>
      </c>
      <c r="I1263">
        <v>0.0747477672239662</v>
      </c>
      <c r="J1263">
        <v>0.0440474894886364</v>
      </c>
      <c r="K1263">
        <v>0.0306473955028841</v>
      </c>
      <c r="L1263">
        <v>657.521008126528</v>
      </c>
      <c r="M1263">
        <v>15.214457270033</v>
      </c>
      <c r="N1263">
        <v>43.5055013631692</v>
      </c>
      <c r="O1263">
        <v>42.490881961776</v>
      </c>
      <c r="P1263">
        <v>-0.085226687279845</v>
      </c>
      <c r="Q1263">
        <v>0.0480078300939551</v>
      </c>
      <c r="R1263">
        <v>0.991853610855937</v>
      </c>
      <c r="S1263" t="s">
        <v>3456</v>
      </c>
      <c r="T1263" t="s">
        <v>4362</v>
      </c>
      <c r="U1263" t="s">
        <v>4362</v>
      </c>
      <c r="V1263" t="s">
        <v>4362</v>
      </c>
      <c r="W1263" t="s">
        <v>5621</v>
      </c>
      <c r="X1263">
        <v>3</v>
      </c>
      <c r="Y1263" t="s">
        <v>7784</v>
      </c>
      <c r="Z1263" t="s">
        <v>9951</v>
      </c>
      <c r="AA1263">
        <v>0.2693229286733205</v>
      </c>
      <c r="AB1263">
        <f>HYPERLINK("Melting_Curves/meltCurve_P24202_mrr.pdf", "Melting_Curves/meltCurve_P24202_mrr.pdf")</f>
        <v>0</v>
      </c>
    </row>
    <row r="1264" spans="1:28">
      <c r="A1264" t="s">
        <v>1290</v>
      </c>
      <c r="B1264">
        <v>0.999739202189716</v>
      </c>
      <c r="C1264">
        <v>0.69198575727486</v>
      </c>
      <c r="D1264">
        <v>0.934678807807356</v>
      </c>
      <c r="E1264">
        <v>0.635117344717661</v>
      </c>
      <c r="F1264">
        <v>0.444523454377762</v>
      </c>
      <c r="G1264">
        <v>0.19522256085073</v>
      </c>
      <c r="H1264">
        <v>0.125378463930688</v>
      </c>
      <c r="I1264">
        <v>0.0930649792618857</v>
      </c>
      <c r="J1264">
        <v>0.0803790246141653</v>
      </c>
      <c r="K1264">
        <v>0.07504362829144851</v>
      </c>
      <c r="L1264">
        <v>550.93382810178</v>
      </c>
      <c r="M1264">
        <v>11.3326330598878</v>
      </c>
      <c r="N1264">
        <v>48.6510322144861</v>
      </c>
      <c r="O1264">
        <v>47.1748723454418</v>
      </c>
      <c r="P1264">
        <v>-0.0598222465718307</v>
      </c>
      <c r="Q1264">
        <v>0.00420074197728772</v>
      </c>
      <c r="R1264">
        <v>0.937753427786494</v>
      </c>
      <c r="S1264" t="s">
        <v>3457</v>
      </c>
      <c r="T1264" t="s">
        <v>4362</v>
      </c>
      <c r="U1264" t="s">
        <v>4362</v>
      </c>
      <c r="V1264" t="s">
        <v>4362</v>
      </c>
      <c r="W1264" t="s">
        <v>5622</v>
      </c>
      <c r="X1264">
        <v>5</v>
      </c>
      <c r="Y1264" t="s">
        <v>7785</v>
      </c>
      <c r="Z1264" t="s">
        <v>9952</v>
      </c>
      <c r="AA1264">
        <v>0.4223722080082138</v>
      </c>
      <c r="AB1264">
        <f>HYPERLINK("Melting_Curves/meltCurve_P24203_yjiA.pdf", "Melting_Curves/meltCurve_P24203_yjiA.pdf")</f>
        <v>0</v>
      </c>
    </row>
    <row r="1265" spans="1:28">
      <c r="A1265" t="s">
        <v>1291</v>
      </c>
      <c r="B1265">
        <v>0.999739202189716</v>
      </c>
      <c r="C1265">
        <v>0.883509325659327</v>
      </c>
      <c r="D1265">
        <v>0.886270494351505</v>
      </c>
      <c r="E1265">
        <v>0.769556729552149</v>
      </c>
      <c r="F1265">
        <v>0.856928789540221</v>
      </c>
      <c r="G1265">
        <v>0.660193054135045</v>
      </c>
      <c r="H1265">
        <v>0.249084697140329</v>
      </c>
      <c r="I1265">
        <v>0.06973918466347841</v>
      </c>
      <c r="J1265">
        <v>0.110162246403345</v>
      </c>
      <c r="K1265">
        <v>0.09480006782351851</v>
      </c>
      <c r="L1265">
        <v>932.145042623446</v>
      </c>
      <c r="M1265">
        <v>17.0666201705746</v>
      </c>
      <c r="N1265">
        <v>54.661746559664</v>
      </c>
      <c r="O1265">
        <v>53.8846814958554</v>
      </c>
      <c r="P1265">
        <v>-0.0786492207526629</v>
      </c>
      <c r="Q1265">
        <v>0.00677925111442433</v>
      </c>
      <c r="R1265">
        <v>0.938886186726166</v>
      </c>
      <c r="S1265" t="s">
        <v>3458</v>
      </c>
      <c r="T1265" t="s">
        <v>4362</v>
      </c>
      <c r="U1265" t="s">
        <v>4362</v>
      </c>
      <c r="V1265" t="s">
        <v>4362</v>
      </c>
      <c r="W1265" t="s">
        <v>5623</v>
      </c>
      <c r="X1265">
        <v>4</v>
      </c>
      <c r="Y1265" t="s">
        <v>7786</v>
      </c>
      <c r="Z1265" t="s">
        <v>9953</v>
      </c>
      <c r="AA1265">
        <v>0.6036616645497321</v>
      </c>
      <c r="AB1265">
        <f>HYPERLINK("Melting_Curves/meltCurve_P24205_lpxM.pdf", "Melting_Curves/meltCurve_P24205_lpxM.pdf")</f>
        <v>0</v>
      </c>
    </row>
    <row r="1266" spans="1:28">
      <c r="A1266" t="s">
        <v>1292</v>
      </c>
      <c r="B1266">
        <v>0.999739202189716</v>
      </c>
      <c r="C1266">
        <v>0.9814334737753611</v>
      </c>
      <c r="D1266">
        <v>0.834701730557931</v>
      </c>
      <c r="E1266">
        <v>0.68868857594118</v>
      </c>
      <c r="F1266">
        <v>0.61793668202144</v>
      </c>
      <c r="G1266">
        <v>0.504946038565246</v>
      </c>
      <c r="H1266">
        <v>0.396088098811737</v>
      </c>
      <c r="I1266">
        <v>0.200666131068109</v>
      </c>
      <c r="J1266">
        <v>0.110192757675125</v>
      </c>
      <c r="K1266">
        <v>0.0877109194510966</v>
      </c>
      <c r="L1266">
        <v>464.31303335819</v>
      </c>
      <c r="M1266">
        <v>8.82819786485628</v>
      </c>
      <c r="N1266">
        <v>52.594316575866</v>
      </c>
      <c r="O1266">
        <v>50.1053000301138</v>
      </c>
      <c r="P1266">
        <v>-0.0440826310718404</v>
      </c>
      <c r="Q1266">
        <v>0</v>
      </c>
      <c r="R1266">
        <v>0.977906549286316</v>
      </c>
      <c r="S1266" t="s">
        <v>3459</v>
      </c>
      <c r="T1266" t="s">
        <v>4362</v>
      </c>
      <c r="U1266" t="s">
        <v>4362</v>
      </c>
      <c r="V1266" t="s">
        <v>4362</v>
      </c>
      <c r="W1266" t="s">
        <v>5624</v>
      </c>
      <c r="X1266">
        <v>11</v>
      </c>
      <c r="Y1266" t="s">
        <v>7787</v>
      </c>
      <c r="Z1266" t="s">
        <v>9954</v>
      </c>
      <c r="AA1266">
        <v>0.5445236606393945</v>
      </c>
      <c r="AB1266">
        <f>HYPERLINK("Melting_Curves/meltCurve_P24215_uxuA.pdf", "Melting_Curves/meltCurve_P24215_uxuA.pdf")</f>
        <v>0</v>
      </c>
    </row>
    <row r="1267" spans="1:28">
      <c r="A1267" t="s">
        <v>1293</v>
      </c>
      <c r="B1267">
        <v>0.999739202189716</v>
      </c>
      <c r="C1267">
        <v>1.06014301462355</v>
      </c>
      <c r="D1267">
        <v>0.939820268773955</v>
      </c>
      <c r="E1267">
        <v>0.8191367528654691</v>
      </c>
      <c r="F1267">
        <v>0.641040805039089</v>
      </c>
      <c r="G1267">
        <v>0.284387195314625</v>
      </c>
      <c r="H1267">
        <v>0.212569170367751</v>
      </c>
      <c r="I1267">
        <v>0.158913865180607</v>
      </c>
      <c r="J1267">
        <v>0.163507899334087</v>
      </c>
      <c r="K1267">
        <v>0.190374741673146</v>
      </c>
      <c r="L1267">
        <v>1032.29584165221</v>
      </c>
      <c r="M1267">
        <v>20.5253658195284</v>
      </c>
      <c r="N1267">
        <v>51.203433977085</v>
      </c>
      <c r="O1267">
        <v>49.8235650485997</v>
      </c>
      <c r="P1267">
        <v>-0.0872568278851043</v>
      </c>
      <c r="Q1267">
        <v>0.152791029249443</v>
      </c>
      <c r="R1267">
        <v>0.989639949484272</v>
      </c>
      <c r="S1267" t="s">
        <v>3460</v>
      </c>
      <c r="T1267" t="s">
        <v>4362</v>
      </c>
      <c r="U1267" t="s">
        <v>4362</v>
      </c>
      <c r="V1267" t="s">
        <v>4362</v>
      </c>
      <c r="W1267" t="s">
        <v>5625</v>
      </c>
      <c r="X1267">
        <v>6</v>
      </c>
      <c r="Y1267" t="s">
        <v>7788</v>
      </c>
      <c r="Z1267" t="s">
        <v>9955</v>
      </c>
      <c r="AA1267">
        <v>0.5388620691932243</v>
      </c>
      <c r="AB1267">
        <f>HYPERLINK("Melting_Curves/meltCurve_P24216_fliD.pdf", "Melting_Curves/meltCurve_P24216_fliD.pdf")</f>
        <v>0</v>
      </c>
    </row>
    <row r="1268" spans="1:28">
      <c r="A1268" t="s">
        <v>1294</v>
      </c>
      <c r="B1268">
        <v>0.999739202189716</v>
      </c>
      <c r="C1268">
        <v>0.808929426604572</v>
      </c>
      <c r="D1268">
        <v>0.566591939045476</v>
      </c>
      <c r="E1268">
        <v>0.352338807631209</v>
      </c>
      <c r="F1268">
        <v>0.203181909860534</v>
      </c>
      <c r="G1268">
        <v>0.150567832788072</v>
      </c>
      <c r="H1268">
        <v>0.115876931549015</v>
      </c>
      <c r="I1268">
        <v>0.0974183233486747</v>
      </c>
      <c r="J1268">
        <v>0.09291997004225649</v>
      </c>
      <c r="K1268">
        <v>0.0824376642687031</v>
      </c>
      <c r="L1268">
        <v>663.1374362071811</v>
      </c>
      <c r="M1268">
        <v>15.2229097267671</v>
      </c>
      <c r="N1268">
        <v>44.1411827436382</v>
      </c>
      <c r="O1268">
        <v>42.8308104389913</v>
      </c>
      <c r="P1268">
        <v>-0.0808161949066373</v>
      </c>
      <c r="Q1268">
        <v>0.090556413396299</v>
      </c>
      <c r="R1268">
        <v>0.995412995105478</v>
      </c>
      <c r="S1268" t="s">
        <v>3461</v>
      </c>
      <c r="T1268" t="s">
        <v>4362</v>
      </c>
      <c r="U1268" t="s">
        <v>4362</v>
      </c>
      <c r="V1268" t="s">
        <v>4362</v>
      </c>
      <c r="W1268" t="s">
        <v>5626</v>
      </c>
      <c r="X1268">
        <v>2</v>
      </c>
      <c r="Y1268" t="s">
        <v>7789</v>
      </c>
      <c r="Z1268" t="s">
        <v>9956</v>
      </c>
      <c r="AA1268">
        <v>0.311914254239946</v>
      </c>
      <c r="AB1268">
        <f>HYPERLINK("Melting_Curves/meltCurve_P24224_acpS.pdf", "Melting_Curves/meltCurve_P24224_acpS.pdf")</f>
        <v>0</v>
      </c>
    </row>
    <row r="1269" spans="1:28">
      <c r="A1269" t="s">
        <v>1295</v>
      </c>
      <c r="B1269">
        <v>0.999739202189716</v>
      </c>
      <c r="C1269">
        <v>0.8712770612909569</v>
      </c>
      <c r="D1269">
        <v>0.571141066380504</v>
      </c>
      <c r="E1269">
        <v>0.274404462477846</v>
      </c>
      <c r="F1269">
        <v>0.196501601183449</v>
      </c>
      <c r="G1269">
        <v>0.13938785771617</v>
      </c>
      <c r="H1269">
        <v>0.128301938911287</v>
      </c>
      <c r="I1269">
        <v>0.08945430021332169</v>
      </c>
      <c r="J1269">
        <v>0.0887515390486921</v>
      </c>
      <c r="K1269">
        <v>0.0712411225542047</v>
      </c>
      <c r="L1269">
        <v>846.299126437722</v>
      </c>
      <c r="M1269">
        <v>19.5248180100311</v>
      </c>
      <c r="N1269">
        <v>43.8532378191352</v>
      </c>
      <c r="O1269">
        <v>42.8977800688867</v>
      </c>
      <c r="P1269">
        <v>-0.102265102658967</v>
      </c>
      <c r="Q1269">
        <v>0.101289608301441</v>
      </c>
      <c r="R1269">
        <v>0.995532544493665</v>
      </c>
      <c r="S1269" t="s">
        <v>3462</v>
      </c>
      <c r="T1269" t="s">
        <v>4362</v>
      </c>
      <c r="U1269" t="s">
        <v>4362</v>
      </c>
      <c r="V1269" t="s">
        <v>4362</v>
      </c>
      <c r="W1269" t="s">
        <v>5627</v>
      </c>
      <c r="X1269">
        <v>3</v>
      </c>
      <c r="Y1269" t="s">
        <v>7790</v>
      </c>
      <c r="Z1269" t="s">
        <v>9957</v>
      </c>
      <c r="AA1269">
        <v>0.3043593983466193</v>
      </c>
      <c r="AB1269">
        <f>HYPERLINK("Melting_Curves/meltCurve_P24228_dacB.pdf", "Melting_Curves/meltCurve_P24228_dacB.pdf")</f>
        <v>0</v>
      </c>
    </row>
    <row r="1270" spans="1:28">
      <c r="A1270" t="s">
        <v>1296</v>
      </c>
      <c r="B1270">
        <v>0.999739202189716</v>
      </c>
      <c r="C1270">
        <v>0.8594668625538801</v>
      </c>
      <c r="D1270">
        <v>0.832715836210436</v>
      </c>
      <c r="E1270">
        <v>0.813574790097187</v>
      </c>
      <c r="F1270">
        <v>0.903158128150039</v>
      </c>
      <c r="G1270">
        <v>0.678951332259895</v>
      </c>
      <c r="H1270">
        <v>0.679128052609102</v>
      </c>
      <c r="I1270">
        <v>0.475804631883722</v>
      </c>
      <c r="J1270">
        <v>0.477643463371621</v>
      </c>
      <c r="K1270">
        <v>0.332111705394102</v>
      </c>
      <c r="L1270">
        <v>339.834773250308</v>
      </c>
      <c r="M1270">
        <v>5.4944628690172</v>
      </c>
      <c r="N1270">
        <v>61.8504085566286</v>
      </c>
      <c r="O1270">
        <v>55.1024187633902</v>
      </c>
      <c r="P1270">
        <v>-0.0250386034052014</v>
      </c>
      <c r="Q1270">
        <v>0</v>
      </c>
      <c r="R1270">
        <v>0.8918089454220059</v>
      </c>
      <c r="S1270" t="s">
        <v>3463</v>
      </c>
      <c r="T1270" t="s">
        <v>4362</v>
      </c>
      <c r="U1270" t="s">
        <v>4362</v>
      </c>
      <c r="V1270" t="s">
        <v>4362</v>
      </c>
      <c r="W1270" t="s">
        <v>5628</v>
      </c>
      <c r="X1270">
        <v>7</v>
      </c>
      <c r="Y1270" t="s">
        <v>7791</v>
      </c>
      <c r="Z1270" t="s">
        <v>9958</v>
      </c>
      <c r="AA1270">
        <v>0.7203753777920041</v>
      </c>
      <c r="AB1270">
        <f>HYPERLINK("Melting_Curves/meltCurve_P24232_hmp.pdf", "Melting_Curves/meltCurve_P24232_hmp.pdf")</f>
        <v>0</v>
      </c>
    </row>
    <row r="1271" spans="1:28">
      <c r="A1271" t="s">
        <v>1297</v>
      </c>
      <c r="B1271">
        <v>0.999739202189716</v>
      </c>
      <c r="C1271">
        <v>1.07732269692011</v>
      </c>
      <c r="D1271">
        <v>1.00461819105894</v>
      </c>
      <c r="E1271">
        <v>0.91880036524512</v>
      </c>
      <c r="F1271">
        <v>0.812475190292029</v>
      </c>
      <c r="G1271">
        <v>0.5090045174728161</v>
      </c>
      <c r="H1271">
        <v>0.346620343146708</v>
      </c>
      <c r="I1271">
        <v>0.187108717825953</v>
      </c>
      <c r="J1271">
        <v>0.11847196817052</v>
      </c>
      <c r="K1271">
        <v>0.0764101163662846</v>
      </c>
      <c r="L1271">
        <v>863.549889927933</v>
      </c>
      <c r="M1271">
        <v>15.9469215646056</v>
      </c>
      <c r="N1271">
        <v>54.4702863315023</v>
      </c>
      <c r="O1271">
        <v>53.3214271184871</v>
      </c>
      <c r="P1271">
        <v>-0.0714425240291738</v>
      </c>
      <c r="Q1271">
        <v>0.0445517306159719</v>
      </c>
      <c r="R1271">
        <v>0.9931076294033629</v>
      </c>
      <c r="S1271" t="s">
        <v>3464</v>
      </c>
      <c r="T1271" t="s">
        <v>4362</v>
      </c>
      <c r="U1271" t="s">
        <v>4362</v>
      </c>
      <c r="V1271" t="s">
        <v>4362</v>
      </c>
      <c r="W1271" t="s">
        <v>5629</v>
      </c>
      <c r="X1271">
        <v>4</v>
      </c>
      <c r="Y1271" t="s">
        <v>7792</v>
      </c>
      <c r="Z1271" t="s">
        <v>9959</v>
      </c>
      <c r="AA1271">
        <v>0.6053213994115398</v>
      </c>
      <c r="AB1271">
        <f>HYPERLINK("Melting_Curves/meltCurve_P24242_ascG.pdf", "Melting_Curves/meltCurve_P24242_ascG.pdf")</f>
        <v>0</v>
      </c>
    </row>
    <row r="1272" spans="1:28">
      <c r="A1272" t="s">
        <v>1298</v>
      </c>
      <c r="B1272">
        <v>0.999739202189716</v>
      </c>
      <c r="C1272">
        <v>0.717450394771141</v>
      </c>
      <c r="D1272">
        <v>1.05689218543308</v>
      </c>
      <c r="E1272">
        <v>0.50650375003199</v>
      </c>
      <c r="F1272">
        <v>0.44744335153895</v>
      </c>
      <c r="G1272">
        <v>0.235690688359094</v>
      </c>
      <c r="H1272">
        <v>0.199087087001394</v>
      </c>
      <c r="I1272">
        <v>0.175669209137338</v>
      </c>
      <c r="J1272">
        <v>0.142995413764669</v>
      </c>
      <c r="K1272">
        <v>0.11209185078585</v>
      </c>
      <c r="L1272">
        <v>677.8821807740391</v>
      </c>
      <c r="M1272">
        <v>14.2661475466869</v>
      </c>
      <c r="N1272">
        <v>48.4426009030619</v>
      </c>
      <c r="O1272">
        <v>46.6124298047993</v>
      </c>
      <c r="P1272">
        <v>-0.0673937168030949</v>
      </c>
      <c r="Q1272">
        <v>0.119314106300014</v>
      </c>
      <c r="R1272">
        <v>0.89737089131082</v>
      </c>
      <c r="S1272" t="s">
        <v>3465</v>
      </c>
      <c r="T1272" t="s">
        <v>4362</v>
      </c>
      <c r="U1272" t="s">
        <v>4362</v>
      </c>
      <c r="V1272" t="s">
        <v>4362</v>
      </c>
      <c r="W1272" t="s">
        <v>5630</v>
      </c>
      <c r="X1272">
        <v>2</v>
      </c>
      <c r="Y1272" t="s">
        <v>7793</v>
      </c>
      <c r="Z1272" t="s">
        <v>9960</v>
      </c>
      <c r="AA1272">
        <v>0.4494114361282559</v>
      </c>
      <c r="AB1272">
        <f>HYPERLINK("Melting_Curves/meltCurve_P24251_crl.pdf", "Melting_Curves/meltCurve_P24251_crl.pdf")</f>
        <v>0</v>
      </c>
    </row>
    <row r="1273" spans="1:28">
      <c r="A1273" t="s">
        <v>1299</v>
      </c>
      <c r="B1273">
        <v>0.999739202189716</v>
      </c>
      <c r="C1273">
        <v>1.05708696179869</v>
      </c>
      <c r="D1273">
        <v>0.833093206260635</v>
      </c>
      <c r="E1273">
        <v>0.878640901339691</v>
      </c>
      <c r="F1273">
        <v>0.597363748733946</v>
      </c>
      <c r="G1273">
        <v>0.450135918006292</v>
      </c>
      <c r="H1273">
        <v>0.365367837879936</v>
      </c>
      <c r="I1273">
        <v>0.244700754393642</v>
      </c>
      <c r="J1273">
        <v>0.207375640670134</v>
      </c>
      <c r="K1273">
        <v>0.179961544326225</v>
      </c>
      <c r="L1273">
        <v>617.545983362366</v>
      </c>
      <c r="M1273">
        <v>11.9846434761237</v>
      </c>
      <c r="N1273">
        <v>52.9154563416297</v>
      </c>
      <c r="O1273">
        <v>50.1563365835629</v>
      </c>
      <c r="P1273">
        <v>-0.0516952594186255</v>
      </c>
      <c r="Q1273">
        <v>0.134820553373347</v>
      </c>
      <c r="R1273">
        <v>0.977566776381306</v>
      </c>
      <c r="S1273" t="s">
        <v>3466</v>
      </c>
      <c r="T1273" t="s">
        <v>4362</v>
      </c>
      <c r="U1273" t="s">
        <v>4362</v>
      </c>
      <c r="V1273" t="s">
        <v>4362</v>
      </c>
      <c r="W1273" t="s">
        <v>5631</v>
      </c>
      <c r="X1273">
        <v>1</v>
      </c>
      <c r="Y1273" t="s">
        <v>7794</v>
      </c>
      <c r="Z1273" t="s">
        <v>9961</v>
      </c>
      <c r="AA1273">
        <v>0.5753473394930354</v>
      </c>
      <c r="AB1273">
        <f>HYPERLINK("Melting_Curves/meltCurve_P24252_ybgA.pdf", "Melting_Curves/meltCurve_P24252_ybgA.pdf")</f>
        <v>0</v>
      </c>
    </row>
    <row r="1274" spans="1:28">
      <c r="A1274" t="s">
        <v>1300</v>
      </c>
      <c r="B1274">
        <v>0.999739202189716</v>
      </c>
      <c r="C1274">
        <v>0.881342426657217</v>
      </c>
      <c r="D1274">
        <v>0.414827990916099</v>
      </c>
      <c r="E1274">
        <v>0.21480060154125</v>
      </c>
      <c r="F1274">
        <v>0.148588559617458</v>
      </c>
      <c r="G1274">
        <v>0.07621906456680511</v>
      </c>
      <c r="H1274">
        <v>0.06811896359126619</v>
      </c>
      <c r="I1274">
        <v>0.059578872942496</v>
      </c>
      <c r="J1274">
        <v>0.06708952072611921</v>
      </c>
      <c r="K1274">
        <v>0.0556354208820046</v>
      </c>
      <c r="L1274">
        <v>1092.1016659267</v>
      </c>
      <c r="M1274">
        <v>25.7600821718225</v>
      </c>
      <c r="N1274">
        <v>42.6848023644919</v>
      </c>
      <c r="O1274">
        <v>42.1421184210967</v>
      </c>
      <c r="P1274">
        <v>-0.14056207801089</v>
      </c>
      <c r="Q1274">
        <v>0.080203164552362</v>
      </c>
      <c r="R1274">
        <v>0.990948607835778</v>
      </c>
      <c r="S1274" t="s">
        <v>3467</v>
      </c>
      <c r="T1274" t="s">
        <v>4362</v>
      </c>
      <c r="U1274" t="s">
        <v>4362</v>
      </c>
      <c r="V1274" t="s">
        <v>4362</v>
      </c>
      <c r="W1274" t="s">
        <v>5632</v>
      </c>
      <c r="X1274">
        <v>4</v>
      </c>
      <c r="Y1274" t="s">
        <v>7795</v>
      </c>
      <c r="Z1274" t="s">
        <v>9962</v>
      </c>
      <c r="AA1274">
        <v>0.2530237714815097</v>
      </c>
      <c r="AB1274">
        <f>HYPERLINK("Melting_Curves/meltCurve_P24255_rpoN.pdf", "Melting_Curves/meltCurve_P24255_rpoN.pdf")</f>
        <v>0</v>
      </c>
    </row>
    <row r="1275" spans="1:28">
      <c r="A1275" t="s">
        <v>1301</v>
      </c>
      <c r="B1275">
        <v>0.999739202189716</v>
      </c>
      <c r="C1275">
        <v>0.7242061013957281</v>
      </c>
      <c r="D1275">
        <v>0.505101735692454</v>
      </c>
      <c r="E1275">
        <v>0.404386182523805</v>
      </c>
      <c r="F1275">
        <v>0.351577224848467</v>
      </c>
      <c r="G1275">
        <v>0.285766008322405</v>
      </c>
      <c r="H1275">
        <v>0.275079738955263</v>
      </c>
      <c r="I1275">
        <v>0.238277805821319</v>
      </c>
      <c r="J1275">
        <v>0.205967285656325</v>
      </c>
      <c r="K1275">
        <v>0.140001759397491</v>
      </c>
      <c r="L1275">
        <v>582.272719937281</v>
      </c>
      <c r="M1275">
        <v>13.8008417707534</v>
      </c>
      <c r="N1275">
        <v>44.0372346274943</v>
      </c>
      <c r="O1275">
        <v>41.3348479150242</v>
      </c>
      <c r="P1275">
        <v>-0.0651449751784437</v>
      </c>
      <c r="Q1275">
        <v>0.219647425049964</v>
      </c>
      <c r="R1275">
        <v>0.958217152737091</v>
      </c>
      <c r="S1275" t="s">
        <v>3468</v>
      </c>
      <c r="T1275" t="s">
        <v>4362</v>
      </c>
      <c r="U1275" t="s">
        <v>4362</v>
      </c>
      <c r="V1275" t="s">
        <v>4362</v>
      </c>
      <c r="W1275" t="s">
        <v>5633</v>
      </c>
      <c r="X1275">
        <v>1</v>
      </c>
      <c r="Y1275" t="s">
        <v>7796</v>
      </c>
      <c r="Z1275" t="s">
        <v>9963</v>
      </c>
      <c r="AA1275">
        <v>0.3809939514961116</v>
      </c>
      <c r="AB1275">
        <f>HYPERLINK("Melting_Curves/meltCurve_P24554_radA.pdf", "Melting_Curves/meltCurve_P24554_radA.pdf")</f>
        <v>0</v>
      </c>
    </row>
    <row r="1276" spans="1:28">
      <c r="A1276" t="s">
        <v>1302</v>
      </c>
      <c r="B1276">
        <v>0.999739202189716</v>
      </c>
      <c r="C1276">
        <v>1.48296980566984</v>
      </c>
      <c r="D1276">
        <v>0.887197448390401</v>
      </c>
      <c r="E1276">
        <v>0.38864259540606</v>
      </c>
      <c r="F1276">
        <v>0.214456151403362</v>
      </c>
      <c r="G1276">
        <v>0.143828899444858</v>
      </c>
      <c r="H1276">
        <v>0.111299791400017</v>
      </c>
      <c r="I1276">
        <v>0.09094662904163919</v>
      </c>
      <c r="J1276">
        <v>0.105457805584433</v>
      </c>
      <c r="K1276">
        <v>0.0788379436413478</v>
      </c>
      <c r="L1276">
        <v>1696.8254217278</v>
      </c>
      <c r="M1276">
        <v>37.1773873421319</v>
      </c>
      <c r="N1276">
        <v>45.9714919927876</v>
      </c>
      <c r="O1276">
        <v>45.509882155774</v>
      </c>
      <c r="P1276">
        <v>-0.180299199614433</v>
      </c>
      <c r="Q1276">
        <v>0.117165328838086</v>
      </c>
      <c r="R1276">
        <v>0.888912211422958</v>
      </c>
      <c r="S1276" t="s">
        <v>3469</v>
      </c>
      <c r="T1276" t="s">
        <v>4362</v>
      </c>
      <c r="U1276" t="s">
        <v>4362</v>
      </c>
      <c r="V1276" t="s">
        <v>4362</v>
      </c>
      <c r="W1276" t="s">
        <v>5634</v>
      </c>
      <c r="X1276">
        <v>9</v>
      </c>
      <c r="Y1276" t="s">
        <v>7797</v>
      </c>
      <c r="Z1276" t="s">
        <v>9964</v>
      </c>
      <c r="AA1276">
        <v>0.374693794282846</v>
      </c>
      <c r="AB1276">
        <f>HYPERLINK("Melting_Curves/meltCurve_P24555_ptrB.pdf", "Melting_Curves/meltCurve_P24555_ptrB.pdf")</f>
        <v>0</v>
      </c>
    </row>
    <row r="1277" spans="1:28">
      <c r="A1277" t="s">
        <v>1303</v>
      </c>
      <c r="B1277">
        <v>0.999739202189716</v>
      </c>
      <c r="C1277">
        <v>0.785920409973222</v>
      </c>
      <c r="D1277">
        <v>0.720841227431221</v>
      </c>
      <c r="E1277">
        <v>0.267756640040189</v>
      </c>
      <c r="F1277">
        <v>0.168437046463657</v>
      </c>
      <c r="G1277">
        <v>0.100746353124407</v>
      </c>
      <c r="H1277">
        <v>0.0949919579889025</v>
      </c>
      <c r="I1277">
        <v>0.0679370077949448</v>
      </c>
      <c r="J1277">
        <v>0.0667216588683467</v>
      </c>
      <c r="K1277">
        <v>0.0504884386140918</v>
      </c>
      <c r="L1277">
        <v>785.299766616032</v>
      </c>
      <c r="M1277">
        <v>17.7949917281884</v>
      </c>
      <c r="N1277">
        <v>44.4551783188497</v>
      </c>
      <c r="O1277">
        <v>43.5843944295981</v>
      </c>
      <c r="P1277">
        <v>-0.095855247789917</v>
      </c>
      <c r="Q1277">
        <v>0.0609543746005174</v>
      </c>
      <c r="R1277">
        <v>0.983102191657628</v>
      </c>
      <c r="S1277" t="s">
        <v>3470</v>
      </c>
      <c r="T1277" t="s">
        <v>4362</v>
      </c>
      <c r="U1277" t="s">
        <v>4362</v>
      </c>
      <c r="V1277" t="s">
        <v>4362</v>
      </c>
      <c r="W1277" t="s">
        <v>5635</v>
      </c>
      <c r="X1277">
        <v>8</v>
      </c>
      <c r="Y1277" t="s">
        <v>7798</v>
      </c>
      <c r="Z1277" t="s">
        <v>9965</v>
      </c>
      <c r="AA1277">
        <v>0.3002850396553504</v>
      </c>
      <c r="AB1277">
        <f>HYPERLINK("Melting_Curves/meltCurve_P25397_tehB.pdf", "Melting_Curves/meltCurve_P25397_tehB.pdf")</f>
        <v>0</v>
      </c>
    </row>
    <row r="1278" spans="1:28">
      <c r="A1278" t="s">
        <v>1304</v>
      </c>
      <c r="B1278">
        <v>0.999739202189716</v>
      </c>
      <c r="C1278">
        <v>1.08922984572877</v>
      </c>
      <c r="D1278">
        <v>0.977004920539581</v>
      </c>
      <c r="E1278">
        <v>0.976755495859244</v>
      </c>
      <c r="F1278">
        <v>0.796789060372243</v>
      </c>
      <c r="G1278">
        <v>0.435706801747066</v>
      </c>
      <c r="H1278">
        <v>0.171372173495478</v>
      </c>
      <c r="I1278">
        <v>0.143169609514873</v>
      </c>
      <c r="J1278">
        <v>0.124320000921011</v>
      </c>
      <c r="K1278">
        <v>0.103903258888626</v>
      </c>
      <c r="L1278">
        <v>1405.91100702045</v>
      </c>
      <c r="M1278">
        <v>26.7365851222158</v>
      </c>
      <c r="N1278">
        <v>53.0688125043523</v>
      </c>
      <c r="O1278">
        <v>52.2922746083278</v>
      </c>
      <c r="P1278">
        <v>-0.113968503360574</v>
      </c>
      <c r="Q1278">
        <v>0.108396225348581</v>
      </c>
      <c r="R1278">
        <v>0.9941253473052</v>
      </c>
      <c r="S1278" t="s">
        <v>3471</v>
      </c>
      <c r="T1278" t="s">
        <v>4362</v>
      </c>
      <c r="U1278" t="s">
        <v>4362</v>
      </c>
      <c r="V1278" t="s">
        <v>4362</v>
      </c>
      <c r="W1278" t="s">
        <v>5636</v>
      </c>
      <c r="X1278">
        <v>7</v>
      </c>
      <c r="Y1278" t="s">
        <v>7799</v>
      </c>
      <c r="Z1278" t="s">
        <v>9966</v>
      </c>
      <c r="AA1278">
        <v>0.578552252205297</v>
      </c>
      <c r="AB1278">
        <f>HYPERLINK("Melting_Curves/meltCurve_P25437_frmA.pdf", "Melting_Curves/meltCurve_P25437_frmA.pdf")</f>
        <v>0</v>
      </c>
    </row>
    <row r="1279" spans="1:28">
      <c r="A1279" t="s">
        <v>1305</v>
      </c>
      <c r="B1279">
        <v>0.999739202189716</v>
      </c>
      <c r="C1279">
        <v>1.0364407500614</v>
      </c>
      <c r="D1279">
        <v>0.475934493135057</v>
      </c>
      <c r="E1279">
        <v>0.316871296074172</v>
      </c>
      <c r="F1279">
        <v>0.184903535581556</v>
      </c>
      <c r="G1279">
        <v>0.141552519345946</v>
      </c>
      <c r="H1279">
        <v>0.110941818640099</v>
      </c>
      <c r="I1279">
        <v>0.08164649375812991</v>
      </c>
      <c r="J1279">
        <v>0.0733686355236414</v>
      </c>
      <c r="K1279">
        <v>0.0550351038215567</v>
      </c>
      <c r="L1279">
        <v>1132.11543197784</v>
      </c>
      <c r="M1279">
        <v>26.2485923766078</v>
      </c>
      <c r="N1279">
        <v>43.5487751543365</v>
      </c>
      <c r="O1279">
        <v>42.8825177136035</v>
      </c>
      <c r="P1279">
        <v>-0.13597810529895</v>
      </c>
      <c r="Q1279">
        <v>0.111416154636355</v>
      </c>
      <c r="R1279">
        <v>0.964821407568164</v>
      </c>
      <c r="S1279" t="s">
        <v>3472</v>
      </c>
      <c r="T1279" t="s">
        <v>4362</v>
      </c>
      <c r="U1279" t="s">
        <v>4362</v>
      </c>
      <c r="V1279" t="s">
        <v>4362</v>
      </c>
      <c r="W1279" t="s">
        <v>5637</v>
      </c>
      <c r="X1279">
        <v>28</v>
      </c>
      <c r="Y1279" t="s">
        <v>7800</v>
      </c>
      <c r="Z1279" t="s">
        <v>9967</v>
      </c>
      <c r="AA1279">
        <v>0.2996477450647003</v>
      </c>
      <c r="AB1279">
        <f>HYPERLINK("Melting_Curves/meltCurve_P25516_acnA.pdf", "Melting_Curves/meltCurve_P25516_acnA.pdf")</f>
        <v>0</v>
      </c>
    </row>
    <row r="1280" spans="1:28">
      <c r="A1280" t="s">
        <v>1306</v>
      </c>
      <c r="B1280">
        <v>0.999739202189716</v>
      </c>
      <c r="C1280">
        <v>0.876624988513076</v>
      </c>
      <c r="D1280">
        <v>0.708408553587795</v>
      </c>
      <c r="E1280">
        <v>0.233235119546011</v>
      </c>
      <c r="F1280">
        <v>0.153046726155557</v>
      </c>
      <c r="G1280">
        <v>0.0900418866487951</v>
      </c>
      <c r="H1280">
        <v>0.0824432111451593</v>
      </c>
      <c r="I1280">
        <v>0.0628275771691692</v>
      </c>
      <c r="J1280">
        <v>0.0543409188629097</v>
      </c>
      <c r="K1280">
        <v>0.0415183275987204</v>
      </c>
      <c r="L1280">
        <v>1020.99470367978</v>
      </c>
      <c r="M1280">
        <v>23.1374280160266</v>
      </c>
      <c r="N1280">
        <v>44.3898939058827</v>
      </c>
      <c r="O1280">
        <v>43.801758709372</v>
      </c>
      <c r="P1280">
        <v>-0.123616865516518</v>
      </c>
      <c r="Q1280">
        <v>0.0639348752722748</v>
      </c>
      <c r="R1280">
        <v>0.993699156876485</v>
      </c>
      <c r="S1280" t="s">
        <v>3473</v>
      </c>
      <c r="T1280" t="s">
        <v>4362</v>
      </c>
      <c r="U1280" t="s">
        <v>4362</v>
      </c>
      <c r="V1280" t="s">
        <v>4362</v>
      </c>
      <c r="W1280" t="s">
        <v>5638</v>
      </c>
      <c r="X1280">
        <v>10</v>
      </c>
      <c r="Y1280" t="s">
        <v>7801</v>
      </c>
      <c r="Z1280" t="s">
        <v>9968</v>
      </c>
      <c r="AA1280">
        <v>0.2954108326778014</v>
      </c>
      <c r="AB1280">
        <f>HYPERLINK("Melting_Curves/meltCurve_P25519_hflX.pdf", "Melting_Curves/meltCurve_P25519_hflX.pdf")</f>
        <v>0</v>
      </c>
    </row>
    <row r="1281" spans="1:28">
      <c r="A1281" t="s">
        <v>1307</v>
      </c>
      <c r="B1281">
        <v>0.999739202189716</v>
      </c>
      <c r="C1281">
        <v>0.578476017329698</v>
      </c>
      <c r="D1281">
        <v>0.326604761660801</v>
      </c>
      <c r="E1281">
        <v>0.24494806028317</v>
      </c>
      <c r="F1281">
        <v>0.145720782905678</v>
      </c>
      <c r="G1281">
        <v>0.0987804974490339</v>
      </c>
      <c r="H1281">
        <v>0.08547046780387881</v>
      </c>
      <c r="I1281">
        <v>0.06531414730939659</v>
      </c>
      <c r="J1281">
        <v>0.06706367074399899</v>
      </c>
      <c r="K1281">
        <v>0.0493485827505577</v>
      </c>
      <c r="L1281">
        <v>789.669312596969</v>
      </c>
      <c r="M1281">
        <v>19.3354136726948</v>
      </c>
      <c r="N1281">
        <v>41.2503859885399</v>
      </c>
      <c r="O1281">
        <v>40.4112420117119</v>
      </c>
      <c r="P1281">
        <v>-0.109167890372782</v>
      </c>
      <c r="Q1281">
        <v>0.08738525098087541</v>
      </c>
      <c r="R1281">
        <v>0.968457902905553</v>
      </c>
      <c r="S1281" t="s">
        <v>3474</v>
      </c>
      <c r="T1281" t="s">
        <v>4362</v>
      </c>
      <c r="U1281" t="s">
        <v>4362</v>
      </c>
      <c r="V1281" t="s">
        <v>4362</v>
      </c>
      <c r="W1281" t="s">
        <v>5639</v>
      </c>
      <c r="X1281">
        <v>9</v>
      </c>
      <c r="Y1281" t="s">
        <v>7802</v>
      </c>
      <c r="Z1281" t="s">
        <v>9969</v>
      </c>
      <c r="AA1281">
        <v>0.221566650568127</v>
      </c>
      <c r="AB1281">
        <f>HYPERLINK("Melting_Curves/meltCurve_P25522_mnmE.pdf", "Melting_Curves/meltCurve_P25522_mnmE.pdf")</f>
        <v>0</v>
      </c>
    </row>
    <row r="1282" spans="1:28">
      <c r="A1282" t="s">
        <v>1308</v>
      </c>
      <c r="B1282">
        <v>0.999739202189716</v>
      </c>
      <c r="C1282">
        <v>0.964000060342221</v>
      </c>
      <c r="D1282">
        <v>0.7667856962505309</v>
      </c>
      <c r="E1282">
        <v>0.827623922215507</v>
      </c>
      <c r="F1282">
        <v>0.775446859307716</v>
      </c>
      <c r="G1282">
        <v>0.643229569985051</v>
      </c>
      <c r="H1282">
        <v>0.560570980971773</v>
      </c>
      <c r="I1282">
        <v>0.47565358382164</v>
      </c>
      <c r="J1282">
        <v>0.437098377591489</v>
      </c>
      <c r="K1282">
        <v>0.449830384114385</v>
      </c>
      <c r="L1282">
        <v>326.051625765721</v>
      </c>
      <c r="M1282">
        <v>5.86395238124061</v>
      </c>
      <c r="N1282">
        <v>61.1484096238337</v>
      </c>
      <c r="O1282">
        <v>50.1622134480289</v>
      </c>
      <c r="P1282">
        <v>-0.0232793498095707</v>
      </c>
      <c r="Q1282">
        <v>0.206231916232449</v>
      </c>
      <c r="R1282">
        <v>0.947278795383688</v>
      </c>
      <c r="S1282" t="s">
        <v>3475</v>
      </c>
      <c r="T1282" t="s">
        <v>4362</v>
      </c>
      <c r="U1282" t="s">
        <v>4362</v>
      </c>
      <c r="V1282" t="s">
        <v>4362</v>
      </c>
      <c r="W1282" t="s">
        <v>5640</v>
      </c>
      <c r="X1282">
        <v>4</v>
      </c>
      <c r="Y1282" t="s">
        <v>7803</v>
      </c>
      <c r="Z1282" t="s">
        <v>9970</v>
      </c>
      <c r="AA1282">
        <v>0.6882621371401986</v>
      </c>
      <c r="AB1282">
        <f>HYPERLINK("Melting_Curves/meltCurve_P25524_codA.pdf", "Melting_Curves/meltCurve_P25524_codA.pdf")</f>
        <v>0</v>
      </c>
    </row>
    <row r="1283" spans="1:28">
      <c r="A1283" t="s">
        <v>1309</v>
      </c>
      <c r="B1283">
        <v>0.999739202189716</v>
      </c>
      <c r="C1283">
        <v>0.689655498620693</v>
      </c>
      <c r="D1283">
        <v>0.612735548156798</v>
      </c>
      <c r="E1283">
        <v>0.363927896063517</v>
      </c>
      <c r="F1283">
        <v>0.221620968296443</v>
      </c>
      <c r="G1283">
        <v>0.167753150217786</v>
      </c>
      <c r="H1283">
        <v>0.115851831819349</v>
      </c>
      <c r="I1283">
        <v>0.0914381821289245</v>
      </c>
      <c r="J1283">
        <v>0.0702531043319817</v>
      </c>
      <c r="K1283">
        <v>0.07399750030092341</v>
      </c>
      <c r="L1283">
        <v>529.367211621483</v>
      </c>
      <c r="M1283">
        <v>12.0951996564659</v>
      </c>
      <c r="N1283">
        <v>44.2540316861053</v>
      </c>
      <c r="O1283">
        <v>42.6218621130846</v>
      </c>
      <c r="P1283">
        <v>-0.06653695035838129</v>
      </c>
      <c r="Q1283">
        <v>0.0623500498033649</v>
      </c>
      <c r="R1283">
        <v>0.9808977306089181</v>
      </c>
      <c r="S1283" t="s">
        <v>3476</v>
      </c>
      <c r="T1283" t="s">
        <v>4362</v>
      </c>
      <c r="U1283" t="s">
        <v>4362</v>
      </c>
      <c r="V1283" t="s">
        <v>4362</v>
      </c>
      <c r="W1283" t="s">
        <v>5641</v>
      </c>
      <c r="X1283">
        <v>13</v>
      </c>
      <c r="Y1283" t="s">
        <v>7804</v>
      </c>
      <c r="Z1283" t="s">
        <v>9971</v>
      </c>
      <c r="AA1283">
        <v>0.3101134798084833</v>
      </c>
      <c r="AB1283">
        <f>HYPERLINK("Melting_Curves/meltCurve_P25526_gabD.pdf", "Melting_Curves/meltCurve_P25526_gabD.pdf")</f>
        <v>0</v>
      </c>
    </row>
    <row r="1284" spans="1:28">
      <c r="A1284" t="s">
        <v>1310</v>
      </c>
      <c r="B1284">
        <v>0.999739202189716</v>
      </c>
      <c r="C1284">
        <v>0.817550076679153</v>
      </c>
      <c r="D1284">
        <v>0.401384065756351</v>
      </c>
      <c r="E1284">
        <v>0.189056388180853</v>
      </c>
      <c r="F1284">
        <v>0.151400972677442</v>
      </c>
      <c r="G1284">
        <v>0.109068015830231</v>
      </c>
      <c r="H1284">
        <v>0.0819938935423475</v>
      </c>
      <c r="I1284">
        <v>0.0604487726095657</v>
      </c>
      <c r="J1284">
        <v>0.053192921934096</v>
      </c>
      <c r="K1284">
        <v>0.045556525496223</v>
      </c>
      <c r="L1284">
        <v>1006.80839239448</v>
      </c>
      <c r="M1284">
        <v>23.9133467490147</v>
      </c>
      <c r="N1284">
        <v>42.4143713343331</v>
      </c>
      <c r="O1284">
        <v>41.8112709114112</v>
      </c>
      <c r="P1284">
        <v>-0.131453833713151</v>
      </c>
      <c r="Q1284">
        <v>0.08065382770013869</v>
      </c>
      <c r="R1284">
        <v>0.992334714224096</v>
      </c>
      <c r="S1284" t="s">
        <v>3477</v>
      </c>
      <c r="T1284" t="s">
        <v>4362</v>
      </c>
      <c r="U1284" t="s">
        <v>4362</v>
      </c>
      <c r="V1284" t="s">
        <v>4362</v>
      </c>
      <c r="W1284" t="s">
        <v>5642</v>
      </c>
      <c r="X1284">
        <v>6</v>
      </c>
      <c r="Y1284" t="s">
        <v>7805</v>
      </c>
      <c r="Z1284" t="s">
        <v>9972</v>
      </c>
      <c r="AA1284">
        <v>0.2460173091782442</v>
      </c>
      <c r="AB1284">
        <f>HYPERLINK("Melting_Curves/meltCurve_P25535_ubiI.pdf", "Melting_Curves/meltCurve_P25535_ubiI.pdf")</f>
        <v>0</v>
      </c>
    </row>
    <row r="1285" spans="1:28">
      <c r="A1285" t="s">
        <v>1311</v>
      </c>
      <c r="B1285">
        <v>0.999739202189716</v>
      </c>
      <c r="C1285">
        <v>0.888549511908068</v>
      </c>
      <c r="D1285">
        <v>0.669940187353038</v>
      </c>
      <c r="E1285">
        <v>0.642253415961205</v>
      </c>
      <c r="F1285">
        <v>0.355387601832809</v>
      </c>
      <c r="G1285">
        <v>0.236039560789759</v>
      </c>
      <c r="H1285">
        <v>0.209513606831904</v>
      </c>
      <c r="I1285">
        <v>0.163482542128014</v>
      </c>
      <c r="J1285">
        <v>0.161265428328768</v>
      </c>
      <c r="K1285">
        <v>0.152681556412119</v>
      </c>
      <c r="L1285">
        <v>538.123017434755</v>
      </c>
      <c r="M1285">
        <v>11.5827228743407</v>
      </c>
      <c r="N1285">
        <v>47.5577024248529</v>
      </c>
      <c r="O1285">
        <v>45.1390170825948</v>
      </c>
      <c r="P1285">
        <v>-0.0566360231795038</v>
      </c>
      <c r="Q1285">
        <v>0.117378799381531</v>
      </c>
      <c r="R1285">
        <v>0.98038126982074</v>
      </c>
      <c r="S1285" t="s">
        <v>3478</v>
      </c>
      <c r="T1285" t="s">
        <v>4362</v>
      </c>
      <c r="U1285" t="s">
        <v>4362</v>
      </c>
      <c r="V1285" t="s">
        <v>4362</v>
      </c>
      <c r="W1285" t="s">
        <v>5643</v>
      </c>
      <c r="X1285">
        <v>3</v>
      </c>
      <c r="Y1285" t="s">
        <v>7806</v>
      </c>
      <c r="Z1285" t="s">
        <v>9973</v>
      </c>
      <c r="AA1285">
        <v>0.4272131948523832</v>
      </c>
      <c r="AB1285">
        <f>HYPERLINK("Melting_Curves/meltCurve_P25536_yhdE.pdf", "Melting_Curves/meltCurve_P25536_yhdE.pdf")</f>
        <v>0</v>
      </c>
    </row>
    <row r="1286" spans="1:28">
      <c r="A1286" t="s">
        <v>1312</v>
      </c>
      <c r="B1286">
        <v>0.999739202189716</v>
      </c>
      <c r="C1286">
        <v>0.852175440583854</v>
      </c>
      <c r="D1286">
        <v>0.990311982150006</v>
      </c>
      <c r="E1286">
        <v>0.9337494249645359</v>
      </c>
      <c r="F1286">
        <v>0.73733257491968</v>
      </c>
      <c r="G1286">
        <v>0.34456341278059</v>
      </c>
      <c r="H1286">
        <v>0.136105852764802</v>
      </c>
      <c r="I1286">
        <v>0.09965592662392481</v>
      </c>
      <c r="J1286">
        <v>0.09657972741870829</v>
      </c>
      <c r="K1286">
        <v>0.08708347004600241</v>
      </c>
      <c r="L1286">
        <v>1347.12102283262</v>
      </c>
      <c r="M1286">
        <v>25.9622546455212</v>
      </c>
      <c r="N1286">
        <v>52.2449629074524</v>
      </c>
      <c r="O1286">
        <v>51.5827650128523</v>
      </c>
      <c r="P1286">
        <v>-0.115594662939045</v>
      </c>
      <c r="Q1286">
        <v>0.0813396774166943</v>
      </c>
      <c r="R1286">
        <v>0.984959484664536</v>
      </c>
      <c r="S1286" t="s">
        <v>3479</v>
      </c>
      <c r="T1286" t="s">
        <v>4362</v>
      </c>
      <c r="U1286" t="s">
        <v>4362</v>
      </c>
      <c r="V1286" t="s">
        <v>4362</v>
      </c>
      <c r="W1286" t="s">
        <v>5644</v>
      </c>
      <c r="X1286">
        <v>8</v>
      </c>
      <c r="Y1286" t="s">
        <v>7807</v>
      </c>
      <c r="Z1286" t="s">
        <v>9974</v>
      </c>
      <c r="AA1286">
        <v>0.5448270554956774</v>
      </c>
      <c r="AB1286">
        <f>HYPERLINK("Melting_Curves/meltCurve_P25539_ribD.pdf", "Melting_Curves/meltCurve_P25539_ribD.pdf")</f>
        <v>0</v>
      </c>
    </row>
    <row r="1287" spans="1:28">
      <c r="A1287" t="s">
        <v>1313</v>
      </c>
      <c r="B1287">
        <v>0.999739202189716</v>
      </c>
      <c r="C1287">
        <v>1.08993133133307</v>
      </c>
      <c r="D1287">
        <v>0.923936792348248</v>
      </c>
      <c r="E1287">
        <v>0.540221964888068</v>
      </c>
      <c r="F1287">
        <v>0.276025757395328</v>
      </c>
      <c r="G1287">
        <v>0.157240620250067</v>
      </c>
      <c r="H1287">
        <v>0.113331862295653</v>
      </c>
      <c r="I1287">
        <v>0.07976688923468379</v>
      </c>
      <c r="J1287">
        <v>0.0595631824065438</v>
      </c>
      <c r="K1287">
        <v>0.0525395852502638</v>
      </c>
      <c r="L1287">
        <v>1073.36935867707</v>
      </c>
      <c r="M1287">
        <v>22.861964062771</v>
      </c>
      <c r="N1287">
        <v>47.3096838883762</v>
      </c>
      <c r="O1287">
        <v>46.595223027419</v>
      </c>
      <c r="P1287">
        <v>-0.112879820736637</v>
      </c>
      <c r="Q1287">
        <v>0.0797713571110535</v>
      </c>
      <c r="R1287">
        <v>0.989751369829996</v>
      </c>
      <c r="S1287" t="s">
        <v>3480</v>
      </c>
      <c r="T1287" t="s">
        <v>4362</v>
      </c>
      <c r="U1287" t="s">
        <v>4362</v>
      </c>
      <c r="V1287" t="s">
        <v>4362</v>
      </c>
      <c r="W1287" t="s">
        <v>5645</v>
      </c>
      <c r="X1287">
        <v>4</v>
      </c>
      <c r="Y1287" t="s">
        <v>7808</v>
      </c>
      <c r="Z1287" t="s">
        <v>9975</v>
      </c>
      <c r="AA1287">
        <v>0.3942212394428019</v>
      </c>
      <c r="AB1287">
        <f>HYPERLINK("Melting_Curves/meltCurve_P25552_gppA.pdf", "Melting_Curves/meltCurve_P25552_gppA.pdf")</f>
        <v>0</v>
      </c>
    </row>
    <row r="1288" spans="1:28">
      <c r="A1288" t="s">
        <v>1314</v>
      </c>
      <c r="B1288">
        <v>0.999739202189716</v>
      </c>
      <c r="C1288">
        <v>1.12797505509551</v>
      </c>
      <c r="D1288">
        <v>1.140675065107</v>
      </c>
      <c r="E1288">
        <v>1.10502363329198</v>
      </c>
      <c r="F1288">
        <v>0.970004110757641</v>
      </c>
      <c r="G1288">
        <v>1.05750646592242</v>
      </c>
      <c r="H1288">
        <v>0.584312056516802</v>
      </c>
      <c r="I1288">
        <v>0.118457973349726</v>
      </c>
      <c r="J1288">
        <v>0.0900575500235461</v>
      </c>
      <c r="K1288">
        <v>0.0692820038279441</v>
      </c>
      <c r="L1288">
        <v>5299.9404559791</v>
      </c>
      <c r="M1288">
        <v>92.158123832382</v>
      </c>
      <c r="N1288">
        <v>57.634675354297</v>
      </c>
      <c r="O1288">
        <v>57.4821346633717</v>
      </c>
      <c r="P1288">
        <v>-0.364381526915145</v>
      </c>
      <c r="Q1288">
        <v>0.09089169661311319</v>
      </c>
      <c r="R1288">
        <v>0.972985452811252</v>
      </c>
      <c r="S1288" t="s">
        <v>3481</v>
      </c>
      <c r="T1288" t="s">
        <v>4362</v>
      </c>
      <c r="U1288" t="s">
        <v>4362</v>
      </c>
      <c r="V1288" t="s">
        <v>4362</v>
      </c>
      <c r="W1288" t="s">
        <v>5646</v>
      </c>
      <c r="X1288">
        <v>24</v>
      </c>
      <c r="Y1288" t="s">
        <v>7809</v>
      </c>
      <c r="Z1288" t="s">
        <v>9976</v>
      </c>
      <c r="AA1288">
        <v>0.7130707621378853</v>
      </c>
      <c r="AB1288">
        <f>HYPERLINK("Melting_Curves/meltCurve_P25553_aldA.pdf", "Melting_Curves/meltCurve_P25553_aldA.pdf")</f>
        <v>0</v>
      </c>
    </row>
    <row r="1289" spans="1:28">
      <c r="A1289" t="s">
        <v>1315</v>
      </c>
      <c r="B1289">
        <v>0.999739202189716</v>
      </c>
      <c r="C1289">
        <v>0.96386809551734</v>
      </c>
      <c r="D1289">
        <v>0.800623028354197</v>
      </c>
      <c r="E1289">
        <v>0.7688635630005241</v>
      </c>
      <c r="F1289">
        <v>0.374730499247478</v>
      </c>
      <c r="G1289">
        <v>0.273339288950528</v>
      </c>
      <c r="H1289">
        <v>0.22017436250491</v>
      </c>
      <c r="I1289">
        <v>0.204055514035456</v>
      </c>
      <c r="J1289">
        <v>0.166948615161235</v>
      </c>
      <c r="K1289">
        <v>0.170924193984634</v>
      </c>
      <c r="L1289">
        <v>775.07923512591</v>
      </c>
      <c r="M1289">
        <v>16.1798705775534</v>
      </c>
      <c r="N1289">
        <v>49.0728353619088</v>
      </c>
      <c r="O1289">
        <v>47.1900988389566</v>
      </c>
      <c r="P1289">
        <v>-0.0720149672495046</v>
      </c>
      <c r="Q1289">
        <v>0.159909954329416</v>
      </c>
      <c r="R1289">
        <v>0.981404054980993</v>
      </c>
      <c r="S1289" t="s">
        <v>3482</v>
      </c>
      <c r="T1289" t="s">
        <v>4362</v>
      </c>
      <c r="U1289" t="s">
        <v>4362</v>
      </c>
      <c r="V1289" t="s">
        <v>4362</v>
      </c>
      <c r="W1289" t="s">
        <v>5647</v>
      </c>
      <c r="X1289">
        <v>3</v>
      </c>
      <c r="Y1289" t="s">
        <v>7810</v>
      </c>
      <c r="Z1289" t="s">
        <v>9977</v>
      </c>
      <c r="AA1289">
        <v>0.4815230134684107</v>
      </c>
      <c r="AB1289">
        <f>HYPERLINK("Melting_Curves/meltCurve_P25665_metE.pdf", "Melting_Curves/meltCurve_P25665_metE.pdf")</f>
        <v>0</v>
      </c>
    </row>
    <row r="1290" spans="1:28">
      <c r="A1290" t="s">
        <v>1316</v>
      </c>
      <c r="B1290">
        <v>0.999739202189716</v>
      </c>
      <c r="C1290">
        <v>0.975824306551317</v>
      </c>
      <c r="D1290">
        <v>1.05903006439802</v>
      </c>
      <c r="E1290">
        <v>0.607492092524184</v>
      </c>
      <c r="F1290">
        <v>0.445969603259143</v>
      </c>
      <c r="G1290">
        <v>0.382267975704085</v>
      </c>
      <c r="H1290">
        <v>0.348561885031601</v>
      </c>
      <c r="I1290">
        <v>0.313940418014855</v>
      </c>
      <c r="J1290">
        <v>0.318337647008578</v>
      </c>
      <c r="K1290">
        <v>0.185231898356071</v>
      </c>
      <c r="L1290">
        <v>1451.29699018947</v>
      </c>
      <c r="M1290">
        <v>31.1269523623402</v>
      </c>
      <c r="N1290">
        <v>48.1597109635835</v>
      </c>
      <c r="O1290">
        <v>46.4339173275969</v>
      </c>
      <c r="P1290">
        <v>-0.114872023002576</v>
      </c>
      <c r="Q1290">
        <v>0.314558291469281</v>
      </c>
      <c r="R1290">
        <v>0.959177908576507</v>
      </c>
      <c r="S1290" t="s">
        <v>3483</v>
      </c>
      <c r="T1290" t="s">
        <v>4362</v>
      </c>
      <c r="U1290" t="s">
        <v>4362</v>
      </c>
      <c r="V1290" t="s">
        <v>4362</v>
      </c>
      <c r="W1290" t="s">
        <v>5648</v>
      </c>
      <c r="X1290">
        <v>9</v>
      </c>
      <c r="Y1290" t="s">
        <v>7811</v>
      </c>
      <c r="Z1290" t="s">
        <v>9978</v>
      </c>
      <c r="AA1290">
        <v>0.5381436728655641</v>
      </c>
      <c r="AB1290">
        <f>HYPERLINK("Melting_Curves/meltCurve_P25714_yidC.pdf", "Melting_Curves/meltCurve_P25714_yidC.pdf")</f>
        <v>0</v>
      </c>
    </row>
    <row r="1291" spans="1:28">
      <c r="A1291" t="s">
        <v>1317</v>
      </c>
      <c r="B1291">
        <v>0.999739202189716</v>
      </c>
      <c r="C1291">
        <v>1.23928959481313</v>
      </c>
      <c r="D1291">
        <v>1.05711413134517</v>
      </c>
      <c r="E1291">
        <v>0.969006115902285</v>
      </c>
      <c r="F1291">
        <v>0.347355441480153</v>
      </c>
      <c r="G1291">
        <v>0.206120546004797</v>
      </c>
      <c r="H1291">
        <v>0.174509175010899</v>
      </c>
      <c r="I1291">
        <v>0.136064606722285</v>
      </c>
      <c r="J1291">
        <v>0.137914396278542</v>
      </c>
      <c r="K1291">
        <v>0.1154518205931</v>
      </c>
      <c r="L1291">
        <v>2762.88933268005</v>
      </c>
      <c r="M1291">
        <v>56.2196695544588</v>
      </c>
      <c r="N1291">
        <v>49.4635830637518</v>
      </c>
      <c r="O1291">
        <v>49.0824910065431</v>
      </c>
      <c r="P1291">
        <v>-0.242805274728183</v>
      </c>
      <c r="Q1291">
        <v>0.1520778640647</v>
      </c>
      <c r="R1291">
        <v>0.96639385470281</v>
      </c>
      <c r="S1291" t="s">
        <v>3484</v>
      </c>
      <c r="T1291" t="s">
        <v>4362</v>
      </c>
      <c r="U1291" t="s">
        <v>4362</v>
      </c>
      <c r="V1291" t="s">
        <v>4362</v>
      </c>
      <c r="W1291" t="s">
        <v>5649</v>
      </c>
      <c r="X1291">
        <v>3</v>
      </c>
      <c r="Y1291" t="s">
        <v>7812</v>
      </c>
      <c r="Z1291" t="s">
        <v>9979</v>
      </c>
      <c r="AA1291">
        <v>0.4967839541151142</v>
      </c>
      <c r="AB1291">
        <f>HYPERLINK("Melting_Curves/meltCurve_P25718_malS.pdf", "Melting_Curves/meltCurve_P25718_malS.pdf")</f>
        <v>0</v>
      </c>
    </row>
    <row r="1292" spans="1:28">
      <c r="A1292" t="s">
        <v>1318</v>
      </c>
      <c r="B1292">
        <v>0.999739202189716</v>
      </c>
      <c r="C1292">
        <v>0.848193593282262</v>
      </c>
      <c r="D1292">
        <v>0.543421916750817</v>
      </c>
      <c r="E1292">
        <v>0.348301836548564</v>
      </c>
      <c r="F1292">
        <v>0.267723414673716</v>
      </c>
      <c r="G1292">
        <v>0.183875152180464</v>
      </c>
      <c r="H1292">
        <v>0.161947577364726</v>
      </c>
      <c r="I1292">
        <v>0.129240947141033</v>
      </c>
      <c r="J1292">
        <v>0.107894041236942</v>
      </c>
      <c r="K1292">
        <v>0.116109566126007</v>
      </c>
      <c r="L1292">
        <v>695.633615850984</v>
      </c>
      <c r="M1292">
        <v>16.055327426834</v>
      </c>
      <c r="N1292">
        <v>44.172003410094</v>
      </c>
      <c r="O1292">
        <v>42.6718321430522</v>
      </c>
      <c r="P1292">
        <v>-0.08163515921290609</v>
      </c>
      <c r="Q1292">
        <v>0.132187793674935</v>
      </c>
      <c r="R1292">
        <v>0.989543288767875</v>
      </c>
      <c r="S1292" t="s">
        <v>3485</v>
      </c>
      <c r="T1292" t="s">
        <v>4362</v>
      </c>
      <c r="U1292" t="s">
        <v>4362</v>
      </c>
      <c r="V1292" t="s">
        <v>4362</v>
      </c>
      <c r="W1292" t="s">
        <v>5650</v>
      </c>
      <c r="X1292">
        <v>2</v>
      </c>
      <c r="Y1292" t="s">
        <v>7813</v>
      </c>
      <c r="Z1292" t="s">
        <v>9980</v>
      </c>
      <c r="AA1292">
        <v>0.3345930954008098</v>
      </c>
      <c r="AB1292">
        <f>HYPERLINK("Melting_Curves/meltCurve_P25740_rfaG.pdf", "Melting_Curves/meltCurve_P25740_rfaG.pdf")</f>
        <v>0</v>
      </c>
    </row>
    <row r="1293" spans="1:28">
      <c r="A1293" t="s">
        <v>1319</v>
      </c>
      <c r="B1293">
        <v>0.999739202189716</v>
      </c>
      <c r="C1293">
        <v>0.555512692231977</v>
      </c>
      <c r="D1293">
        <v>0.362684391446318</v>
      </c>
      <c r="E1293">
        <v>0.357138002649686</v>
      </c>
      <c r="F1293">
        <v>0.260060716545309</v>
      </c>
      <c r="G1293">
        <v>0.1827760154616</v>
      </c>
      <c r="H1293">
        <v>0.149688323176601</v>
      </c>
      <c r="I1293">
        <v>0.128709658467482</v>
      </c>
      <c r="J1293">
        <v>0.113223637726119</v>
      </c>
      <c r="K1293">
        <v>0.08254308729559751</v>
      </c>
      <c r="L1293">
        <v>636.71397328717</v>
      </c>
      <c r="M1293">
        <v>15.5837069275944</v>
      </c>
      <c r="N1293">
        <v>41.7736157671686</v>
      </c>
      <c r="O1293">
        <v>40.2026158588036</v>
      </c>
      <c r="P1293">
        <v>-0.08289004636491611</v>
      </c>
      <c r="Q1293">
        <v>0.144720355293512</v>
      </c>
      <c r="R1293">
        <v>0.924678823287959</v>
      </c>
      <c r="S1293" t="s">
        <v>3486</v>
      </c>
      <c r="T1293" t="s">
        <v>4362</v>
      </c>
      <c r="U1293" t="s">
        <v>4362</v>
      </c>
      <c r="V1293" t="s">
        <v>4362</v>
      </c>
      <c r="W1293" t="s">
        <v>5651</v>
      </c>
      <c r="X1293">
        <v>1</v>
      </c>
      <c r="Y1293" t="s">
        <v>7814</v>
      </c>
      <c r="Z1293" t="s">
        <v>9981</v>
      </c>
      <c r="AA1293">
        <v>0.2807979990509771</v>
      </c>
      <c r="AB1293">
        <f>HYPERLINK("Melting_Curves/meltCurve_P25741_rfaP.pdf", "Melting_Curves/meltCurve_P25741_rfaP.pdf")</f>
        <v>0</v>
      </c>
    </row>
    <row r="1294" spans="1:28">
      <c r="A1294" t="s">
        <v>1320</v>
      </c>
      <c r="B1294">
        <v>0.999739202189716</v>
      </c>
      <c r="C1294">
        <v>0.72519679641433</v>
      </c>
      <c r="D1294">
        <v>0.551664514884315</v>
      </c>
      <c r="E1294">
        <v>0.358546154482575</v>
      </c>
      <c r="F1294">
        <v>0.203179014727351</v>
      </c>
      <c r="G1294">
        <v>0.128277272520859</v>
      </c>
      <c r="H1294">
        <v>0.104112383810725</v>
      </c>
      <c r="I1294">
        <v>0.0977843735297573</v>
      </c>
      <c r="J1294">
        <v>0.101251989103437</v>
      </c>
      <c r="K1294">
        <v>0.08135759674303041</v>
      </c>
      <c r="L1294">
        <v>594.331470174452</v>
      </c>
      <c r="M1294">
        <v>13.7415850174746</v>
      </c>
      <c r="N1294">
        <v>43.8144059393336</v>
      </c>
      <c r="O1294">
        <v>42.36548667742</v>
      </c>
      <c r="P1294">
        <v>-0.07452854037400609</v>
      </c>
      <c r="Q1294">
        <v>0.0810409241663077</v>
      </c>
      <c r="R1294">
        <v>0.988360646280562</v>
      </c>
      <c r="S1294" t="s">
        <v>3487</v>
      </c>
      <c r="T1294" t="s">
        <v>4362</v>
      </c>
      <c r="U1294" t="s">
        <v>4362</v>
      </c>
      <c r="V1294" t="s">
        <v>4362</v>
      </c>
      <c r="W1294" t="s">
        <v>5652</v>
      </c>
      <c r="X1294">
        <v>3</v>
      </c>
      <c r="Y1294" t="s">
        <v>7815</v>
      </c>
      <c r="Z1294" t="s">
        <v>9982</v>
      </c>
      <c r="AA1294">
        <v>0.3011536901178645</v>
      </c>
      <c r="AB1294">
        <f>HYPERLINK("Melting_Curves/meltCurve_P25742_rfaQ.pdf", "Melting_Curves/meltCurve_P25742_rfaQ.pdf")</f>
        <v>0</v>
      </c>
    </row>
    <row r="1295" spans="1:28">
      <c r="A1295" t="s">
        <v>1321</v>
      </c>
      <c r="B1295">
        <v>0.999739202189716</v>
      </c>
      <c r="C1295">
        <v>0.908425491685534</v>
      </c>
      <c r="D1295">
        <v>1.03857275248824</v>
      </c>
      <c r="E1295">
        <v>0.942156523903972</v>
      </c>
      <c r="F1295">
        <v>0.693701726278535</v>
      </c>
      <c r="G1295">
        <v>0.378613583257082</v>
      </c>
      <c r="H1295">
        <v>0.134902845101657</v>
      </c>
      <c r="I1295">
        <v>0.08334277540207891</v>
      </c>
      <c r="J1295">
        <v>0.07043551011508831</v>
      </c>
      <c r="K1295">
        <v>0.0538781224950809</v>
      </c>
      <c r="L1295">
        <v>1161.05699145932</v>
      </c>
      <c r="M1295">
        <v>22.3052685319447</v>
      </c>
      <c r="N1295">
        <v>52.2901799536218</v>
      </c>
      <c r="O1295">
        <v>51.6400559322018</v>
      </c>
      <c r="P1295">
        <v>-0.102791970091869</v>
      </c>
      <c r="Q1295">
        <v>0.0481043918366983</v>
      </c>
      <c r="R1295">
        <v>0.9929386447801249</v>
      </c>
      <c r="S1295" t="s">
        <v>3488</v>
      </c>
      <c r="T1295" t="s">
        <v>4362</v>
      </c>
      <c r="U1295" t="s">
        <v>4362</v>
      </c>
      <c r="V1295" t="s">
        <v>4362</v>
      </c>
      <c r="W1295" t="s">
        <v>5653</v>
      </c>
      <c r="X1295">
        <v>8</v>
      </c>
      <c r="Y1295" t="s">
        <v>7816</v>
      </c>
      <c r="Z1295" t="s">
        <v>9983</v>
      </c>
      <c r="AA1295">
        <v>0.5360216816050887</v>
      </c>
      <c r="AB1295">
        <f>HYPERLINK("Melting_Curves/meltCurve_P25745_mnmA.pdf", "Melting_Curves/meltCurve_P25745_mnmA.pdf")</f>
        <v>0</v>
      </c>
    </row>
    <row r="1296" spans="1:28">
      <c r="A1296" t="s">
        <v>1322</v>
      </c>
      <c r="B1296">
        <v>0.999739202189716</v>
      </c>
      <c r="C1296">
        <v>0.5579912004545901</v>
      </c>
      <c r="D1296">
        <v>0.306391116321049</v>
      </c>
      <c r="E1296">
        <v>0.246044116975786</v>
      </c>
      <c r="F1296">
        <v>0.160433070211166</v>
      </c>
      <c r="G1296">
        <v>0.122030033956531</v>
      </c>
      <c r="H1296">
        <v>0.100046762262189</v>
      </c>
      <c r="I1296">
        <v>0.0753359257189795</v>
      </c>
      <c r="J1296">
        <v>0.0761766824642113</v>
      </c>
      <c r="K1296">
        <v>0.0727758732424048</v>
      </c>
      <c r="L1296">
        <v>887.568412135123</v>
      </c>
      <c r="M1296">
        <v>21.9349919990893</v>
      </c>
      <c r="N1296">
        <v>40.9269591069668</v>
      </c>
      <c r="O1296">
        <v>40.131778508245</v>
      </c>
      <c r="P1296">
        <v>-0.121621557484919</v>
      </c>
      <c r="Q1296">
        <v>0.109955618451014</v>
      </c>
      <c r="R1296">
        <v>0.964921222078693</v>
      </c>
      <c r="S1296" t="s">
        <v>3489</v>
      </c>
      <c r="T1296" t="s">
        <v>4362</v>
      </c>
      <c r="U1296" t="s">
        <v>4362</v>
      </c>
      <c r="V1296" t="s">
        <v>4362</v>
      </c>
      <c r="W1296" t="s">
        <v>5654</v>
      </c>
      <c r="X1296">
        <v>4</v>
      </c>
      <c r="Y1296" t="s">
        <v>7817</v>
      </c>
      <c r="Z1296" t="s">
        <v>9984</v>
      </c>
      <c r="AA1296">
        <v>0.2262462982611813</v>
      </c>
      <c r="AB1296">
        <f>HYPERLINK("Melting_Curves/meltCurve_P25746_hflD.pdf", "Melting_Curves/meltCurve_P25746_hflD.pdf")</f>
        <v>0</v>
      </c>
    </row>
    <row r="1297" spans="1:28">
      <c r="A1297" t="s">
        <v>1323</v>
      </c>
      <c r="B1297">
        <v>0.999739202189716</v>
      </c>
      <c r="C1297">
        <v>0.978251286926889</v>
      </c>
      <c r="D1297">
        <v>0.869444342055757</v>
      </c>
      <c r="E1297">
        <v>0.836946032791018</v>
      </c>
      <c r="F1297">
        <v>0.670751696331816</v>
      </c>
      <c r="G1297">
        <v>0.487566016441308</v>
      </c>
      <c r="H1297">
        <v>0.304488923295503</v>
      </c>
      <c r="I1297">
        <v>0.241675172480382</v>
      </c>
      <c r="J1297">
        <v>0.211960921909606</v>
      </c>
      <c r="K1297">
        <v>0.193770942685643</v>
      </c>
      <c r="L1297">
        <v>606.086272318012</v>
      </c>
      <c r="M1297">
        <v>11.647395260496</v>
      </c>
      <c r="N1297">
        <v>53.2529193579438</v>
      </c>
      <c r="O1297">
        <v>50.5732880513371</v>
      </c>
      <c r="P1297">
        <v>-0.0508641236941351</v>
      </c>
      <c r="Q1297">
        <v>0.11682565868839</v>
      </c>
      <c r="R1297">
        <v>0.993694654567866</v>
      </c>
      <c r="S1297" t="s">
        <v>3490</v>
      </c>
      <c r="T1297" t="s">
        <v>4362</v>
      </c>
      <c r="U1297" t="s">
        <v>4362</v>
      </c>
      <c r="V1297" t="s">
        <v>4362</v>
      </c>
      <c r="W1297" t="s">
        <v>5655</v>
      </c>
      <c r="X1297">
        <v>2</v>
      </c>
      <c r="Y1297" t="s">
        <v>7818</v>
      </c>
      <c r="Z1297" t="s">
        <v>9985</v>
      </c>
      <c r="AA1297">
        <v>0.5808537714408405</v>
      </c>
      <c r="AB1297">
        <f>HYPERLINK("Melting_Curves/meltCurve_P25748_galS.pdf", "Melting_Curves/meltCurve_P25748_galS.pdf")</f>
        <v>0</v>
      </c>
    </row>
    <row r="1298" spans="1:28">
      <c r="A1298" t="s">
        <v>1324</v>
      </c>
      <c r="B1298">
        <v>0.999739202189716</v>
      </c>
      <c r="C1298">
        <v>1.06306736182078</v>
      </c>
      <c r="D1298">
        <v>1.03670494320426</v>
      </c>
      <c r="E1298">
        <v>1.05864147179882</v>
      </c>
      <c r="F1298">
        <v>0.85148260527856</v>
      </c>
      <c r="G1298">
        <v>0.5748965217384709</v>
      </c>
      <c r="H1298">
        <v>0.411212892481837</v>
      </c>
      <c r="I1298">
        <v>0.309436258247677</v>
      </c>
      <c r="J1298">
        <v>0.280150459237514</v>
      </c>
      <c r="K1298">
        <v>0.307731158266808</v>
      </c>
      <c r="L1298">
        <v>1381.28194506395</v>
      </c>
      <c r="M1298">
        <v>26.0368333617689</v>
      </c>
      <c r="N1298">
        <v>54.9287599745895</v>
      </c>
      <c r="O1298">
        <v>52.7410873194184</v>
      </c>
      <c r="P1298">
        <v>-0.0870501458092301</v>
      </c>
      <c r="Q1298">
        <v>0.294681161430014</v>
      </c>
      <c r="R1298">
        <v>0.9874193454104629</v>
      </c>
      <c r="S1298" t="s">
        <v>3491</v>
      </c>
      <c r="T1298" t="s">
        <v>4362</v>
      </c>
      <c r="U1298" t="s">
        <v>4362</v>
      </c>
      <c r="V1298" t="s">
        <v>4362</v>
      </c>
      <c r="W1298" t="s">
        <v>5656</v>
      </c>
      <c r="X1298">
        <v>2</v>
      </c>
      <c r="Y1298" t="s">
        <v>7819</v>
      </c>
      <c r="Z1298" t="s">
        <v>9986</v>
      </c>
      <c r="AA1298">
        <v>0.6778586399623178</v>
      </c>
      <c r="AB1298">
        <f>HYPERLINK("Melting_Curves/meltCurve_P25798_fliF.pdf", "Melting_Curves/meltCurve_P25798_fliF.pdf")</f>
        <v>0</v>
      </c>
    </row>
    <row r="1299" spans="1:28">
      <c r="A1299" t="s">
        <v>1325</v>
      </c>
      <c r="B1299">
        <v>0.999739202189716</v>
      </c>
      <c r="C1299">
        <v>0.876698727295307</v>
      </c>
      <c r="D1299">
        <v>0.604712115530786</v>
      </c>
      <c r="E1299">
        <v>0.763960768294488</v>
      </c>
      <c r="F1299">
        <v>0.430340132103134</v>
      </c>
      <c r="G1299">
        <v>0.383784786550814</v>
      </c>
      <c r="H1299">
        <v>0.201027982019064</v>
      </c>
      <c r="I1299">
        <v>0.191825363719788</v>
      </c>
      <c r="J1299">
        <v>0.118289099497666</v>
      </c>
      <c r="K1299">
        <v>0.211126494597661</v>
      </c>
      <c r="L1299">
        <v>407.017492386226</v>
      </c>
      <c r="M1299">
        <v>8.36610072171433</v>
      </c>
      <c r="N1299">
        <v>49.3259677994304</v>
      </c>
      <c r="O1299">
        <v>46.1092358246212</v>
      </c>
      <c r="P1299">
        <v>-0.0429473191670277</v>
      </c>
      <c r="Q1299">
        <v>0.0540990548950017</v>
      </c>
      <c r="R1299">
        <v>0.927242923829803</v>
      </c>
      <c r="S1299" t="s">
        <v>3492</v>
      </c>
      <c r="T1299" t="s">
        <v>4362</v>
      </c>
      <c r="U1299" t="s">
        <v>4362</v>
      </c>
      <c r="V1299" t="s">
        <v>4362</v>
      </c>
      <c r="W1299" t="s">
        <v>5657</v>
      </c>
      <c r="X1299">
        <v>1</v>
      </c>
      <c r="Y1299" t="s">
        <v>7820</v>
      </c>
      <c r="Z1299" t="s">
        <v>9987</v>
      </c>
      <c r="AA1299">
        <v>0.4652430449000237</v>
      </c>
      <c r="AB1299">
        <f>HYPERLINK("Melting_Curves/meltCurve_P25889_preA.pdf", "Melting_Curves/meltCurve_P25889_preA.pdf")</f>
        <v>0</v>
      </c>
    </row>
    <row r="1300" spans="1:28">
      <c r="A1300" t="s">
        <v>1326</v>
      </c>
      <c r="B1300">
        <v>0.999739202189716</v>
      </c>
      <c r="C1300">
        <v>0.957459531430627</v>
      </c>
      <c r="D1300">
        <v>0.911062865660254</v>
      </c>
      <c r="E1300">
        <v>0.982826410390001</v>
      </c>
      <c r="F1300">
        <v>0.863750504578344</v>
      </c>
      <c r="G1300">
        <v>0.727905429706892</v>
      </c>
      <c r="H1300">
        <v>0.580290086026115</v>
      </c>
      <c r="I1300">
        <v>0.47704030076931</v>
      </c>
      <c r="J1300">
        <v>0.403356193120854</v>
      </c>
      <c r="K1300">
        <v>0.339567688055421</v>
      </c>
      <c r="L1300">
        <v>633.705480747155</v>
      </c>
      <c r="M1300">
        <v>11.1368846546108</v>
      </c>
      <c r="N1300">
        <v>60.0759103713251</v>
      </c>
      <c r="O1300">
        <v>55.1593443964986</v>
      </c>
      <c r="P1300">
        <v>-0.0392621149013654</v>
      </c>
      <c r="Q1300">
        <v>0.222412587818677</v>
      </c>
      <c r="R1300">
        <v>0.985961651426585</v>
      </c>
      <c r="S1300" t="s">
        <v>3493</v>
      </c>
      <c r="T1300" t="s">
        <v>4362</v>
      </c>
      <c r="U1300" t="s">
        <v>4362</v>
      </c>
      <c r="V1300" t="s">
        <v>4362</v>
      </c>
      <c r="W1300" t="s">
        <v>5658</v>
      </c>
      <c r="X1300">
        <v>8</v>
      </c>
      <c r="Y1300" t="s">
        <v>7821</v>
      </c>
      <c r="Z1300" t="s">
        <v>9988</v>
      </c>
      <c r="AA1300">
        <v>0.7408277493211657</v>
      </c>
      <c r="AB1300">
        <f>HYPERLINK("Melting_Curves/meltCurve_P25894_loiP.pdf", "Melting_Curves/meltCurve_P25894_loiP.pdf")</f>
        <v>0</v>
      </c>
    </row>
    <row r="1301" spans="1:28">
      <c r="A1301" t="s">
        <v>1327</v>
      </c>
      <c r="B1301">
        <v>0.999739202189716</v>
      </c>
      <c r="C1301">
        <v>0.913075341898429</v>
      </c>
      <c r="D1301">
        <v>0.688871629805675</v>
      </c>
      <c r="E1301">
        <v>0.451092714778333</v>
      </c>
      <c r="F1301">
        <v>0.214202631596407</v>
      </c>
      <c r="G1301">
        <v>0.131854449556028</v>
      </c>
      <c r="H1301">
        <v>0.0991102423857879</v>
      </c>
      <c r="I1301">
        <v>0.0862190625450648</v>
      </c>
      <c r="J1301">
        <v>0.0817846839621944</v>
      </c>
      <c r="K1301">
        <v>0.0575656520872643</v>
      </c>
      <c r="L1301">
        <v>719.023858593891</v>
      </c>
      <c r="M1301">
        <v>15.8889984256954</v>
      </c>
      <c r="N1301">
        <v>45.6528388033705</v>
      </c>
      <c r="O1301">
        <v>44.5543224452604</v>
      </c>
      <c r="P1301">
        <v>-0.08337008082704341</v>
      </c>
      <c r="Q1301">
        <v>0.0649635744753092</v>
      </c>
      <c r="R1301">
        <v>0.997854457140063</v>
      </c>
      <c r="S1301" t="s">
        <v>3494</v>
      </c>
      <c r="T1301" t="s">
        <v>4362</v>
      </c>
      <c r="U1301" t="s">
        <v>4362</v>
      </c>
      <c r="V1301" t="s">
        <v>4362</v>
      </c>
      <c r="W1301" t="s">
        <v>5659</v>
      </c>
      <c r="X1301">
        <v>5</v>
      </c>
      <c r="Y1301" t="s">
        <v>7822</v>
      </c>
      <c r="Z1301" t="s">
        <v>9989</v>
      </c>
      <c r="AA1301">
        <v>0.3418540040790567</v>
      </c>
      <c r="AB1301">
        <f>HYPERLINK("Melting_Curves/meltCurve_P25906_ydbC.pdf", "Melting_Curves/meltCurve_P25906_ydbC.pdf")</f>
        <v>0</v>
      </c>
    </row>
    <row r="1302" spans="1:28">
      <c r="A1302" t="s">
        <v>1328</v>
      </c>
      <c r="B1302">
        <v>0.999739202189716</v>
      </c>
      <c r="C1302">
        <v>0.761023233978357</v>
      </c>
      <c r="D1302">
        <v>0.490661303604853</v>
      </c>
      <c r="E1302">
        <v>0.320201560833953</v>
      </c>
      <c r="F1302">
        <v>0.21576591369101</v>
      </c>
      <c r="G1302">
        <v>0.175262060906962</v>
      </c>
      <c r="H1302">
        <v>0.171725248348977</v>
      </c>
      <c r="I1302">
        <v>0.136129759423137</v>
      </c>
      <c r="J1302">
        <v>0.138596771218435</v>
      </c>
      <c r="K1302">
        <v>0.122896840968257</v>
      </c>
      <c r="L1302">
        <v>730.1175555162999</v>
      </c>
      <c r="M1302">
        <v>17.2459289780838</v>
      </c>
      <c r="N1302">
        <v>43.2006075106834</v>
      </c>
      <c r="O1302">
        <v>41.7787203313317</v>
      </c>
      <c r="P1302">
        <v>-0.0881367867903005</v>
      </c>
      <c r="Q1302">
        <v>0.145995062361216</v>
      </c>
      <c r="R1302">
        <v>0.990947621811362</v>
      </c>
      <c r="S1302" t="s">
        <v>3495</v>
      </c>
      <c r="T1302" t="s">
        <v>4362</v>
      </c>
      <c r="U1302" t="s">
        <v>4362</v>
      </c>
      <c r="V1302" t="s">
        <v>4362</v>
      </c>
      <c r="W1302" t="s">
        <v>5660</v>
      </c>
      <c r="X1302">
        <v>1</v>
      </c>
      <c r="Y1302" t="s">
        <v>7823</v>
      </c>
      <c r="Z1302" t="s">
        <v>9990</v>
      </c>
      <c r="AA1302">
        <v>0.3154083552627543</v>
      </c>
      <c r="AB1302">
        <f>HYPERLINK("Melting_Curves/meltCurve_P26281_folK.pdf", "Melting_Curves/meltCurve_P26281_folK.pdf")</f>
        <v>0</v>
      </c>
    </row>
    <row r="1303" spans="1:28">
      <c r="A1303" t="s">
        <v>1329</v>
      </c>
      <c r="B1303">
        <v>0.999739202189716</v>
      </c>
      <c r="C1303">
        <v>1.07530102048099</v>
      </c>
      <c r="D1303">
        <v>0.955132955262577</v>
      </c>
      <c r="E1303">
        <v>0.911082939420495</v>
      </c>
      <c r="F1303">
        <v>0.948691013795274</v>
      </c>
      <c r="G1303">
        <v>0.673393269416852</v>
      </c>
      <c r="H1303">
        <v>0.330795786210375</v>
      </c>
      <c r="I1303">
        <v>0.0980188960661643</v>
      </c>
      <c r="J1303">
        <v>0.08813475523458721</v>
      </c>
      <c r="K1303">
        <v>0.0748578082112578</v>
      </c>
      <c r="L1303">
        <v>1400.01038568771</v>
      </c>
      <c r="M1303">
        <v>25.3472671996575</v>
      </c>
      <c r="N1303">
        <v>55.4725554758958</v>
      </c>
      <c r="O1303">
        <v>54.8928417827687</v>
      </c>
      <c r="P1303">
        <v>-0.109461057556767</v>
      </c>
      <c r="Q1303">
        <v>0.0518027892126673</v>
      </c>
      <c r="R1303">
        <v>0.989966247612457</v>
      </c>
      <c r="S1303" t="s">
        <v>3496</v>
      </c>
      <c r="T1303" t="s">
        <v>4362</v>
      </c>
      <c r="U1303" t="s">
        <v>4362</v>
      </c>
      <c r="V1303" t="s">
        <v>4362</v>
      </c>
      <c r="W1303" t="s">
        <v>5661</v>
      </c>
      <c r="X1303">
        <v>9</v>
      </c>
      <c r="Y1303" t="s">
        <v>7824</v>
      </c>
      <c r="Z1303" t="s">
        <v>9991</v>
      </c>
      <c r="AA1303">
        <v>0.6359251696103565</v>
      </c>
      <c r="AB1303">
        <f>HYPERLINK("Melting_Curves/meltCurve_P26612_amyA.pdf", "Melting_Curves/meltCurve_P26612_amyA.pdf")</f>
        <v>0</v>
      </c>
    </row>
    <row r="1304" spans="1:28">
      <c r="A1304" t="s">
        <v>1330</v>
      </c>
      <c r="B1304">
        <v>0.999739202189716</v>
      </c>
      <c r="C1304">
        <v>0.578143068511784</v>
      </c>
      <c r="D1304">
        <v>0.189501058935673</v>
      </c>
      <c r="E1304">
        <v>0.111307469630103</v>
      </c>
      <c r="F1304">
        <v>0.0784851850893739</v>
      </c>
      <c r="G1304">
        <v>0.0558788314611616</v>
      </c>
      <c r="H1304">
        <v>0.0442408962592919</v>
      </c>
      <c r="I1304">
        <v>0.0328817565662348</v>
      </c>
      <c r="J1304">
        <v>0.0291545379876488</v>
      </c>
      <c r="K1304">
        <v>0.022174464059602</v>
      </c>
      <c r="L1304">
        <v>1244.29845068865</v>
      </c>
      <c r="M1304">
        <v>30.8636957673941</v>
      </c>
      <c r="N1304">
        <v>40.4600265006872</v>
      </c>
      <c r="O1304">
        <v>40.1478225666095</v>
      </c>
      <c r="P1304">
        <v>-0.182185886108062</v>
      </c>
      <c r="Q1304">
        <v>0.0520485600099016</v>
      </c>
      <c r="R1304">
        <v>0.991030183615962</v>
      </c>
      <c r="S1304" t="s">
        <v>3497</v>
      </c>
      <c r="T1304" t="s">
        <v>4362</v>
      </c>
      <c r="U1304" t="s">
        <v>4362</v>
      </c>
      <c r="V1304" t="s">
        <v>4362</v>
      </c>
      <c r="W1304" t="s">
        <v>5662</v>
      </c>
      <c r="X1304">
        <v>11</v>
      </c>
      <c r="Y1304" t="s">
        <v>7825</v>
      </c>
      <c r="Z1304" t="s">
        <v>9992</v>
      </c>
      <c r="AA1304">
        <v>0.1632949816954201</v>
      </c>
      <c r="AB1304">
        <f>HYPERLINK("Melting_Curves/meltCurve_P26616_maeA.pdf", "Melting_Curves/meltCurve_P26616_maeA.pdf")</f>
        <v>0</v>
      </c>
    </row>
    <row r="1305" spans="1:28">
      <c r="A1305" t="s">
        <v>1331</v>
      </c>
      <c r="B1305">
        <v>0.999739202189716</v>
      </c>
      <c r="C1305">
        <v>0.961167113683249</v>
      </c>
      <c r="D1305">
        <v>0.645267070624971</v>
      </c>
      <c r="E1305">
        <v>0.231859804385783</v>
      </c>
      <c r="F1305">
        <v>0.124555992397884</v>
      </c>
      <c r="G1305">
        <v>0.07131307218164459</v>
      </c>
      <c r="H1305">
        <v>0.0511395428803815</v>
      </c>
      <c r="I1305">
        <v>0.0399794774028514</v>
      </c>
      <c r="J1305">
        <v>0.0384503166432771</v>
      </c>
      <c r="K1305">
        <v>0.0401211091573912</v>
      </c>
      <c r="L1305">
        <v>1105.81983628945</v>
      </c>
      <c r="M1305">
        <v>25.146379409374</v>
      </c>
      <c r="N1305">
        <v>44.163408430773</v>
      </c>
      <c r="O1305">
        <v>43.7000329002221</v>
      </c>
      <c r="P1305">
        <v>-0.136554168583781</v>
      </c>
      <c r="Q1305">
        <v>0.0507829117561961</v>
      </c>
      <c r="R1305">
        <v>0.998052691796392</v>
      </c>
      <c r="S1305" t="s">
        <v>3498</v>
      </c>
      <c r="T1305" t="s">
        <v>4362</v>
      </c>
      <c r="U1305" t="s">
        <v>4362</v>
      </c>
      <c r="V1305" t="s">
        <v>4362</v>
      </c>
      <c r="W1305" t="s">
        <v>5663</v>
      </c>
      <c r="X1305">
        <v>14</v>
      </c>
      <c r="Y1305" t="s">
        <v>7826</v>
      </c>
      <c r="Z1305" t="s">
        <v>9993</v>
      </c>
      <c r="AA1305">
        <v>0.2791852315891936</v>
      </c>
      <c r="AB1305">
        <f>HYPERLINK("Melting_Curves/meltCurve_P26646_acuI.pdf", "Melting_Curves/meltCurve_P26646_acuI.pdf")</f>
        <v>0</v>
      </c>
    </row>
    <row r="1306" spans="1:28">
      <c r="A1306" t="s">
        <v>1332</v>
      </c>
      <c r="B1306">
        <v>0.999739202189716</v>
      </c>
      <c r="C1306">
        <v>1.03229422906555</v>
      </c>
      <c r="D1306">
        <v>0.883991122044205</v>
      </c>
      <c r="E1306">
        <v>0.86826413730082</v>
      </c>
      <c r="F1306">
        <v>0.5336538812714831</v>
      </c>
      <c r="G1306">
        <v>0.165668842918868</v>
      </c>
      <c r="H1306">
        <v>0.109725888204925</v>
      </c>
      <c r="I1306">
        <v>0.07904169345978269</v>
      </c>
      <c r="J1306">
        <v>0.06527749562710659</v>
      </c>
      <c r="K1306">
        <v>0.0506767171997064</v>
      </c>
      <c r="L1306">
        <v>1204.757474766</v>
      </c>
      <c r="M1306">
        <v>24.0695322371059</v>
      </c>
      <c r="N1306">
        <v>50.2981838007069</v>
      </c>
      <c r="O1306">
        <v>49.7115534564455</v>
      </c>
      <c r="P1306">
        <v>-0.114352924550767</v>
      </c>
      <c r="Q1306">
        <v>0.0553081608289135</v>
      </c>
      <c r="R1306">
        <v>0.991981716107499</v>
      </c>
      <c r="S1306" t="s">
        <v>3499</v>
      </c>
      <c r="T1306" t="s">
        <v>4362</v>
      </c>
      <c r="U1306" t="s">
        <v>4362</v>
      </c>
      <c r="V1306" t="s">
        <v>4362</v>
      </c>
      <c r="W1306" t="s">
        <v>5664</v>
      </c>
      <c r="X1306">
        <v>8</v>
      </c>
      <c r="Y1306" t="s">
        <v>7827</v>
      </c>
      <c r="Z1306" t="s">
        <v>9994</v>
      </c>
      <c r="AA1306">
        <v>0.475231903075011</v>
      </c>
      <c r="AB1306">
        <f>HYPERLINK("Melting_Curves/meltCurve_P26648_ftsP.pdf", "Melting_Curves/meltCurve_P26648_ftsP.pdf")</f>
        <v>0</v>
      </c>
    </row>
    <row r="1307" spans="1:28">
      <c r="A1307" t="s">
        <v>1333</v>
      </c>
      <c r="B1307">
        <v>0.999739202189716</v>
      </c>
      <c r="C1307">
        <v>1.47597653509083</v>
      </c>
      <c r="D1307">
        <v>1.15091155990216</v>
      </c>
      <c r="E1307">
        <v>1.54381507806691</v>
      </c>
      <c r="F1307">
        <v>0.80608968849049</v>
      </c>
      <c r="G1307">
        <v>0.522099271682389</v>
      </c>
      <c r="H1307">
        <v>0.460414831754133</v>
      </c>
      <c r="I1307">
        <v>0.369353489849514</v>
      </c>
      <c r="J1307">
        <v>0.362681482880905</v>
      </c>
      <c r="K1307">
        <v>0.350689771639427</v>
      </c>
      <c r="L1307">
        <v>2166.89970036303</v>
      </c>
      <c r="M1307">
        <v>41.8631640661942</v>
      </c>
      <c r="N1307">
        <v>53.6693901263224</v>
      </c>
      <c r="O1307">
        <v>51.6438022034366</v>
      </c>
      <c r="P1307">
        <v>-0.124204331654404</v>
      </c>
      <c r="Q1307">
        <v>0.387110642173286</v>
      </c>
      <c r="R1307">
        <v>0.710553226256467</v>
      </c>
      <c r="S1307" t="s">
        <v>3500</v>
      </c>
      <c r="T1307" t="s">
        <v>4362</v>
      </c>
      <c r="U1307" t="s">
        <v>4362</v>
      </c>
      <c r="V1307" t="s">
        <v>4362</v>
      </c>
      <c r="W1307" t="s">
        <v>5665</v>
      </c>
      <c r="X1307">
        <v>1</v>
      </c>
      <c r="Y1307" t="s">
        <v>7828</v>
      </c>
      <c r="Z1307" t="s">
        <v>9995</v>
      </c>
      <c r="AA1307">
        <v>0.6906803483569453</v>
      </c>
      <c r="AB1307">
        <f>HYPERLINK("Melting_Curves/meltCurve_P26649_glgS.pdf", "Melting_Curves/meltCurve_P26649_glgS.pdf")</f>
        <v>0</v>
      </c>
    </row>
    <row r="1308" spans="1:28">
      <c r="A1308" t="s">
        <v>1334</v>
      </c>
      <c r="B1308">
        <v>0.999739202189716</v>
      </c>
      <c r="C1308">
        <v>0.848683331262707</v>
      </c>
      <c r="D1308">
        <v>0.852996035629728</v>
      </c>
      <c r="E1308">
        <v>0.689252805143111</v>
      </c>
      <c r="F1308">
        <v>0.638100072034182</v>
      </c>
      <c r="G1308">
        <v>0.376011374320248</v>
      </c>
      <c r="H1308">
        <v>0.343881733123762</v>
      </c>
      <c r="I1308">
        <v>0.251435744606019</v>
      </c>
      <c r="J1308">
        <v>0.225718032025293</v>
      </c>
      <c r="K1308">
        <v>0.136840655060935</v>
      </c>
      <c r="L1308">
        <v>392.745072519016</v>
      </c>
      <c r="M1308">
        <v>7.53488416338722</v>
      </c>
      <c r="N1308">
        <v>52.1235713450045</v>
      </c>
      <c r="O1308">
        <v>48.8314666856911</v>
      </c>
      <c r="P1308">
        <v>-0.0386304834449916</v>
      </c>
      <c r="Q1308">
        <v>0</v>
      </c>
      <c r="R1308">
        <v>0.980396057243285</v>
      </c>
      <c r="S1308" t="s">
        <v>3501</v>
      </c>
      <c r="T1308" t="s">
        <v>4362</v>
      </c>
      <c r="U1308" t="s">
        <v>4362</v>
      </c>
      <c r="V1308" t="s">
        <v>4362</v>
      </c>
      <c r="W1308" t="s">
        <v>5666</v>
      </c>
      <c r="X1308">
        <v>1</v>
      </c>
      <c r="Y1308" t="s">
        <v>7829</v>
      </c>
      <c r="Z1308" t="s">
        <v>9996</v>
      </c>
      <c r="AA1308">
        <v>0.5319408333024305</v>
      </c>
      <c r="AB1308">
        <f>HYPERLINK("Melting_Curves/meltCurve_P27111_cynR.pdf", "Melting_Curves/meltCurve_P27111_cynR.pdf")</f>
        <v>0</v>
      </c>
    </row>
    <row r="1309" spans="1:28">
      <c r="A1309" t="s">
        <v>1335</v>
      </c>
      <c r="B1309">
        <v>0.999739202189716</v>
      </c>
      <c r="C1309">
        <v>1.18446541410742</v>
      </c>
      <c r="D1309">
        <v>0.572352150641991</v>
      </c>
      <c r="E1309">
        <v>0.772096969611197</v>
      </c>
      <c r="F1309">
        <v>0.56365514258935</v>
      </c>
      <c r="G1309">
        <v>0.43604945173616</v>
      </c>
      <c r="H1309">
        <v>0.379261619262975</v>
      </c>
      <c r="I1309">
        <v>0.225471333235424</v>
      </c>
      <c r="J1309">
        <v>0.186568701476256</v>
      </c>
      <c r="K1309">
        <v>0.171777469528916</v>
      </c>
      <c r="L1309">
        <v>435.02330543389</v>
      </c>
      <c r="M1309">
        <v>8.502626932828759</v>
      </c>
      <c r="N1309">
        <v>51.9390647625726</v>
      </c>
      <c r="O1309">
        <v>48.5687054421001</v>
      </c>
      <c r="P1309">
        <v>-0.0411935077034141</v>
      </c>
      <c r="Q1309">
        <v>0.0596241190779238</v>
      </c>
      <c r="R1309">
        <v>0.8600030275195329</v>
      </c>
      <c r="S1309" t="s">
        <v>3502</v>
      </c>
      <c r="T1309" t="s">
        <v>4362</v>
      </c>
      <c r="U1309" t="s">
        <v>4362</v>
      </c>
      <c r="V1309" t="s">
        <v>4362</v>
      </c>
      <c r="W1309" t="s">
        <v>5667</v>
      </c>
      <c r="X1309">
        <v>3</v>
      </c>
      <c r="Y1309" t="s">
        <v>7830</v>
      </c>
      <c r="Z1309" t="s">
        <v>9997</v>
      </c>
      <c r="AA1309">
        <v>0.5345318440624752</v>
      </c>
      <c r="AB1309">
        <f>HYPERLINK("Melting_Curves/meltCurve_P27128_rfaI.pdf", "Melting_Curves/meltCurve_P27128_rfaI.pdf")</f>
        <v>0</v>
      </c>
    </row>
    <row r="1310" spans="1:28">
      <c r="A1310" t="s">
        <v>1336</v>
      </c>
      <c r="B1310">
        <v>0.999739202189716</v>
      </c>
      <c r="C1310">
        <v>1.11984736529894</v>
      </c>
      <c r="D1310">
        <v>1.0042594658016</v>
      </c>
      <c r="E1310">
        <v>0.7291246175349479</v>
      </c>
      <c r="F1310">
        <v>0.386772501925017</v>
      </c>
      <c r="G1310">
        <v>0.217432024245616</v>
      </c>
      <c r="H1310">
        <v>0.152896806702369</v>
      </c>
      <c r="I1310">
        <v>0.0923141879767289</v>
      </c>
      <c r="J1310">
        <v>0.0688154496937799</v>
      </c>
      <c r="K1310">
        <v>0.08342562597388239</v>
      </c>
      <c r="L1310">
        <v>1089.56327341641</v>
      </c>
      <c r="M1310">
        <v>22.3943004096874</v>
      </c>
      <c r="N1310">
        <v>49.1014564276667</v>
      </c>
      <c r="O1310">
        <v>48.2706250007482</v>
      </c>
      <c r="P1310">
        <v>-0.105271331995651</v>
      </c>
      <c r="Q1310">
        <v>0.09237505079950389</v>
      </c>
      <c r="R1310">
        <v>0.986890520720708</v>
      </c>
      <c r="S1310" t="s">
        <v>3503</v>
      </c>
      <c r="T1310" t="s">
        <v>4362</v>
      </c>
      <c r="U1310" t="s">
        <v>4362</v>
      </c>
      <c r="V1310" t="s">
        <v>4362</v>
      </c>
      <c r="W1310" t="s">
        <v>5668</v>
      </c>
      <c r="X1310">
        <v>2</v>
      </c>
      <c r="Y1310" t="s">
        <v>7831</v>
      </c>
      <c r="Z1310" t="s">
        <v>9998</v>
      </c>
      <c r="AA1310">
        <v>0.4546046749340743</v>
      </c>
      <c r="AB1310">
        <f>HYPERLINK("Melting_Curves/meltCurve_P27238_yfeD.pdf", "Melting_Curves/meltCurve_P27238_yfeD.pdf")</f>
        <v>0</v>
      </c>
    </row>
    <row r="1311" spans="1:28">
      <c r="A1311" t="s">
        <v>1337</v>
      </c>
      <c r="B1311">
        <v>0.999739202189716</v>
      </c>
      <c r="C1311">
        <v>0.695605983694063</v>
      </c>
      <c r="D1311">
        <v>0.447467463285729</v>
      </c>
      <c r="E1311">
        <v>0.36036869646329</v>
      </c>
      <c r="F1311">
        <v>0.247658666926661</v>
      </c>
      <c r="G1311">
        <v>0.180808363293094</v>
      </c>
      <c r="H1311">
        <v>0.162419350166783</v>
      </c>
      <c r="I1311">
        <v>0.148452601966516</v>
      </c>
      <c r="J1311">
        <v>0.104232223666087</v>
      </c>
      <c r="K1311">
        <v>0.09466706091622661</v>
      </c>
      <c r="L1311">
        <v>601.5203011332489</v>
      </c>
      <c r="M1311">
        <v>14.2575867810911</v>
      </c>
      <c r="N1311">
        <v>43.1015893184679</v>
      </c>
      <c r="O1311">
        <v>41.3855467251818</v>
      </c>
      <c r="P1311">
        <v>-0.07491992846170679</v>
      </c>
      <c r="Q1311">
        <v>0.130225836408144</v>
      </c>
      <c r="R1311">
        <v>0.971374010098999</v>
      </c>
      <c r="S1311" t="s">
        <v>3504</v>
      </c>
      <c r="T1311" t="s">
        <v>4362</v>
      </c>
      <c r="U1311" t="s">
        <v>4362</v>
      </c>
      <c r="V1311" t="s">
        <v>4362</v>
      </c>
      <c r="W1311" t="s">
        <v>5669</v>
      </c>
      <c r="X1311">
        <v>2</v>
      </c>
      <c r="Y1311" t="s">
        <v>7832</v>
      </c>
      <c r="Z1311" t="s">
        <v>9999</v>
      </c>
      <c r="AA1311">
        <v>0.3080940487620199</v>
      </c>
      <c r="AB1311">
        <f>HYPERLINK("Melting_Curves/meltCurve_P27240_rfaY.pdf", "Melting_Curves/meltCurve_P27240_rfaY.pdf")</f>
        <v>0</v>
      </c>
    </row>
    <row r="1312" spans="1:28">
      <c r="A1312" t="s">
        <v>1338</v>
      </c>
      <c r="B1312">
        <v>0.999739202189716</v>
      </c>
      <c r="C1312">
        <v>0.947596266677132</v>
      </c>
      <c r="D1312">
        <v>0.791074005487042</v>
      </c>
      <c r="E1312">
        <v>0.650336473473497</v>
      </c>
      <c r="F1312">
        <v>0.466187603616532</v>
      </c>
      <c r="G1312">
        <v>0.261093392683707</v>
      </c>
      <c r="H1312">
        <v>0.20540888709191</v>
      </c>
      <c r="I1312">
        <v>0.174887646766354</v>
      </c>
      <c r="J1312">
        <v>0.161373933010962</v>
      </c>
      <c r="K1312">
        <v>0.125757774055408</v>
      </c>
      <c r="L1312">
        <v>591.166786085707</v>
      </c>
      <c r="M1312">
        <v>12.3049675346072</v>
      </c>
      <c r="N1312">
        <v>48.9944297085299</v>
      </c>
      <c r="O1312">
        <v>46.8269166763725</v>
      </c>
      <c r="P1312">
        <v>-0.0587247720375386</v>
      </c>
      <c r="Q1312">
        <v>0.106279711908395</v>
      </c>
      <c r="R1312">
        <v>0.995551853683461</v>
      </c>
      <c r="S1312" t="s">
        <v>3505</v>
      </c>
      <c r="T1312" t="s">
        <v>4362</v>
      </c>
      <c r="U1312" t="s">
        <v>4362</v>
      </c>
      <c r="V1312" t="s">
        <v>4362</v>
      </c>
      <c r="W1312" t="s">
        <v>5670</v>
      </c>
      <c r="X1312">
        <v>4</v>
      </c>
      <c r="Y1312" t="s">
        <v>7833</v>
      </c>
      <c r="Z1312" t="s">
        <v>10000</v>
      </c>
      <c r="AA1312">
        <v>0.4621649438863958</v>
      </c>
      <c r="AB1312">
        <f>HYPERLINK("Melting_Curves/meltCurve_P27247_plsX.pdf", "Melting_Curves/meltCurve_P27247_plsX.pdf")</f>
        <v>0</v>
      </c>
    </row>
    <row r="1313" spans="1:28">
      <c r="A1313" t="s">
        <v>1339</v>
      </c>
      <c r="B1313">
        <v>0.999739202189716</v>
      </c>
      <c r="C1313">
        <v>0.805637310910765</v>
      </c>
      <c r="D1313">
        <v>0.910260464054365</v>
      </c>
      <c r="E1313">
        <v>0.8155407557359911</v>
      </c>
      <c r="F1313">
        <v>0.607972877092676</v>
      </c>
      <c r="G1313">
        <v>0.141277303129935</v>
      </c>
      <c r="H1313">
        <v>0.09429557031535819</v>
      </c>
      <c r="I1313">
        <v>0.08065538781428119</v>
      </c>
      <c r="J1313">
        <v>0.0686609368625667</v>
      </c>
      <c r="K1313">
        <v>0.0596540461350555</v>
      </c>
      <c r="L1313">
        <v>1107.38351995912</v>
      </c>
      <c r="M1313">
        <v>22.0378529878349</v>
      </c>
      <c r="N1313">
        <v>50.4623230358299</v>
      </c>
      <c r="O1313">
        <v>49.8409072060897</v>
      </c>
      <c r="P1313">
        <v>-0.105630253905814</v>
      </c>
      <c r="Q1313">
        <v>0.0444460529631198</v>
      </c>
      <c r="R1313">
        <v>0.960835465470031</v>
      </c>
      <c r="S1313" t="s">
        <v>3506</v>
      </c>
      <c r="T1313" t="s">
        <v>4362</v>
      </c>
      <c r="U1313" t="s">
        <v>4362</v>
      </c>
      <c r="V1313" t="s">
        <v>4362</v>
      </c>
      <c r="W1313" t="s">
        <v>5671</v>
      </c>
      <c r="X1313">
        <v>10</v>
      </c>
      <c r="Y1313" t="s">
        <v>7834</v>
      </c>
      <c r="Z1313" t="s">
        <v>10001</v>
      </c>
      <c r="AA1313">
        <v>0.4770420365598243</v>
      </c>
      <c r="AB1313">
        <f>HYPERLINK("Melting_Curves/meltCurve_P27248_gcvT.pdf", "Melting_Curves/meltCurve_P27248_gcvT.pdf")</f>
        <v>0</v>
      </c>
    </row>
    <row r="1314" spans="1:28">
      <c r="A1314" t="s">
        <v>1340</v>
      </c>
      <c r="B1314">
        <v>0.999739202189716</v>
      </c>
      <c r="C1314">
        <v>1.09377575901388</v>
      </c>
      <c r="D1314">
        <v>0.618475298646852</v>
      </c>
      <c r="E1314">
        <v>0.46932795565056</v>
      </c>
      <c r="F1314">
        <v>0.291020509055429</v>
      </c>
      <c r="G1314">
        <v>0.222510028903832</v>
      </c>
      <c r="H1314">
        <v>0.147569402490323</v>
      </c>
      <c r="I1314">
        <v>0.126967231374183</v>
      </c>
      <c r="J1314">
        <v>0.115134968457356</v>
      </c>
      <c r="K1314">
        <v>0.0943666118560339</v>
      </c>
      <c r="L1314">
        <v>766.548717935201</v>
      </c>
      <c r="M1314">
        <v>16.9581304551366</v>
      </c>
      <c r="N1314">
        <v>45.9789092876228</v>
      </c>
      <c r="O1314">
        <v>44.5878953226798</v>
      </c>
      <c r="P1314">
        <v>-0.0832489860074505</v>
      </c>
      <c r="Q1314">
        <v>0.124510696940722</v>
      </c>
      <c r="R1314">
        <v>0.95888656201168</v>
      </c>
      <c r="S1314" t="s">
        <v>3507</v>
      </c>
      <c r="T1314" t="s">
        <v>4362</v>
      </c>
      <c r="U1314" t="s">
        <v>4362</v>
      </c>
      <c r="V1314" t="s">
        <v>4362</v>
      </c>
      <c r="W1314" t="s">
        <v>5672</v>
      </c>
      <c r="X1314">
        <v>2</v>
      </c>
      <c r="Y1314" t="s">
        <v>7835</v>
      </c>
      <c r="Z1314" t="s">
        <v>10002</v>
      </c>
      <c r="AA1314">
        <v>0.3800402341411747</v>
      </c>
      <c r="AB1314">
        <f>HYPERLINK("Melting_Curves/meltCurve_P27249_glnD.pdf", "Melting_Curves/meltCurve_P27249_glnD.pdf")</f>
        <v>0</v>
      </c>
    </row>
    <row r="1315" spans="1:28">
      <c r="A1315" t="s">
        <v>1341</v>
      </c>
      <c r="B1315">
        <v>0.999739202189716</v>
      </c>
      <c r="C1315">
        <v>0.991573856492212</v>
      </c>
      <c r="D1315">
        <v>1.03100957116871</v>
      </c>
      <c r="E1315">
        <v>1.01443864715521</v>
      </c>
      <c r="F1315">
        <v>0.916632840408162</v>
      </c>
      <c r="G1315">
        <v>0.8585044268287459</v>
      </c>
      <c r="H1315">
        <v>0.619021286404254</v>
      </c>
      <c r="I1315">
        <v>0.365912908040221</v>
      </c>
      <c r="J1315">
        <v>0.149127220728135</v>
      </c>
      <c r="K1315">
        <v>0.09870377791426881</v>
      </c>
      <c r="L1315">
        <v>1096.15881843419</v>
      </c>
      <c r="M1315">
        <v>18.6147642299257</v>
      </c>
      <c r="N1315">
        <v>58.8865317568143</v>
      </c>
      <c r="O1315">
        <v>58.2195571278444</v>
      </c>
      <c r="P1315">
        <v>-0.0799369259765144</v>
      </c>
      <c r="Q1315">
        <v>0</v>
      </c>
      <c r="R1315">
        <v>0.9958939174042249</v>
      </c>
      <c r="S1315" t="s">
        <v>3508</v>
      </c>
      <c r="T1315" t="s">
        <v>4362</v>
      </c>
      <c r="U1315" t="s">
        <v>4362</v>
      </c>
      <c r="V1315" t="s">
        <v>4362</v>
      </c>
      <c r="W1315" t="s">
        <v>5673</v>
      </c>
      <c r="X1315">
        <v>14</v>
      </c>
      <c r="Y1315" t="s">
        <v>7836</v>
      </c>
      <c r="Z1315" t="s">
        <v>10003</v>
      </c>
      <c r="AA1315">
        <v>0.7332453719766143</v>
      </c>
      <c r="AB1315">
        <f>HYPERLINK("Melting_Curves/meltCurve_P27250_ahr.pdf", "Melting_Curves/meltCurve_P27250_ahr.pdf")</f>
        <v>0</v>
      </c>
    </row>
    <row r="1316" spans="1:28">
      <c r="A1316" t="s">
        <v>1342</v>
      </c>
      <c r="B1316">
        <v>0.999739202189716</v>
      </c>
      <c r="C1316">
        <v>1.0180591726804</v>
      </c>
      <c r="D1316">
        <v>0.813445579638151</v>
      </c>
      <c r="E1316">
        <v>0.249660283646925</v>
      </c>
      <c r="F1316">
        <v>0.161592554118464</v>
      </c>
      <c r="G1316">
        <v>0.0947731943333205</v>
      </c>
      <c r="H1316">
        <v>0.075331340091859</v>
      </c>
      <c r="I1316">
        <v>0.0640241864750852</v>
      </c>
      <c r="J1316">
        <v>0.0659695489442519</v>
      </c>
      <c r="K1316">
        <v>0.0519831735938771</v>
      </c>
      <c r="L1316">
        <v>1532.78046573963</v>
      </c>
      <c r="M1316">
        <v>34.2846452629155</v>
      </c>
      <c r="N1316">
        <v>44.9349129469597</v>
      </c>
      <c r="O1316">
        <v>44.5562109817107</v>
      </c>
      <c r="P1316">
        <v>-0.177044878223879</v>
      </c>
      <c r="Q1316">
        <v>0.0796558240679559</v>
      </c>
      <c r="R1316">
        <v>0.995845522904931</v>
      </c>
      <c r="S1316" t="s">
        <v>3509</v>
      </c>
      <c r="T1316" t="s">
        <v>4362</v>
      </c>
      <c r="U1316" t="s">
        <v>4362</v>
      </c>
      <c r="V1316" t="s">
        <v>4362</v>
      </c>
      <c r="W1316" t="s">
        <v>5674</v>
      </c>
      <c r="X1316">
        <v>5</v>
      </c>
      <c r="Y1316" t="s">
        <v>7837</v>
      </c>
      <c r="Z1316" t="s">
        <v>10004</v>
      </c>
      <c r="AA1316">
        <v>0.3200120223261729</v>
      </c>
      <c r="AB1316">
        <f>HYPERLINK("Melting_Curves/meltCurve_P27278_nadR.pdf", "Melting_Curves/meltCurve_P27278_nadR.pdf")</f>
        <v>0</v>
      </c>
    </row>
    <row r="1317" spans="1:28">
      <c r="A1317" t="s">
        <v>1343</v>
      </c>
      <c r="B1317">
        <v>0.999739202189716</v>
      </c>
      <c r="C1317">
        <v>1.12867594997925</v>
      </c>
      <c r="D1317">
        <v>0.995433284663606</v>
      </c>
      <c r="E1317">
        <v>0.698297661862631</v>
      </c>
      <c r="F1317">
        <v>0.190508312639459</v>
      </c>
      <c r="G1317">
        <v>0.117054467572079</v>
      </c>
      <c r="H1317">
        <v>0.0878035269638472</v>
      </c>
      <c r="I1317">
        <v>0.0665761197764856</v>
      </c>
      <c r="J1317">
        <v>0.0583571843728896</v>
      </c>
      <c r="K1317">
        <v>0.0497953948023133</v>
      </c>
      <c r="L1317">
        <v>1719.30247008477</v>
      </c>
      <c r="M1317">
        <v>36.149693963042</v>
      </c>
      <c r="N1317">
        <v>47.7663984550093</v>
      </c>
      <c r="O1317">
        <v>47.415802715996</v>
      </c>
      <c r="P1317">
        <v>-0.176858526172457</v>
      </c>
      <c r="Q1317">
        <v>0.0720959489872678</v>
      </c>
      <c r="R1317">
        <v>0.989995737685693</v>
      </c>
      <c r="S1317" t="s">
        <v>3510</v>
      </c>
      <c r="T1317" t="s">
        <v>4362</v>
      </c>
      <c r="U1317" t="s">
        <v>4362</v>
      </c>
      <c r="V1317" t="s">
        <v>4362</v>
      </c>
      <c r="W1317" t="s">
        <v>5675</v>
      </c>
      <c r="X1317">
        <v>29</v>
      </c>
      <c r="Y1317" t="s">
        <v>7838</v>
      </c>
      <c r="Z1317" t="s">
        <v>10005</v>
      </c>
      <c r="AA1317">
        <v>0.4024797275019295</v>
      </c>
      <c r="AB1317">
        <f>HYPERLINK("Melting_Curves/meltCurve_P27298_prlC.pdf", "Melting_Curves/meltCurve_P27298_prlC.pdf")</f>
        <v>0</v>
      </c>
    </row>
    <row r="1318" spans="1:28">
      <c r="A1318" t="s">
        <v>1344</v>
      </c>
      <c r="B1318">
        <v>0.999739202189716</v>
      </c>
      <c r="C1318">
        <v>1.20944102029178</v>
      </c>
      <c r="D1318">
        <v>1.04452991189321</v>
      </c>
      <c r="E1318">
        <v>1.24888103510188</v>
      </c>
      <c r="F1318">
        <v>0.934843041701563</v>
      </c>
      <c r="G1318">
        <v>0.795378874959373</v>
      </c>
      <c r="H1318">
        <v>0.225689303698564</v>
      </c>
      <c r="I1318">
        <v>0.0965852417210416</v>
      </c>
      <c r="J1318">
        <v>0.0711773950673288</v>
      </c>
      <c r="K1318">
        <v>0.0565518101543087</v>
      </c>
      <c r="L1318">
        <v>2362.68459011838</v>
      </c>
      <c r="M1318">
        <v>42.692146607978</v>
      </c>
      <c r="N1318">
        <v>55.5274063312022</v>
      </c>
      <c r="O1318">
        <v>55.2213661348147</v>
      </c>
      <c r="P1318">
        <v>-0.180463072345559</v>
      </c>
      <c r="Q1318">
        <v>0.06630137492792509</v>
      </c>
      <c r="R1318">
        <v>0.9499615302671151</v>
      </c>
      <c r="S1318" t="s">
        <v>3511</v>
      </c>
      <c r="T1318" t="s">
        <v>4362</v>
      </c>
      <c r="U1318" t="s">
        <v>4362</v>
      </c>
      <c r="V1318" t="s">
        <v>4362</v>
      </c>
      <c r="W1318" t="s">
        <v>5676</v>
      </c>
      <c r="X1318">
        <v>29</v>
      </c>
      <c r="Y1318" t="s">
        <v>7839</v>
      </c>
      <c r="Z1318" t="s">
        <v>10006</v>
      </c>
      <c r="AA1318">
        <v>0.6402719500620069</v>
      </c>
      <c r="AB1318">
        <f>HYPERLINK("Melting_Curves/meltCurve_P27302_tktA.pdf", "Melting_Curves/meltCurve_P27302_tktA.pdf")</f>
        <v>0</v>
      </c>
    </row>
    <row r="1319" spans="1:28">
      <c r="A1319" t="s">
        <v>1345</v>
      </c>
      <c r="B1319">
        <v>0.999739202189716</v>
      </c>
      <c r="C1319">
        <v>0.632160423344681</v>
      </c>
      <c r="D1319">
        <v>0.294596756132621</v>
      </c>
      <c r="E1319">
        <v>0.261308023001713</v>
      </c>
      <c r="F1319">
        <v>0.194010620248973</v>
      </c>
      <c r="G1319">
        <v>0.148836761544653</v>
      </c>
      <c r="H1319">
        <v>0.123363021545396</v>
      </c>
      <c r="I1319">
        <v>0.09455641321880059</v>
      </c>
      <c r="J1319">
        <v>0.0933178501445789</v>
      </c>
      <c r="K1319">
        <v>0.09301372345578381</v>
      </c>
      <c r="L1319">
        <v>1000.16755811341</v>
      </c>
      <c r="M1319">
        <v>24.6254474589303</v>
      </c>
      <c r="N1319">
        <v>41.1378034777026</v>
      </c>
      <c r="O1319">
        <v>40.3502117190912</v>
      </c>
      <c r="P1319">
        <v>-0.132082408327505</v>
      </c>
      <c r="Q1319">
        <v>0.13431397219003</v>
      </c>
      <c r="R1319">
        <v>0.9715452655490761</v>
      </c>
      <c r="S1319" t="s">
        <v>3512</v>
      </c>
      <c r="T1319" t="s">
        <v>4362</v>
      </c>
      <c r="U1319" t="s">
        <v>4362</v>
      </c>
      <c r="V1319" t="s">
        <v>4362</v>
      </c>
      <c r="W1319" t="s">
        <v>5677</v>
      </c>
      <c r="X1319">
        <v>7</v>
      </c>
      <c r="Y1319" t="s">
        <v>7840</v>
      </c>
      <c r="Z1319" t="s">
        <v>10007</v>
      </c>
      <c r="AA1319">
        <v>0.2483144026193518</v>
      </c>
      <c r="AB1319">
        <f>HYPERLINK("Melting_Curves/meltCurve_P27303_emrA.pdf", "Melting_Curves/meltCurve_P27303_emrA.pdf")</f>
        <v>0</v>
      </c>
    </row>
    <row r="1320" spans="1:28">
      <c r="A1320" t="s">
        <v>1346</v>
      </c>
      <c r="B1320">
        <v>0.999739202189716</v>
      </c>
      <c r="C1320">
        <v>0.865848262600406</v>
      </c>
      <c r="D1320">
        <v>0.461154199912542</v>
      </c>
      <c r="E1320">
        <v>0.165743644569027</v>
      </c>
      <c r="F1320">
        <v>0.115265931604606</v>
      </c>
      <c r="G1320">
        <v>0.0697045392743201</v>
      </c>
      <c r="H1320">
        <v>0.0548679533900766</v>
      </c>
      <c r="I1320">
        <v>0.0446408347074413</v>
      </c>
      <c r="J1320">
        <v>0.0373164390301551</v>
      </c>
      <c r="K1320">
        <v>0.0328600254209509</v>
      </c>
      <c r="L1320">
        <v>1055.87256744699</v>
      </c>
      <c r="M1320">
        <v>24.7678284483417</v>
      </c>
      <c r="N1320">
        <v>42.8293978950832</v>
      </c>
      <c r="O1320">
        <v>42.3558169719875</v>
      </c>
      <c r="P1320">
        <v>-0.138260750186478</v>
      </c>
      <c r="Q1320">
        <v>0.0542464778615912</v>
      </c>
      <c r="R1320">
        <v>0.997163900138788</v>
      </c>
      <c r="S1320" t="s">
        <v>3513</v>
      </c>
      <c r="T1320" t="s">
        <v>4362</v>
      </c>
      <c r="U1320" t="s">
        <v>4362</v>
      </c>
      <c r="V1320" t="s">
        <v>4362</v>
      </c>
      <c r="W1320" t="s">
        <v>5678</v>
      </c>
      <c r="X1320">
        <v>13</v>
      </c>
      <c r="Y1320" t="s">
        <v>7841</v>
      </c>
      <c r="Z1320" t="s">
        <v>10008</v>
      </c>
      <c r="AA1320">
        <v>0.2399909535461781</v>
      </c>
      <c r="AB1320">
        <f>HYPERLINK("Melting_Curves/meltCurve_P27306_sthA.pdf", "Melting_Curves/meltCurve_P27306_sthA.pdf")</f>
        <v>0</v>
      </c>
    </row>
    <row r="1321" spans="1:28">
      <c r="A1321" t="s">
        <v>1347</v>
      </c>
      <c r="B1321">
        <v>0.999739202189716</v>
      </c>
      <c r="C1321">
        <v>0.971779541511252</v>
      </c>
      <c r="D1321">
        <v>1.29299827647432</v>
      </c>
      <c r="E1321">
        <v>0.809643205601282</v>
      </c>
      <c r="F1321">
        <v>0.454115157232184</v>
      </c>
      <c r="G1321">
        <v>0.187543601419586</v>
      </c>
      <c r="H1321">
        <v>0.133891899245487</v>
      </c>
      <c r="I1321">
        <v>0.0876483005522206</v>
      </c>
      <c r="J1321">
        <v>0.107035648006724</v>
      </c>
      <c r="K1321">
        <v>0.07310427188616971</v>
      </c>
      <c r="L1321">
        <v>1437.28621941091</v>
      </c>
      <c r="M1321">
        <v>29.0978558939834</v>
      </c>
      <c r="N1321">
        <v>49.7696145214296</v>
      </c>
      <c r="O1321">
        <v>49.1633658056738</v>
      </c>
      <c r="P1321">
        <v>-0.133410607312853</v>
      </c>
      <c r="Q1321">
        <v>0.0983708882660745</v>
      </c>
      <c r="R1321">
        <v>0.949200041584474</v>
      </c>
      <c r="S1321" t="s">
        <v>3514</v>
      </c>
      <c r="T1321" t="s">
        <v>4362</v>
      </c>
      <c r="U1321" t="s">
        <v>4362</v>
      </c>
      <c r="V1321" t="s">
        <v>4362</v>
      </c>
      <c r="W1321" t="s">
        <v>5679</v>
      </c>
      <c r="X1321">
        <v>3</v>
      </c>
      <c r="Y1321" t="s">
        <v>7842</v>
      </c>
      <c r="Z1321" t="s">
        <v>10009</v>
      </c>
      <c r="AA1321">
        <v>0.4767094865904028</v>
      </c>
      <c r="AB1321">
        <f>HYPERLINK("Melting_Curves/meltCurve_P27431_roxA.pdf", "Melting_Curves/meltCurve_P27431_roxA.pdf")</f>
        <v>0</v>
      </c>
    </row>
    <row r="1322" spans="1:28">
      <c r="A1322" t="s">
        <v>1348</v>
      </c>
      <c r="B1322">
        <v>0.999739202189716</v>
      </c>
      <c r="C1322">
        <v>0.986944277315702</v>
      </c>
      <c r="D1322">
        <v>1.00037156041971</v>
      </c>
      <c r="E1322">
        <v>1.00446028678395</v>
      </c>
      <c r="F1322">
        <v>0.919674181397796</v>
      </c>
      <c r="G1322">
        <v>0.804493814514789</v>
      </c>
      <c r="H1322">
        <v>0.641779611190101</v>
      </c>
      <c r="I1322">
        <v>0.40031385671696</v>
      </c>
      <c r="J1322">
        <v>0.276629839851893</v>
      </c>
      <c r="K1322">
        <v>0.21869579668081</v>
      </c>
      <c r="L1322">
        <v>899.953734200615</v>
      </c>
      <c r="M1322">
        <v>15.3643038539318</v>
      </c>
      <c r="N1322">
        <v>59.3882951199095</v>
      </c>
      <c r="O1322">
        <v>57.6089270959748</v>
      </c>
      <c r="P1322">
        <v>-0.0603501995706948</v>
      </c>
      <c r="Q1322">
        <v>0.0949432083097921</v>
      </c>
      <c r="R1322">
        <v>0.997923943352941</v>
      </c>
      <c r="S1322" t="s">
        <v>3515</v>
      </c>
      <c r="T1322" t="s">
        <v>4362</v>
      </c>
      <c r="U1322" t="s">
        <v>4362</v>
      </c>
      <c r="V1322" t="s">
        <v>4362</v>
      </c>
      <c r="W1322" t="s">
        <v>5680</v>
      </c>
      <c r="X1322">
        <v>10</v>
      </c>
      <c r="Y1322" t="s">
        <v>7843</v>
      </c>
      <c r="Z1322" t="s">
        <v>10010</v>
      </c>
      <c r="AA1322">
        <v>0.7475703619643799</v>
      </c>
      <c r="AB1322">
        <f>HYPERLINK("Melting_Curves/meltCurve_P27434_rodZ.pdf", "Melting_Curves/meltCurve_P27434_rodZ.pdf")</f>
        <v>0</v>
      </c>
    </row>
    <row r="1323" spans="1:28">
      <c r="A1323" t="s">
        <v>1349</v>
      </c>
      <c r="B1323">
        <v>0.999739202189716</v>
      </c>
      <c r="C1323">
        <v>1.2494874189668</v>
      </c>
      <c r="D1323">
        <v>1.10108691628006</v>
      </c>
      <c r="E1323">
        <v>0.954707678209254</v>
      </c>
      <c r="F1323">
        <v>0.448165013841102</v>
      </c>
      <c r="G1323">
        <v>0.201206115679052</v>
      </c>
      <c r="H1323">
        <v>0.163731876168485</v>
      </c>
      <c r="I1323">
        <v>0.143127515535013</v>
      </c>
      <c r="J1323">
        <v>0.128989935229879</v>
      </c>
      <c r="K1323">
        <v>0.123391572461752</v>
      </c>
      <c r="L1323">
        <v>2124.17789121146</v>
      </c>
      <c r="M1323">
        <v>42.8786782786751</v>
      </c>
      <c r="N1323">
        <v>49.9383600712542</v>
      </c>
      <c r="O1323">
        <v>49.4318889132899</v>
      </c>
      <c r="P1323">
        <v>-0.185398652705446</v>
      </c>
      <c r="Q1323">
        <v>0.145068082953404</v>
      </c>
      <c r="R1323">
        <v>0.962008194733077</v>
      </c>
      <c r="S1323" t="s">
        <v>3516</v>
      </c>
      <c r="T1323" t="s">
        <v>4362</v>
      </c>
      <c r="U1323" t="s">
        <v>4362</v>
      </c>
      <c r="V1323" t="s">
        <v>4362</v>
      </c>
      <c r="W1323" t="s">
        <v>5681</v>
      </c>
      <c r="X1323">
        <v>20</v>
      </c>
      <c r="Y1323" t="s">
        <v>7844</v>
      </c>
      <c r="Z1323" t="s">
        <v>10011</v>
      </c>
      <c r="AA1323">
        <v>0.5049530201295525</v>
      </c>
      <c r="AB1323">
        <f>HYPERLINK("Melting_Curves/meltCurve_P27550_acs.pdf", "Melting_Curves/meltCurve_P27550_acs.pdf")</f>
        <v>0</v>
      </c>
    </row>
    <row r="1324" spans="1:28">
      <c r="A1324" t="s">
        <v>1350</v>
      </c>
      <c r="B1324">
        <v>0.999739202189716</v>
      </c>
      <c r="C1324">
        <v>0.921234850257006</v>
      </c>
      <c r="D1324">
        <v>1.04172315340654</v>
      </c>
      <c r="E1324">
        <v>0.78504794769638</v>
      </c>
      <c r="F1324">
        <v>0.80188977607056</v>
      </c>
      <c r="G1324">
        <v>0.6119721766774811</v>
      </c>
      <c r="H1324">
        <v>0.326679223008036</v>
      </c>
      <c r="I1324">
        <v>0.09832084341670071</v>
      </c>
      <c r="J1324">
        <v>0.0775620153077077</v>
      </c>
      <c r="K1324">
        <v>0.0702891580588511</v>
      </c>
      <c r="L1324">
        <v>824.34861305212</v>
      </c>
      <c r="M1324">
        <v>15.1172862986149</v>
      </c>
      <c r="N1324">
        <v>54.5301981342074</v>
      </c>
      <c r="O1324">
        <v>53.6026962174632</v>
      </c>
      <c r="P1324">
        <v>-0.0705130941058979</v>
      </c>
      <c r="Q1324">
        <v>0</v>
      </c>
      <c r="R1324">
        <v>0.972216714088899</v>
      </c>
      <c r="S1324" t="s">
        <v>3517</v>
      </c>
      <c r="T1324" t="s">
        <v>4362</v>
      </c>
      <c r="U1324" t="s">
        <v>4362</v>
      </c>
      <c r="V1324" t="s">
        <v>4362</v>
      </c>
      <c r="W1324" t="s">
        <v>5682</v>
      </c>
      <c r="X1324">
        <v>11</v>
      </c>
      <c r="Y1324" t="s">
        <v>7845</v>
      </c>
      <c r="Z1324" t="s">
        <v>10012</v>
      </c>
      <c r="AA1324">
        <v>0.5994201257920532</v>
      </c>
      <c r="AB1324">
        <f>HYPERLINK("Melting_Curves/meltCurve_P27828_wecB.pdf", "Melting_Curves/meltCurve_P27828_wecB.pdf")</f>
        <v>0</v>
      </c>
    </row>
    <row r="1325" spans="1:28">
      <c r="A1325" t="s">
        <v>1351</v>
      </c>
      <c r="B1325">
        <v>0.999739202189716</v>
      </c>
      <c r="C1325">
        <v>0.9598130397267089</v>
      </c>
      <c r="D1325">
        <v>0.514006645707668</v>
      </c>
      <c r="E1325">
        <v>0.6764465047878629</v>
      </c>
      <c r="F1325">
        <v>0.330871708588555</v>
      </c>
      <c r="G1325">
        <v>0.181207666034437</v>
      </c>
      <c r="H1325">
        <v>0.12392634147909</v>
      </c>
      <c r="I1325">
        <v>0.0886911907212983</v>
      </c>
      <c r="J1325">
        <v>0.0528958076447944</v>
      </c>
      <c r="K1325">
        <v>0.0409594295330915</v>
      </c>
      <c r="L1325">
        <v>492.884945165213</v>
      </c>
      <c r="M1325">
        <v>10.4733488289985</v>
      </c>
      <c r="N1325">
        <v>47.0608735720426</v>
      </c>
      <c r="O1325">
        <v>45.4422565540149</v>
      </c>
      <c r="P1325">
        <v>-0.0576424745864743</v>
      </c>
      <c r="Q1325">
        <v>0</v>
      </c>
      <c r="R1325">
        <v>0.934119320957196</v>
      </c>
      <c r="S1325" t="s">
        <v>3518</v>
      </c>
      <c r="T1325" t="s">
        <v>4362</v>
      </c>
      <c r="U1325" t="s">
        <v>4362</v>
      </c>
      <c r="V1325" t="s">
        <v>4362</v>
      </c>
      <c r="W1325" t="s">
        <v>5683</v>
      </c>
      <c r="X1325">
        <v>8</v>
      </c>
      <c r="Y1325" t="s">
        <v>7846</v>
      </c>
      <c r="Z1325" t="s">
        <v>10013</v>
      </c>
      <c r="AA1325">
        <v>0.3756116240602286</v>
      </c>
      <c r="AB1325">
        <f>HYPERLINK("Melting_Curves/meltCurve_P27829_wecC.pdf", "Melting_Curves/meltCurve_P27829_wecC.pdf")</f>
        <v>0</v>
      </c>
    </row>
    <row r="1326" spans="1:28">
      <c r="A1326" t="s">
        <v>1352</v>
      </c>
      <c r="B1326">
        <v>0.999739202189716</v>
      </c>
      <c r="C1326">
        <v>0.616986268063285</v>
      </c>
      <c r="D1326">
        <v>0.507318497004721</v>
      </c>
      <c r="E1326">
        <v>0.240687805421807</v>
      </c>
      <c r="F1326">
        <v>0.120059736048294</v>
      </c>
      <c r="G1326">
        <v>0.0744933530727858</v>
      </c>
      <c r="H1326">
        <v>0.0551392937371374</v>
      </c>
      <c r="I1326">
        <v>0.0424190578281976</v>
      </c>
      <c r="J1326">
        <v>0.0396912756971849</v>
      </c>
      <c r="K1326">
        <v>0.0345635349599577</v>
      </c>
      <c r="L1326">
        <v>616.2511015446159</v>
      </c>
      <c r="M1326">
        <v>14.5493650534471</v>
      </c>
      <c r="N1326">
        <v>42.5577188122379</v>
      </c>
      <c r="O1326">
        <v>41.579841359823</v>
      </c>
      <c r="P1326">
        <v>-0.0845716688701813</v>
      </c>
      <c r="Q1326">
        <v>0.0333389053422681</v>
      </c>
      <c r="R1326">
        <v>0.976048304125826</v>
      </c>
      <c r="S1326" t="s">
        <v>3519</v>
      </c>
      <c r="T1326" t="s">
        <v>4362</v>
      </c>
      <c r="U1326" t="s">
        <v>4362</v>
      </c>
      <c r="V1326" t="s">
        <v>4362</v>
      </c>
      <c r="W1326" t="s">
        <v>5684</v>
      </c>
      <c r="X1326">
        <v>4</v>
      </c>
      <c r="Y1326" t="s">
        <v>7847</v>
      </c>
      <c r="Z1326" t="s">
        <v>10014</v>
      </c>
      <c r="AA1326">
        <v>0.2346571191714948</v>
      </c>
      <c r="AB1326">
        <f>HYPERLINK("Melting_Curves/meltCurve_P27830_rffG.pdf", "Melting_Curves/meltCurve_P27830_rffG.pdf")</f>
        <v>0</v>
      </c>
    </row>
    <row r="1327" spans="1:28">
      <c r="A1327" t="s">
        <v>1353</v>
      </c>
      <c r="B1327">
        <v>0.999739202189716</v>
      </c>
      <c r="C1327">
        <v>0.923206981531186</v>
      </c>
      <c r="D1327">
        <v>0.869601965687939</v>
      </c>
      <c r="E1327">
        <v>0.893787854686142</v>
      </c>
      <c r="F1327">
        <v>0.809028463387634</v>
      </c>
      <c r="G1327">
        <v>0.744446700053457</v>
      </c>
      <c r="H1327">
        <v>0.507019685813848</v>
      </c>
      <c r="I1327">
        <v>0.225370061973405</v>
      </c>
      <c r="J1327">
        <v>0.125734305458806</v>
      </c>
      <c r="K1327">
        <v>0.083120397367247</v>
      </c>
      <c r="L1327">
        <v>815.283385757884</v>
      </c>
      <c r="M1327">
        <v>14.3736406459342</v>
      </c>
      <c r="N1327">
        <v>56.7207300317993</v>
      </c>
      <c r="O1327">
        <v>55.6567313350593</v>
      </c>
      <c r="P1327">
        <v>-0.0645715089102278</v>
      </c>
      <c r="Q1327">
        <v>0</v>
      </c>
      <c r="R1327">
        <v>0.967582072297218</v>
      </c>
      <c r="S1327" t="s">
        <v>3520</v>
      </c>
      <c r="T1327" t="s">
        <v>4362</v>
      </c>
      <c r="U1327" t="s">
        <v>4362</v>
      </c>
      <c r="V1327" t="s">
        <v>4362</v>
      </c>
      <c r="W1327" t="s">
        <v>5685</v>
      </c>
      <c r="X1327">
        <v>2</v>
      </c>
      <c r="Y1327" t="s">
        <v>7848</v>
      </c>
      <c r="Z1327" t="s">
        <v>10015</v>
      </c>
      <c r="AA1327">
        <v>0.666195907943618</v>
      </c>
      <c r="AB1327">
        <f>HYPERLINK("Melting_Curves/meltCurve_P27832_wecD.pdf", "Melting_Curves/meltCurve_P27832_wecD.pdf")</f>
        <v>0</v>
      </c>
    </row>
    <row r="1328" spans="1:28">
      <c r="A1328" t="s">
        <v>1354</v>
      </c>
      <c r="B1328">
        <v>0.999739202189716</v>
      </c>
      <c r="C1328">
        <v>0.517102779340859</v>
      </c>
      <c r="D1328">
        <v>0.244714846584972</v>
      </c>
      <c r="E1328">
        <v>0.160111753576884</v>
      </c>
      <c r="F1328">
        <v>0.16310746272087</v>
      </c>
      <c r="G1328">
        <v>0.128710952848157</v>
      </c>
      <c r="H1328">
        <v>0.111362619209983</v>
      </c>
      <c r="I1328">
        <v>0.0925185413682713</v>
      </c>
      <c r="J1328">
        <v>0.0942987563379698</v>
      </c>
      <c r="K1328">
        <v>0.06838007053361971</v>
      </c>
      <c r="L1328">
        <v>1324.42815396601</v>
      </c>
      <c r="M1328">
        <v>33.2373797527082</v>
      </c>
      <c r="N1328">
        <v>40.1821392430494</v>
      </c>
      <c r="O1328">
        <v>39.7041106341391</v>
      </c>
      <c r="P1328">
        <v>-0.183984702888088</v>
      </c>
      <c r="Q1328">
        <v>0.120878754542085</v>
      </c>
      <c r="R1328">
        <v>0.9802697400739599</v>
      </c>
      <c r="S1328" t="s">
        <v>3521</v>
      </c>
      <c r="T1328" t="s">
        <v>4362</v>
      </c>
      <c r="U1328" t="s">
        <v>4362</v>
      </c>
      <c r="V1328" t="s">
        <v>4362</v>
      </c>
      <c r="W1328" t="s">
        <v>5686</v>
      </c>
      <c r="X1328">
        <v>1</v>
      </c>
      <c r="Y1328" t="s">
        <v>7849</v>
      </c>
      <c r="Z1328" t="s">
        <v>10016</v>
      </c>
      <c r="AA1328">
        <v>0.2099865612290145</v>
      </c>
      <c r="AB1328">
        <f>HYPERLINK("Melting_Curves/meltCurve_P27836_wecG.pdf", "Melting_Curves/meltCurve_P27836_wecG.pdf")</f>
        <v>0</v>
      </c>
    </row>
    <row r="1329" spans="1:28">
      <c r="A1329" t="s">
        <v>1355</v>
      </c>
      <c r="B1329">
        <v>0.999739202189716</v>
      </c>
      <c r="C1329">
        <v>1.23105098518144</v>
      </c>
      <c r="D1329">
        <v>0.422927244317533</v>
      </c>
      <c r="E1329">
        <v>0.378129078207595</v>
      </c>
      <c r="F1329">
        <v>0.316380826342669</v>
      </c>
      <c r="G1329">
        <v>0.229353950810644</v>
      </c>
      <c r="H1329">
        <v>0.16144582270028</v>
      </c>
      <c r="I1329">
        <v>0.24987795696395</v>
      </c>
      <c r="J1329">
        <v>0.2253872285829</v>
      </c>
      <c r="K1329">
        <v>0.164594495558387</v>
      </c>
      <c r="L1329">
        <v>10699.0539471421</v>
      </c>
      <c r="M1329">
        <v>250</v>
      </c>
      <c r="N1329">
        <v>42.912766693651</v>
      </c>
      <c r="O1329">
        <v>42.7934578386136</v>
      </c>
      <c r="P1329">
        <v>-1.10055796772416</v>
      </c>
      <c r="Q1329">
        <v>0.246452763210093</v>
      </c>
      <c r="R1329">
        <v>0.927095569352022</v>
      </c>
      <c r="S1329" t="s">
        <v>3522</v>
      </c>
      <c r="T1329" t="s">
        <v>4362</v>
      </c>
      <c r="U1329" t="s">
        <v>4362</v>
      </c>
      <c r="V1329" t="s">
        <v>4362</v>
      </c>
      <c r="W1329" t="s">
        <v>5687</v>
      </c>
      <c r="X1329">
        <v>1</v>
      </c>
      <c r="Y1329" t="s">
        <v>7850</v>
      </c>
      <c r="Z1329" t="s">
        <v>10017</v>
      </c>
      <c r="AA1329">
        <v>0.3921001060279308</v>
      </c>
      <c r="AB1329">
        <f>HYPERLINK("Melting_Curves/meltCurve_P27837_yifK.pdf", "Melting_Curves/meltCurve_P27837_yifK.pdf")</f>
        <v>0</v>
      </c>
    </row>
    <row r="1330" spans="1:28">
      <c r="A1330" t="s">
        <v>1356</v>
      </c>
      <c r="B1330">
        <v>0.999739202189716</v>
      </c>
      <c r="C1330">
        <v>0.981506335935273</v>
      </c>
      <c r="D1330">
        <v>0.785946815290389</v>
      </c>
      <c r="E1330">
        <v>0.906298451439115</v>
      </c>
      <c r="F1330">
        <v>0.85354906705196</v>
      </c>
      <c r="G1330">
        <v>0.720544087069119</v>
      </c>
      <c r="H1330">
        <v>0.642790651006279</v>
      </c>
      <c r="I1330">
        <v>0.537780535480461</v>
      </c>
      <c r="J1330">
        <v>0.451925714350999</v>
      </c>
      <c r="K1330">
        <v>0.454283484187025</v>
      </c>
      <c r="L1330">
        <v>332.937728095688</v>
      </c>
      <c r="M1330">
        <v>5.24698423482629</v>
      </c>
      <c r="N1330">
        <v>63.4531596045085</v>
      </c>
      <c r="O1330">
        <v>55.9856313498808</v>
      </c>
      <c r="P1330">
        <v>-0.0235516574016046</v>
      </c>
      <c r="Q1330">
        <v>0</v>
      </c>
      <c r="R1330">
        <v>0.931108837464411</v>
      </c>
      <c r="S1330" t="s">
        <v>3523</v>
      </c>
      <c r="T1330" t="s">
        <v>4362</v>
      </c>
      <c r="U1330" t="s">
        <v>4362</v>
      </c>
      <c r="V1330" t="s">
        <v>4362</v>
      </c>
      <c r="W1330" t="s">
        <v>5688</v>
      </c>
      <c r="X1330">
        <v>3</v>
      </c>
      <c r="Y1330" t="s">
        <v>7851</v>
      </c>
      <c r="Z1330" t="s">
        <v>10018</v>
      </c>
      <c r="AA1330">
        <v>0.7405505269429784</v>
      </c>
      <c r="AB1330">
        <f>HYPERLINK("Melting_Curves/meltCurve_P27838_cyaY.pdf", "Melting_Curves/meltCurve_P27838_cyaY.pdf")</f>
        <v>0</v>
      </c>
    </row>
    <row r="1331" spans="1:28">
      <c r="A1331" t="s">
        <v>1357</v>
      </c>
      <c r="B1331">
        <v>0.999739202189716</v>
      </c>
      <c r="C1331">
        <v>0.9898762412564061</v>
      </c>
      <c r="D1331">
        <v>0.447627433711661</v>
      </c>
      <c r="E1331">
        <v>0.428405902558916</v>
      </c>
      <c r="F1331">
        <v>0.237432767747625</v>
      </c>
      <c r="G1331">
        <v>0.136429311585888</v>
      </c>
      <c r="H1331">
        <v>0.09108176066049289</v>
      </c>
      <c r="I1331">
        <v>0.06914757946209869</v>
      </c>
      <c r="J1331">
        <v>0.0660582222917936</v>
      </c>
      <c r="K1331">
        <v>0.0586966217599093</v>
      </c>
      <c r="L1331">
        <v>682.244506111723</v>
      </c>
      <c r="M1331">
        <v>15.4788266087478</v>
      </c>
      <c r="N1331">
        <v>44.527590687997</v>
      </c>
      <c r="O1331">
        <v>43.3600035954262</v>
      </c>
      <c r="P1331">
        <v>-0.0827703864352443</v>
      </c>
      <c r="Q1331">
        <v>0.0726424410180635</v>
      </c>
      <c r="R1331">
        <v>0.948613761486289</v>
      </c>
      <c r="S1331" t="s">
        <v>3524</v>
      </c>
      <c r="T1331" t="s">
        <v>4362</v>
      </c>
      <c r="U1331" t="s">
        <v>4362</v>
      </c>
      <c r="V1331" t="s">
        <v>4362</v>
      </c>
      <c r="W1331" t="s">
        <v>5689</v>
      </c>
      <c r="X1331">
        <v>3</v>
      </c>
      <c r="Y1331" t="s">
        <v>7852</v>
      </c>
      <c r="Z1331" t="s">
        <v>10019</v>
      </c>
      <c r="AA1331">
        <v>0.3128670211309902</v>
      </c>
      <c r="AB1331">
        <f>HYPERLINK("Melting_Curves/meltCurve_P27848_yigL.pdf", "Melting_Curves/meltCurve_P27848_yigL.pdf")</f>
        <v>0</v>
      </c>
    </row>
    <row r="1332" spans="1:28">
      <c r="A1332" t="s">
        <v>1358</v>
      </c>
      <c r="B1332">
        <v>0.999739202189716</v>
      </c>
      <c r="C1332">
        <v>0.711831489776938</v>
      </c>
      <c r="D1332">
        <v>0.525717100968808</v>
      </c>
      <c r="E1332">
        <v>0.265173649792274</v>
      </c>
      <c r="F1332">
        <v>0.186104300972948</v>
      </c>
      <c r="G1332">
        <v>0.120849194793387</v>
      </c>
      <c r="H1332">
        <v>0.0971598547034261</v>
      </c>
      <c r="I1332">
        <v>0.070685253457136</v>
      </c>
      <c r="J1332">
        <v>0.0655822207128044</v>
      </c>
      <c r="K1332">
        <v>0.0610263279796627</v>
      </c>
      <c r="L1332">
        <v>649.649610933006</v>
      </c>
      <c r="M1332">
        <v>15.1995039220264</v>
      </c>
      <c r="N1332">
        <v>43.1744665201066</v>
      </c>
      <c r="O1332">
        <v>42.0221276031057</v>
      </c>
      <c r="P1332">
        <v>-0.0840415770713671</v>
      </c>
      <c r="Q1332">
        <v>0.0706886270308414</v>
      </c>
      <c r="R1332">
        <v>0.988763298197136</v>
      </c>
      <c r="S1332" t="s">
        <v>3525</v>
      </c>
      <c r="T1332" t="s">
        <v>4362</v>
      </c>
      <c r="U1332" t="s">
        <v>4362</v>
      </c>
      <c r="V1332" t="s">
        <v>4362</v>
      </c>
      <c r="W1332" t="s">
        <v>5690</v>
      </c>
      <c r="X1332">
        <v>3</v>
      </c>
      <c r="Y1332" t="s">
        <v>7853</v>
      </c>
      <c r="Z1332" t="s">
        <v>10020</v>
      </c>
      <c r="AA1332">
        <v>0.2728916517438295</v>
      </c>
      <c r="AB1332">
        <f>HYPERLINK("Melting_Curves/meltCurve_P27859_tatD.pdf", "Melting_Curves/meltCurve_P27859_tatD.pdf")</f>
        <v>0</v>
      </c>
    </row>
    <row r="1333" spans="1:28">
      <c r="A1333" t="s">
        <v>1359</v>
      </c>
      <c r="B1333">
        <v>0.999739202189716</v>
      </c>
      <c r="C1333">
        <v>0.8481932221799841</v>
      </c>
      <c r="D1333">
        <v>0.880693212310532</v>
      </c>
      <c r="E1333">
        <v>0.495000132690371</v>
      </c>
      <c r="F1333">
        <v>0.289012196858717</v>
      </c>
      <c r="G1333">
        <v>0.132583084983147</v>
      </c>
      <c r="H1333">
        <v>0.107513929506929</v>
      </c>
      <c r="I1333">
        <v>0.102623762621252</v>
      </c>
      <c r="J1333">
        <v>0.092992818977501</v>
      </c>
      <c r="K1333">
        <v>0.073254200194541</v>
      </c>
      <c r="L1333">
        <v>809.1699688450919</v>
      </c>
      <c r="M1333">
        <v>17.433702487578</v>
      </c>
      <c r="N1333">
        <v>46.8607650892138</v>
      </c>
      <c r="O1333">
        <v>45.8163342771033</v>
      </c>
      <c r="P1333">
        <v>-0.087851313944312</v>
      </c>
      <c r="Q1333">
        <v>0.0765470860639846</v>
      </c>
      <c r="R1333">
        <v>0.986963437576875</v>
      </c>
      <c r="S1333" t="s">
        <v>3526</v>
      </c>
      <c r="T1333" t="s">
        <v>4362</v>
      </c>
      <c r="U1333" t="s">
        <v>4362</v>
      </c>
      <c r="V1333" t="s">
        <v>4362</v>
      </c>
      <c r="W1333" t="s">
        <v>5691</v>
      </c>
      <c r="X1333">
        <v>2</v>
      </c>
      <c r="Y1333" t="s">
        <v>7854</v>
      </c>
      <c r="Z1333" t="s">
        <v>10021</v>
      </c>
      <c r="AA1333">
        <v>0.3821633458251206</v>
      </c>
      <c r="AB1333">
        <f>HYPERLINK("Melting_Curves/meltCurve_P27862_yigZ.pdf", "Melting_Curves/meltCurve_P27862_yigZ.pdf")</f>
        <v>0</v>
      </c>
    </row>
    <row r="1334" spans="1:28">
      <c r="A1334" t="s">
        <v>1360</v>
      </c>
      <c r="B1334">
        <v>0.999739202189716</v>
      </c>
      <c r="C1334">
        <v>0.733684896077809</v>
      </c>
      <c r="D1334">
        <v>1.25219825533022</v>
      </c>
      <c r="E1334">
        <v>1.22628812564522</v>
      </c>
      <c r="F1334">
        <v>1.05678108815959</v>
      </c>
      <c r="G1334">
        <v>1.03755685001582</v>
      </c>
      <c r="H1334">
        <v>0.9437205322711411</v>
      </c>
      <c r="I1334">
        <v>0.899453297115393</v>
      </c>
      <c r="J1334">
        <v>0.707081548350333</v>
      </c>
      <c r="K1334">
        <v>0.559295962888534</v>
      </c>
      <c r="L1334">
        <v>1752.89662129896</v>
      </c>
      <c r="M1334">
        <v>27.3273801033194</v>
      </c>
      <c r="O1334">
        <v>63.8037952662487</v>
      </c>
      <c r="P1334">
        <v>-0.0621281579254661</v>
      </c>
      <c r="Q1334">
        <v>0.419779748218835</v>
      </c>
      <c r="R1334">
        <v>0.572889079226609</v>
      </c>
      <c r="S1334" t="s">
        <v>3527</v>
      </c>
      <c r="T1334" t="s">
        <v>4362</v>
      </c>
      <c r="U1334" t="s">
        <v>4362</v>
      </c>
      <c r="V1334" t="s">
        <v>4362</v>
      </c>
      <c r="W1334" t="s">
        <v>5692</v>
      </c>
      <c r="X1334">
        <v>3</v>
      </c>
      <c r="Y1334" t="s">
        <v>7855</v>
      </c>
      <c r="Z1334" t="s">
        <v>10022</v>
      </c>
      <c r="AA1334">
        <v>0.9356342984304625</v>
      </c>
      <c r="AB1334">
        <f>HYPERLINK("Melting_Curves/meltCurve_P28224_mliC.pdf", "Melting_Curves/meltCurve_P28224_mliC.pdf")</f>
        <v>0</v>
      </c>
    </row>
    <row r="1335" spans="1:28">
      <c r="A1335" t="s">
        <v>1361</v>
      </c>
      <c r="B1335">
        <v>0.999739202189716</v>
      </c>
      <c r="C1335">
        <v>0.910192958801612</v>
      </c>
      <c r="D1335">
        <v>0.864630580761207</v>
      </c>
      <c r="E1335">
        <v>0.723177587536283</v>
      </c>
      <c r="F1335">
        <v>0.525268805864306</v>
      </c>
      <c r="G1335">
        <v>0.427057056650181</v>
      </c>
      <c r="H1335">
        <v>0.377047153646431</v>
      </c>
      <c r="I1335">
        <v>0.328172281847499</v>
      </c>
      <c r="J1335">
        <v>0.351529767670325</v>
      </c>
      <c r="K1335">
        <v>0.306387979316299</v>
      </c>
      <c r="L1335">
        <v>610.294147488512</v>
      </c>
      <c r="M1335">
        <v>12.8040432508985</v>
      </c>
      <c r="N1335">
        <v>51.3495302712623</v>
      </c>
      <c r="O1335">
        <v>46.5464069559271</v>
      </c>
      <c r="P1335">
        <v>-0.0481117527728317</v>
      </c>
      <c r="Q1335">
        <v>0.300530355644</v>
      </c>
      <c r="R1335">
        <v>0.994807953610796</v>
      </c>
      <c r="S1335" t="s">
        <v>3528</v>
      </c>
      <c r="T1335" t="s">
        <v>4362</v>
      </c>
      <c r="U1335" t="s">
        <v>4362</v>
      </c>
      <c r="V1335" t="s">
        <v>4362</v>
      </c>
      <c r="W1335" t="s">
        <v>5693</v>
      </c>
      <c r="X1335">
        <v>3</v>
      </c>
      <c r="Y1335" t="s">
        <v>7856</v>
      </c>
      <c r="Z1335" t="s">
        <v>10023</v>
      </c>
      <c r="AA1335">
        <v>0.5693181379564367</v>
      </c>
      <c r="AB1335">
        <f>HYPERLINK("Melting_Curves/meltCurve_P28248_dcd.pdf", "Melting_Curves/meltCurve_P28248_dcd.pdf")</f>
        <v>0</v>
      </c>
    </row>
    <row r="1336" spans="1:28">
      <c r="A1336" t="s">
        <v>1362</v>
      </c>
      <c r="B1336">
        <v>0.999739202189716</v>
      </c>
      <c r="C1336">
        <v>1.20295977432421</v>
      </c>
      <c r="D1336">
        <v>1.01944966288291</v>
      </c>
      <c r="E1336">
        <v>1.01323023275638</v>
      </c>
      <c r="F1336">
        <v>0.922230814957217</v>
      </c>
      <c r="G1336">
        <v>0.739908019012714</v>
      </c>
      <c r="H1336">
        <v>0.502769300441429</v>
      </c>
      <c r="I1336">
        <v>0.150332514582257</v>
      </c>
      <c r="J1336">
        <v>0.118058117785433</v>
      </c>
      <c r="K1336">
        <v>0.103988775921068</v>
      </c>
      <c r="L1336">
        <v>1217.66514755587</v>
      </c>
      <c r="M1336">
        <v>21.5239782392324</v>
      </c>
      <c r="N1336">
        <v>56.8266743846882</v>
      </c>
      <c r="O1336">
        <v>56.0909507160193</v>
      </c>
      <c r="P1336">
        <v>-0.0915331226137666</v>
      </c>
      <c r="Q1336">
        <v>0.0458909424024293</v>
      </c>
      <c r="R1336">
        <v>0.969009844184914</v>
      </c>
      <c r="S1336" t="s">
        <v>3529</v>
      </c>
      <c r="T1336" t="s">
        <v>4362</v>
      </c>
      <c r="U1336" t="s">
        <v>4362</v>
      </c>
      <c r="V1336" t="s">
        <v>4362</v>
      </c>
      <c r="W1336" t="s">
        <v>5694</v>
      </c>
      <c r="X1336">
        <v>17</v>
      </c>
      <c r="Y1336" t="s">
        <v>7857</v>
      </c>
      <c r="Z1336" t="s">
        <v>10024</v>
      </c>
      <c r="AA1336">
        <v>0.6769649102315806</v>
      </c>
      <c r="AB1336">
        <f>HYPERLINK("Melting_Curves/meltCurve_P28249_asmA.pdf", "Melting_Curves/meltCurve_P28249_asmA.pdf")</f>
        <v>0</v>
      </c>
    </row>
    <row r="1337" spans="1:28">
      <c r="A1337" t="s">
        <v>1363</v>
      </c>
      <c r="B1337">
        <v>0.999739202189716</v>
      </c>
      <c r="C1337">
        <v>0.744674722137549</v>
      </c>
      <c r="D1337">
        <v>0.8334331419118201</v>
      </c>
      <c r="E1337">
        <v>0.673506800776593</v>
      </c>
      <c r="F1337">
        <v>0.727223092769515</v>
      </c>
      <c r="G1337">
        <v>0.5051456549428029</v>
      </c>
      <c r="H1337">
        <v>0.349563028428773</v>
      </c>
      <c r="I1337">
        <v>0.266377232884015</v>
      </c>
      <c r="J1337">
        <v>0.215355982988815</v>
      </c>
      <c r="K1337">
        <v>0.187907464391941</v>
      </c>
      <c r="L1337">
        <v>351.921170477704</v>
      </c>
      <c r="M1337">
        <v>6.62996583802731</v>
      </c>
      <c r="N1337">
        <v>53.0803897081915</v>
      </c>
      <c r="O1337">
        <v>48.8747447206652</v>
      </c>
      <c r="P1337">
        <v>-0.0339897048416295</v>
      </c>
      <c r="Q1337">
        <v>0</v>
      </c>
      <c r="R1337">
        <v>0.932190217410668</v>
      </c>
      <c r="S1337" t="s">
        <v>3530</v>
      </c>
      <c r="T1337" t="s">
        <v>4362</v>
      </c>
      <c r="U1337" t="s">
        <v>4362</v>
      </c>
      <c r="V1337" t="s">
        <v>4362</v>
      </c>
      <c r="W1337" t="s">
        <v>5695</v>
      </c>
      <c r="X1337">
        <v>9</v>
      </c>
      <c r="Y1337" t="s">
        <v>7858</v>
      </c>
      <c r="Z1337" t="s">
        <v>10025</v>
      </c>
      <c r="AA1337">
        <v>0.5547572227869048</v>
      </c>
      <c r="AB1337">
        <f>HYPERLINK("Melting_Curves/meltCurve_P28304_qorA.pdf", "Melting_Curves/meltCurve_P28304_qorA.pdf")</f>
        <v>0</v>
      </c>
    </row>
    <row r="1338" spans="1:28">
      <c r="A1338" t="s">
        <v>1364</v>
      </c>
      <c r="B1338">
        <v>0.999739202189716</v>
      </c>
      <c r="C1338">
        <v>0.958006225620665</v>
      </c>
      <c r="D1338">
        <v>0.907093892590967</v>
      </c>
      <c r="E1338">
        <v>0.884536667630814</v>
      </c>
      <c r="F1338">
        <v>0.719002018873917</v>
      </c>
      <c r="G1338">
        <v>0.437203797203809</v>
      </c>
      <c r="H1338">
        <v>0.238532530593265</v>
      </c>
      <c r="I1338">
        <v>0.121365151987508</v>
      </c>
      <c r="J1338">
        <v>0.120061435998038</v>
      </c>
      <c r="K1338">
        <v>0.09894457819208639</v>
      </c>
      <c r="L1338">
        <v>832.450823856637</v>
      </c>
      <c r="M1338">
        <v>15.8531472077931</v>
      </c>
      <c r="N1338">
        <v>52.8968742254651</v>
      </c>
      <c r="O1338">
        <v>51.6958901229305</v>
      </c>
      <c r="P1338">
        <v>-0.07247591225989219</v>
      </c>
      <c r="Q1338">
        <v>0.0547232284960628</v>
      </c>
      <c r="R1338">
        <v>0.994282752359483</v>
      </c>
      <c r="S1338" t="s">
        <v>3531</v>
      </c>
      <c r="T1338" t="s">
        <v>4362</v>
      </c>
      <c r="U1338" t="s">
        <v>4362</v>
      </c>
      <c r="V1338" t="s">
        <v>4362</v>
      </c>
      <c r="W1338" t="s">
        <v>5696</v>
      </c>
      <c r="X1338">
        <v>4</v>
      </c>
      <c r="Y1338" t="s">
        <v>7859</v>
      </c>
      <c r="Z1338" t="s">
        <v>10026</v>
      </c>
      <c r="AA1338">
        <v>0.5599022270096659</v>
      </c>
      <c r="AB1338">
        <f>HYPERLINK("Melting_Curves/meltCurve_P28305_pabC.pdf", "Melting_Curves/meltCurve_P28305_pabC.pdf")</f>
        <v>0</v>
      </c>
    </row>
    <row r="1339" spans="1:28">
      <c r="A1339" t="s">
        <v>1365</v>
      </c>
      <c r="B1339">
        <v>0.999739202189716</v>
      </c>
      <c r="C1339">
        <v>0.950039473414278</v>
      </c>
      <c r="D1339">
        <v>0.859856290520328</v>
      </c>
      <c r="E1339">
        <v>0.795220780201591</v>
      </c>
      <c r="F1339">
        <v>0.448068667325297</v>
      </c>
      <c r="G1339">
        <v>0.127847812643545</v>
      </c>
      <c r="H1339">
        <v>0.09757833855949299</v>
      </c>
      <c r="I1339">
        <v>0.0966693652615961</v>
      </c>
      <c r="J1339">
        <v>0.0863333307824433</v>
      </c>
      <c r="K1339">
        <v>0.139508111085032</v>
      </c>
      <c r="L1339">
        <v>1098.17993852081</v>
      </c>
      <c r="M1339">
        <v>22.4452754509723</v>
      </c>
      <c r="N1339">
        <v>49.3329116902092</v>
      </c>
      <c r="O1339">
        <v>48.5435900784349</v>
      </c>
      <c r="P1339">
        <v>-0.10584964405353</v>
      </c>
      <c r="Q1339">
        <v>0.0843122791047278</v>
      </c>
      <c r="R1339">
        <v>0.985474957836687</v>
      </c>
      <c r="S1339" t="s">
        <v>3532</v>
      </c>
      <c r="T1339" t="s">
        <v>4362</v>
      </c>
      <c r="U1339" t="s">
        <v>4362</v>
      </c>
      <c r="V1339" t="s">
        <v>4362</v>
      </c>
      <c r="W1339" t="s">
        <v>5697</v>
      </c>
      <c r="X1339">
        <v>5</v>
      </c>
      <c r="Y1339" t="s">
        <v>7860</v>
      </c>
      <c r="Z1339" t="s">
        <v>10027</v>
      </c>
      <c r="AA1339">
        <v>0.4580862673397442</v>
      </c>
      <c r="AB1339">
        <f>HYPERLINK("Melting_Curves/meltCurve_P28306_mltG.pdf", "Melting_Curves/meltCurve_P28306_mltG.pdf")</f>
        <v>0</v>
      </c>
    </row>
    <row r="1340" spans="1:28">
      <c r="A1340" t="s">
        <v>1366</v>
      </c>
      <c r="B1340">
        <v>0.999739202189716</v>
      </c>
      <c r="C1340">
        <v>1.33388286608886</v>
      </c>
      <c r="D1340">
        <v>0.944565735097007</v>
      </c>
      <c r="E1340">
        <v>1.39360106503658</v>
      </c>
      <c r="F1340">
        <v>0.711193949830531</v>
      </c>
      <c r="G1340">
        <v>0.606965546597602</v>
      </c>
      <c r="H1340">
        <v>0.349028242856125</v>
      </c>
      <c r="I1340">
        <v>0.270767714061257</v>
      </c>
      <c r="J1340">
        <v>0.248189969582494</v>
      </c>
      <c r="K1340">
        <v>0.23226789321931</v>
      </c>
      <c r="L1340">
        <v>1361.91692180441</v>
      </c>
      <c r="M1340">
        <v>25.6294055252299</v>
      </c>
      <c r="N1340">
        <v>54.5521215232757</v>
      </c>
      <c r="O1340">
        <v>52.8184867008862</v>
      </c>
      <c r="P1340">
        <v>-0.09188034797889209</v>
      </c>
      <c r="Q1340">
        <v>0.242600793507126</v>
      </c>
      <c r="R1340">
        <v>0.824547946196693</v>
      </c>
      <c r="S1340" t="s">
        <v>3533</v>
      </c>
      <c r="T1340" t="s">
        <v>4362</v>
      </c>
      <c r="U1340" t="s">
        <v>4362</v>
      </c>
      <c r="V1340" t="s">
        <v>4362</v>
      </c>
      <c r="W1340" t="s">
        <v>5698</v>
      </c>
      <c r="X1340">
        <v>2</v>
      </c>
      <c r="Y1340" t="s">
        <v>7861</v>
      </c>
      <c r="Z1340" t="s">
        <v>10028</v>
      </c>
      <c r="AA1340">
        <v>0.6564588400749531</v>
      </c>
      <c r="AB1340">
        <f>HYPERLINK("Melting_Curves/meltCurve_P28629_adiA.pdf", "Melting_Curves/meltCurve_P28629_adiA.pdf")</f>
        <v>0</v>
      </c>
    </row>
    <row r="1341" spans="1:28">
      <c r="A1341" t="s">
        <v>1367</v>
      </c>
      <c r="B1341">
        <v>0.999739202189716</v>
      </c>
      <c r="C1341">
        <v>0.667927344659229</v>
      </c>
      <c r="D1341">
        <v>0.421561470338319</v>
      </c>
      <c r="E1341">
        <v>0.398958308941347</v>
      </c>
      <c r="F1341">
        <v>0.427016783866064</v>
      </c>
      <c r="G1341">
        <v>0.328965273113359</v>
      </c>
      <c r="H1341">
        <v>0.373970504276201</v>
      </c>
      <c r="I1341">
        <v>0.302527116000616</v>
      </c>
      <c r="J1341">
        <v>0.397923461687077</v>
      </c>
      <c r="K1341">
        <v>0.185782673723712</v>
      </c>
      <c r="L1341">
        <v>1344.71529800274</v>
      </c>
      <c r="M1341">
        <v>33.6260385176828</v>
      </c>
      <c r="N1341">
        <v>41.4391704189874</v>
      </c>
      <c r="O1341">
        <v>39.8496567058231</v>
      </c>
      <c r="P1341">
        <v>-0.138029619554839</v>
      </c>
      <c r="Q1341">
        <v>0.345696317124382</v>
      </c>
      <c r="R1341">
        <v>0.909653155835925</v>
      </c>
      <c r="S1341" t="s">
        <v>3534</v>
      </c>
      <c r="T1341" t="s">
        <v>4362</v>
      </c>
      <c r="U1341" t="s">
        <v>4362</v>
      </c>
      <c r="V1341" t="s">
        <v>4362</v>
      </c>
      <c r="W1341" t="s">
        <v>5699</v>
      </c>
      <c r="X1341">
        <v>1</v>
      </c>
      <c r="Y1341" t="s">
        <v>7862</v>
      </c>
      <c r="Z1341" t="s">
        <v>10029</v>
      </c>
      <c r="AA1341">
        <v>0.4148309555083244</v>
      </c>
      <c r="AB1341">
        <f>HYPERLINK("Melting_Curves/meltCurve_P28630_holA.pdf", "Melting_Curves/meltCurve_P28630_holA.pdf")</f>
        <v>0</v>
      </c>
    </row>
    <row r="1342" spans="1:28">
      <c r="A1342" t="s">
        <v>1368</v>
      </c>
      <c r="B1342">
        <v>0.999739202189716</v>
      </c>
      <c r="C1342">
        <v>0.954542474965252</v>
      </c>
      <c r="D1342">
        <v>0.934236190232926</v>
      </c>
      <c r="E1342">
        <v>0.822524305512719</v>
      </c>
      <c r="F1342">
        <v>0.6498035305586231</v>
      </c>
      <c r="G1342">
        <v>0.289979588349211</v>
      </c>
      <c r="H1342">
        <v>0.406061610395161</v>
      </c>
      <c r="I1342">
        <v>0.410984768707843</v>
      </c>
      <c r="J1342">
        <v>0.653687602532681</v>
      </c>
      <c r="K1342">
        <v>0.560733092876744</v>
      </c>
      <c r="L1342">
        <v>1430.50306718158</v>
      </c>
      <c r="M1342">
        <v>29.9038007542753</v>
      </c>
      <c r="N1342">
        <v>52.9308330105869</v>
      </c>
      <c r="O1342">
        <v>47.6244382516641</v>
      </c>
      <c r="P1342">
        <v>-0.0829043148610992</v>
      </c>
      <c r="Q1342">
        <v>0.47187381328525</v>
      </c>
      <c r="R1342">
        <v>0.8273285892541929</v>
      </c>
      <c r="S1342" t="s">
        <v>3535</v>
      </c>
      <c r="T1342" t="s">
        <v>4362</v>
      </c>
      <c r="U1342" t="s">
        <v>4362</v>
      </c>
      <c r="V1342" t="s">
        <v>4362</v>
      </c>
      <c r="W1342" t="s">
        <v>5700</v>
      </c>
      <c r="X1342">
        <v>4</v>
      </c>
      <c r="Y1342" t="s">
        <v>7863</v>
      </c>
      <c r="Z1342" t="s">
        <v>10030</v>
      </c>
      <c r="AA1342">
        <v>0.665786137169723</v>
      </c>
      <c r="AB1342">
        <f>HYPERLINK("Melting_Curves/meltCurve_P28634_trmO.pdf", "Melting_Curves/meltCurve_P28634_trmO.pdf")</f>
        <v>0</v>
      </c>
    </row>
    <row r="1343" spans="1:28">
      <c r="A1343" t="s">
        <v>1369</v>
      </c>
      <c r="B1343">
        <v>0.999739202189716</v>
      </c>
      <c r="C1343">
        <v>0.850800950493725</v>
      </c>
      <c r="D1343">
        <v>0.83189360244093</v>
      </c>
      <c r="E1343">
        <v>0.784623637254551</v>
      </c>
      <c r="F1343">
        <v>0.914389128656813</v>
      </c>
      <c r="G1343">
        <v>0.722845384242355</v>
      </c>
      <c r="H1343">
        <v>0.821156403603354</v>
      </c>
      <c r="I1343">
        <v>0.755155387223899</v>
      </c>
      <c r="J1343">
        <v>0.702265949371221</v>
      </c>
      <c r="K1343">
        <v>0.441833223520201</v>
      </c>
      <c r="L1343">
        <v>205.061197828951</v>
      </c>
      <c r="M1343">
        <v>2.61405206386868</v>
      </c>
      <c r="O1343">
        <v>54.1267962998462</v>
      </c>
      <c r="P1343">
        <v>-0.0126218350432847</v>
      </c>
      <c r="Q1343">
        <v>0</v>
      </c>
      <c r="R1343">
        <v>0.614386582041903</v>
      </c>
      <c r="S1343" t="s">
        <v>3536</v>
      </c>
      <c r="T1343" t="s">
        <v>4362</v>
      </c>
      <c r="U1343" t="s">
        <v>4362</v>
      </c>
      <c r="V1343" t="s">
        <v>4362</v>
      </c>
      <c r="W1343" t="s">
        <v>5701</v>
      </c>
      <c r="X1343">
        <v>11</v>
      </c>
      <c r="Y1343" t="s">
        <v>7864</v>
      </c>
      <c r="Z1343" t="s">
        <v>10031</v>
      </c>
      <c r="AA1343">
        <v>0.7873924312890594</v>
      </c>
      <c r="AB1343">
        <f>HYPERLINK("Melting_Curves/meltCurve_P28635_metQ.pdf", "Melting_Curves/meltCurve_P28635_metQ.pdf")</f>
        <v>0</v>
      </c>
    </row>
    <row r="1344" spans="1:28">
      <c r="A1344" t="s">
        <v>1370</v>
      </c>
      <c r="B1344">
        <v>0.999739202189716</v>
      </c>
      <c r="C1344">
        <v>0.9239432116872029</v>
      </c>
      <c r="D1344">
        <v>0.8039035313299721</v>
      </c>
      <c r="E1344">
        <v>0.823925806798425</v>
      </c>
      <c r="F1344">
        <v>0.43136945335704</v>
      </c>
      <c r="G1344">
        <v>0.28059048043945</v>
      </c>
      <c r="H1344">
        <v>0.13527262837618</v>
      </c>
      <c r="I1344">
        <v>0.09247000405299979</v>
      </c>
      <c r="J1344">
        <v>0.077999079818039</v>
      </c>
      <c r="K1344">
        <v>0.0707355080555869</v>
      </c>
      <c r="L1344">
        <v>687.936651696117</v>
      </c>
      <c r="M1344">
        <v>13.870560641269</v>
      </c>
      <c r="N1344">
        <v>49.8153250613733</v>
      </c>
      <c r="O1344">
        <v>48.6000910223783</v>
      </c>
      <c r="P1344">
        <v>-0.06925484039066671</v>
      </c>
      <c r="Q1344">
        <v>0.0295043319561834</v>
      </c>
      <c r="R1344">
        <v>0.98151346727698</v>
      </c>
      <c r="S1344" t="s">
        <v>3537</v>
      </c>
      <c r="T1344" t="s">
        <v>4362</v>
      </c>
      <c r="U1344" t="s">
        <v>4362</v>
      </c>
      <c r="V1344" t="s">
        <v>4362</v>
      </c>
      <c r="W1344" t="s">
        <v>5702</v>
      </c>
      <c r="X1344">
        <v>4</v>
      </c>
      <c r="Y1344" t="s">
        <v>7865</v>
      </c>
      <c r="Z1344" t="s">
        <v>10032</v>
      </c>
      <c r="AA1344">
        <v>0.4600247505866426</v>
      </c>
      <c r="AB1344">
        <f>HYPERLINK("Melting_Curves/meltCurve_P28861_fpr.pdf", "Melting_Curves/meltCurve_P28861_fpr.pdf")</f>
        <v>0</v>
      </c>
    </row>
    <row r="1345" spans="1:28">
      <c r="A1345" t="s">
        <v>1371</v>
      </c>
      <c r="B1345">
        <v>0.999739202189716</v>
      </c>
      <c r="C1345">
        <v>0.816298098682777</v>
      </c>
      <c r="D1345">
        <v>0.344613033881195</v>
      </c>
      <c r="E1345">
        <v>0.176606246431606</v>
      </c>
      <c r="F1345">
        <v>0.100714874245864</v>
      </c>
      <c r="G1345">
        <v>0.0627457171663601</v>
      </c>
      <c r="H1345">
        <v>0.07040661439451849</v>
      </c>
      <c r="I1345">
        <v>0.0539484623161845</v>
      </c>
      <c r="J1345">
        <v>0.06945815835063909</v>
      </c>
      <c r="K1345">
        <v>0.0438600982975651</v>
      </c>
      <c r="L1345">
        <v>1149.06766922235</v>
      </c>
      <c r="M1345">
        <v>27.4691750314365</v>
      </c>
      <c r="N1345">
        <v>42.0649381225888</v>
      </c>
      <c r="O1345">
        <v>41.6113642129771</v>
      </c>
      <c r="P1345">
        <v>-0.153353171457819</v>
      </c>
      <c r="Q1345">
        <v>0.0707876482179096</v>
      </c>
      <c r="R1345">
        <v>0.994781082738336</v>
      </c>
      <c r="S1345" t="s">
        <v>3538</v>
      </c>
      <c r="T1345" t="s">
        <v>4362</v>
      </c>
      <c r="U1345" t="s">
        <v>4362</v>
      </c>
      <c r="V1345" t="s">
        <v>4362</v>
      </c>
      <c r="W1345" t="s">
        <v>5703</v>
      </c>
      <c r="X1345">
        <v>1</v>
      </c>
      <c r="Y1345" t="s">
        <v>7866</v>
      </c>
      <c r="Z1345" t="s">
        <v>10033</v>
      </c>
      <c r="AA1345">
        <v>0.2271278361597121</v>
      </c>
      <c r="AB1345">
        <f>HYPERLINK("Melting_Curves/meltCurve_P28903_nrdD.pdf", "Melting_Curves/meltCurve_P28903_nrdD.pdf")</f>
        <v>0</v>
      </c>
    </row>
    <row r="1346" spans="1:28">
      <c r="A1346" t="s">
        <v>1372</v>
      </c>
      <c r="B1346">
        <v>0.999739202189716</v>
      </c>
      <c r="C1346">
        <v>1.21032446987495</v>
      </c>
      <c r="D1346">
        <v>0.9881843485717861</v>
      </c>
      <c r="E1346">
        <v>0.653069147062621</v>
      </c>
      <c r="F1346">
        <v>0.226363367451267</v>
      </c>
      <c r="G1346">
        <v>0.134667671258864</v>
      </c>
      <c r="H1346">
        <v>0.108924491633423</v>
      </c>
      <c r="I1346">
        <v>0.0843804009810307</v>
      </c>
      <c r="J1346">
        <v>0.0802841882145026</v>
      </c>
      <c r="K1346">
        <v>0.0607296811338544</v>
      </c>
      <c r="L1346">
        <v>1522.8163259262</v>
      </c>
      <c r="M1346">
        <v>32.1373743699859</v>
      </c>
      <c r="N1346">
        <v>47.6778388600483</v>
      </c>
      <c r="O1346">
        <v>47.2022494167639</v>
      </c>
      <c r="P1346">
        <v>-0.154948258959682</v>
      </c>
      <c r="Q1346">
        <v>0.08967421616207261</v>
      </c>
      <c r="R1346">
        <v>0.974874926672349</v>
      </c>
      <c r="S1346" t="s">
        <v>3539</v>
      </c>
      <c r="T1346" t="s">
        <v>4362</v>
      </c>
      <c r="U1346" t="s">
        <v>4362</v>
      </c>
      <c r="V1346" t="s">
        <v>4362</v>
      </c>
      <c r="W1346" t="s">
        <v>5704</v>
      </c>
      <c r="X1346">
        <v>10</v>
      </c>
      <c r="Y1346" t="s">
        <v>7867</v>
      </c>
      <c r="Z1346" t="s">
        <v>10034</v>
      </c>
      <c r="AA1346">
        <v>0.4094245899639896</v>
      </c>
      <c r="AB1346">
        <f>HYPERLINK("Melting_Curves/meltCurve_P28904_treC.pdf", "Melting_Curves/meltCurve_P28904_treC.pdf")</f>
        <v>0</v>
      </c>
    </row>
    <row r="1347" spans="1:28">
      <c r="A1347" t="s">
        <v>1373</v>
      </c>
      <c r="B1347">
        <v>0.999739202189716</v>
      </c>
      <c r="C1347">
        <v>0.901051869829106</v>
      </c>
      <c r="D1347">
        <v>1.10665240655576</v>
      </c>
      <c r="E1347">
        <v>0.795571195172828</v>
      </c>
      <c r="F1347">
        <v>0.356752451103505</v>
      </c>
      <c r="G1347">
        <v>0.176158467160362</v>
      </c>
      <c r="H1347">
        <v>0.10875829126025</v>
      </c>
      <c r="I1347">
        <v>0.08278525457058181</v>
      </c>
      <c r="J1347">
        <v>0.08004479200785319</v>
      </c>
      <c r="K1347">
        <v>0.0599675184767002</v>
      </c>
      <c r="L1347">
        <v>1419.80920733133</v>
      </c>
      <c r="M1347">
        <v>29.1094143263332</v>
      </c>
      <c r="N1347">
        <v>49.0911308464847</v>
      </c>
      <c r="O1347">
        <v>48.5464654120942</v>
      </c>
      <c r="P1347">
        <v>-0.137090884224142</v>
      </c>
      <c r="Q1347">
        <v>0.0854877500805357</v>
      </c>
      <c r="R1347">
        <v>0.983640224691705</v>
      </c>
      <c r="S1347" t="s">
        <v>3540</v>
      </c>
      <c r="T1347" t="s">
        <v>4362</v>
      </c>
      <c r="U1347" t="s">
        <v>4362</v>
      </c>
      <c r="V1347" t="s">
        <v>4362</v>
      </c>
      <c r="W1347" t="s">
        <v>5705</v>
      </c>
      <c r="X1347">
        <v>2</v>
      </c>
      <c r="Y1347" t="s">
        <v>7868</v>
      </c>
      <c r="Z1347" t="s">
        <v>10035</v>
      </c>
      <c r="AA1347">
        <v>0.450265413639387</v>
      </c>
      <c r="AB1347">
        <f>HYPERLINK("Melting_Curves/meltCurve_P28905_holC.pdf", "Melting_Curves/meltCurve_P28905_holC.pdf")</f>
        <v>0</v>
      </c>
    </row>
    <row r="1348" spans="1:28">
      <c r="A1348" t="s">
        <v>1374</v>
      </c>
      <c r="B1348">
        <v>0.999739202189716</v>
      </c>
      <c r="C1348">
        <v>1.11044365148349</v>
      </c>
      <c r="D1348">
        <v>1.23178841899988</v>
      </c>
      <c r="E1348">
        <v>1.16219029324434</v>
      </c>
      <c r="F1348">
        <v>0.698848839142964</v>
      </c>
      <c r="G1348">
        <v>0.702651312972861</v>
      </c>
      <c r="H1348">
        <v>0.368772056689706</v>
      </c>
      <c r="I1348">
        <v>0.425826987301732</v>
      </c>
      <c r="J1348">
        <v>0.298965603517729</v>
      </c>
      <c r="K1348">
        <v>0.250274805374434</v>
      </c>
      <c r="L1348">
        <v>1093.74412779569</v>
      </c>
      <c r="M1348">
        <v>20.4287430315955</v>
      </c>
      <c r="N1348">
        <v>55.8327144435347</v>
      </c>
      <c r="O1348">
        <v>53.0343619836614</v>
      </c>
      <c r="P1348">
        <v>-0.0689577120510749</v>
      </c>
      <c r="Q1348">
        <v>0.283946356961287</v>
      </c>
      <c r="R1348">
        <v>0.884522864151484</v>
      </c>
      <c r="S1348" t="s">
        <v>3541</v>
      </c>
      <c r="T1348" t="s">
        <v>4362</v>
      </c>
      <c r="U1348" t="s">
        <v>4362</v>
      </c>
      <c r="V1348" t="s">
        <v>4362</v>
      </c>
      <c r="W1348" t="s">
        <v>5706</v>
      </c>
      <c r="X1348">
        <v>8</v>
      </c>
      <c r="Y1348" t="s">
        <v>7869</v>
      </c>
      <c r="Z1348" t="s">
        <v>10036</v>
      </c>
      <c r="AA1348">
        <v>0.6873071932580148</v>
      </c>
      <c r="AB1348">
        <f>HYPERLINK("Melting_Curves/meltCurve_P29012_dadX.pdf", "Melting_Curves/meltCurve_P29012_dadX.pdf")</f>
        <v>0</v>
      </c>
    </row>
    <row r="1349" spans="1:28">
      <c r="A1349" t="s">
        <v>1375</v>
      </c>
      <c r="B1349">
        <v>0.999739202189716</v>
      </c>
      <c r="C1349">
        <v>1.13485405673518</v>
      </c>
      <c r="D1349">
        <v>1.17120075968974</v>
      </c>
      <c r="E1349">
        <v>0.956730690024755</v>
      </c>
      <c r="F1349">
        <v>0.914116747351986</v>
      </c>
      <c r="G1349">
        <v>0.591925483764431</v>
      </c>
      <c r="H1349">
        <v>0.200339403946456</v>
      </c>
      <c r="I1349">
        <v>0.120061727189599</v>
      </c>
      <c r="J1349">
        <v>0.114064806027008</v>
      </c>
      <c r="K1349">
        <v>0.09331830866347279</v>
      </c>
      <c r="L1349">
        <v>1732.52950777093</v>
      </c>
      <c r="M1349">
        <v>32.0598333939318</v>
      </c>
      <c r="N1349">
        <v>54.4015733856383</v>
      </c>
      <c r="O1349">
        <v>53.8315478501336</v>
      </c>
      <c r="P1349">
        <v>-0.134621133955628</v>
      </c>
      <c r="Q1349">
        <v>0.09583712436836191</v>
      </c>
      <c r="R1349">
        <v>0.97341633696631</v>
      </c>
      <c r="S1349" t="s">
        <v>3542</v>
      </c>
      <c r="T1349" t="s">
        <v>4362</v>
      </c>
      <c r="U1349" t="s">
        <v>4362</v>
      </c>
      <c r="V1349" t="s">
        <v>4362</v>
      </c>
      <c r="W1349" t="s">
        <v>5707</v>
      </c>
      <c r="X1349">
        <v>4</v>
      </c>
      <c r="Y1349" t="s">
        <v>7870</v>
      </c>
      <c r="Z1349" t="s">
        <v>10037</v>
      </c>
      <c r="AA1349">
        <v>0.614530226014147</v>
      </c>
      <c r="AB1349">
        <f>HYPERLINK("Melting_Curves/meltCurve_P29013_ycgB.pdf", "Melting_Curves/meltCurve_P29013_ycgB.pdf")</f>
        <v>0</v>
      </c>
    </row>
    <row r="1350" spans="1:28">
      <c r="A1350" t="s">
        <v>1376</v>
      </c>
      <c r="B1350">
        <v>0.999739202189716</v>
      </c>
      <c r="C1350">
        <v>0.757541776507239</v>
      </c>
      <c r="D1350">
        <v>0.490826564443281</v>
      </c>
      <c r="E1350">
        <v>0.31805446253798</v>
      </c>
      <c r="F1350">
        <v>0.211324592768862</v>
      </c>
      <c r="G1350">
        <v>0.13600176273625</v>
      </c>
      <c r="H1350">
        <v>0.108404501664938</v>
      </c>
      <c r="I1350">
        <v>0.0854395952024667</v>
      </c>
      <c r="J1350">
        <v>0.0757936683402966</v>
      </c>
      <c r="K1350">
        <v>0.0750039410821037</v>
      </c>
      <c r="L1350">
        <v>643.532964100092</v>
      </c>
      <c r="M1350">
        <v>15.0161798504807</v>
      </c>
      <c r="N1350">
        <v>43.3987954738035</v>
      </c>
      <c r="O1350">
        <v>42.1174836008869</v>
      </c>
      <c r="P1350">
        <v>-0.08150956493651321</v>
      </c>
      <c r="Q1350">
        <v>0.08561803254768161</v>
      </c>
      <c r="R1350">
        <v>0.989205971929037</v>
      </c>
      <c r="S1350" t="s">
        <v>3543</v>
      </c>
      <c r="T1350" t="s">
        <v>4362</v>
      </c>
      <c r="U1350" t="s">
        <v>4362</v>
      </c>
      <c r="V1350" t="s">
        <v>4362</v>
      </c>
      <c r="W1350" t="s">
        <v>5708</v>
      </c>
      <c r="X1350">
        <v>5</v>
      </c>
      <c r="Y1350" t="s">
        <v>7871</v>
      </c>
      <c r="Z1350" t="s">
        <v>10038</v>
      </c>
      <c r="AA1350">
        <v>0.2884740578262839</v>
      </c>
      <c r="AB1350">
        <f>HYPERLINK("Melting_Curves/meltCurve_P29018_cydD.pdf", "Melting_Curves/meltCurve_P29018_cydD.pdf")</f>
        <v>0</v>
      </c>
    </row>
    <row r="1351" spans="1:28">
      <c r="A1351" t="s">
        <v>1377</v>
      </c>
      <c r="B1351">
        <v>0.999739202189716</v>
      </c>
      <c r="C1351">
        <v>1.02193196192975</v>
      </c>
      <c r="D1351">
        <v>0.970793583925194</v>
      </c>
      <c r="E1351">
        <v>1.06159274504737</v>
      </c>
      <c r="F1351">
        <v>0.930412588897658</v>
      </c>
      <c r="G1351">
        <v>0.779681363671186</v>
      </c>
      <c r="H1351">
        <v>0.665873497774873</v>
      </c>
      <c r="I1351">
        <v>0.499651658632322</v>
      </c>
      <c r="J1351">
        <v>0.477491609719669</v>
      </c>
      <c r="K1351">
        <v>0.372454673305889</v>
      </c>
      <c r="L1351">
        <v>908.838611619802</v>
      </c>
      <c r="M1351">
        <v>15.9867669061685</v>
      </c>
      <c r="N1351">
        <v>61.4074011393221</v>
      </c>
      <c r="O1351">
        <v>55.9822182983044</v>
      </c>
      <c r="P1351">
        <v>-0.0465960299642742</v>
      </c>
      <c r="Q1351">
        <v>0.347374231986953</v>
      </c>
      <c r="R1351">
        <v>0.9808546017517979</v>
      </c>
      <c r="S1351" t="s">
        <v>3544</v>
      </c>
      <c r="T1351" t="s">
        <v>4362</v>
      </c>
      <c r="U1351" t="s">
        <v>4362</v>
      </c>
      <c r="V1351" t="s">
        <v>4362</v>
      </c>
      <c r="W1351" t="s">
        <v>5709</v>
      </c>
      <c r="X1351">
        <v>18</v>
      </c>
      <c r="Y1351" t="s">
        <v>7872</v>
      </c>
      <c r="Z1351" t="s">
        <v>10039</v>
      </c>
      <c r="AA1351">
        <v>0.7851321608544592</v>
      </c>
      <c r="AB1351">
        <f>HYPERLINK("Melting_Curves/meltCurve_P29131_ftsN.pdf", "Melting_Curves/meltCurve_P29131_ftsN.pdf")</f>
        <v>0</v>
      </c>
    </row>
    <row r="1352" spans="1:28">
      <c r="A1352" t="s">
        <v>1378</v>
      </c>
      <c r="B1352">
        <v>0.999739202189716</v>
      </c>
      <c r="C1352">
        <v>0.875117624467206</v>
      </c>
      <c r="D1352">
        <v>0.696977727002455</v>
      </c>
      <c r="E1352">
        <v>0.520835527059085</v>
      </c>
      <c r="F1352">
        <v>0.279555482524159</v>
      </c>
      <c r="G1352">
        <v>0.189333890981342</v>
      </c>
      <c r="H1352">
        <v>0.157750484291704</v>
      </c>
      <c r="I1352">
        <v>0.11087755839304</v>
      </c>
      <c r="J1352">
        <v>0.100061981532212</v>
      </c>
      <c r="K1352">
        <v>0.0866853247349625</v>
      </c>
      <c r="L1352">
        <v>597.005412977705</v>
      </c>
      <c r="M1352">
        <v>13.0366145145295</v>
      </c>
      <c r="N1352">
        <v>46.4001505770538</v>
      </c>
      <c r="O1352">
        <v>44.7571393039592</v>
      </c>
      <c r="P1352">
        <v>-0.0671333565937839</v>
      </c>
      <c r="Q1352">
        <v>0.0782351958826961</v>
      </c>
      <c r="R1352">
        <v>0.996029135733701</v>
      </c>
      <c r="S1352" t="s">
        <v>3545</v>
      </c>
      <c r="T1352" t="s">
        <v>4362</v>
      </c>
      <c r="U1352" t="s">
        <v>4362</v>
      </c>
      <c r="V1352" t="s">
        <v>4362</v>
      </c>
      <c r="W1352" t="s">
        <v>5710</v>
      </c>
      <c r="X1352">
        <v>7</v>
      </c>
      <c r="Y1352" t="s">
        <v>7873</v>
      </c>
      <c r="Z1352" t="s">
        <v>10040</v>
      </c>
      <c r="AA1352">
        <v>0.3762106772802825</v>
      </c>
      <c r="AB1352">
        <f>HYPERLINK("Melting_Curves/meltCurve_P29208_menC.pdf", "Melting_Curves/meltCurve_P29208_menC.pdf")</f>
        <v>0</v>
      </c>
    </row>
    <row r="1353" spans="1:28">
      <c r="A1353" t="s">
        <v>1379</v>
      </c>
      <c r="B1353">
        <v>0.999739202189716</v>
      </c>
      <c r="C1353">
        <v>0.857369016482761</v>
      </c>
      <c r="D1353">
        <v>1.1274231660132</v>
      </c>
      <c r="E1353">
        <v>0.986051083063806</v>
      </c>
      <c r="F1353">
        <v>0.397655387399729</v>
      </c>
      <c r="G1353">
        <v>0.109551067045076</v>
      </c>
      <c r="H1353">
        <v>0.07248502088409681</v>
      </c>
      <c r="I1353">
        <v>0.0524360190668863</v>
      </c>
      <c r="J1353">
        <v>0.0419663397970019</v>
      </c>
      <c r="K1353">
        <v>0.0361327665395982</v>
      </c>
      <c r="L1353">
        <v>2596.28226658801</v>
      </c>
      <c r="M1353">
        <v>52.2708092624728</v>
      </c>
      <c r="N1353">
        <v>49.7880541788272</v>
      </c>
      <c r="O1353">
        <v>49.5972923261285</v>
      </c>
      <c r="P1353">
        <v>-0.248099208461827</v>
      </c>
      <c r="Q1353">
        <v>0.0583623917532703</v>
      </c>
      <c r="R1353">
        <v>0.980148969589402</v>
      </c>
      <c r="S1353" t="s">
        <v>3546</v>
      </c>
      <c r="T1353" t="s">
        <v>4362</v>
      </c>
      <c r="U1353" t="s">
        <v>4362</v>
      </c>
      <c r="V1353" t="s">
        <v>4362</v>
      </c>
      <c r="W1353" t="s">
        <v>5711</v>
      </c>
      <c r="X1353">
        <v>4</v>
      </c>
      <c r="Y1353" t="s">
        <v>7874</v>
      </c>
      <c r="Z1353" t="s">
        <v>10041</v>
      </c>
      <c r="AA1353">
        <v>0.4579287876018481</v>
      </c>
      <c r="AB1353">
        <f>HYPERLINK("Melting_Curves/meltCurve_P29217_yceH.pdf", "Melting_Curves/meltCurve_P29217_yceH.pdf")</f>
        <v>0</v>
      </c>
    </row>
    <row r="1354" spans="1:28">
      <c r="A1354" t="s">
        <v>1380</v>
      </c>
      <c r="B1354">
        <v>0.999739202189716</v>
      </c>
      <c r="C1354">
        <v>0.735127156508313</v>
      </c>
      <c r="D1354">
        <v>0.679681652970932</v>
      </c>
      <c r="E1354">
        <v>0.421257046500888</v>
      </c>
      <c r="F1354">
        <v>0.258014900547014</v>
      </c>
      <c r="G1354">
        <v>0.162343368143428</v>
      </c>
      <c r="H1354">
        <v>0.114375554293077</v>
      </c>
      <c r="I1354">
        <v>0.0870190974821284</v>
      </c>
      <c r="J1354">
        <v>0.0663843890211141</v>
      </c>
      <c r="K1354">
        <v>0.0674396730450032</v>
      </c>
      <c r="L1354">
        <v>520.409886197067</v>
      </c>
      <c r="M1354">
        <v>11.5848680104312</v>
      </c>
      <c r="N1354">
        <v>45.2662500330255</v>
      </c>
      <c r="O1354">
        <v>43.6455886167019</v>
      </c>
      <c r="P1354">
        <v>-0.06357345438698619</v>
      </c>
      <c r="Q1354">
        <v>0.0422214545272371</v>
      </c>
      <c r="R1354">
        <v>0.986202335553561</v>
      </c>
      <c r="S1354" t="s">
        <v>3547</v>
      </c>
      <c r="T1354" t="s">
        <v>4362</v>
      </c>
      <c r="U1354" t="s">
        <v>4362</v>
      </c>
      <c r="V1354" t="s">
        <v>4362</v>
      </c>
      <c r="W1354" t="s">
        <v>5712</v>
      </c>
      <c r="X1354">
        <v>7</v>
      </c>
      <c r="Y1354" t="s">
        <v>7875</v>
      </c>
      <c r="Z1354" t="s">
        <v>10042</v>
      </c>
      <c r="AA1354">
        <v>0.3323826267555127</v>
      </c>
      <c r="AB1354">
        <f>HYPERLINK("Melting_Curves/meltCurve_P29680_hemE.pdf", "Melting_Curves/meltCurve_P29680_hemE.pdf")</f>
        <v>0</v>
      </c>
    </row>
    <row r="1355" spans="1:28">
      <c r="A1355" t="s">
        <v>1381</v>
      </c>
      <c r="B1355">
        <v>0.999739202189716</v>
      </c>
      <c r="C1355">
        <v>1.04354212401836</v>
      </c>
      <c r="D1355">
        <v>1.01161696797727</v>
      </c>
      <c r="E1355">
        <v>0.736314009505622</v>
      </c>
      <c r="F1355">
        <v>0.442968314171991</v>
      </c>
      <c r="G1355">
        <v>0.256659698776095</v>
      </c>
      <c r="H1355">
        <v>0.078554067666658</v>
      </c>
      <c r="I1355">
        <v>0.0562031471333267</v>
      </c>
      <c r="J1355">
        <v>0.0433413663361725</v>
      </c>
      <c r="K1355">
        <v>0.0413592473817454</v>
      </c>
      <c r="L1355">
        <v>925.394956786214</v>
      </c>
      <c r="M1355">
        <v>18.688069278102</v>
      </c>
      <c r="N1355">
        <v>49.6966767891809</v>
      </c>
      <c r="O1355">
        <v>48.9614031017268</v>
      </c>
      <c r="P1355">
        <v>-0.0923252225768182</v>
      </c>
      <c r="Q1355">
        <v>0.0324992892220961</v>
      </c>
      <c r="R1355">
        <v>0.99344738287554</v>
      </c>
      <c r="S1355" t="s">
        <v>3548</v>
      </c>
      <c r="T1355" t="s">
        <v>4362</v>
      </c>
      <c r="U1355" t="s">
        <v>4362</v>
      </c>
      <c r="V1355" t="s">
        <v>4362</v>
      </c>
      <c r="W1355" t="s">
        <v>5713</v>
      </c>
      <c r="X1355">
        <v>10</v>
      </c>
      <c r="Y1355" t="s">
        <v>7876</v>
      </c>
      <c r="Z1355" t="s">
        <v>10043</v>
      </c>
      <c r="AA1355">
        <v>0.450569989210804</v>
      </c>
      <c r="AB1355">
        <f>HYPERLINK("Melting_Curves/meltCurve_P29745_pepT.pdf", "Melting_Curves/meltCurve_P29745_pepT.pdf")</f>
        <v>0</v>
      </c>
    </row>
    <row r="1356" spans="1:28">
      <c r="A1356" t="s">
        <v>1382</v>
      </c>
      <c r="B1356">
        <v>0.999739202189716</v>
      </c>
      <c r="C1356">
        <v>0.958954294137581</v>
      </c>
      <c r="D1356">
        <v>0.767574699878712</v>
      </c>
      <c r="E1356">
        <v>0.705497473148898</v>
      </c>
      <c r="F1356">
        <v>0.262060606291008</v>
      </c>
      <c r="G1356">
        <v>0.176379644485559</v>
      </c>
      <c r="H1356">
        <v>0.159249837942081</v>
      </c>
      <c r="I1356">
        <v>0.11577605464942</v>
      </c>
      <c r="J1356">
        <v>0.119483534490351</v>
      </c>
      <c r="K1356">
        <v>0.107552593654878</v>
      </c>
      <c r="L1356">
        <v>815.561575311938</v>
      </c>
      <c r="M1356">
        <v>17.2859969344115</v>
      </c>
      <c r="N1356">
        <v>47.7862972830472</v>
      </c>
      <c r="O1356">
        <v>46.5626158407119</v>
      </c>
      <c r="P1356">
        <v>-0.08368296698734511</v>
      </c>
      <c r="Q1356">
        <v>0.0983977591022399</v>
      </c>
      <c r="R1356">
        <v>0.979291138477028</v>
      </c>
      <c r="S1356" t="s">
        <v>3549</v>
      </c>
      <c r="T1356" t="s">
        <v>4362</v>
      </c>
      <c r="U1356" t="s">
        <v>4362</v>
      </c>
      <c r="V1356" t="s">
        <v>4362</v>
      </c>
      <c r="W1356" t="s">
        <v>5714</v>
      </c>
      <c r="X1356">
        <v>7</v>
      </c>
      <c r="Y1356" t="s">
        <v>7877</v>
      </c>
      <c r="Z1356" t="s">
        <v>10044</v>
      </c>
      <c r="AA1356">
        <v>0.4199628676965024</v>
      </c>
      <c r="AB1356">
        <f>HYPERLINK("Melting_Curves/meltCurve_P30011_nadC.pdf", "Melting_Curves/meltCurve_P30011_nadC.pdf")</f>
        <v>0</v>
      </c>
    </row>
    <row r="1357" spans="1:28">
      <c r="A1357" t="s">
        <v>1383</v>
      </c>
      <c r="B1357">
        <v>0.999739202189716</v>
      </c>
      <c r="C1357">
        <v>0.806260589310648</v>
      </c>
      <c r="D1357">
        <v>0.568334435947483</v>
      </c>
      <c r="E1357">
        <v>0.374324393544977</v>
      </c>
      <c r="F1357">
        <v>0.355652916570713</v>
      </c>
      <c r="G1357">
        <v>0.176021623170004</v>
      </c>
      <c r="H1357">
        <v>0.17132710124766</v>
      </c>
      <c r="I1357">
        <v>0.135142737689973</v>
      </c>
      <c r="J1357">
        <v>0.155489830878398</v>
      </c>
      <c r="K1357">
        <v>0.11004349411329</v>
      </c>
      <c r="L1357">
        <v>574.625361828052</v>
      </c>
      <c r="M1357">
        <v>13.1475389203329</v>
      </c>
      <c r="N1357">
        <v>44.7330417280539</v>
      </c>
      <c r="O1357">
        <v>42.7319042648615</v>
      </c>
      <c r="P1357">
        <v>-0.06690839199093231</v>
      </c>
      <c r="Q1357">
        <v>0.130289038090072</v>
      </c>
      <c r="R1357">
        <v>0.979506361455159</v>
      </c>
      <c r="S1357" t="s">
        <v>3550</v>
      </c>
      <c r="T1357" t="s">
        <v>4362</v>
      </c>
      <c r="U1357" t="s">
        <v>4362</v>
      </c>
      <c r="V1357" t="s">
        <v>4362</v>
      </c>
      <c r="W1357" t="s">
        <v>5715</v>
      </c>
      <c r="X1357">
        <v>2</v>
      </c>
      <c r="Y1357" t="s">
        <v>7878</v>
      </c>
      <c r="Z1357" t="s">
        <v>10045</v>
      </c>
      <c r="AA1357">
        <v>0.3534293111306009</v>
      </c>
      <c r="AB1357">
        <f>HYPERLINK("Melting_Curves/meltCurve_P30014_rnt.pdf", "Melting_Curves/meltCurve_P30014_rnt.pdf")</f>
        <v>0</v>
      </c>
    </row>
    <row r="1358" spans="1:28">
      <c r="A1358" t="s">
        <v>1384</v>
      </c>
      <c r="B1358">
        <v>0.999739202189716</v>
      </c>
      <c r="C1358">
        <v>1.0323872323396</v>
      </c>
      <c r="D1358">
        <v>0.943032382013416</v>
      </c>
      <c r="E1358">
        <v>0.88595694981702</v>
      </c>
      <c r="F1358">
        <v>0.956759990398634</v>
      </c>
      <c r="G1358">
        <v>0.875124003910691</v>
      </c>
      <c r="H1358">
        <v>0.8173018200636361</v>
      </c>
      <c r="I1358">
        <v>0.725067002495397</v>
      </c>
      <c r="J1358">
        <v>0.751376428779045</v>
      </c>
      <c r="K1358">
        <v>0.467329286982313</v>
      </c>
      <c r="L1358">
        <v>499.137542954623</v>
      </c>
      <c r="M1358">
        <v>7.21006046857874</v>
      </c>
      <c r="O1358">
        <v>64.497075499581</v>
      </c>
      <c r="P1358">
        <v>-0.027993725683736</v>
      </c>
      <c r="Q1358">
        <v>0</v>
      </c>
      <c r="R1358">
        <v>0.8724486290249071</v>
      </c>
      <c r="S1358" t="s">
        <v>3551</v>
      </c>
      <c r="T1358" t="s">
        <v>4362</v>
      </c>
      <c r="U1358" t="s">
        <v>4362</v>
      </c>
      <c r="V1358" t="s">
        <v>4362</v>
      </c>
      <c r="W1358" t="s">
        <v>5716</v>
      </c>
      <c r="X1358">
        <v>6</v>
      </c>
      <c r="Y1358" t="s">
        <v>7879</v>
      </c>
      <c r="Z1358" t="s">
        <v>10046</v>
      </c>
      <c r="AA1358">
        <v>0.8646356937282478</v>
      </c>
      <c r="AB1358">
        <f>HYPERLINK("Melting_Curves/meltCurve_P30125_leuB.pdf", "Melting_Curves/meltCurve_P30125_leuB.pdf")</f>
        <v>0</v>
      </c>
    </row>
    <row r="1359" spans="1:28">
      <c r="A1359" t="s">
        <v>1385</v>
      </c>
      <c r="B1359">
        <v>0.999739202189716</v>
      </c>
      <c r="C1359">
        <v>1.02034137916181</v>
      </c>
      <c r="D1359">
        <v>0.855043360668835</v>
      </c>
      <c r="E1359">
        <v>0.98411458181331</v>
      </c>
      <c r="F1359">
        <v>0.829446645050783</v>
      </c>
      <c r="G1359">
        <v>0.622114177288419</v>
      </c>
      <c r="H1359">
        <v>0.541238352811982</v>
      </c>
      <c r="I1359">
        <v>0.400554615388346</v>
      </c>
      <c r="J1359">
        <v>0.285189209458734</v>
      </c>
      <c r="K1359">
        <v>0.287680044878588</v>
      </c>
      <c r="L1359">
        <v>634.10100293989</v>
      </c>
      <c r="M1359">
        <v>11.3756686801249</v>
      </c>
      <c r="N1359">
        <v>57.7417242152709</v>
      </c>
      <c r="O1359">
        <v>54.1026495082358</v>
      </c>
      <c r="P1359">
        <v>-0.044019574663885</v>
      </c>
      <c r="Q1359">
        <v>0.162819949038262</v>
      </c>
      <c r="R1359">
        <v>0.96998021201429</v>
      </c>
      <c r="S1359" t="s">
        <v>3552</v>
      </c>
      <c r="T1359" t="s">
        <v>4362</v>
      </c>
      <c r="U1359" t="s">
        <v>4362</v>
      </c>
      <c r="V1359" t="s">
        <v>4362</v>
      </c>
      <c r="W1359" t="s">
        <v>5717</v>
      </c>
      <c r="X1359">
        <v>2</v>
      </c>
      <c r="Y1359" t="s">
        <v>7880</v>
      </c>
      <c r="Z1359" t="s">
        <v>10047</v>
      </c>
      <c r="AA1359">
        <v>0.6944222417106795</v>
      </c>
      <c r="AB1359">
        <f>HYPERLINK("Melting_Curves/meltCurve_P30126_leuD.pdf", "Melting_Curves/meltCurve_P30126_leuD.pdf")</f>
        <v>0</v>
      </c>
    </row>
    <row r="1360" spans="1:28">
      <c r="A1360" t="s">
        <v>1386</v>
      </c>
      <c r="B1360">
        <v>0.999739202189716</v>
      </c>
      <c r="C1360">
        <v>0.554105083208126</v>
      </c>
      <c r="D1360">
        <v>0.327962010889526</v>
      </c>
      <c r="E1360">
        <v>0.153383812401208</v>
      </c>
      <c r="F1360">
        <v>0.103218474222922</v>
      </c>
      <c r="G1360">
        <v>0.0730144890347993</v>
      </c>
      <c r="H1360">
        <v>0.0617738974452747</v>
      </c>
      <c r="I1360">
        <v>0.0581179837338847</v>
      </c>
      <c r="J1360">
        <v>0.0570219625352238</v>
      </c>
      <c r="K1360">
        <v>0.0518372205701205</v>
      </c>
      <c r="L1360">
        <v>868.556798481077</v>
      </c>
      <c r="M1360">
        <v>21.3562761773491</v>
      </c>
      <c r="N1360">
        <v>40.954712883755</v>
      </c>
      <c r="O1360">
        <v>40.3183083812223</v>
      </c>
      <c r="P1360">
        <v>-0.12328668183138</v>
      </c>
      <c r="Q1360">
        <v>0.0690164518073557</v>
      </c>
      <c r="R1360">
        <v>0.978656368030594</v>
      </c>
      <c r="S1360" t="s">
        <v>3553</v>
      </c>
      <c r="T1360" t="s">
        <v>4362</v>
      </c>
      <c r="U1360" t="s">
        <v>4362</v>
      </c>
      <c r="V1360" t="s">
        <v>4362</v>
      </c>
      <c r="W1360" t="s">
        <v>5718</v>
      </c>
      <c r="X1360">
        <v>5</v>
      </c>
      <c r="Y1360" t="s">
        <v>7881</v>
      </c>
      <c r="Z1360" t="s">
        <v>10048</v>
      </c>
      <c r="AA1360">
        <v>0.1973812846944101</v>
      </c>
      <c r="AB1360">
        <f>HYPERLINK("Melting_Curves/meltCurve_P30128_greB.pdf", "Melting_Curves/meltCurve_P30128_greB.pdf")</f>
        <v>0</v>
      </c>
    </row>
    <row r="1361" spans="1:28">
      <c r="A1361" t="s">
        <v>1387</v>
      </c>
      <c r="B1361">
        <v>0.999739202189716</v>
      </c>
      <c r="C1361">
        <v>1.34108960674516</v>
      </c>
      <c r="D1361">
        <v>1.04780220881765</v>
      </c>
      <c r="E1361">
        <v>1.26833301636725</v>
      </c>
      <c r="F1361">
        <v>0.748921195598298</v>
      </c>
      <c r="G1361">
        <v>0.360585246232773</v>
      </c>
      <c r="H1361">
        <v>0.15746921134172</v>
      </c>
      <c r="I1361">
        <v>0.111869903311188</v>
      </c>
      <c r="J1361">
        <v>0.100252478028596</v>
      </c>
      <c r="K1361">
        <v>0.08381214783609719</v>
      </c>
      <c r="L1361">
        <v>1768.90900961931</v>
      </c>
      <c r="M1361">
        <v>33.9277378810521</v>
      </c>
      <c r="N1361">
        <v>52.4983197346121</v>
      </c>
      <c r="O1361">
        <v>51.9574366674939</v>
      </c>
      <c r="P1361">
        <v>-0.146273047349593</v>
      </c>
      <c r="Q1361">
        <v>0.103985207009649</v>
      </c>
      <c r="R1361">
        <v>0.914209324786923</v>
      </c>
      <c r="S1361" t="s">
        <v>3554</v>
      </c>
      <c r="T1361" t="s">
        <v>4362</v>
      </c>
      <c r="U1361" t="s">
        <v>4362</v>
      </c>
      <c r="V1361" t="s">
        <v>4362</v>
      </c>
      <c r="W1361" t="s">
        <v>5719</v>
      </c>
      <c r="X1361">
        <v>1</v>
      </c>
      <c r="Y1361" t="s">
        <v>7882</v>
      </c>
      <c r="Z1361" t="s">
        <v>10049</v>
      </c>
      <c r="AA1361">
        <v>0.5605619001767628</v>
      </c>
      <c r="AB1361">
        <f>HYPERLINK("Melting_Curves/meltCurve_P30136_thiC.pdf", "Melting_Curves/meltCurve_P30136_thiC.pdf")</f>
        <v>0</v>
      </c>
    </row>
    <row r="1362" spans="1:28">
      <c r="A1362" t="s">
        <v>1388</v>
      </c>
      <c r="B1362">
        <v>0.999739202189716</v>
      </c>
      <c r="C1362">
        <v>0.59114308292399</v>
      </c>
      <c r="D1362">
        <v>0.671608989675854</v>
      </c>
      <c r="E1362">
        <v>0.582549439249808</v>
      </c>
      <c r="F1362">
        <v>0.534975662054091</v>
      </c>
      <c r="G1362">
        <v>0.496765969837652</v>
      </c>
      <c r="H1362">
        <v>0.33384679810981</v>
      </c>
      <c r="I1362">
        <v>0.237356125770963</v>
      </c>
      <c r="J1362">
        <v>0.147027447618645</v>
      </c>
      <c r="K1362">
        <v>0.100130264579644</v>
      </c>
      <c r="L1362">
        <v>277.02693956222</v>
      </c>
      <c r="M1362">
        <v>5.62669100674309</v>
      </c>
      <c r="N1362">
        <v>49.2344321694413</v>
      </c>
      <c r="O1362">
        <v>44.0710665903004</v>
      </c>
      <c r="P1362">
        <v>-0.0320480712561178</v>
      </c>
      <c r="Q1362">
        <v>0</v>
      </c>
      <c r="R1362">
        <v>0.870353436364135</v>
      </c>
      <c r="S1362" t="s">
        <v>3555</v>
      </c>
      <c r="T1362" t="s">
        <v>4362</v>
      </c>
      <c r="U1362" t="s">
        <v>4362</v>
      </c>
      <c r="V1362" t="s">
        <v>4362</v>
      </c>
      <c r="W1362" t="s">
        <v>5720</v>
      </c>
      <c r="X1362">
        <v>2</v>
      </c>
      <c r="Y1362" t="s">
        <v>7883</v>
      </c>
      <c r="Z1362" t="s">
        <v>10050</v>
      </c>
      <c r="AA1362">
        <v>0.4653035219930019</v>
      </c>
      <c r="AB1362">
        <f>HYPERLINK("Melting_Curves/meltCurve_P30147_hyi.pdf", "Melting_Curves/meltCurve_P30147_hyi.pdf")</f>
        <v>0</v>
      </c>
    </row>
    <row r="1363" spans="1:28">
      <c r="A1363" t="s">
        <v>1389</v>
      </c>
      <c r="B1363">
        <v>0.999739202189716</v>
      </c>
      <c r="C1363">
        <v>0.907339920976085</v>
      </c>
      <c r="D1363">
        <v>0.870997918247965</v>
      </c>
      <c r="E1363">
        <v>0.7721036421927771</v>
      </c>
      <c r="F1363">
        <v>0.879020493023475</v>
      </c>
      <c r="G1363">
        <v>0.692261295873252</v>
      </c>
      <c r="H1363">
        <v>0.619892371352263</v>
      </c>
      <c r="I1363">
        <v>0.495354474185002</v>
      </c>
      <c r="J1363">
        <v>0.447300475565036</v>
      </c>
      <c r="K1363">
        <v>0.287055486366415</v>
      </c>
      <c r="L1363">
        <v>365.857563679045</v>
      </c>
      <c r="M1363">
        <v>6.02397361915511</v>
      </c>
      <c r="N1363">
        <v>60.7335932656047</v>
      </c>
      <c r="O1363">
        <v>55.0563407379399</v>
      </c>
      <c r="P1363">
        <v>-0.0274410067395318</v>
      </c>
      <c r="Q1363">
        <v>0</v>
      </c>
      <c r="R1363">
        <v>0.935353763288393</v>
      </c>
      <c r="S1363" t="s">
        <v>3556</v>
      </c>
      <c r="T1363" t="s">
        <v>4362</v>
      </c>
      <c r="U1363" t="s">
        <v>4362</v>
      </c>
      <c r="V1363" t="s">
        <v>4362</v>
      </c>
      <c r="W1363" t="s">
        <v>5721</v>
      </c>
      <c r="X1363">
        <v>15</v>
      </c>
      <c r="Y1363" t="s">
        <v>7884</v>
      </c>
      <c r="Z1363" t="s">
        <v>10051</v>
      </c>
      <c r="AA1363">
        <v>0.7110411994931243</v>
      </c>
      <c r="AB1363">
        <f>HYPERLINK("Melting_Curves/meltCurve_P30177_ybiB.pdf", "Melting_Curves/meltCurve_P30177_ybiB.pdf")</f>
        <v>0</v>
      </c>
    </row>
    <row r="1364" spans="1:28">
      <c r="A1364" t="s">
        <v>1390</v>
      </c>
      <c r="B1364">
        <v>0.999739202189716</v>
      </c>
      <c r="C1364">
        <v>0.937891420900296</v>
      </c>
      <c r="D1364">
        <v>0.782565741834767</v>
      </c>
      <c r="E1364">
        <v>0.690440113716474</v>
      </c>
      <c r="F1364">
        <v>0.491939503027319</v>
      </c>
      <c r="G1364">
        <v>0.38081167825247</v>
      </c>
      <c r="H1364">
        <v>0.241917510789604</v>
      </c>
      <c r="I1364">
        <v>0.150811471710002</v>
      </c>
      <c r="J1364">
        <v>0.0775744824321203</v>
      </c>
      <c r="K1364">
        <v>0.0569831265759486</v>
      </c>
      <c r="L1364">
        <v>484.342054471495</v>
      </c>
      <c r="M1364">
        <v>9.645835649587459</v>
      </c>
      <c r="N1364">
        <v>50.2125533613779</v>
      </c>
      <c r="O1364">
        <v>48.1967936076269</v>
      </c>
      <c r="P1364">
        <v>-0.0500615222427787</v>
      </c>
      <c r="Q1364">
        <v>0</v>
      </c>
      <c r="R1364">
        <v>0.993638717347365</v>
      </c>
      <c r="S1364" t="s">
        <v>3557</v>
      </c>
      <c r="T1364" t="s">
        <v>4362</v>
      </c>
      <c r="U1364" t="s">
        <v>4362</v>
      </c>
      <c r="V1364" t="s">
        <v>4362</v>
      </c>
      <c r="W1364" t="s">
        <v>5722</v>
      </c>
      <c r="X1364">
        <v>3</v>
      </c>
      <c r="Y1364" t="s">
        <v>7885</v>
      </c>
      <c r="Z1364" t="s">
        <v>10052</v>
      </c>
      <c r="AA1364">
        <v>0.474720521598868</v>
      </c>
      <c r="AB1364">
        <f>HYPERLINK("Melting_Curves/meltCurve_P30744_sdaB.pdf", "Melting_Curves/meltCurve_P30744_sdaB.pdf")</f>
        <v>0</v>
      </c>
    </row>
    <row r="1365" spans="1:28">
      <c r="A1365" t="s">
        <v>1391</v>
      </c>
      <c r="B1365">
        <v>0.999739202189716</v>
      </c>
      <c r="C1365">
        <v>1.22962830268009</v>
      </c>
      <c r="D1365">
        <v>0.9968773653598429</v>
      </c>
      <c r="E1365">
        <v>1.51783660882901</v>
      </c>
      <c r="F1365">
        <v>1.03469172797723</v>
      </c>
      <c r="G1365">
        <v>0.987441494810871</v>
      </c>
      <c r="H1365">
        <v>0.904219552773152</v>
      </c>
      <c r="I1365">
        <v>0.798744488390999</v>
      </c>
      <c r="J1365">
        <v>0.589493026250385</v>
      </c>
      <c r="K1365">
        <v>0.715308545092901</v>
      </c>
      <c r="L1365">
        <v>2048.58909228871</v>
      </c>
      <c r="M1365">
        <v>34.3917715298965</v>
      </c>
      <c r="O1365">
        <v>59.3659397212474</v>
      </c>
      <c r="P1365">
        <v>-0.0507685079818015</v>
      </c>
      <c r="Q1365">
        <v>0.649461626151552</v>
      </c>
      <c r="R1365">
        <v>0.455714881805883</v>
      </c>
      <c r="S1365" t="s">
        <v>3558</v>
      </c>
      <c r="T1365" t="s">
        <v>4362</v>
      </c>
      <c r="U1365" t="s">
        <v>4362</v>
      </c>
      <c r="V1365" t="s">
        <v>4362</v>
      </c>
      <c r="W1365" t="s">
        <v>5723</v>
      </c>
      <c r="X1365">
        <v>1</v>
      </c>
      <c r="Y1365" t="s">
        <v>7886</v>
      </c>
      <c r="Z1365" t="s">
        <v>10053</v>
      </c>
      <c r="AA1365">
        <v>0.9145002051579553</v>
      </c>
      <c r="AB1365">
        <f>HYPERLINK("Melting_Curves/meltCurve_P30749_moaE.pdf", "Melting_Curves/meltCurve_P30749_moaE.pdf")</f>
        <v>0</v>
      </c>
    </row>
    <row r="1366" spans="1:28">
      <c r="A1366" t="s">
        <v>1392</v>
      </c>
      <c r="B1366">
        <v>0.999739202189716</v>
      </c>
      <c r="C1366">
        <v>0.940798036803513</v>
      </c>
      <c r="D1366">
        <v>0.621570291813651</v>
      </c>
      <c r="E1366">
        <v>0.622130365204616</v>
      </c>
      <c r="F1366">
        <v>0.503548002676378</v>
      </c>
      <c r="G1366">
        <v>0.375168823148203</v>
      </c>
      <c r="H1366">
        <v>0.31878596319471</v>
      </c>
      <c r="I1366">
        <v>0.24040349309265</v>
      </c>
      <c r="J1366">
        <v>0.17290066649644</v>
      </c>
      <c r="K1366">
        <v>0.133496588123864</v>
      </c>
      <c r="L1366">
        <v>373.361332941097</v>
      </c>
      <c r="M1366">
        <v>7.60794516091192</v>
      </c>
      <c r="N1366">
        <v>49.7557987465103</v>
      </c>
      <c r="O1366">
        <v>46.0289305427123</v>
      </c>
      <c r="P1366">
        <v>-0.0393330237478707</v>
      </c>
      <c r="Q1366">
        <v>0.0494192591499421</v>
      </c>
      <c r="R1366">
        <v>0.960058937891102</v>
      </c>
      <c r="S1366" t="s">
        <v>3559</v>
      </c>
      <c r="T1366" t="s">
        <v>4362</v>
      </c>
      <c r="U1366" t="s">
        <v>4362</v>
      </c>
      <c r="V1366" t="s">
        <v>4362</v>
      </c>
      <c r="W1366" t="s">
        <v>5724</v>
      </c>
      <c r="X1366">
        <v>1</v>
      </c>
      <c r="Y1366" t="s">
        <v>7887</v>
      </c>
      <c r="Z1366" t="s">
        <v>10054</v>
      </c>
      <c r="AA1366">
        <v>0.4776479750036607</v>
      </c>
      <c r="AB1366">
        <f>HYPERLINK("Melting_Curves/meltCurve_P30750_metN.pdf", "Melting_Curves/meltCurve_P30750_metN.pdf")</f>
        <v>0</v>
      </c>
    </row>
    <row r="1367" spans="1:28">
      <c r="A1367" t="s">
        <v>1393</v>
      </c>
      <c r="B1367">
        <v>0.999739202189716</v>
      </c>
      <c r="C1367">
        <v>1.05115462759933</v>
      </c>
      <c r="D1367">
        <v>0.863582800861224</v>
      </c>
      <c r="E1367">
        <v>0.841810171536447</v>
      </c>
      <c r="F1367">
        <v>0.653789573103136</v>
      </c>
      <c r="G1367">
        <v>0.5301721068466</v>
      </c>
      <c r="H1367">
        <v>0.33737302117356</v>
      </c>
      <c r="I1367">
        <v>0.217024156583491</v>
      </c>
      <c r="J1367">
        <v>0.1500080079239</v>
      </c>
      <c r="K1367">
        <v>0.11771426321426</v>
      </c>
      <c r="L1367">
        <v>554.570814099171</v>
      </c>
      <c r="M1367">
        <v>10.3196665133156</v>
      </c>
      <c r="N1367">
        <v>53.7392185925589</v>
      </c>
      <c r="O1367">
        <v>51.838656946293</v>
      </c>
      <c r="P1367">
        <v>-0.0497896620200489</v>
      </c>
      <c r="Q1367">
        <v>0</v>
      </c>
      <c r="R1367">
        <v>0.9891635195684531</v>
      </c>
      <c r="S1367" t="s">
        <v>3560</v>
      </c>
      <c r="T1367" t="s">
        <v>4362</v>
      </c>
      <c r="U1367" t="s">
        <v>4362</v>
      </c>
      <c r="V1367" t="s">
        <v>4362</v>
      </c>
      <c r="W1367" t="s">
        <v>5725</v>
      </c>
      <c r="X1367">
        <v>4</v>
      </c>
      <c r="Y1367" t="s">
        <v>7888</v>
      </c>
      <c r="Z1367" t="s">
        <v>10055</v>
      </c>
      <c r="AA1367">
        <v>0.5769790507017519</v>
      </c>
      <c r="AB1367">
        <f>HYPERLINK("Melting_Curves/meltCurve_P30847_baeS.pdf", "Melting_Curves/meltCurve_P30847_baeS.pdf")</f>
        <v>0</v>
      </c>
    </row>
    <row r="1368" spans="1:28">
      <c r="A1368" t="s">
        <v>1394</v>
      </c>
      <c r="B1368">
        <v>0.999739202189716</v>
      </c>
      <c r="C1368">
        <v>1.22894661123046</v>
      </c>
      <c r="D1368">
        <v>1.02670342413861</v>
      </c>
      <c r="E1368">
        <v>1.02699980474235</v>
      </c>
      <c r="F1368">
        <v>0.247636690447977</v>
      </c>
      <c r="G1368">
        <v>0.154988310419206</v>
      </c>
      <c r="H1368">
        <v>0.111574986317065</v>
      </c>
      <c r="I1368">
        <v>0.083856049501785</v>
      </c>
      <c r="J1368">
        <v>0.0794248448875068</v>
      </c>
      <c r="K1368">
        <v>0.060958474095031</v>
      </c>
      <c r="L1368">
        <v>12468.8726669494</v>
      </c>
      <c r="M1368">
        <v>250</v>
      </c>
      <c r="N1368">
        <v>49.9191309401269</v>
      </c>
      <c r="O1368">
        <v>49.8723011327452</v>
      </c>
      <c r="P1368">
        <v>-1.1301858578384</v>
      </c>
      <c r="Q1368">
        <v>0.0981605291806443</v>
      </c>
      <c r="R1368">
        <v>0.973240869743049</v>
      </c>
      <c r="S1368" t="s">
        <v>3561</v>
      </c>
      <c r="T1368" t="s">
        <v>4362</v>
      </c>
      <c r="U1368" t="s">
        <v>4362</v>
      </c>
      <c r="V1368" t="s">
        <v>4362</v>
      </c>
      <c r="W1368" t="s">
        <v>5726</v>
      </c>
      <c r="X1368">
        <v>10</v>
      </c>
      <c r="Y1368" t="s">
        <v>7889</v>
      </c>
      <c r="Z1368" t="s">
        <v>10056</v>
      </c>
      <c r="AA1368">
        <v>0.4852936575092699</v>
      </c>
      <c r="AB1368">
        <f>HYPERLINK("Melting_Curves/meltCurve_P30850_rnb.pdf", "Melting_Curves/meltCurve_P30850_rnb.pdf")</f>
        <v>0</v>
      </c>
    </row>
    <row r="1369" spans="1:28">
      <c r="A1369" t="s">
        <v>1395</v>
      </c>
      <c r="B1369">
        <v>0.999739202189716</v>
      </c>
      <c r="C1369">
        <v>0.997092869929079</v>
      </c>
      <c r="D1369">
        <v>0.968815663208246</v>
      </c>
      <c r="E1369">
        <v>1.09169294324936</v>
      </c>
      <c r="F1369">
        <v>1.05513303254571</v>
      </c>
      <c r="G1369">
        <v>0.907707312854951</v>
      </c>
      <c r="H1369">
        <v>0.894637211326597</v>
      </c>
      <c r="I1369">
        <v>0.872303992453052</v>
      </c>
      <c r="J1369">
        <v>0.744593805567264</v>
      </c>
      <c r="K1369">
        <v>0.755492183032951</v>
      </c>
      <c r="L1369">
        <v>994.3557837911781</v>
      </c>
      <c r="M1369">
        <v>16.5647538928972</v>
      </c>
      <c r="O1369">
        <v>59.1740161763338</v>
      </c>
      <c r="P1369">
        <v>-0.0209534846542459</v>
      </c>
      <c r="Q1369">
        <v>0.7006132641813551</v>
      </c>
      <c r="R1369">
        <v>0.835282881608774</v>
      </c>
      <c r="S1369" t="s">
        <v>3562</v>
      </c>
      <c r="T1369" t="s">
        <v>4362</v>
      </c>
      <c r="U1369" t="s">
        <v>4362</v>
      </c>
      <c r="V1369" t="s">
        <v>4362</v>
      </c>
      <c r="W1369" t="s">
        <v>5727</v>
      </c>
      <c r="X1369">
        <v>16</v>
      </c>
      <c r="Y1369" t="s">
        <v>7890</v>
      </c>
      <c r="Z1369" t="s">
        <v>10057</v>
      </c>
      <c r="AA1369">
        <v>0.9292811796416468</v>
      </c>
      <c r="AB1369">
        <f>HYPERLINK("Melting_Curves/meltCurve_P30859_artI.pdf", "Melting_Curves/meltCurve_P30859_artI.pdf")</f>
        <v>0</v>
      </c>
    </row>
    <row r="1370" spans="1:28">
      <c r="A1370" t="s">
        <v>1396</v>
      </c>
      <c r="B1370">
        <v>0.999739202189716</v>
      </c>
      <c r="C1370">
        <v>0.866416902582664</v>
      </c>
      <c r="D1370">
        <v>1.10621722169284</v>
      </c>
      <c r="E1370">
        <v>0.96577025473633</v>
      </c>
      <c r="F1370">
        <v>1.02186117512274</v>
      </c>
      <c r="G1370">
        <v>0.888619117288594</v>
      </c>
      <c r="H1370">
        <v>0.801952910162151</v>
      </c>
      <c r="I1370">
        <v>0.73945216952311</v>
      </c>
      <c r="J1370">
        <v>0.642280511057809</v>
      </c>
      <c r="K1370">
        <v>0.587314940588213</v>
      </c>
      <c r="L1370">
        <v>859.630708713987</v>
      </c>
      <c r="M1370">
        <v>14.4459668874111</v>
      </c>
      <c r="O1370">
        <v>58.4011538610155</v>
      </c>
      <c r="P1370">
        <v>-0.0300069662971495</v>
      </c>
      <c r="Q1370">
        <v>0.5148162970190669</v>
      </c>
      <c r="R1370">
        <v>0.866204810269453</v>
      </c>
      <c r="S1370" t="s">
        <v>3563</v>
      </c>
      <c r="T1370" t="s">
        <v>4362</v>
      </c>
      <c r="U1370" t="s">
        <v>4362</v>
      </c>
      <c r="V1370" t="s">
        <v>4362</v>
      </c>
      <c r="W1370" t="s">
        <v>5728</v>
      </c>
      <c r="X1370">
        <v>6</v>
      </c>
      <c r="Y1370" t="s">
        <v>7891</v>
      </c>
      <c r="Z1370" t="s">
        <v>10058</v>
      </c>
      <c r="AA1370">
        <v>0.8764583194272019</v>
      </c>
      <c r="AB1370">
        <f>HYPERLINK("Melting_Curves/meltCurve_P30860_artJ.pdf", "Melting_Curves/meltCurve_P30860_artJ.pdf")</f>
        <v>0</v>
      </c>
    </row>
    <row r="1371" spans="1:28">
      <c r="A1371" t="s">
        <v>1397</v>
      </c>
      <c r="B1371">
        <v>0.999739202189716</v>
      </c>
      <c r="C1371">
        <v>0.873104786273698</v>
      </c>
      <c r="D1371">
        <v>1.04311168456421</v>
      </c>
      <c r="E1371">
        <v>0.881922393784579</v>
      </c>
      <c r="F1371">
        <v>0.382488726730111</v>
      </c>
      <c r="G1371">
        <v>0.160938961193741</v>
      </c>
      <c r="H1371">
        <v>0.0930320423887276</v>
      </c>
      <c r="I1371">
        <v>0.0575381483097707</v>
      </c>
      <c r="J1371">
        <v>0.0581964626689392</v>
      </c>
      <c r="K1371">
        <v>0.0473137344057988</v>
      </c>
      <c r="L1371">
        <v>1578.85710958689</v>
      </c>
      <c r="M1371">
        <v>32.0436029998502</v>
      </c>
      <c r="N1371">
        <v>49.4937848369443</v>
      </c>
      <c r="O1371">
        <v>49.081434821313</v>
      </c>
      <c r="P1371">
        <v>-0.152308361631995</v>
      </c>
      <c r="Q1371">
        <v>0.0668370314456405</v>
      </c>
      <c r="R1371">
        <v>0.987595823284669</v>
      </c>
      <c r="S1371" t="s">
        <v>3564</v>
      </c>
      <c r="T1371" t="s">
        <v>4362</v>
      </c>
      <c r="U1371" t="s">
        <v>4362</v>
      </c>
      <c r="V1371" t="s">
        <v>4362</v>
      </c>
      <c r="W1371" t="s">
        <v>5729</v>
      </c>
      <c r="X1371">
        <v>8</v>
      </c>
      <c r="Y1371" t="s">
        <v>7892</v>
      </c>
      <c r="Z1371" t="s">
        <v>10059</v>
      </c>
      <c r="AA1371">
        <v>0.453526702235482</v>
      </c>
      <c r="AB1371">
        <f>HYPERLINK("Melting_Curves/meltCurve_P30863_dkgB.pdf", "Melting_Curves/meltCurve_P30863_dkgB.pdf")</f>
        <v>0</v>
      </c>
    </row>
    <row r="1372" spans="1:28">
      <c r="A1372" t="s">
        <v>1398</v>
      </c>
      <c r="B1372">
        <v>0.999739202189716</v>
      </c>
      <c r="C1372">
        <v>0.627683681175906</v>
      </c>
      <c r="D1372">
        <v>0.491442937514948</v>
      </c>
      <c r="E1372">
        <v>0.306902498440043</v>
      </c>
      <c r="F1372">
        <v>0.195046251840565</v>
      </c>
      <c r="G1372">
        <v>0.103465083975085</v>
      </c>
      <c r="H1372">
        <v>0.08581847145367009</v>
      </c>
      <c r="I1372">
        <v>0.06267514705432969</v>
      </c>
      <c r="J1372">
        <v>0.0520518304085685</v>
      </c>
      <c r="K1372">
        <v>0.0387860747501517</v>
      </c>
      <c r="L1372">
        <v>547.092175445287</v>
      </c>
      <c r="M1372">
        <v>12.8417965253506</v>
      </c>
      <c r="N1372">
        <v>42.9325525797644</v>
      </c>
      <c r="O1372">
        <v>41.6090444915703</v>
      </c>
      <c r="P1372">
        <v>-0.0735440532684639</v>
      </c>
      <c r="Q1372">
        <v>0.0470084495850449</v>
      </c>
      <c r="R1372">
        <v>0.973587780583091</v>
      </c>
      <c r="S1372" t="s">
        <v>3565</v>
      </c>
      <c r="T1372" t="s">
        <v>4362</v>
      </c>
      <c r="U1372" t="s">
        <v>4362</v>
      </c>
      <c r="V1372" t="s">
        <v>4362</v>
      </c>
      <c r="W1372" t="s">
        <v>5730</v>
      </c>
      <c r="X1372">
        <v>2</v>
      </c>
      <c r="Y1372" t="s">
        <v>7893</v>
      </c>
      <c r="Z1372" t="s">
        <v>10060</v>
      </c>
      <c r="AA1372">
        <v>0.2608296165113974</v>
      </c>
      <c r="AB1372">
        <f>HYPERLINK("Melting_Curves/meltCurve_P30864_yafC.pdf", "Melting_Curves/meltCurve_P30864_yafC.pdf")</f>
        <v>0</v>
      </c>
    </row>
    <row r="1373" spans="1:28">
      <c r="A1373" t="s">
        <v>1399</v>
      </c>
      <c r="B1373">
        <v>0.999739202189716</v>
      </c>
      <c r="C1373">
        <v>0.911470901293616</v>
      </c>
      <c r="D1373">
        <v>0.56308565303258</v>
      </c>
      <c r="E1373">
        <v>0.4180967891557</v>
      </c>
      <c r="F1373">
        <v>0.257743103600847</v>
      </c>
      <c r="G1373">
        <v>0.211451242434907</v>
      </c>
      <c r="H1373">
        <v>0.149439159895609</v>
      </c>
      <c r="I1373">
        <v>0.0950227916594106</v>
      </c>
      <c r="J1373">
        <v>0.0706812999349385</v>
      </c>
      <c r="K1373">
        <v>0.0577042798859897</v>
      </c>
      <c r="L1373">
        <v>607.453091786325</v>
      </c>
      <c r="M1373">
        <v>13.6359808983387</v>
      </c>
      <c r="N1373">
        <v>45.1417481951284</v>
      </c>
      <c r="O1373">
        <v>43.6224943993811</v>
      </c>
      <c r="P1373">
        <v>-0.0717407814182435</v>
      </c>
      <c r="Q1373">
        <v>0.08211893172292591</v>
      </c>
      <c r="R1373">
        <v>0.98106566706551</v>
      </c>
      <c r="S1373" t="s">
        <v>3566</v>
      </c>
      <c r="T1373" t="s">
        <v>4362</v>
      </c>
      <c r="U1373" t="s">
        <v>4362</v>
      </c>
      <c r="V1373" t="s">
        <v>4362</v>
      </c>
      <c r="W1373" t="s">
        <v>5731</v>
      </c>
      <c r="X1373">
        <v>6</v>
      </c>
      <c r="Y1373" t="s">
        <v>7894</v>
      </c>
      <c r="Z1373" t="s">
        <v>10061</v>
      </c>
      <c r="AA1373">
        <v>0.3399358704968674</v>
      </c>
      <c r="AB1373">
        <f>HYPERLINK("Melting_Curves/meltCurve_P30870_glnE.pdf", "Melting_Curves/meltCurve_P30870_glnE.pdf")</f>
        <v>0</v>
      </c>
    </row>
    <row r="1374" spans="1:28">
      <c r="A1374" t="s">
        <v>1400</v>
      </c>
      <c r="B1374">
        <v>0.999739202189716</v>
      </c>
      <c r="C1374">
        <v>0.7536756619146</v>
      </c>
      <c r="D1374">
        <v>0.40705268527707</v>
      </c>
      <c r="E1374">
        <v>0.233649351291573</v>
      </c>
      <c r="F1374">
        <v>0.135011067926158</v>
      </c>
      <c r="G1374">
        <v>0.0704935315635343</v>
      </c>
      <c r="H1374">
        <v>0.055509976082503</v>
      </c>
      <c r="I1374">
        <v>0.0413002123774784</v>
      </c>
      <c r="J1374">
        <v>0.0387313134871107</v>
      </c>
      <c r="K1374">
        <v>0.0309230174924588</v>
      </c>
      <c r="L1374">
        <v>775.980915598705</v>
      </c>
      <c r="M1374">
        <v>18.3730576741349</v>
      </c>
      <c r="N1374">
        <v>42.4804602799019</v>
      </c>
      <c r="O1374">
        <v>41.7439267811264</v>
      </c>
      <c r="P1374">
        <v>-0.104491450410031</v>
      </c>
      <c r="Q1374">
        <v>0.0504172136502295</v>
      </c>
      <c r="R1374">
        <v>0.990899388945089</v>
      </c>
      <c r="S1374" t="s">
        <v>3567</v>
      </c>
      <c r="T1374" t="s">
        <v>4362</v>
      </c>
      <c r="U1374" t="s">
        <v>4362</v>
      </c>
      <c r="V1374" t="s">
        <v>4362</v>
      </c>
      <c r="W1374" t="s">
        <v>5732</v>
      </c>
      <c r="X1374">
        <v>8</v>
      </c>
      <c r="Y1374" t="s">
        <v>7895</v>
      </c>
      <c r="Z1374" t="s">
        <v>10062</v>
      </c>
      <c r="AA1374">
        <v>0.2331389443011626</v>
      </c>
      <c r="AB1374">
        <f>HYPERLINK("Melting_Curves/meltCurve_P30871_ygiF.pdf", "Melting_Curves/meltCurve_P30871_ygiF.pdf")</f>
        <v>0</v>
      </c>
    </row>
    <row r="1375" spans="1:28">
      <c r="A1375" t="s">
        <v>1401</v>
      </c>
      <c r="B1375">
        <v>0.999739202189716</v>
      </c>
      <c r="C1375">
        <v>1.5926819479664</v>
      </c>
      <c r="D1375">
        <v>0.773023957533804</v>
      </c>
      <c r="E1375">
        <v>0.225439112807806</v>
      </c>
      <c r="F1375">
        <v>0.180477575591558</v>
      </c>
      <c r="G1375">
        <v>0.11655858102618</v>
      </c>
      <c r="H1375">
        <v>0.100571392156122</v>
      </c>
      <c r="I1375">
        <v>0.073328678143841</v>
      </c>
      <c r="J1375">
        <v>0.0702631719253949</v>
      </c>
      <c r="K1375">
        <v>0.0611320316269537</v>
      </c>
      <c r="L1375">
        <v>2037.06374782969</v>
      </c>
      <c r="M1375">
        <v>46.0051667233021</v>
      </c>
      <c r="N1375">
        <v>44.5060401290748</v>
      </c>
      <c r="O1375">
        <v>44.1955994143507</v>
      </c>
      <c r="P1375">
        <v>-0.233020231953711</v>
      </c>
      <c r="Q1375">
        <v>0.104582608932014</v>
      </c>
      <c r="R1375">
        <v>0.8513964945361781</v>
      </c>
      <c r="S1375" t="s">
        <v>3568</v>
      </c>
      <c r="T1375" t="s">
        <v>4362</v>
      </c>
      <c r="U1375" t="s">
        <v>4362</v>
      </c>
      <c r="V1375" t="s">
        <v>4362</v>
      </c>
      <c r="W1375" t="s">
        <v>5733</v>
      </c>
      <c r="X1375">
        <v>35</v>
      </c>
      <c r="Y1375" t="s">
        <v>7896</v>
      </c>
      <c r="Z1375" t="s">
        <v>10063</v>
      </c>
      <c r="AA1375">
        <v>0.3239115375108202</v>
      </c>
      <c r="AB1375">
        <f>HYPERLINK("Melting_Curves/meltCurve_P30958_mfd.pdf", "Melting_Curves/meltCurve_P30958_mfd.pdf")</f>
        <v>0</v>
      </c>
    </row>
    <row r="1376" spans="1:28">
      <c r="A1376" t="s">
        <v>1402</v>
      </c>
      <c r="B1376">
        <v>0.999739202189716</v>
      </c>
      <c r="C1376">
        <v>0.865349059443546</v>
      </c>
      <c r="D1376">
        <v>1.05330959891414</v>
      </c>
      <c r="E1376">
        <v>0.8960053268643779</v>
      </c>
      <c r="F1376">
        <v>0.684688086839</v>
      </c>
      <c r="G1376">
        <v>0.777871899512491</v>
      </c>
      <c r="H1376">
        <v>0.426961595675347</v>
      </c>
      <c r="I1376">
        <v>0.401771718341737</v>
      </c>
      <c r="J1376">
        <v>0.392377682856985</v>
      </c>
      <c r="K1376">
        <v>0.352365470506625</v>
      </c>
      <c r="L1376">
        <v>620.904441976292</v>
      </c>
      <c r="M1376">
        <v>11.5508086312397</v>
      </c>
      <c r="N1376">
        <v>57.7490313271215</v>
      </c>
      <c r="O1376">
        <v>52.2187848466383</v>
      </c>
      <c r="P1376">
        <v>-0.0400971525516242</v>
      </c>
      <c r="Q1376">
        <v>0.275119169849961</v>
      </c>
      <c r="R1376">
        <v>0.9096311705568541</v>
      </c>
      <c r="S1376" t="s">
        <v>3569</v>
      </c>
      <c r="T1376" t="s">
        <v>4362</v>
      </c>
      <c r="U1376" t="s">
        <v>4362</v>
      </c>
      <c r="V1376" t="s">
        <v>4362</v>
      </c>
      <c r="W1376" t="s">
        <v>5734</v>
      </c>
      <c r="X1376">
        <v>4</v>
      </c>
      <c r="Y1376" t="s">
        <v>7897</v>
      </c>
      <c r="Z1376" t="s">
        <v>10064</v>
      </c>
      <c r="AA1376">
        <v>0.6936456745353587</v>
      </c>
      <c r="AB1376">
        <f>HYPERLINK("Melting_Curves/meltCurve_P31057_panB.pdf", "Melting_Curves/meltCurve_P31057_panB.pdf")</f>
        <v>0</v>
      </c>
    </row>
    <row r="1377" spans="1:28">
      <c r="A1377" t="s">
        <v>1403</v>
      </c>
      <c r="B1377">
        <v>0.999739202189716</v>
      </c>
      <c r="C1377">
        <v>0.8158169353631179</v>
      </c>
      <c r="D1377">
        <v>0.843754514279468</v>
      </c>
      <c r="E1377">
        <v>0.577127417941127</v>
      </c>
      <c r="F1377">
        <v>0.403206413380651</v>
      </c>
      <c r="G1377">
        <v>0.232873343171975</v>
      </c>
      <c r="H1377">
        <v>0.273586874720935</v>
      </c>
      <c r="I1377">
        <v>0.230472025197944</v>
      </c>
      <c r="J1377">
        <v>0.231924229501589</v>
      </c>
      <c r="K1377">
        <v>0.230691983934068</v>
      </c>
      <c r="L1377">
        <v>651.454239814785</v>
      </c>
      <c r="M1377">
        <v>14.1444200852691</v>
      </c>
      <c r="N1377">
        <v>47.8659399427556</v>
      </c>
      <c r="O1377">
        <v>45.1660530385514</v>
      </c>
      <c r="P1377">
        <v>-0.0620926608301633</v>
      </c>
      <c r="Q1377">
        <v>0.207002387922806</v>
      </c>
      <c r="R1377">
        <v>0.976005319096003</v>
      </c>
      <c r="S1377" t="s">
        <v>3570</v>
      </c>
      <c r="T1377" t="s">
        <v>4362</v>
      </c>
      <c r="U1377" t="s">
        <v>4362</v>
      </c>
      <c r="V1377" t="s">
        <v>4362</v>
      </c>
      <c r="W1377" t="s">
        <v>5735</v>
      </c>
      <c r="X1377">
        <v>1</v>
      </c>
      <c r="Y1377" t="s">
        <v>7898</v>
      </c>
      <c r="Z1377" t="s">
        <v>10065</v>
      </c>
      <c r="AA1377">
        <v>0.4667943805688226</v>
      </c>
      <c r="AB1377">
        <f>HYPERLINK("Melting_Curves/meltCurve_P31060_modF.pdf", "Melting_Curves/meltCurve_P31060_modF.pdf")</f>
        <v>0</v>
      </c>
    </row>
    <row r="1378" spans="1:28">
      <c r="A1378" t="s">
        <v>1404</v>
      </c>
      <c r="B1378">
        <v>0.999739202189716</v>
      </c>
      <c r="C1378">
        <v>0.8797627181268119</v>
      </c>
      <c r="D1378">
        <v>0.867311921770728</v>
      </c>
      <c r="E1378">
        <v>0.991574628691662</v>
      </c>
      <c r="F1378">
        <v>0.99572014923511</v>
      </c>
      <c r="G1378">
        <v>0.840284357641695</v>
      </c>
      <c r="H1378">
        <v>0.795525980255349</v>
      </c>
      <c r="I1378">
        <v>0.813327497072177</v>
      </c>
      <c r="J1378">
        <v>0.705915279132855</v>
      </c>
      <c r="K1378">
        <v>0.649918182851016</v>
      </c>
      <c r="L1378">
        <v>317.299604875543</v>
      </c>
      <c r="M1378">
        <v>4.02071865361877</v>
      </c>
      <c r="O1378">
        <v>64.8926237142077</v>
      </c>
      <c r="P1378">
        <v>-0.0156857261876895</v>
      </c>
      <c r="Q1378">
        <v>0</v>
      </c>
      <c r="R1378">
        <v>0.736094862649793</v>
      </c>
      <c r="S1378" t="s">
        <v>3571</v>
      </c>
      <c r="T1378" t="s">
        <v>4362</v>
      </c>
      <c r="U1378" t="s">
        <v>4362</v>
      </c>
      <c r="V1378" t="s">
        <v>4362</v>
      </c>
      <c r="W1378" t="s">
        <v>5736</v>
      </c>
      <c r="X1378">
        <v>6</v>
      </c>
      <c r="Y1378" t="s">
        <v>7899</v>
      </c>
      <c r="Z1378" t="s">
        <v>10066</v>
      </c>
      <c r="AA1378">
        <v>0.8682666699744158</v>
      </c>
      <c r="AB1378">
        <f>HYPERLINK("Melting_Curves/meltCurve_P31063_yedD.pdf", "Melting_Curves/meltCurve_P31063_yedD.pdf")</f>
        <v>0</v>
      </c>
    </row>
    <row r="1379" spans="1:28">
      <c r="A1379" t="s">
        <v>1405</v>
      </c>
      <c r="B1379">
        <v>0.999739202189716</v>
      </c>
      <c r="C1379">
        <v>1.09204471479655</v>
      </c>
      <c r="D1379">
        <v>0.553534930144574</v>
      </c>
      <c r="E1379">
        <v>0.399913952684176</v>
      </c>
      <c r="F1379">
        <v>0.275856084105831</v>
      </c>
      <c r="G1379">
        <v>0.205354015126004</v>
      </c>
      <c r="H1379">
        <v>0.175933281629254</v>
      </c>
      <c r="I1379">
        <v>0.141776007327512</v>
      </c>
      <c r="J1379">
        <v>0.120021905763619</v>
      </c>
      <c r="K1379">
        <v>0.128116235056975</v>
      </c>
      <c r="L1379">
        <v>961.357193818661</v>
      </c>
      <c r="M1379">
        <v>21.899712745987</v>
      </c>
      <c r="N1379">
        <v>44.7074772459767</v>
      </c>
      <c r="O1379">
        <v>43.5370489407235</v>
      </c>
      <c r="P1379">
        <v>-0.105176868855583</v>
      </c>
      <c r="Q1379">
        <v>0.163644487444938</v>
      </c>
      <c r="R1379">
        <v>0.951574086060484</v>
      </c>
      <c r="S1379" t="s">
        <v>3572</v>
      </c>
      <c r="T1379" t="s">
        <v>4362</v>
      </c>
      <c r="U1379" t="s">
        <v>4362</v>
      </c>
      <c r="V1379" t="s">
        <v>4362</v>
      </c>
      <c r="W1379" t="s">
        <v>5737</v>
      </c>
      <c r="X1379">
        <v>1</v>
      </c>
      <c r="Y1379" t="s">
        <v>7900</v>
      </c>
      <c r="Z1379" t="s">
        <v>10067</v>
      </c>
      <c r="AA1379">
        <v>0.3651467126114246</v>
      </c>
      <c r="AB1379">
        <f>HYPERLINK("Melting_Curves/meltCurve_P31064_yedE.pdf", "Melting_Curves/meltCurve_P31064_yedE.pdf")</f>
        <v>0</v>
      </c>
    </row>
    <row r="1380" spans="1:28">
      <c r="A1380" t="s">
        <v>1406</v>
      </c>
      <c r="B1380">
        <v>0.999739202189716</v>
      </c>
      <c r="C1380">
        <v>1.01897843396149</v>
      </c>
      <c r="D1380">
        <v>0.9066248949365729</v>
      </c>
      <c r="E1380">
        <v>1.00012162606995</v>
      </c>
      <c r="F1380">
        <v>0.915980214284753</v>
      </c>
      <c r="G1380">
        <v>0.762171718916186</v>
      </c>
      <c r="H1380">
        <v>0.694108429648905</v>
      </c>
      <c r="I1380">
        <v>0.587499054530936</v>
      </c>
      <c r="J1380">
        <v>0.496653950563945</v>
      </c>
      <c r="K1380">
        <v>0.474845922241585</v>
      </c>
      <c r="L1380">
        <v>672.803947996026</v>
      </c>
      <c r="M1380">
        <v>11.7781575645172</v>
      </c>
      <c r="N1380">
        <v>64.8199265464861</v>
      </c>
      <c r="O1380">
        <v>55.5509511581919</v>
      </c>
      <c r="P1380">
        <v>-0.0330565321448976</v>
      </c>
      <c r="Q1380">
        <v>0.376525214209321</v>
      </c>
      <c r="R1380">
        <v>0.973325097957356</v>
      </c>
      <c r="S1380" t="s">
        <v>3573</v>
      </c>
      <c r="T1380" t="s">
        <v>4362</v>
      </c>
      <c r="U1380" t="s">
        <v>4362</v>
      </c>
      <c r="V1380" t="s">
        <v>4362</v>
      </c>
      <c r="W1380" t="s">
        <v>5738</v>
      </c>
      <c r="X1380">
        <v>4</v>
      </c>
      <c r="Y1380" t="s">
        <v>7901</v>
      </c>
      <c r="Z1380" t="s">
        <v>10068</v>
      </c>
      <c r="AA1380">
        <v>0.7969071940989392</v>
      </c>
      <c r="AB1380">
        <f>HYPERLINK("Melting_Curves/meltCurve_P31068_fliH.pdf", "Melting_Curves/meltCurve_P31068_fliH.pdf")</f>
        <v>0</v>
      </c>
    </row>
    <row r="1381" spans="1:28">
      <c r="A1381" t="s">
        <v>1407</v>
      </c>
      <c r="B1381">
        <v>0.999739202189716</v>
      </c>
      <c r="C1381">
        <v>0.828350055745812</v>
      </c>
      <c r="D1381">
        <v>1.52677922499198</v>
      </c>
      <c r="E1381">
        <v>0.8221182576871791</v>
      </c>
      <c r="F1381">
        <v>1.18028525163115</v>
      </c>
      <c r="G1381">
        <v>0.884044105331783</v>
      </c>
      <c r="H1381">
        <v>0.627283014900067</v>
      </c>
      <c r="I1381">
        <v>0.566654716399333</v>
      </c>
      <c r="J1381">
        <v>0.480001506377702</v>
      </c>
      <c r="K1381">
        <v>0.442732349536154</v>
      </c>
      <c r="L1381">
        <v>2032.07635599087</v>
      </c>
      <c r="M1381">
        <v>36.2607660296722</v>
      </c>
      <c r="N1381">
        <v>61.7105178184706</v>
      </c>
      <c r="O1381">
        <v>55.8710113461492</v>
      </c>
      <c r="P1381">
        <v>-0.0840254692707967</v>
      </c>
      <c r="Q1381">
        <v>0.482131920683072</v>
      </c>
      <c r="R1381">
        <v>0.628878565376039</v>
      </c>
      <c r="S1381" t="s">
        <v>3574</v>
      </c>
      <c r="T1381" t="s">
        <v>4362</v>
      </c>
      <c r="U1381" t="s">
        <v>4362</v>
      </c>
      <c r="V1381" t="s">
        <v>4362</v>
      </c>
      <c r="W1381" t="s">
        <v>5739</v>
      </c>
      <c r="X1381">
        <v>2</v>
      </c>
      <c r="Y1381" t="s">
        <v>7902</v>
      </c>
      <c r="Z1381" t="s">
        <v>10069</v>
      </c>
      <c r="AA1381">
        <v>0.813154509454371</v>
      </c>
      <c r="AB1381">
        <f>HYPERLINK("Melting_Curves/meltCurve_P31069_kch.pdf", "Melting_Curves/meltCurve_P31069_kch.pdf")</f>
        <v>0</v>
      </c>
    </row>
    <row r="1382" spans="1:28">
      <c r="A1382" t="s">
        <v>1408</v>
      </c>
      <c r="B1382">
        <v>0.999739202189716</v>
      </c>
      <c r="C1382">
        <v>1.35517553454459</v>
      </c>
      <c r="D1382">
        <v>0.869606552137598</v>
      </c>
      <c r="E1382">
        <v>0.838354994193473</v>
      </c>
      <c r="F1382">
        <v>0.471970172354833</v>
      </c>
      <c r="G1382">
        <v>0.283741837291232</v>
      </c>
      <c r="H1382">
        <v>0.218491415883717</v>
      </c>
      <c r="I1382">
        <v>0.15261883378487</v>
      </c>
      <c r="J1382">
        <v>0.14683119467141</v>
      </c>
      <c r="K1382">
        <v>0.133671566388857</v>
      </c>
      <c r="L1382">
        <v>1073.53245013024</v>
      </c>
      <c r="M1382">
        <v>21.7618580459649</v>
      </c>
      <c r="N1382">
        <v>50.1427929698164</v>
      </c>
      <c r="O1382">
        <v>48.9200255089849</v>
      </c>
      <c r="P1382">
        <v>-0.09470054337212409</v>
      </c>
      <c r="Q1382">
        <v>0.14848355126821</v>
      </c>
      <c r="R1382">
        <v>0.917310629657467</v>
      </c>
      <c r="S1382" t="s">
        <v>3575</v>
      </c>
      <c r="T1382" t="s">
        <v>4362</v>
      </c>
      <c r="U1382" t="s">
        <v>4362</v>
      </c>
      <c r="V1382" t="s">
        <v>4362</v>
      </c>
      <c r="W1382" t="s">
        <v>5740</v>
      </c>
      <c r="X1382">
        <v>13</v>
      </c>
      <c r="Y1382" t="s">
        <v>7903</v>
      </c>
      <c r="Z1382" t="s">
        <v>10070</v>
      </c>
      <c r="AA1382">
        <v>0.508097932437392</v>
      </c>
      <c r="AB1382">
        <f>HYPERLINK("Melting_Curves/meltCurve_P31119_aas.pdf", "Melting_Curves/meltCurve_P31119_aas.pdf")</f>
        <v>0</v>
      </c>
    </row>
    <row r="1383" spans="1:28">
      <c r="A1383" t="s">
        <v>1409</v>
      </c>
      <c r="B1383">
        <v>0.999739202189716</v>
      </c>
      <c r="C1383">
        <v>1.4755325889191</v>
      </c>
      <c r="D1383">
        <v>0.954487137022991</v>
      </c>
      <c r="E1383">
        <v>0.968760724002212</v>
      </c>
      <c r="F1383">
        <v>0.537369402717406</v>
      </c>
      <c r="G1383">
        <v>0.280043949024126</v>
      </c>
      <c r="H1383">
        <v>0.1836582477777</v>
      </c>
      <c r="I1383">
        <v>0.136897428939753</v>
      </c>
      <c r="J1383">
        <v>0.116646879456194</v>
      </c>
      <c r="K1383">
        <v>0.08640453780793481</v>
      </c>
      <c r="L1383">
        <v>1422.5935018683</v>
      </c>
      <c r="M1383">
        <v>28.2827164695414</v>
      </c>
      <c r="N1383">
        <v>50.8212399275482</v>
      </c>
      <c r="O1383">
        <v>50.0496046157679</v>
      </c>
      <c r="P1383">
        <v>-0.123460399316252</v>
      </c>
      <c r="Q1383">
        <v>0.126096395237993</v>
      </c>
      <c r="R1383">
        <v>0.891245640583331</v>
      </c>
      <c r="S1383" t="s">
        <v>3576</v>
      </c>
      <c r="T1383" t="s">
        <v>4362</v>
      </c>
      <c r="U1383" t="s">
        <v>4362</v>
      </c>
      <c r="V1383" t="s">
        <v>4362</v>
      </c>
      <c r="W1383" t="s">
        <v>5741</v>
      </c>
      <c r="X1383">
        <v>17</v>
      </c>
      <c r="Y1383" t="s">
        <v>7904</v>
      </c>
      <c r="Z1383" t="s">
        <v>10071</v>
      </c>
      <c r="AA1383">
        <v>0.5195461422183333</v>
      </c>
      <c r="AB1383">
        <f>HYPERLINK("Melting_Curves/meltCurve_P31120_glmM.pdf", "Melting_Curves/meltCurve_P31120_glmM.pdf")</f>
        <v>0</v>
      </c>
    </row>
    <row r="1384" spans="1:28">
      <c r="A1384" t="s">
        <v>1410</v>
      </c>
      <c r="B1384">
        <v>0.999739202189716</v>
      </c>
      <c r="C1384">
        <v>1.033604852807</v>
      </c>
      <c r="D1384">
        <v>0.818762438560751</v>
      </c>
      <c r="E1384">
        <v>1.05754777689079</v>
      </c>
      <c r="F1384">
        <v>1.19134155336003</v>
      </c>
      <c r="G1384">
        <v>0.887780582651111</v>
      </c>
      <c r="H1384">
        <v>0.926760420174384</v>
      </c>
      <c r="I1384">
        <v>0.873083688263922</v>
      </c>
      <c r="J1384">
        <v>0.6770946631203471</v>
      </c>
      <c r="K1384">
        <v>0.723787004831613</v>
      </c>
      <c r="L1384">
        <v>1381.62039630623</v>
      </c>
      <c r="M1384">
        <v>22.677627457109</v>
      </c>
      <c r="O1384">
        <v>60.4565544460551</v>
      </c>
      <c r="P1384">
        <v>-0.0323794841842796</v>
      </c>
      <c r="Q1384">
        <v>0.65472337217073</v>
      </c>
      <c r="R1384">
        <v>0.590360903305501</v>
      </c>
      <c r="S1384" t="s">
        <v>3577</v>
      </c>
      <c r="T1384" t="s">
        <v>4362</v>
      </c>
      <c r="U1384" t="s">
        <v>4362</v>
      </c>
      <c r="V1384" t="s">
        <v>4362</v>
      </c>
      <c r="W1384" t="s">
        <v>5742</v>
      </c>
      <c r="X1384">
        <v>11</v>
      </c>
      <c r="Y1384" t="s">
        <v>7905</v>
      </c>
      <c r="Z1384" t="s">
        <v>10072</v>
      </c>
      <c r="AA1384">
        <v>0.92965382994516</v>
      </c>
      <c r="AB1384">
        <f>HYPERLINK("Melting_Curves/meltCurve_P31130_ydeI.pdf", "Melting_Curves/meltCurve_P31130_ydeI.pdf")</f>
        <v>0</v>
      </c>
    </row>
    <row r="1385" spans="1:28">
      <c r="A1385" t="s">
        <v>1411</v>
      </c>
      <c r="B1385">
        <v>0.999739202189716</v>
      </c>
      <c r="C1385">
        <v>0.878535927179699</v>
      </c>
      <c r="D1385">
        <v>1.14664846648866</v>
      </c>
      <c r="E1385">
        <v>0.990582739794326</v>
      </c>
      <c r="F1385">
        <v>1.07830603663563</v>
      </c>
      <c r="G1385">
        <v>0.950166682623754</v>
      </c>
      <c r="H1385">
        <v>0.8041602443285</v>
      </c>
      <c r="I1385">
        <v>0.765304552373639</v>
      </c>
      <c r="J1385">
        <v>0.621598610683685</v>
      </c>
      <c r="K1385">
        <v>0.423443394482011</v>
      </c>
      <c r="L1385">
        <v>868.904311847653</v>
      </c>
      <c r="M1385">
        <v>13.1865846908353</v>
      </c>
      <c r="N1385">
        <v>65.89305215486939</v>
      </c>
      <c r="O1385">
        <v>64.4329630823662</v>
      </c>
      <c r="P1385">
        <v>-0.0511725400433107</v>
      </c>
      <c r="Q1385">
        <v>0</v>
      </c>
      <c r="R1385">
        <v>0.879178539638847</v>
      </c>
      <c r="S1385" t="s">
        <v>3578</v>
      </c>
      <c r="T1385" t="s">
        <v>4362</v>
      </c>
      <c r="U1385" t="s">
        <v>4362</v>
      </c>
      <c r="V1385" t="s">
        <v>4362</v>
      </c>
      <c r="W1385" t="s">
        <v>5743</v>
      </c>
      <c r="X1385">
        <v>5</v>
      </c>
      <c r="Y1385" t="s">
        <v>7906</v>
      </c>
      <c r="Z1385" t="s">
        <v>10073</v>
      </c>
      <c r="AA1385">
        <v>0.8818905065473358</v>
      </c>
      <c r="AB1385">
        <f>HYPERLINK("Melting_Curves/meltCurve_P31131_ydeJ.pdf", "Melting_Curves/meltCurve_P31131_ydeJ.pdf")</f>
        <v>0</v>
      </c>
    </row>
    <row r="1386" spans="1:28">
      <c r="A1386" t="s">
        <v>1412</v>
      </c>
      <c r="B1386">
        <v>0.999739202189716</v>
      </c>
      <c r="C1386">
        <v>0.957751635953729</v>
      </c>
      <c r="D1386">
        <v>0.871382899369729</v>
      </c>
      <c r="E1386">
        <v>0.967450462302779</v>
      </c>
      <c r="F1386">
        <v>0.820668417705895</v>
      </c>
      <c r="G1386">
        <v>0.763367149549668</v>
      </c>
      <c r="H1386">
        <v>0.641902507771386</v>
      </c>
      <c r="I1386">
        <v>0.65165359529066</v>
      </c>
      <c r="J1386">
        <v>0.592362862814951</v>
      </c>
      <c r="K1386">
        <v>0.376590304224061</v>
      </c>
      <c r="L1386">
        <v>364.137271330858</v>
      </c>
      <c r="M1386">
        <v>5.58715678376207</v>
      </c>
      <c r="N1386">
        <v>65.1739848053337</v>
      </c>
      <c r="O1386">
        <v>58.2581893328794</v>
      </c>
      <c r="P1386">
        <v>-0.0240757834993498</v>
      </c>
      <c r="Q1386">
        <v>0</v>
      </c>
      <c r="R1386">
        <v>0.922712130099268</v>
      </c>
      <c r="S1386" t="s">
        <v>3579</v>
      </c>
      <c r="T1386" t="s">
        <v>4362</v>
      </c>
      <c r="U1386" t="s">
        <v>4362</v>
      </c>
      <c r="V1386" t="s">
        <v>4362</v>
      </c>
      <c r="W1386" t="s">
        <v>5744</v>
      </c>
      <c r="X1386">
        <v>7</v>
      </c>
      <c r="Y1386" t="s">
        <v>7907</v>
      </c>
      <c r="Z1386" t="s">
        <v>10074</v>
      </c>
      <c r="AA1386">
        <v>0.7749330796514118</v>
      </c>
      <c r="AB1386">
        <f>HYPERLINK("Melting_Curves/meltCurve_P31133_potF.pdf", "Melting_Curves/meltCurve_P31133_potF.pdf")</f>
        <v>0</v>
      </c>
    </row>
    <row r="1387" spans="1:28">
      <c r="A1387" t="s">
        <v>1413</v>
      </c>
      <c r="B1387">
        <v>0.999739202189716</v>
      </c>
      <c r="C1387">
        <v>0.983601536878858</v>
      </c>
      <c r="D1387">
        <v>1.011087658288</v>
      </c>
      <c r="E1387">
        <v>0.932005421028876</v>
      </c>
      <c r="F1387">
        <v>0.890456200790982</v>
      </c>
      <c r="G1387">
        <v>0.248765708547638</v>
      </c>
      <c r="H1387">
        <v>0.143822028281596</v>
      </c>
      <c r="I1387">
        <v>0.114609548244422</v>
      </c>
      <c r="J1387">
        <v>0.111226239007619</v>
      </c>
      <c r="K1387">
        <v>0.09747825206539611</v>
      </c>
      <c r="L1387">
        <v>2701.06655900836</v>
      </c>
      <c r="M1387">
        <v>51.8918353622265</v>
      </c>
      <c r="N1387">
        <v>52.3131501815346</v>
      </c>
      <c r="O1387">
        <v>51.9747367915335</v>
      </c>
      <c r="P1387">
        <v>-0.221107095559377</v>
      </c>
      <c r="Q1387">
        <v>0.114159437444637</v>
      </c>
      <c r="R1387">
        <v>0.996733213344964</v>
      </c>
      <c r="S1387" t="s">
        <v>3580</v>
      </c>
      <c r="T1387" t="s">
        <v>4362</v>
      </c>
      <c r="U1387" t="s">
        <v>4362</v>
      </c>
      <c r="V1387" t="s">
        <v>4362</v>
      </c>
      <c r="W1387" t="s">
        <v>5745</v>
      </c>
      <c r="X1387">
        <v>8</v>
      </c>
      <c r="Y1387" t="s">
        <v>7908</v>
      </c>
      <c r="Z1387" t="s">
        <v>10075</v>
      </c>
      <c r="AA1387">
        <v>0.5604981193854309</v>
      </c>
      <c r="AB1387">
        <f>HYPERLINK("Melting_Curves/meltCurve_P31142_sseA.pdf", "Melting_Curves/meltCurve_P31142_sseA.pdf")</f>
        <v>0</v>
      </c>
    </row>
    <row r="1388" spans="1:28">
      <c r="A1388" t="s">
        <v>1414</v>
      </c>
      <c r="B1388">
        <v>0.999739202189716</v>
      </c>
      <c r="C1388">
        <v>1.68011851656601</v>
      </c>
      <c r="D1388">
        <v>1.02617371650149</v>
      </c>
      <c r="E1388">
        <v>1.06639215439653</v>
      </c>
      <c r="F1388">
        <v>0.339897803262605</v>
      </c>
      <c r="G1388">
        <v>0.132297893322363</v>
      </c>
      <c r="H1388">
        <v>0.08025748321773959</v>
      </c>
      <c r="I1388">
        <v>0.0555848914042651</v>
      </c>
      <c r="J1388">
        <v>0.0524327402237231</v>
      </c>
      <c r="K1388">
        <v>0.044308134621377</v>
      </c>
      <c r="L1388">
        <v>9996.82776688909</v>
      </c>
      <c r="M1388">
        <v>200.045432709395</v>
      </c>
      <c r="N1388">
        <v>50.0122376598827</v>
      </c>
      <c r="O1388">
        <v>49.967792717839</v>
      </c>
      <c r="P1388">
        <v>-0.927832194828013</v>
      </c>
      <c r="Q1388">
        <v>0.0729760544119005</v>
      </c>
      <c r="R1388">
        <v>0.850379081279891</v>
      </c>
      <c r="S1388" t="s">
        <v>3581</v>
      </c>
      <c r="T1388" t="s">
        <v>4362</v>
      </c>
      <c r="U1388" t="s">
        <v>4362</v>
      </c>
      <c r="V1388" t="s">
        <v>4362</v>
      </c>
      <c r="W1388" t="s">
        <v>5746</v>
      </c>
      <c r="X1388">
        <v>21</v>
      </c>
      <c r="Y1388" t="s">
        <v>7909</v>
      </c>
      <c r="Z1388" t="s">
        <v>10076</v>
      </c>
      <c r="AA1388">
        <v>0.4739725138967909</v>
      </c>
      <c r="AB1388">
        <f>HYPERLINK("Melting_Curves/meltCurve_P31224_acrB.pdf", "Melting_Curves/meltCurve_P31224_acrB.pdf")</f>
        <v>0</v>
      </c>
    </row>
    <row r="1389" spans="1:28">
      <c r="A1389" t="s">
        <v>1415</v>
      </c>
      <c r="B1389">
        <v>0.999739202189716</v>
      </c>
      <c r="C1389">
        <v>0.8244478331323</v>
      </c>
      <c r="D1389">
        <v>0.395525409683559</v>
      </c>
      <c r="E1389">
        <v>0.161362146486534</v>
      </c>
      <c r="F1389">
        <v>0.102737406442728</v>
      </c>
      <c r="G1389">
        <v>0.06768385981460739</v>
      </c>
      <c r="H1389">
        <v>0.0583768028638769</v>
      </c>
      <c r="I1389">
        <v>0.0457193740568602</v>
      </c>
      <c r="J1389">
        <v>0.0462745578106031</v>
      </c>
      <c r="K1389">
        <v>0.0418688518698766</v>
      </c>
      <c r="L1389">
        <v>1064.76879909066</v>
      </c>
      <c r="M1389">
        <v>25.2645400302972</v>
      </c>
      <c r="N1389">
        <v>42.3555206137738</v>
      </c>
      <c r="O1389">
        <v>41.8834104552335</v>
      </c>
      <c r="P1389">
        <v>-0.141897884998696</v>
      </c>
      <c r="Q1389">
        <v>0.0590621130660038</v>
      </c>
      <c r="R1389">
        <v>0.997185568446871</v>
      </c>
      <c r="S1389" t="s">
        <v>3582</v>
      </c>
      <c r="T1389" t="s">
        <v>4362</v>
      </c>
      <c r="U1389" t="s">
        <v>4362</v>
      </c>
      <c r="V1389" t="s">
        <v>4362</v>
      </c>
      <c r="W1389" t="s">
        <v>5747</v>
      </c>
      <c r="X1389">
        <v>8</v>
      </c>
      <c r="Y1389" t="s">
        <v>7910</v>
      </c>
      <c r="Z1389" t="s">
        <v>10077</v>
      </c>
      <c r="AA1389">
        <v>0.2284910718086753</v>
      </c>
      <c r="AB1389">
        <f>HYPERLINK("Melting_Curves/meltCurve_P31433_yicH.pdf", "Melting_Curves/meltCurve_P31433_yicH.pdf")</f>
        <v>0</v>
      </c>
    </row>
    <row r="1390" spans="1:28">
      <c r="A1390" t="s">
        <v>1416</v>
      </c>
      <c r="B1390">
        <v>0.999739202189716</v>
      </c>
      <c r="C1390">
        <v>1.18056084889796</v>
      </c>
      <c r="D1390">
        <v>1.06302810890374</v>
      </c>
      <c r="E1390">
        <v>0.92538581868165</v>
      </c>
      <c r="F1390">
        <v>0.729293730234077</v>
      </c>
      <c r="G1390">
        <v>0.494770191826986</v>
      </c>
      <c r="H1390">
        <v>0.280537949516077</v>
      </c>
      <c r="I1390">
        <v>0.139979815468066</v>
      </c>
      <c r="J1390">
        <v>0.0930750821186688</v>
      </c>
      <c r="K1390">
        <v>0.0839655190892817</v>
      </c>
      <c r="L1390">
        <v>930.638686471809</v>
      </c>
      <c r="M1390">
        <v>17.4724350988364</v>
      </c>
      <c r="N1390">
        <v>53.6197922812926</v>
      </c>
      <c r="O1390">
        <v>52.5802368585823</v>
      </c>
      <c r="P1390">
        <v>-0.07852311658439209</v>
      </c>
      <c r="Q1390">
        <v>0.0548461017314945</v>
      </c>
      <c r="R1390">
        <v>0.975678602869448</v>
      </c>
      <c r="S1390" t="s">
        <v>3583</v>
      </c>
      <c r="T1390" t="s">
        <v>4362</v>
      </c>
      <c r="U1390" t="s">
        <v>4362</v>
      </c>
      <c r="V1390" t="s">
        <v>4362</v>
      </c>
      <c r="W1390" t="s">
        <v>5748</v>
      </c>
      <c r="X1390">
        <v>5</v>
      </c>
      <c r="Y1390" t="s">
        <v>7911</v>
      </c>
      <c r="Z1390" t="s">
        <v>10078</v>
      </c>
      <c r="AA1390">
        <v>0.5812820270612142</v>
      </c>
      <c r="AB1390">
        <f>HYPERLINK("Melting_Curves/meltCurve_P31441_ade.pdf", "Melting_Curves/meltCurve_P31441_ade.pdf")</f>
        <v>0</v>
      </c>
    </row>
    <row r="1391" spans="1:28">
      <c r="A1391" t="s">
        <v>1417</v>
      </c>
      <c r="B1391">
        <v>0.999739202189716</v>
      </c>
      <c r="C1391">
        <v>1.03654443165189</v>
      </c>
      <c r="D1391">
        <v>1.00780467063029</v>
      </c>
      <c r="E1391">
        <v>0.952854208986623</v>
      </c>
      <c r="F1391">
        <v>0.3064779924647</v>
      </c>
      <c r="G1391">
        <v>0.106082848421589</v>
      </c>
      <c r="H1391">
        <v>0.0648982313123757</v>
      </c>
      <c r="I1391">
        <v>0.044037071762041</v>
      </c>
      <c r="J1391">
        <v>0.0428771955635167</v>
      </c>
      <c r="K1391">
        <v>0.0412789151863331</v>
      </c>
      <c r="L1391">
        <v>2454.90609141974</v>
      </c>
      <c r="M1391">
        <v>49.8965768413436</v>
      </c>
      <c r="N1391">
        <v>49.3180802737595</v>
      </c>
      <c r="O1391">
        <v>49.1210545992648</v>
      </c>
      <c r="P1391">
        <v>-0.239636845441399</v>
      </c>
      <c r="Q1391">
        <v>0.0563517417113915</v>
      </c>
      <c r="R1391">
        <v>0.998265002556513</v>
      </c>
      <c r="S1391" t="s">
        <v>3584</v>
      </c>
      <c r="T1391" t="s">
        <v>4362</v>
      </c>
      <c r="U1391" t="s">
        <v>4362</v>
      </c>
      <c r="V1391" t="s">
        <v>4362</v>
      </c>
      <c r="W1391" t="s">
        <v>5749</v>
      </c>
      <c r="X1391">
        <v>5</v>
      </c>
      <c r="Y1391" t="s">
        <v>7912</v>
      </c>
      <c r="Z1391" t="s">
        <v>10079</v>
      </c>
      <c r="AA1391">
        <v>0.4421549472214388</v>
      </c>
      <c r="AB1391">
        <f>HYPERLINK("Melting_Curves/meltCurve_P31455_yidR.pdf", "Melting_Curves/meltCurve_P31455_yidR.pdf")</f>
        <v>0</v>
      </c>
    </row>
    <row r="1392" spans="1:28">
      <c r="A1392" t="s">
        <v>1418</v>
      </c>
      <c r="B1392">
        <v>0.999739202189716</v>
      </c>
      <c r="C1392">
        <v>1.09648670994208</v>
      </c>
      <c r="D1392">
        <v>0.6741090502856441</v>
      </c>
      <c r="E1392">
        <v>0.941834573092952</v>
      </c>
      <c r="F1392">
        <v>0.498248443009334</v>
      </c>
      <c r="G1392">
        <v>0.283131827947581</v>
      </c>
      <c r="H1392">
        <v>0.156190532552446</v>
      </c>
      <c r="I1392">
        <v>0.105143817143061</v>
      </c>
      <c r="J1392">
        <v>0.079191891188637</v>
      </c>
      <c r="K1392">
        <v>0.0904653539615287</v>
      </c>
      <c r="L1392">
        <v>822.133112035299</v>
      </c>
      <c r="M1392">
        <v>16.3589549205764</v>
      </c>
      <c r="N1392">
        <v>50.6193845890581</v>
      </c>
      <c r="O1392">
        <v>49.5228709498816</v>
      </c>
      <c r="P1392">
        <v>-0.0780112884496824</v>
      </c>
      <c r="Q1392">
        <v>0.0554249061616581</v>
      </c>
      <c r="R1392">
        <v>0.927769447620221</v>
      </c>
      <c r="S1392" t="s">
        <v>3585</v>
      </c>
      <c r="T1392" t="s">
        <v>4362</v>
      </c>
      <c r="U1392" t="s">
        <v>4362</v>
      </c>
      <c r="V1392" t="s">
        <v>4362</v>
      </c>
      <c r="W1392" t="s">
        <v>5750</v>
      </c>
      <c r="X1392">
        <v>5</v>
      </c>
      <c r="Y1392" t="s">
        <v>7913</v>
      </c>
      <c r="Z1392" t="s">
        <v>10080</v>
      </c>
      <c r="AA1392">
        <v>0.490034523970548</v>
      </c>
      <c r="AB1392">
        <f>HYPERLINK("Melting_Curves/meltCurve_P31460_dgoR.pdf", "Melting_Curves/meltCurve_P31460_dgoR.pdf")</f>
        <v>0</v>
      </c>
    </row>
    <row r="1393" spans="1:28">
      <c r="A1393" t="s">
        <v>1419</v>
      </c>
      <c r="B1393">
        <v>0.999739202189716</v>
      </c>
      <c r="C1393">
        <v>0.818454698690497</v>
      </c>
      <c r="D1393">
        <v>0.462374433481294</v>
      </c>
      <c r="E1393">
        <v>0.302449868215584</v>
      </c>
      <c r="F1393">
        <v>0.208506416733643</v>
      </c>
      <c r="G1393">
        <v>0.130221935323947</v>
      </c>
      <c r="H1393">
        <v>0.115510964708672</v>
      </c>
      <c r="I1393">
        <v>0.08588027169787051</v>
      </c>
      <c r="J1393">
        <v>0.0642324542672226</v>
      </c>
      <c r="K1393">
        <v>0.0494321335841153</v>
      </c>
      <c r="L1393">
        <v>718.406872741396</v>
      </c>
      <c r="M1393">
        <v>16.7711954239953</v>
      </c>
      <c r="N1393">
        <v>43.3292929829282</v>
      </c>
      <c r="O1393">
        <v>42.2406437783504</v>
      </c>
      <c r="P1393">
        <v>-0.0906354650093639</v>
      </c>
      <c r="Q1393">
        <v>0.0869462194660838</v>
      </c>
      <c r="R1393">
        <v>0.985534072822233</v>
      </c>
      <c r="S1393" t="s">
        <v>3586</v>
      </c>
      <c r="T1393" t="s">
        <v>4362</v>
      </c>
      <c r="U1393" t="s">
        <v>4362</v>
      </c>
      <c r="V1393" t="s">
        <v>4362</v>
      </c>
      <c r="W1393" t="s">
        <v>5751</v>
      </c>
      <c r="X1393">
        <v>4</v>
      </c>
      <c r="Y1393" t="s">
        <v>7914</v>
      </c>
      <c r="Z1393" t="s">
        <v>10081</v>
      </c>
      <c r="AA1393">
        <v>0.2837066054399869</v>
      </c>
      <c r="AB1393">
        <f>HYPERLINK("Melting_Curves/meltCurve_P31473_ravA.pdf", "Melting_Curves/meltCurve_P31473_ravA.pdf")</f>
        <v>0</v>
      </c>
    </row>
    <row r="1394" spans="1:28">
      <c r="A1394" t="s">
        <v>1420</v>
      </c>
      <c r="B1394">
        <v>0.999739202189716</v>
      </c>
      <c r="C1394">
        <v>0.892377387422117</v>
      </c>
      <c r="D1394">
        <v>0.89985316398738</v>
      </c>
      <c r="E1394">
        <v>0.673539453073117</v>
      </c>
      <c r="F1394">
        <v>0.261224243303856</v>
      </c>
      <c r="G1394">
        <v>0.122152744119606</v>
      </c>
      <c r="H1394">
        <v>0.0686203064723498</v>
      </c>
      <c r="I1394">
        <v>0.0532295501249799</v>
      </c>
      <c r="J1394">
        <v>0.0395196815610699</v>
      </c>
      <c r="K1394">
        <v>0.0300995914182179</v>
      </c>
      <c r="L1394">
        <v>996.839985370692</v>
      </c>
      <c r="M1394">
        <v>20.8712510960052</v>
      </c>
      <c r="N1394">
        <v>47.9237288470947</v>
      </c>
      <c r="O1394">
        <v>47.3294192054648</v>
      </c>
      <c r="P1394">
        <v>-0.106484983428347</v>
      </c>
      <c r="Q1394">
        <v>0.0341291098216384</v>
      </c>
      <c r="R1394">
        <v>0.992859674015231</v>
      </c>
      <c r="S1394" t="s">
        <v>3587</v>
      </c>
      <c r="T1394" t="s">
        <v>4362</v>
      </c>
      <c r="U1394" t="s">
        <v>4362</v>
      </c>
      <c r="V1394" t="s">
        <v>4362</v>
      </c>
      <c r="W1394" t="s">
        <v>5752</v>
      </c>
      <c r="X1394">
        <v>2</v>
      </c>
      <c r="Y1394" t="s">
        <v>7915</v>
      </c>
      <c r="Z1394" t="s">
        <v>10082</v>
      </c>
      <c r="AA1394">
        <v>0.3922832507540884</v>
      </c>
      <c r="AB1394">
        <f>HYPERLINK("Melting_Curves/meltCurve_P31475_yieP.pdf", "Melting_Curves/meltCurve_P31475_yieP.pdf")</f>
        <v>0</v>
      </c>
    </row>
    <row r="1395" spans="1:28">
      <c r="A1395" t="s">
        <v>1421</v>
      </c>
      <c r="B1395">
        <v>0.999739202189716</v>
      </c>
      <c r="C1395">
        <v>0.84240810658846</v>
      </c>
      <c r="D1395">
        <v>0.7922855569892781</v>
      </c>
      <c r="E1395">
        <v>0.41035527730092</v>
      </c>
      <c r="F1395">
        <v>0.293096712893832</v>
      </c>
      <c r="G1395">
        <v>0.139488200211943</v>
      </c>
      <c r="H1395">
        <v>0.0366563489075746</v>
      </c>
      <c r="I1395">
        <v>0</v>
      </c>
      <c r="J1395">
        <v>0</v>
      </c>
      <c r="K1395">
        <v>0.0340141923778339</v>
      </c>
      <c r="L1395">
        <v>640.908033741181</v>
      </c>
      <c r="M1395">
        <v>13.8802673708358</v>
      </c>
      <c r="N1395">
        <v>46.1740406428047</v>
      </c>
      <c r="O1395">
        <v>45.2472900803327</v>
      </c>
      <c r="P1395">
        <v>-0.0767016476617903</v>
      </c>
      <c r="Q1395">
        <v>0</v>
      </c>
      <c r="R1395">
        <v>0.988461575847746</v>
      </c>
      <c r="S1395" t="s">
        <v>3588</v>
      </c>
      <c r="T1395" t="s">
        <v>4362</v>
      </c>
      <c r="U1395" t="s">
        <v>4362</v>
      </c>
      <c r="V1395" t="s">
        <v>4362</v>
      </c>
      <c r="W1395" t="s">
        <v>5753</v>
      </c>
      <c r="X1395">
        <v>1</v>
      </c>
      <c r="Y1395" t="s">
        <v>7916</v>
      </c>
      <c r="Z1395" t="s">
        <v>10083</v>
      </c>
      <c r="AA1395">
        <v>0.3322982849439215</v>
      </c>
      <c r="AB1395">
        <f>HYPERLINK("Melting_Curves/meltCurve_P31545_efeB.pdf", "Melting_Curves/meltCurve_P31545_efeB.pdf")</f>
        <v>0</v>
      </c>
    </row>
    <row r="1396" spans="1:28">
      <c r="A1396" t="s">
        <v>1422</v>
      </c>
      <c r="B1396">
        <v>0.999739202189716</v>
      </c>
      <c r="C1396">
        <v>0.892263544347585</v>
      </c>
      <c r="D1396">
        <v>0.865680369769054</v>
      </c>
      <c r="E1396">
        <v>0.842227056919534</v>
      </c>
      <c r="F1396">
        <v>0.818077758360465</v>
      </c>
      <c r="G1396">
        <v>0.77400582641083</v>
      </c>
      <c r="H1396">
        <v>0.728224683133659</v>
      </c>
      <c r="I1396">
        <v>0.732609463548383</v>
      </c>
      <c r="J1396">
        <v>0.693987862460772</v>
      </c>
      <c r="K1396">
        <v>0.542857409512372</v>
      </c>
      <c r="L1396">
        <v>200.526380611605</v>
      </c>
      <c r="M1396">
        <v>2.51371758318277</v>
      </c>
      <c r="O1396">
        <v>53.9527596969964</v>
      </c>
      <c r="P1396">
        <v>-0.0122351578773404</v>
      </c>
      <c r="Q1396">
        <v>0</v>
      </c>
      <c r="R1396">
        <v>0.895249108414513</v>
      </c>
      <c r="S1396" t="s">
        <v>3589</v>
      </c>
      <c r="T1396" t="s">
        <v>4362</v>
      </c>
      <c r="U1396" t="s">
        <v>4362</v>
      </c>
      <c r="V1396" t="s">
        <v>4362</v>
      </c>
      <c r="W1396" t="s">
        <v>5754</v>
      </c>
      <c r="X1396">
        <v>8</v>
      </c>
      <c r="Y1396" t="s">
        <v>7917</v>
      </c>
      <c r="Z1396" t="s">
        <v>10084</v>
      </c>
      <c r="AA1396">
        <v>0.7899443997393849</v>
      </c>
      <c r="AB1396">
        <f>HYPERLINK("Melting_Curves/meltCurve_P31550_thiB.pdf", "Melting_Curves/meltCurve_P31550_thiB.pdf")</f>
        <v>0</v>
      </c>
    </row>
    <row r="1397" spans="1:28">
      <c r="A1397" t="s">
        <v>1423</v>
      </c>
      <c r="B1397">
        <v>0.999739202189716</v>
      </c>
      <c r="C1397">
        <v>1.30309503350058</v>
      </c>
      <c r="D1397">
        <v>0.934389799951045</v>
      </c>
      <c r="E1397">
        <v>1.14636334362714</v>
      </c>
      <c r="F1397">
        <v>0.867551263891416</v>
      </c>
      <c r="G1397">
        <v>0.724505936040774</v>
      </c>
      <c r="H1397">
        <v>0.598850661232064</v>
      </c>
      <c r="I1397">
        <v>0.547733989815014</v>
      </c>
      <c r="J1397">
        <v>0.636090333003455</v>
      </c>
      <c r="K1397">
        <v>0.436414388584142</v>
      </c>
      <c r="L1397">
        <v>1401.29622209714</v>
      </c>
      <c r="M1397">
        <v>26.470980141941</v>
      </c>
      <c r="O1397">
        <v>52.6377269705725</v>
      </c>
      <c r="P1397">
        <v>-0.0583444715373335</v>
      </c>
      <c r="Q1397">
        <v>0.535931427458391</v>
      </c>
      <c r="R1397">
        <v>0.796291987958973</v>
      </c>
      <c r="S1397" t="s">
        <v>3590</v>
      </c>
      <c r="T1397" t="s">
        <v>4362</v>
      </c>
      <c r="U1397" t="s">
        <v>4362</v>
      </c>
      <c r="V1397" t="s">
        <v>4362</v>
      </c>
      <c r="W1397" t="s">
        <v>5755</v>
      </c>
      <c r="X1397">
        <v>13</v>
      </c>
      <c r="Y1397" t="s">
        <v>7918</v>
      </c>
      <c r="Z1397" t="s">
        <v>10085</v>
      </c>
      <c r="AA1397">
        <v>0.7861729105575714</v>
      </c>
      <c r="AB1397">
        <f>HYPERLINK("Melting_Curves/meltCurve_P31554_lptD.pdf", "Melting_Curves/meltCurve_P31554_lptD.pdf")</f>
        <v>0</v>
      </c>
    </row>
    <row r="1398" spans="1:28">
      <c r="A1398" t="s">
        <v>1424</v>
      </c>
      <c r="B1398">
        <v>0.999739202189716</v>
      </c>
      <c r="C1398">
        <v>0.91426836919233</v>
      </c>
      <c r="D1398">
        <v>1.0554809015168</v>
      </c>
      <c r="E1398">
        <v>0.917278794391008</v>
      </c>
      <c r="F1398">
        <v>0.951101227100537</v>
      </c>
      <c r="G1398">
        <v>0.757196572384206</v>
      </c>
      <c r="H1398">
        <v>0.44643109541973</v>
      </c>
      <c r="I1398">
        <v>0.254048215535997</v>
      </c>
      <c r="J1398">
        <v>0.164206128347098</v>
      </c>
      <c r="K1398">
        <v>0.110491368055249</v>
      </c>
      <c r="L1398">
        <v>1154.65840196287</v>
      </c>
      <c r="M1398">
        <v>20.4809792320553</v>
      </c>
      <c r="N1398">
        <v>56.8961702531955</v>
      </c>
      <c r="O1398">
        <v>55.847885877876</v>
      </c>
      <c r="P1398">
        <v>-0.0838717289603909</v>
      </c>
      <c r="Q1398">
        <v>0.0852154365744021</v>
      </c>
      <c r="R1398">
        <v>0.986973580448738</v>
      </c>
      <c r="S1398" t="s">
        <v>3591</v>
      </c>
      <c r="T1398" t="s">
        <v>4362</v>
      </c>
      <c r="U1398" t="s">
        <v>4362</v>
      </c>
      <c r="V1398" t="s">
        <v>4362</v>
      </c>
      <c r="W1398" t="s">
        <v>5756</v>
      </c>
      <c r="X1398">
        <v>11</v>
      </c>
      <c r="Y1398" t="s">
        <v>7919</v>
      </c>
      <c r="Z1398" t="s">
        <v>10086</v>
      </c>
      <c r="AA1398">
        <v>0.6848685843953637</v>
      </c>
      <c r="AB1398">
        <f>HYPERLINK("Melting_Curves/meltCurve_P31658_hchA.pdf", "Melting_Curves/meltCurve_P31658_hchA.pdf")</f>
        <v>0</v>
      </c>
    </row>
    <row r="1399" spans="1:28">
      <c r="A1399" t="s">
        <v>1425</v>
      </c>
      <c r="B1399">
        <v>0.999739202189716</v>
      </c>
      <c r="C1399">
        <v>0.784324884383354</v>
      </c>
      <c r="D1399">
        <v>0.573565801472928</v>
      </c>
      <c r="E1399">
        <v>0.478754552973607</v>
      </c>
      <c r="F1399">
        <v>0.341889741142725</v>
      </c>
      <c r="G1399">
        <v>0.204820740376568</v>
      </c>
      <c r="H1399">
        <v>0.157695985567326</v>
      </c>
      <c r="I1399">
        <v>0.09925049556730391</v>
      </c>
      <c r="J1399">
        <v>0.0853485264290324</v>
      </c>
      <c r="K1399">
        <v>0.0718399787231316</v>
      </c>
      <c r="L1399">
        <v>445.668824060927</v>
      </c>
      <c r="M1399">
        <v>9.825456720052889</v>
      </c>
      <c r="N1399">
        <v>45.739307570409</v>
      </c>
      <c r="O1399">
        <v>43.5994920249008</v>
      </c>
      <c r="P1399">
        <v>-0.0541553427989999</v>
      </c>
      <c r="Q1399">
        <v>0.0392642995638701</v>
      </c>
      <c r="R1399">
        <v>0.982595703704932</v>
      </c>
      <c r="S1399" t="s">
        <v>3592</v>
      </c>
      <c r="T1399" t="s">
        <v>4362</v>
      </c>
      <c r="U1399" t="s">
        <v>4362</v>
      </c>
      <c r="V1399" t="s">
        <v>4362</v>
      </c>
      <c r="W1399" t="s">
        <v>5757</v>
      </c>
      <c r="X1399">
        <v>6</v>
      </c>
      <c r="Y1399" t="s">
        <v>7920</v>
      </c>
      <c r="Z1399" t="s">
        <v>10087</v>
      </c>
      <c r="AA1399">
        <v>0.3546799329903396</v>
      </c>
      <c r="AB1399">
        <f>HYPERLINK("Melting_Curves/meltCurve_P31660_prpC.pdf", "Melting_Curves/meltCurve_P31660_prpC.pdf")</f>
        <v>0</v>
      </c>
    </row>
    <row r="1400" spans="1:28">
      <c r="A1400" t="s">
        <v>1426</v>
      </c>
      <c r="B1400">
        <v>0.999739202189716</v>
      </c>
      <c r="C1400">
        <v>0.867389810806649</v>
      </c>
      <c r="D1400">
        <v>1.08898081569372</v>
      </c>
      <c r="E1400">
        <v>0.963356767657582</v>
      </c>
      <c r="F1400">
        <v>0.63521049016633</v>
      </c>
      <c r="G1400">
        <v>0.461070291546242</v>
      </c>
      <c r="H1400">
        <v>0.251146584268378</v>
      </c>
      <c r="I1400">
        <v>0.106472189625464</v>
      </c>
      <c r="J1400">
        <v>0.0562126411763862</v>
      </c>
      <c r="K1400">
        <v>0.042822118121653</v>
      </c>
      <c r="L1400">
        <v>870.994422094984</v>
      </c>
      <c r="M1400">
        <v>16.4719272235048</v>
      </c>
      <c r="N1400">
        <v>52.9739546232191</v>
      </c>
      <c r="O1400">
        <v>52.1165942842788</v>
      </c>
      <c r="P1400">
        <v>-0.0778531564791887</v>
      </c>
      <c r="Q1400">
        <v>0.0147705592507715</v>
      </c>
      <c r="R1400">
        <v>0.9749064688300429</v>
      </c>
      <c r="S1400" t="s">
        <v>3593</v>
      </c>
      <c r="T1400" t="s">
        <v>4362</v>
      </c>
      <c r="U1400" t="s">
        <v>4362</v>
      </c>
      <c r="V1400" t="s">
        <v>4362</v>
      </c>
      <c r="W1400" t="s">
        <v>5758</v>
      </c>
      <c r="X1400">
        <v>14</v>
      </c>
      <c r="Y1400" t="s">
        <v>7921</v>
      </c>
      <c r="Z1400" t="s">
        <v>10088</v>
      </c>
      <c r="AA1400">
        <v>0.552268152928994</v>
      </c>
      <c r="AB1400">
        <f>HYPERLINK("Melting_Curves/meltCurve_P31663_panC.pdf", "Melting_Curves/meltCurve_P31663_panC.pdf")</f>
        <v>0</v>
      </c>
    </row>
    <row r="1401" spans="1:28">
      <c r="A1401" t="s">
        <v>1427</v>
      </c>
      <c r="B1401">
        <v>0.999739202189716</v>
      </c>
      <c r="C1401">
        <v>0.83605581870374</v>
      </c>
      <c r="D1401">
        <v>0.763120265619035</v>
      </c>
      <c r="E1401">
        <v>0.432548786862606</v>
      </c>
      <c r="F1401">
        <v>0.232472606290589</v>
      </c>
      <c r="G1401">
        <v>0.147488710160411</v>
      </c>
      <c r="H1401">
        <v>0.129204117771415</v>
      </c>
      <c r="I1401">
        <v>0.125265451320497</v>
      </c>
      <c r="J1401">
        <v>0.159199803780828</v>
      </c>
      <c r="K1401">
        <v>0.102593074356371</v>
      </c>
      <c r="L1401">
        <v>754.88488429575</v>
      </c>
      <c r="M1401">
        <v>16.7702074593145</v>
      </c>
      <c r="N1401">
        <v>45.7073153990082</v>
      </c>
      <c r="O1401">
        <v>44.3880080927987</v>
      </c>
      <c r="P1401">
        <v>-0.08384314440882509</v>
      </c>
      <c r="Q1401">
        <v>0.112381270077301</v>
      </c>
      <c r="R1401">
        <v>0.990926179464076</v>
      </c>
      <c r="S1401" t="s">
        <v>3594</v>
      </c>
      <c r="T1401" t="s">
        <v>4362</v>
      </c>
      <c r="U1401" t="s">
        <v>4362</v>
      </c>
      <c r="V1401" t="s">
        <v>4362</v>
      </c>
      <c r="W1401" t="s">
        <v>5759</v>
      </c>
      <c r="X1401">
        <v>14</v>
      </c>
      <c r="Y1401" t="s">
        <v>7922</v>
      </c>
      <c r="Z1401" t="s">
        <v>10089</v>
      </c>
      <c r="AA1401">
        <v>0.3663137697751699</v>
      </c>
      <c r="AB1401">
        <f>HYPERLINK("Melting_Curves/meltCurve_P31677_otsA.pdf", "Melting_Curves/meltCurve_P31677_otsA.pdf")</f>
        <v>0</v>
      </c>
    </row>
    <row r="1402" spans="1:28">
      <c r="A1402" t="s">
        <v>1428</v>
      </c>
      <c r="B1402">
        <v>0.999739202189716</v>
      </c>
      <c r="C1402">
        <v>0.858772785075802</v>
      </c>
      <c r="D1402">
        <v>0.533711155164277</v>
      </c>
      <c r="E1402">
        <v>0.516069469908069</v>
      </c>
      <c r="F1402">
        <v>0.423120692076493</v>
      </c>
      <c r="G1402">
        <v>0.252760452839842</v>
      </c>
      <c r="H1402">
        <v>0.261420028105247</v>
      </c>
      <c r="I1402">
        <v>0.198342788386184</v>
      </c>
      <c r="J1402">
        <v>0.190373954513695</v>
      </c>
      <c r="K1402">
        <v>0.199158374920491</v>
      </c>
      <c r="L1402">
        <v>503.596063513211</v>
      </c>
      <c r="M1402">
        <v>11.3711168075248</v>
      </c>
      <c r="N1402">
        <v>46.1478267834805</v>
      </c>
      <c r="O1402">
        <v>42.9839610818457</v>
      </c>
      <c r="P1402">
        <v>-0.0539916294814982</v>
      </c>
      <c r="Q1402">
        <v>0.183867351555698</v>
      </c>
      <c r="R1402">
        <v>0.9572919237180459</v>
      </c>
      <c r="S1402" t="s">
        <v>3595</v>
      </c>
      <c r="T1402" t="s">
        <v>4362</v>
      </c>
      <c r="U1402" t="s">
        <v>4362</v>
      </c>
      <c r="V1402" t="s">
        <v>4362</v>
      </c>
      <c r="W1402" t="s">
        <v>5760</v>
      </c>
      <c r="X1402">
        <v>7</v>
      </c>
      <c r="Y1402" t="s">
        <v>7923</v>
      </c>
      <c r="Z1402" t="s">
        <v>10090</v>
      </c>
      <c r="AA1402">
        <v>0.4162736949416462</v>
      </c>
      <c r="AB1402">
        <f>HYPERLINK("Melting_Curves/meltCurve_P31678_otsB.pdf", "Melting_Curves/meltCurve_P31678_otsB.pdf")</f>
        <v>0</v>
      </c>
    </row>
    <row r="1403" spans="1:28">
      <c r="A1403" t="s">
        <v>1429</v>
      </c>
      <c r="B1403">
        <v>0.999739202189716</v>
      </c>
      <c r="C1403">
        <v>0.662901636585505</v>
      </c>
      <c r="D1403">
        <v>1.42092186092674</v>
      </c>
      <c r="E1403">
        <v>0.741570897458059</v>
      </c>
      <c r="F1403">
        <v>0.743614720189828</v>
      </c>
      <c r="G1403">
        <v>0.257212774426122</v>
      </c>
      <c r="H1403">
        <v>0.140996863808676</v>
      </c>
      <c r="I1403">
        <v>0.143265449949119</v>
      </c>
      <c r="J1403">
        <v>0.05965776317129</v>
      </c>
      <c r="K1403">
        <v>0.0683959414013619</v>
      </c>
      <c r="L1403">
        <v>1244.07038685693</v>
      </c>
      <c r="M1403">
        <v>24.2159356755739</v>
      </c>
      <c r="N1403">
        <v>51.7138231084201</v>
      </c>
      <c r="O1403">
        <v>51.0275400766213</v>
      </c>
      <c r="P1403">
        <v>-0.109917621048359</v>
      </c>
      <c r="Q1403">
        <v>0.0735455704801561</v>
      </c>
      <c r="R1403">
        <v>0.822010930753011</v>
      </c>
      <c r="S1403" t="s">
        <v>3596</v>
      </c>
      <c r="T1403" t="s">
        <v>4362</v>
      </c>
      <c r="U1403" t="s">
        <v>4362</v>
      </c>
      <c r="V1403" t="s">
        <v>4362</v>
      </c>
      <c r="W1403" t="s">
        <v>5761</v>
      </c>
      <c r="X1403">
        <v>3</v>
      </c>
      <c r="Y1403" t="s">
        <v>7924</v>
      </c>
      <c r="Z1403" t="s">
        <v>10091</v>
      </c>
      <c r="AA1403">
        <v>0.5261240533509267</v>
      </c>
      <c r="AB1403">
        <f>HYPERLINK("Melting_Curves/meltCurve_P31697_fimC.pdf", "Melting_Curves/meltCurve_P31697_fimC.pdf")</f>
        <v>0</v>
      </c>
    </row>
    <row r="1404" spans="1:28">
      <c r="A1404" t="s">
        <v>1430</v>
      </c>
      <c r="B1404">
        <v>0.999739202189716</v>
      </c>
      <c r="C1404">
        <v>0.887896571939582</v>
      </c>
      <c r="D1404">
        <v>0.7648954115564111</v>
      </c>
      <c r="E1404">
        <v>0.581163861340015</v>
      </c>
      <c r="F1404">
        <v>0.526712278275643</v>
      </c>
      <c r="G1404">
        <v>0.352035571029187</v>
      </c>
      <c r="H1404">
        <v>0.29833730247317</v>
      </c>
      <c r="I1404">
        <v>0.205946169900842</v>
      </c>
      <c r="J1404">
        <v>0.172680611939307</v>
      </c>
      <c r="K1404">
        <v>0.125649331156153</v>
      </c>
      <c r="L1404">
        <v>407.258967019803</v>
      </c>
      <c r="M1404">
        <v>8.272630756192489</v>
      </c>
      <c r="N1404">
        <v>49.8376733272379</v>
      </c>
      <c r="O1404">
        <v>46.6044838038951</v>
      </c>
      <c r="P1404">
        <v>-0.0422889001269133</v>
      </c>
      <c r="Q1404">
        <v>0.0479990585958546</v>
      </c>
      <c r="R1404">
        <v>0.989564012949613</v>
      </c>
      <c r="S1404" t="s">
        <v>3597</v>
      </c>
      <c r="T1404" t="s">
        <v>4362</v>
      </c>
      <c r="U1404" t="s">
        <v>4362</v>
      </c>
      <c r="V1404" t="s">
        <v>4362</v>
      </c>
      <c r="W1404" t="s">
        <v>5762</v>
      </c>
      <c r="X1404">
        <v>4</v>
      </c>
      <c r="Y1404" t="s">
        <v>7925</v>
      </c>
      <c r="Z1404" t="s">
        <v>10092</v>
      </c>
      <c r="AA1404">
        <v>0.4778196390276104</v>
      </c>
      <c r="AB1404">
        <f>HYPERLINK("Melting_Curves/meltCurve_P31802_narP.pdf", "Melting_Curves/meltCurve_P31802_narP.pdf")</f>
        <v>0</v>
      </c>
    </row>
    <row r="1405" spans="1:28">
      <c r="A1405" t="s">
        <v>1431</v>
      </c>
      <c r="B1405">
        <v>0.999739202189716</v>
      </c>
      <c r="C1405">
        <v>1.05997372859875</v>
      </c>
      <c r="D1405">
        <v>0.99685859505907</v>
      </c>
      <c r="E1405">
        <v>0.920658495769799</v>
      </c>
      <c r="F1405">
        <v>0.491944973992599</v>
      </c>
      <c r="G1405">
        <v>0.320633335640105</v>
      </c>
      <c r="H1405">
        <v>0.188770474361377</v>
      </c>
      <c r="I1405">
        <v>0.135823290812043</v>
      </c>
      <c r="J1405">
        <v>0.107894099317376</v>
      </c>
      <c r="K1405">
        <v>0.087519333664864</v>
      </c>
      <c r="L1405">
        <v>1150.07210092363</v>
      </c>
      <c r="M1405">
        <v>22.9325204134486</v>
      </c>
      <c r="N1405">
        <v>50.7392812096118</v>
      </c>
      <c r="O1405">
        <v>49.7735933061436</v>
      </c>
      <c r="P1405">
        <v>-0.101725431963166</v>
      </c>
      <c r="Q1405">
        <v>0.116862114659232</v>
      </c>
      <c r="R1405">
        <v>0.990390292521836</v>
      </c>
      <c r="S1405" t="s">
        <v>3598</v>
      </c>
      <c r="T1405" t="s">
        <v>4362</v>
      </c>
      <c r="U1405" t="s">
        <v>4362</v>
      </c>
      <c r="V1405" t="s">
        <v>4362</v>
      </c>
      <c r="W1405" t="s">
        <v>5763</v>
      </c>
      <c r="X1405">
        <v>7</v>
      </c>
      <c r="Y1405" t="s">
        <v>7926</v>
      </c>
      <c r="Z1405" t="s">
        <v>10093</v>
      </c>
      <c r="AA1405">
        <v>0.5130721602814227</v>
      </c>
      <c r="AB1405">
        <f>HYPERLINK("Melting_Curves/meltCurve_P31806_nnr.pdf", "Melting_Curves/meltCurve_P31806_nnr.pdf")</f>
        <v>0</v>
      </c>
    </row>
    <row r="1406" spans="1:28">
      <c r="A1406" t="s">
        <v>1432</v>
      </c>
      <c r="B1406">
        <v>0.999739202189716</v>
      </c>
      <c r="C1406">
        <v>0.799176923904193</v>
      </c>
      <c r="D1406">
        <v>0.750115951186567</v>
      </c>
      <c r="E1406">
        <v>0.394241914359777</v>
      </c>
      <c r="F1406">
        <v>0.152717000776686</v>
      </c>
      <c r="G1406">
        <v>0.08196140007240579</v>
      </c>
      <c r="H1406">
        <v>0.0600976918287239</v>
      </c>
      <c r="I1406">
        <v>0.0523991688104848</v>
      </c>
      <c r="J1406">
        <v>0.0490155884324989</v>
      </c>
      <c r="K1406">
        <v>0.07897226696299341</v>
      </c>
      <c r="L1406">
        <v>748.116208319947</v>
      </c>
      <c r="M1406">
        <v>16.6313602272113</v>
      </c>
      <c r="N1406">
        <v>45.2111521486774</v>
      </c>
      <c r="O1406">
        <v>44.3470275530013</v>
      </c>
      <c r="P1406">
        <v>-0.0899772675874731</v>
      </c>
      <c r="Q1406">
        <v>0.0403779708844575</v>
      </c>
      <c r="R1406">
        <v>0.98713869150807</v>
      </c>
      <c r="S1406" t="s">
        <v>3599</v>
      </c>
      <c r="T1406" t="s">
        <v>4362</v>
      </c>
      <c r="U1406" t="s">
        <v>4362</v>
      </c>
      <c r="V1406" t="s">
        <v>4362</v>
      </c>
      <c r="W1406" t="s">
        <v>5764</v>
      </c>
      <c r="X1406">
        <v>10</v>
      </c>
      <c r="Y1406" t="s">
        <v>7927</v>
      </c>
      <c r="Z1406" t="s">
        <v>10094</v>
      </c>
      <c r="AA1406">
        <v>0.3142404496479918</v>
      </c>
      <c r="AB1406">
        <f>HYPERLINK("Melting_Curves/meltCurve_P31808_yciK.pdf", "Melting_Curves/meltCurve_P31808_yciK.pdf")</f>
        <v>0</v>
      </c>
    </row>
    <row r="1407" spans="1:28">
      <c r="A1407" t="s">
        <v>1433</v>
      </c>
      <c r="B1407">
        <v>0.999739202189716</v>
      </c>
      <c r="C1407">
        <v>1.212011242847</v>
      </c>
      <c r="D1407">
        <v>0.849880087727484</v>
      </c>
      <c r="E1407">
        <v>0.470215703806639</v>
      </c>
      <c r="F1407">
        <v>0.342329257143114</v>
      </c>
      <c r="G1407">
        <v>0.231214306678744</v>
      </c>
      <c r="H1407">
        <v>0.127069028691889</v>
      </c>
      <c r="I1407">
        <v>0.0788124471359863</v>
      </c>
      <c r="J1407">
        <v>0.0681055194454966</v>
      </c>
      <c r="K1407">
        <v>0.053390195053673</v>
      </c>
      <c r="L1407">
        <v>904.098377988743</v>
      </c>
      <c r="M1407">
        <v>19.34415576944</v>
      </c>
      <c r="N1407">
        <v>47.2321608420065</v>
      </c>
      <c r="O1407">
        <v>46.2466743004976</v>
      </c>
      <c r="P1407">
        <v>-0.0949864646852247</v>
      </c>
      <c r="Q1407">
        <v>0.091685559951939</v>
      </c>
      <c r="R1407">
        <v>0.951673922766665</v>
      </c>
      <c r="S1407" t="s">
        <v>3600</v>
      </c>
      <c r="T1407" t="s">
        <v>4362</v>
      </c>
      <c r="U1407" t="s">
        <v>4362</v>
      </c>
      <c r="V1407" t="s">
        <v>4362</v>
      </c>
      <c r="W1407" t="s">
        <v>5765</v>
      </c>
      <c r="X1407">
        <v>10</v>
      </c>
      <c r="Y1407" t="s">
        <v>7928</v>
      </c>
      <c r="Z1407" t="s">
        <v>10095</v>
      </c>
      <c r="AA1407">
        <v>0.3992002049403472</v>
      </c>
      <c r="AB1407">
        <f>HYPERLINK("Melting_Curves/meltCurve_P31828_pqqL.pdf", "Melting_Curves/meltCurve_P31828_pqqL.pdf")</f>
        <v>0</v>
      </c>
    </row>
    <row r="1408" spans="1:28">
      <c r="A1408" t="s">
        <v>1434</v>
      </c>
      <c r="B1408">
        <v>0.999739202189716</v>
      </c>
      <c r="C1408">
        <v>0.710650227531205</v>
      </c>
      <c r="D1408">
        <v>0.437496377942725</v>
      </c>
      <c r="E1408">
        <v>0.322726562645598</v>
      </c>
      <c r="F1408">
        <v>0.196393500757255</v>
      </c>
      <c r="G1408">
        <v>0.122594338986824</v>
      </c>
      <c r="H1408">
        <v>0.0951093329435494</v>
      </c>
      <c r="I1408">
        <v>0.0755287622432412</v>
      </c>
      <c r="J1408">
        <v>0.0630353608861378</v>
      </c>
      <c r="K1408">
        <v>0.0558731995314737</v>
      </c>
      <c r="L1408">
        <v>616.146173388397</v>
      </c>
      <c r="M1408">
        <v>14.5048949416491</v>
      </c>
      <c r="N1408">
        <v>42.9461148056283</v>
      </c>
      <c r="O1408">
        <v>41.6955841945948</v>
      </c>
      <c r="P1408">
        <v>-0.0806254084158298</v>
      </c>
      <c r="Q1408">
        <v>0.07304775762309849</v>
      </c>
      <c r="R1408">
        <v>0.980675090497496</v>
      </c>
      <c r="S1408" t="s">
        <v>3601</v>
      </c>
      <c r="T1408" t="s">
        <v>4362</v>
      </c>
      <c r="U1408" t="s">
        <v>4362</v>
      </c>
      <c r="V1408" t="s">
        <v>4362</v>
      </c>
      <c r="W1408" t="s">
        <v>5766</v>
      </c>
      <c r="X1408">
        <v>10</v>
      </c>
      <c r="Y1408" t="s">
        <v>7929</v>
      </c>
      <c r="Z1408" t="s">
        <v>10096</v>
      </c>
      <c r="AA1408">
        <v>0.269762002409716</v>
      </c>
      <c r="AB1408">
        <f>HYPERLINK("Melting_Curves/meltCurve_P31979_nuoF.pdf", "Melting_Curves/meltCurve_P31979_nuoF.pdf")</f>
        <v>0</v>
      </c>
    </row>
    <row r="1409" spans="1:28">
      <c r="A1409" t="s">
        <v>1435</v>
      </c>
      <c r="B1409">
        <v>0.999739202189716</v>
      </c>
      <c r="C1409">
        <v>0.78146682368274</v>
      </c>
      <c r="D1409">
        <v>0.79296466675768</v>
      </c>
      <c r="E1409">
        <v>0.586181709702063</v>
      </c>
      <c r="F1409">
        <v>0.344445595658274</v>
      </c>
      <c r="G1409">
        <v>0.13007028178496</v>
      </c>
      <c r="H1409">
        <v>0.101041011891156</v>
      </c>
      <c r="I1409">
        <v>0.0755132697233345</v>
      </c>
      <c r="J1409">
        <v>0.0793793531628223</v>
      </c>
      <c r="K1409">
        <v>0.06752943577779991</v>
      </c>
      <c r="L1409">
        <v>567.281889973855</v>
      </c>
      <c r="M1409">
        <v>12.0486757172578</v>
      </c>
      <c r="N1409">
        <v>47.2232325455083</v>
      </c>
      <c r="O1409">
        <v>45.841800236087</v>
      </c>
      <c r="P1409">
        <v>-0.0645645507492139</v>
      </c>
      <c r="Q1409">
        <v>0.0176337741438613</v>
      </c>
      <c r="R1409">
        <v>0.979532681722265</v>
      </c>
      <c r="S1409" t="s">
        <v>3602</v>
      </c>
      <c r="T1409" t="s">
        <v>4362</v>
      </c>
      <c r="U1409" t="s">
        <v>4362</v>
      </c>
      <c r="V1409" t="s">
        <v>4362</v>
      </c>
      <c r="W1409" t="s">
        <v>5767</v>
      </c>
      <c r="X1409">
        <v>10</v>
      </c>
      <c r="Y1409" t="s">
        <v>7930</v>
      </c>
      <c r="Z1409" t="s">
        <v>10097</v>
      </c>
      <c r="AA1409">
        <v>0.3797385459134762</v>
      </c>
      <c r="AB1409">
        <f>HYPERLINK("Melting_Curves/meltCurve_P32099_lplA.pdf", "Melting_Curves/meltCurve_P32099_lplA.pdf")</f>
        <v>0</v>
      </c>
    </row>
    <row r="1410" spans="1:28">
      <c r="A1410" t="s">
        <v>1436</v>
      </c>
      <c r="B1410">
        <v>0.999739202189716</v>
      </c>
      <c r="C1410">
        <v>1.01114206013549</v>
      </c>
      <c r="D1410">
        <v>0.759262937704033</v>
      </c>
      <c r="E1410">
        <v>0.310824417065875</v>
      </c>
      <c r="F1410">
        <v>0.2341166974661</v>
      </c>
      <c r="G1410">
        <v>0.161402995789075</v>
      </c>
      <c r="H1410">
        <v>0.130084809989572</v>
      </c>
      <c r="I1410">
        <v>0.0899178790034825</v>
      </c>
      <c r="J1410">
        <v>0.0790498258890894</v>
      </c>
      <c r="K1410">
        <v>0.0720107782345845</v>
      </c>
      <c r="L1410">
        <v>1140.11722144586</v>
      </c>
      <c r="M1410">
        <v>25.5139920441552</v>
      </c>
      <c r="N1410">
        <v>45.1354391726719</v>
      </c>
      <c r="O1410">
        <v>44.4141783285763</v>
      </c>
      <c r="P1410">
        <v>-0.127503608951754</v>
      </c>
      <c r="Q1410">
        <v>0.112189908825335</v>
      </c>
      <c r="R1410">
        <v>0.989779069915335</v>
      </c>
      <c r="S1410" t="s">
        <v>3603</v>
      </c>
      <c r="T1410" t="s">
        <v>4362</v>
      </c>
      <c r="U1410" t="s">
        <v>4362</v>
      </c>
      <c r="V1410" t="s">
        <v>4362</v>
      </c>
      <c r="W1410" t="s">
        <v>5768</v>
      </c>
      <c r="X1410">
        <v>6</v>
      </c>
      <c r="Y1410" t="s">
        <v>7931</v>
      </c>
      <c r="Z1410" t="s">
        <v>10098</v>
      </c>
      <c r="AA1410">
        <v>0.3466175392204904</v>
      </c>
      <c r="AB1410">
        <f>HYPERLINK("Melting_Curves/meltCurve_P32131_hemN.pdf", "Melting_Curves/meltCurve_P32131_hemN.pdf")</f>
        <v>0</v>
      </c>
    </row>
    <row r="1411" spans="1:28">
      <c r="A1411" t="s">
        <v>1437</v>
      </c>
      <c r="B1411">
        <v>0.999739202189716</v>
      </c>
      <c r="C1411">
        <v>1.18973634967098</v>
      </c>
      <c r="D1411">
        <v>1.05131783385934</v>
      </c>
      <c r="E1411">
        <v>0.47232457566923</v>
      </c>
      <c r="F1411">
        <v>0.188101603968055</v>
      </c>
      <c r="G1411">
        <v>0.106387699491474</v>
      </c>
      <c r="H1411">
        <v>0.0645865767955757</v>
      </c>
      <c r="I1411">
        <v>0.0585731981619896</v>
      </c>
      <c r="J1411">
        <v>0.0542902798699057</v>
      </c>
      <c r="K1411">
        <v>0.0533726140467706</v>
      </c>
      <c r="L1411">
        <v>2207.32673616325</v>
      </c>
      <c r="M1411">
        <v>47.5993901811122</v>
      </c>
      <c r="N1411">
        <v>46.5478159117041</v>
      </c>
      <c r="O1411">
        <v>46.2913753189424</v>
      </c>
      <c r="P1411">
        <v>-0.236024385505044</v>
      </c>
      <c r="Q1411">
        <v>0.08184688884462279</v>
      </c>
      <c r="R1411">
        <v>0.974362889084922</v>
      </c>
      <c r="S1411" t="s">
        <v>3604</v>
      </c>
      <c r="T1411" t="s">
        <v>4362</v>
      </c>
      <c r="U1411" t="s">
        <v>4362</v>
      </c>
      <c r="V1411" t="s">
        <v>4362</v>
      </c>
      <c r="W1411" t="s">
        <v>5769</v>
      </c>
      <c r="X1411">
        <v>12</v>
      </c>
      <c r="Y1411" t="s">
        <v>7932</v>
      </c>
      <c r="Z1411" t="s">
        <v>10099</v>
      </c>
      <c r="AA1411">
        <v>0.3707822826804849</v>
      </c>
      <c r="AB1411">
        <f>HYPERLINK("Melting_Curves/meltCurve_P32132_typA.pdf", "Melting_Curves/meltCurve_P32132_typA.pdf")</f>
        <v>0</v>
      </c>
    </row>
    <row r="1412" spans="1:28">
      <c r="A1412" t="s">
        <v>1438</v>
      </c>
      <c r="B1412">
        <v>0.999739202189716</v>
      </c>
      <c r="C1412">
        <v>1.25705039470087</v>
      </c>
      <c r="D1412">
        <v>1.09900781491883</v>
      </c>
      <c r="E1412">
        <v>0.957922634263089</v>
      </c>
      <c r="F1412">
        <v>0.706652767721658</v>
      </c>
      <c r="G1412">
        <v>0.473668699124023</v>
      </c>
      <c r="H1412">
        <v>0.394389370192677</v>
      </c>
      <c r="I1412">
        <v>0.149482373088686</v>
      </c>
      <c r="J1412">
        <v>0.0366509351634778</v>
      </c>
      <c r="K1412">
        <v>0.0898978397253785</v>
      </c>
      <c r="L1412">
        <v>837.520989994969</v>
      </c>
      <c r="M1412">
        <v>15.5386814105782</v>
      </c>
      <c r="N1412">
        <v>54.0531306338732</v>
      </c>
      <c r="O1412">
        <v>53.0300880303952</v>
      </c>
      <c r="P1412">
        <v>-0.0716739948599517</v>
      </c>
      <c r="Q1412">
        <v>0.0216562022419237</v>
      </c>
      <c r="R1412">
        <v>0.943317194795657</v>
      </c>
      <c r="S1412" t="s">
        <v>3605</v>
      </c>
      <c r="T1412" t="s">
        <v>4362</v>
      </c>
      <c r="U1412" t="s">
        <v>4362</v>
      </c>
      <c r="V1412" t="s">
        <v>4362</v>
      </c>
      <c r="W1412" t="s">
        <v>5770</v>
      </c>
      <c r="X1412">
        <v>2</v>
      </c>
      <c r="Y1412" t="s">
        <v>7933</v>
      </c>
      <c r="Z1412" t="s">
        <v>10100</v>
      </c>
      <c r="AA1412">
        <v>0.5883506881658992</v>
      </c>
      <c r="AB1412">
        <f>HYPERLINK("Melting_Curves/meltCurve_P32138_yihQ.pdf", "Melting_Curves/meltCurve_P32138_yihQ.pdf")</f>
        <v>0</v>
      </c>
    </row>
    <row r="1413" spans="1:28">
      <c r="A1413" t="s">
        <v>1439</v>
      </c>
      <c r="B1413">
        <v>0.999739202189716</v>
      </c>
      <c r="C1413">
        <v>0.687441604523597</v>
      </c>
      <c r="D1413">
        <v>0.7319138431696121</v>
      </c>
      <c r="E1413">
        <v>0.436023807055574</v>
      </c>
      <c r="F1413">
        <v>0.231611452041309</v>
      </c>
      <c r="G1413">
        <v>0.126415903007148</v>
      </c>
      <c r="H1413">
        <v>0.115222540031453</v>
      </c>
      <c r="I1413">
        <v>0.0834510193668597</v>
      </c>
      <c r="J1413">
        <v>0.09242921137779241</v>
      </c>
      <c r="K1413">
        <v>0.0572693694084408</v>
      </c>
      <c r="L1413">
        <v>529.626859440569</v>
      </c>
      <c r="M1413">
        <v>11.7741283008361</v>
      </c>
      <c r="N1413">
        <v>45.2968657192883</v>
      </c>
      <c r="O1413">
        <v>43.7435002184555</v>
      </c>
      <c r="P1413">
        <v>-0.0646656557783864</v>
      </c>
      <c r="Q1413">
        <v>0.0392602263661728</v>
      </c>
      <c r="R1413">
        <v>0.967314363997043</v>
      </c>
      <c r="S1413" t="s">
        <v>3606</v>
      </c>
      <c r="T1413" t="s">
        <v>4362</v>
      </c>
      <c r="U1413" t="s">
        <v>4362</v>
      </c>
      <c r="V1413" t="s">
        <v>4362</v>
      </c>
      <c r="W1413" t="s">
        <v>5771</v>
      </c>
      <c r="X1413">
        <v>2</v>
      </c>
      <c r="Y1413" t="s">
        <v>7934</v>
      </c>
      <c r="Z1413" t="s">
        <v>10101</v>
      </c>
      <c r="AA1413">
        <v>0.3310742791506686</v>
      </c>
      <c r="AB1413">
        <f>HYPERLINK("Melting_Curves/meltCurve_P32141_yihT.pdf", "Melting_Curves/meltCurve_P32141_yihT.pdf")</f>
        <v>0</v>
      </c>
    </row>
    <row r="1414" spans="1:28">
      <c r="A1414" t="s">
        <v>1440</v>
      </c>
      <c r="B1414">
        <v>0.999739202189716</v>
      </c>
      <c r="C1414">
        <v>0.6712822576872171</v>
      </c>
      <c r="D1414">
        <v>0.485913779103627</v>
      </c>
      <c r="E1414">
        <v>0.323249954072756</v>
      </c>
      <c r="F1414">
        <v>0.248454660052748</v>
      </c>
      <c r="G1414">
        <v>0.212632652866827</v>
      </c>
      <c r="H1414">
        <v>0.216038558422362</v>
      </c>
      <c r="I1414">
        <v>0.11715398012662</v>
      </c>
      <c r="J1414">
        <v>0.100389966810597</v>
      </c>
      <c r="K1414">
        <v>0.0817897590673938</v>
      </c>
      <c r="L1414">
        <v>585.762279716555</v>
      </c>
      <c r="M1414">
        <v>13.8831741089852</v>
      </c>
      <c r="N1414">
        <v>43.1368465092933</v>
      </c>
      <c r="O1414">
        <v>41.345755782105</v>
      </c>
      <c r="P1414">
        <v>-0.07295247797477809</v>
      </c>
      <c r="Q1414">
        <v>0.131073956419461</v>
      </c>
      <c r="R1414">
        <v>0.964733510988202</v>
      </c>
      <c r="S1414" t="s">
        <v>3607</v>
      </c>
      <c r="T1414" t="s">
        <v>4362</v>
      </c>
      <c r="U1414" t="s">
        <v>4362</v>
      </c>
      <c r="V1414" t="s">
        <v>4362</v>
      </c>
      <c r="W1414" t="s">
        <v>5772</v>
      </c>
      <c r="X1414">
        <v>4</v>
      </c>
      <c r="Y1414" t="s">
        <v>7935</v>
      </c>
      <c r="Z1414" t="s">
        <v>10102</v>
      </c>
      <c r="AA1414">
        <v>0.3104052085165888</v>
      </c>
      <c r="AB1414">
        <f>HYPERLINK("Melting_Curves/meltCurve_P32144_yihW.pdf", "Melting_Curves/meltCurve_P32144_yihW.pdf")</f>
        <v>0</v>
      </c>
    </row>
    <row r="1415" spans="1:28">
      <c r="A1415" t="s">
        <v>1441</v>
      </c>
      <c r="B1415">
        <v>0.999739202189716</v>
      </c>
      <c r="C1415">
        <v>0.915209135681786</v>
      </c>
      <c r="D1415">
        <v>1.01394808608645</v>
      </c>
      <c r="E1415">
        <v>0.933599840740242</v>
      </c>
      <c r="F1415">
        <v>0.595420676476794</v>
      </c>
      <c r="G1415">
        <v>0.29361854384213</v>
      </c>
      <c r="H1415">
        <v>0.171839560737474</v>
      </c>
      <c r="I1415">
        <v>0.110106290094156</v>
      </c>
      <c r="J1415">
        <v>0.08029710231105</v>
      </c>
      <c r="K1415">
        <v>0.0625317194311082</v>
      </c>
      <c r="L1415">
        <v>1167.81302330538</v>
      </c>
      <c r="M1415">
        <v>22.9228726527382</v>
      </c>
      <c r="N1415">
        <v>51.3382931541076</v>
      </c>
      <c r="O1415">
        <v>50.5623527121312</v>
      </c>
      <c r="P1415">
        <v>-0.104221494796167</v>
      </c>
      <c r="Q1415">
        <v>0.08046711690416</v>
      </c>
      <c r="R1415">
        <v>0.9932778411052809</v>
      </c>
      <c r="S1415" t="s">
        <v>3608</v>
      </c>
      <c r="T1415" t="s">
        <v>4362</v>
      </c>
      <c r="U1415" t="s">
        <v>4362</v>
      </c>
      <c r="V1415" t="s">
        <v>4362</v>
      </c>
      <c r="W1415" t="s">
        <v>5773</v>
      </c>
      <c r="X1415">
        <v>7</v>
      </c>
      <c r="Y1415" t="s">
        <v>7936</v>
      </c>
      <c r="Z1415" t="s">
        <v>10103</v>
      </c>
      <c r="AA1415">
        <v>0.5174110735882792</v>
      </c>
      <c r="AB1415">
        <f>HYPERLINK("Melting_Curves/meltCurve_P32157_yiiM.pdf", "Melting_Curves/meltCurve_P32157_yiiM.pdf")</f>
        <v>0</v>
      </c>
    </row>
    <row r="1416" spans="1:28">
      <c r="A1416" t="s">
        <v>1442</v>
      </c>
      <c r="B1416">
        <v>0.999739202189716</v>
      </c>
      <c r="C1416">
        <v>1.08671532852457</v>
      </c>
      <c r="D1416">
        <v>0.863188004511929</v>
      </c>
      <c r="E1416">
        <v>1.02897808154201</v>
      </c>
      <c r="F1416">
        <v>0.843221007513319</v>
      </c>
      <c r="G1416">
        <v>0.590715201781263</v>
      </c>
      <c r="H1416">
        <v>0.313469412311856</v>
      </c>
      <c r="I1416">
        <v>0.143888021523153</v>
      </c>
      <c r="J1416">
        <v>0.104794767135665</v>
      </c>
      <c r="K1416">
        <v>0.09727768833585219</v>
      </c>
      <c r="L1416">
        <v>1129.00861920654</v>
      </c>
      <c r="M1416">
        <v>20.7523410897859</v>
      </c>
      <c r="N1416">
        <v>54.7964321616416</v>
      </c>
      <c r="O1416">
        <v>53.9062821977303</v>
      </c>
      <c r="P1416">
        <v>-0.0895980720903289</v>
      </c>
      <c r="Q1416">
        <v>0.0690661654303092</v>
      </c>
      <c r="R1416">
        <v>0.980458647948105</v>
      </c>
      <c r="S1416" t="s">
        <v>3609</v>
      </c>
      <c r="T1416" t="s">
        <v>4362</v>
      </c>
      <c r="U1416" t="s">
        <v>4362</v>
      </c>
      <c r="V1416" t="s">
        <v>4362</v>
      </c>
      <c r="W1416" t="s">
        <v>5774</v>
      </c>
      <c r="X1416">
        <v>6</v>
      </c>
      <c r="Y1416" t="s">
        <v>7937</v>
      </c>
      <c r="Z1416" t="s">
        <v>10104</v>
      </c>
      <c r="AA1416">
        <v>0.6196421187247575</v>
      </c>
      <c r="AB1416">
        <f>HYPERLINK("Melting_Curves/meltCurve_P32160_yiiQ.pdf", "Melting_Curves/meltCurve_P32160_yiiQ.pdf")</f>
        <v>0</v>
      </c>
    </row>
    <row r="1417" spans="1:28">
      <c r="A1417" t="s">
        <v>1443</v>
      </c>
      <c r="B1417">
        <v>0.999739202189716</v>
      </c>
      <c r="C1417">
        <v>0.786206869676412</v>
      </c>
      <c r="D1417">
        <v>1.08217118183494</v>
      </c>
      <c r="E1417">
        <v>0.965942103426312</v>
      </c>
      <c r="F1417">
        <v>1.14582241432854</v>
      </c>
      <c r="G1417">
        <v>0.816067016449022</v>
      </c>
      <c r="H1417">
        <v>0.6126977456935671</v>
      </c>
      <c r="I1417">
        <v>0.407558056187853</v>
      </c>
      <c r="J1417">
        <v>0.285788933518156</v>
      </c>
      <c r="K1417">
        <v>0.305364643073031</v>
      </c>
      <c r="L1417">
        <v>1522.76298787965</v>
      </c>
      <c r="M1417">
        <v>26.7493833686596</v>
      </c>
      <c r="N1417">
        <v>58.7540127436929</v>
      </c>
      <c r="O1417">
        <v>56.6117281231035</v>
      </c>
      <c r="P1417">
        <v>-0.0847727128942512</v>
      </c>
      <c r="Q1417">
        <v>0.282363955679394</v>
      </c>
      <c r="R1417">
        <v>0.907622839383718</v>
      </c>
      <c r="S1417" t="s">
        <v>3610</v>
      </c>
      <c r="T1417" t="s">
        <v>4362</v>
      </c>
      <c r="U1417" t="s">
        <v>4362</v>
      </c>
      <c r="V1417" t="s">
        <v>4362</v>
      </c>
      <c r="W1417" t="s">
        <v>5775</v>
      </c>
      <c r="X1417">
        <v>2</v>
      </c>
      <c r="Y1417" t="s">
        <v>7938</v>
      </c>
      <c r="Z1417" t="s">
        <v>10105</v>
      </c>
      <c r="AA1417">
        <v>0.7640487165782636</v>
      </c>
      <c r="AB1417">
        <f>HYPERLINK("Melting_Curves/meltCurve_P32162_yiiS.pdf", "Melting_Curves/meltCurve_P32162_yiiS.pdf")</f>
        <v>0</v>
      </c>
    </row>
    <row r="1418" spans="1:28">
      <c r="A1418" t="s">
        <v>1444</v>
      </c>
      <c r="B1418">
        <v>0.999739202189716</v>
      </c>
      <c r="C1418">
        <v>1.37516126171282</v>
      </c>
      <c r="D1418">
        <v>0.393295527857006</v>
      </c>
      <c r="E1418">
        <v>0.6668549877025191</v>
      </c>
      <c r="F1418">
        <v>0.628562624388567</v>
      </c>
      <c r="G1418">
        <v>0.321792898772858</v>
      </c>
      <c r="H1418">
        <v>0.357608874285622</v>
      </c>
      <c r="I1418">
        <v>0.226479057530557</v>
      </c>
      <c r="J1418">
        <v>0.207899117059786</v>
      </c>
      <c r="K1418">
        <v>0.122147948274446</v>
      </c>
      <c r="L1418">
        <v>467.599891205027</v>
      </c>
      <c r="M1418">
        <v>9.527161942306289</v>
      </c>
      <c r="N1418">
        <v>50.4028913334027</v>
      </c>
      <c r="O1418">
        <v>47.0643092927196</v>
      </c>
      <c r="P1418">
        <v>-0.0450379621123274</v>
      </c>
      <c r="Q1418">
        <v>0.110567828556883</v>
      </c>
      <c r="R1418">
        <v>0.702458864125475</v>
      </c>
      <c r="S1418" t="s">
        <v>3611</v>
      </c>
      <c r="T1418" t="s">
        <v>4362</v>
      </c>
      <c r="U1418" t="s">
        <v>4362</v>
      </c>
      <c r="V1418" t="s">
        <v>4362</v>
      </c>
      <c r="W1418" t="s">
        <v>5776</v>
      </c>
      <c r="X1418">
        <v>1</v>
      </c>
      <c r="Y1418" t="s">
        <v>7939</v>
      </c>
      <c r="Z1418" t="s">
        <v>10106</v>
      </c>
      <c r="AA1418">
        <v>0.5032941923907828</v>
      </c>
      <c r="AB1418">
        <f>HYPERLINK("Melting_Curves/meltCurve_P32166_menA.pdf", "Melting_Curves/meltCurve_P32166_menA.pdf")</f>
        <v>0</v>
      </c>
    </row>
    <row r="1419" spans="1:28">
      <c r="A1419" t="s">
        <v>1445</v>
      </c>
      <c r="B1419">
        <v>0.999739202189716</v>
      </c>
      <c r="C1419">
        <v>0.79803798567409</v>
      </c>
      <c r="D1419">
        <v>0.63336456187325</v>
      </c>
      <c r="E1419">
        <v>0.538772691120921</v>
      </c>
      <c r="F1419">
        <v>0.315764351588435</v>
      </c>
      <c r="G1419">
        <v>0.182599315207797</v>
      </c>
      <c r="H1419">
        <v>0.211482655197907</v>
      </c>
      <c r="I1419">
        <v>0.113310295279216</v>
      </c>
      <c r="J1419">
        <v>0.10498376133171</v>
      </c>
      <c r="K1419">
        <v>0.0962170399884985</v>
      </c>
      <c r="L1419">
        <v>481.173175061416</v>
      </c>
      <c r="M1419">
        <v>10.5453204765068</v>
      </c>
      <c r="N1419">
        <v>46.2549134162865</v>
      </c>
      <c r="O1419">
        <v>44.0798609450394</v>
      </c>
      <c r="P1419">
        <v>-0.0558538740544307</v>
      </c>
      <c r="Q1419">
        <v>0.0664848177684811</v>
      </c>
      <c r="R1419">
        <v>0.982954859293535</v>
      </c>
      <c r="S1419" t="s">
        <v>3612</v>
      </c>
      <c r="T1419" t="s">
        <v>4362</v>
      </c>
      <c r="U1419" t="s">
        <v>4362</v>
      </c>
      <c r="V1419" t="s">
        <v>4362</v>
      </c>
      <c r="W1419" t="s">
        <v>5777</v>
      </c>
      <c r="X1419">
        <v>1</v>
      </c>
      <c r="Y1419" t="s">
        <v>7940</v>
      </c>
      <c r="Z1419" t="s">
        <v>10107</v>
      </c>
      <c r="AA1419">
        <v>0.3757361652276394</v>
      </c>
      <c r="AB1419">
        <f>HYPERLINK("Melting_Curves/meltCurve_P32173_mobA.pdf", "Melting_Curves/meltCurve_P32173_mobA.pdf")</f>
        <v>0</v>
      </c>
    </row>
    <row r="1420" spans="1:28">
      <c r="A1420" t="s">
        <v>1446</v>
      </c>
      <c r="B1420">
        <v>0.999739202189716</v>
      </c>
      <c r="C1420">
        <v>1.9032926149759</v>
      </c>
      <c r="D1420">
        <v>1.27878879653616</v>
      </c>
      <c r="E1420">
        <v>2.00750410371882</v>
      </c>
      <c r="F1420">
        <v>0.904878029438105</v>
      </c>
      <c r="G1420">
        <v>1.08141286279554</v>
      </c>
      <c r="H1420">
        <v>0.652167124162761</v>
      </c>
      <c r="I1420">
        <v>0.6317799440566531</v>
      </c>
      <c r="J1420">
        <v>0.70901063909745</v>
      </c>
      <c r="K1420">
        <v>0.700538160649846</v>
      </c>
      <c r="L1420">
        <v>8730.856356315549</v>
      </c>
      <c r="M1420">
        <v>156.552466597133</v>
      </c>
      <c r="O1420">
        <v>55.7604233119013</v>
      </c>
      <c r="P1420">
        <v>-0.229812058669496</v>
      </c>
      <c r="Q1420">
        <v>0.672584716671735</v>
      </c>
      <c r="R1420">
        <v>0.153898952034046</v>
      </c>
      <c r="S1420" t="s">
        <v>3613</v>
      </c>
      <c r="T1420" t="s">
        <v>4362</v>
      </c>
      <c r="U1420" t="s">
        <v>4362</v>
      </c>
      <c r="V1420" t="s">
        <v>4362</v>
      </c>
      <c r="W1420" t="s">
        <v>5778</v>
      </c>
      <c r="X1420">
        <v>27</v>
      </c>
      <c r="Y1420" t="s">
        <v>7941</v>
      </c>
      <c r="Z1420" t="s">
        <v>10108</v>
      </c>
      <c r="AA1420">
        <v>0.877514085826108</v>
      </c>
      <c r="AB1420">
        <f>HYPERLINK("Melting_Curves/meltCurve_P32176_fdoG.pdf", "Melting_Curves/meltCurve_P32176_fdoG.pdf")</f>
        <v>0</v>
      </c>
    </row>
    <row r="1421" spans="1:28">
      <c r="A1421" t="s">
        <v>1447</v>
      </c>
      <c r="B1421">
        <v>0.999739202189716</v>
      </c>
      <c r="C1421">
        <v>0.960314633325268</v>
      </c>
      <c r="D1421">
        <v>1.04232538001308</v>
      </c>
      <c r="E1421">
        <v>0.995911539873934</v>
      </c>
      <c r="F1421">
        <v>1.06330516221762</v>
      </c>
      <c r="G1421">
        <v>1.00111933577635</v>
      </c>
      <c r="H1421">
        <v>1.08255181400843</v>
      </c>
      <c r="I1421">
        <v>0.943651407170104</v>
      </c>
      <c r="J1421">
        <v>0.859820040591298</v>
      </c>
      <c r="K1421">
        <v>0.400529339942269</v>
      </c>
      <c r="L1421">
        <v>3164.4834724144</v>
      </c>
      <c r="M1421">
        <v>47.6245984383659</v>
      </c>
      <c r="N1421">
        <v>66.4464108123619</v>
      </c>
      <c r="O1421">
        <v>66.3295668929625</v>
      </c>
      <c r="P1421">
        <v>-0.179500070843589</v>
      </c>
      <c r="Q1421">
        <v>0</v>
      </c>
      <c r="R1421">
        <v>0.954329278175882</v>
      </c>
      <c r="S1421" t="s">
        <v>3614</v>
      </c>
      <c r="T1421" t="s">
        <v>4362</v>
      </c>
      <c r="U1421" t="s">
        <v>4362</v>
      </c>
      <c r="V1421" t="s">
        <v>4362</v>
      </c>
      <c r="W1421" t="s">
        <v>5779</v>
      </c>
      <c r="X1421">
        <v>6</v>
      </c>
      <c r="Y1421" t="s">
        <v>7942</v>
      </c>
      <c r="Z1421" t="s">
        <v>10109</v>
      </c>
      <c r="AA1421">
        <v>0.9591371346191939</v>
      </c>
      <c r="AB1421">
        <f>HYPERLINK("Melting_Curves/meltCurve_P32177_fdhD.pdf", "Melting_Curves/meltCurve_P32177_fdhD.pdf")</f>
        <v>0</v>
      </c>
    </row>
    <row r="1422" spans="1:28">
      <c r="A1422" t="s">
        <v>1448</v>
      </c>
      <c r="B1422">
        <v>0.999739202189716</v>
      </c>
      <c r="C1422">
        <v>0.953260713151456</v>
      </c>
      <c r="D1422">
        <v>0.8982167612058231</v>
      </c>
      <c r="E1422">
        <v>0.872783358085253</v>
      </c>
      <c r="F1422">
        <v>0.85809073593131</v>
      </c>
      <c r="G1422">
        <v>0.660197369648665</v>
      </c>
      <c r="H1422">
        <v>0.5506436122981621</v>
      </c>
      <c r="I1422">
        <v>0.556647333256066</v>
      </c>
      <c r="J1422">
        <v>0.441099767615557</v>
      </c>
      <c r="K1422">
        <v>0.46827030690996</v>
      </c>
      <c r="L1422">
        <v>485.418579928392</v>
      </c>
      <c r="M1422">
        <v>8.94545835650808</v>
      </c>
      <c r="N1422">
        <v>62.3140540022197</v>
      </c>
      <c r="O1422">
        <v>51.7580603079469</v>
      </c>
      <c r="P1422">
        <v>-0.0284276695130182</v>
      </c>
      <c r="Q1422">
        <v>0.3425631726055</v>
      </c>
      <c r="R1422">
        <v>0.9675905118932669</v>
      </c>
      <c r="S1422" t="s">
        <v>3615</v>
      </c>
      <c r="T1422" t="s">
        <v>4362</v>
      </c>
      <c r="U1422" t="s">
        <v>4362</v>
      </c>
      <c r="V1422" t="s">
        <v>4362</v>
      </c>
      <c r="W1422" t="s">
        <v>5780</v>
      </c>
      <c r="X1422">
        <v>3</v>
      </c>
      <c r="Y1422" t="s">
        <v>7943</v>
      </c>
      <c r="Z1422" t="s">
        <v>10110</v>
      </c>
      <c r="AA1422">
        <v>0.7306221205841713</v>
      </c>
      <c r="AB1422">
        <f>HYPERLINK("Melting_Curves/meltCurve_P32662_gph.pdf", "Melting_Curves/meltCurve_P32662_gph.pdf")</f>
        <v>0</v>
      </c>
    </row>
    <row r="1423" spans="1:28">
      <c r="A1423" t="s">
        <v>1449</v>
      </c>
      <c r="B1423">
        <v>0.999739202189716</v>
      </c>
      <c r="C1423">
        <v>0.658742379491458</v>
      </c>
      <c r="D1423">
        <v>0.6289471117061</v>
      </c>
      <c r="E1423">
        <v>0.339276329911031</v>
      </c>
      <c r="F1423">
        <v>0.276029164484615</v>
      </c>
      <c r="G1423">
        <v>0.192275754282591</v>
      </c>
      <c r="H1423">
        <v>0.166228279683216</v>
      </c>
      <c r="I1423">
        <v>0.143942595429891</v>
      </c>
      <c r="J1423">
        <v>0.180142307766132</v>
      </c>
      <c r="K1423">
        <v>0.11086155269892</v>
      </c>
      <c r="L1423">
        <v>550.8598762015559</v>
      </c>
      <c r="M1423">
        <v>12.8057719172012</v>
      </c>
      <c r="N1423">
        <v>44.0858885371873</v>
      </c>
      <c r="O1423">
        <v>42.008030121977</v>
      </c>
      <c r="P1423">
        <v>-0.0660482842600735</v>
      </c>
      <c r="Q1423">
        <v>0.133503809634818</v>
      </c>
      <c r="R1423">
        <v>0.9639338488095029</v>
      </c>
      <c r="S1423" t="s">
        <v>3616</v>
      </c>
      <c r="T1423" t="s">
        <v>4362</v>
      </c>
      <c r="U1423" t="s">
        <v>4362</v>
      </c>
      <c r="V1423" t="s">
        <v>4362</v>
      </c>
      <c r="W1423" t="s">
        <v>5781</v>
      </c>
      <c r="X1423">
        <v>7</v>
      </c>
      <c r="Y1423" t="s">
        <v>7944</v>
      </c>
      <c r="Z1423" t="s">
        <v>10111</v>
      </c>
      <c r="AA1423">
        <v>0.3389688685427174</v>
      </c>
      <c r="AB1423">
        <f>HYPERLINK("Melting_Curves/meltCurve_P32664_nudC.pdf", "Melting_Curves/meltCurve_P32664_nudC.pdf")</f>
        <v>0</v>
      </c>
    </row>
    <row r="1424" spans="1:28">
      <c r="A1424" t="s">
        <v>1450</v>
      </c>
      <c r="B1424">
        <v>0.999739202189716</v>
      </c>
      <c r="C1424">
        <v>0.920434440724632</v>
      </c>
      <c r="D1424">
        <v>0.985634274039909</v>
      </c>
      <c r="E1424">
        <v>1.0175850559238</v>
      </c>
      <c r="F1424">
        <v>0.934976061964483</v>
      </c>
      <c r="G1424">
        <v>0.820631459946348</v>
      </c>
      <c r="H1424">
        <v>0.59494784630269</v>
      </c>
      <c r="I1424">
        <v>0.520575443755576</v>
      </c>
      <c r="J1424">
        <v>0.428853775292111</v>
      </c>
      <c r="K1424">
        <v>0.383333681614613</v>
      </c>
      <c r="L1424">
        <v>1052.92997289913</v>
      </c>
      <c r="M1424">
        <v>18.7344452259029</v>
      </c>
      <c r="N1424">
        <v>60.5513007694018</v>
      </c>
      <c r="O1424">
        <v>55.5742687193387</v>
      </c>
      <c r="P1424">
        <v>-0.0531149794808366</v>
      </c>
      <c r="Q1424">
        <v>0.369780783046666</v>
      </c>
      <c r="R1424">
        <v>0.982961906409797</v>
      </c>
      <c r="S1424" t="s">
        <v>3617</v>
      </c>
      <c r="T1424" t="s">
        <v>4362</v>
      </c>
      <c r="U1424" t="s">
        <v>4362</v>
      </c>
      <c r="V1424" t="s">
        <v>4362</v>
      </c>
      <c r="W1424" t="s">
        <v>5782</v>
      </c>
      <c r="X1424">
        <v>6</v>
      </c>
      <c r="Y1424" t="s">
        <v>7945</v>
      </c>
      <c r="Z1424" t="s">
        <v>10112</v>
      </c>
      <c r="AA1424">
        <v>0.7797643879437961</v>
      </c>
      <c r="AB1424">
        <f>HYPERLINK("Melting_Curves/meltCurve_P32669_fsaB.pdf", "Melting_Curves/meltCurve_P32669_fsaB.pdf")</f>
        <v>0</v>
      </c>
    </row>
    <row r="1425" spans="1:28">
      <c r="A1425" t="s">
        <v>1451</v>
      </c>
      <c r="B1425">
        <v>0.999739202189716</v>
      </c>
      <c r="C1425">
        <v>0.848460802047068</v>
      </c>
      <c r="D1425">
        <v>1.00237317054149</v>
      </c>
      <c r="E1425">
        <v>0.866984542484059</v>
      </c>
      <c r="F1425">
        <v>0.674964378612487</v>
      </c>
      <c r="G1425">
        <v>0.637680949401648</v>
      </c>
      <c r="H1425">
        <v>0.487560890600582</v>
      </c>
      <c r="I1425">
        <v>0.385261809542505</v>
      </c>
      <c r="J1425">
        <v>0.319871648898038</v>
      </c>
      <c r="K1425">
        <v>0.269690597790415</v>
      </c>
      <c r="L1425">
        <v>438.629576234287</v>
      </c>
      <c r="M1425">
        <v>7.82391640570838</v>
      </c>
      <c r="N1425">
        <v>57.0731965114778</v>
      </c>
      <c r="O1425">
        <v>52.754058704891</v>
      </c>
      <c r="P1425">
        <v>-0.0347217192407642</v>
      </c>
      <c r="Q1425">
        <v>0.06468134291325631</v>
      </c>
      <c r="R1425">
        <v>0.963858951217107</v>
      </c>
      <c r="S1425" t="s">
        <v>3618</v>
      </c>
      <c r="T1425" t="s">
        <v>4362</v>
      </c>
      <c r="U1425" t="s">
        <v>4362</v>
      </c>
      <c r="V1425" t="s">
        <v>4362</v>
      </c>
      <c r="W1425" t="s">
        <v>5783</v>
      </c>
      <c r="X1425">
        <v>2</v>
      </c>
      <c r="Y1425" t="s">
        <v>7946</v>
      </c>
      <c r="Z1425" t="s">
        <v>10113</v>
      </c>
      <c r="AA1425">
        <v>0.6559643352181236</v>
      </c>
      <c r="AB1425">
        <f>HYPERLINK("Melting_Curves/meltCurve_P32670_ptsA.pdf", "Melting_Curves/meltCurve_P32670_ptsA.pdf")</f>
        <v>0</v>
      </c>
    </row>
    <row r="1426" spans="1:28">
      <c r="A1426" t="s">
        <v>1452</v>
      </c>
      <c r="B1426">
        <v>0.999739202189716</v>
      </c>
      <c r="C1426">
        <v>1.21060243294735</v>
      </c>
      <c r="D1426">
        <v>0.625813402433665</v>
      </c>
      <c r="E1426">
        <v>0.6171229632642899</v>
      </c>
      <c r="F1426">
        <v>0.441848272820071</v>
      </c>
      <c r="G1426">
        <v>0.379088822312826</v>
      </c>
      <c r="H1426">
        <v>0.342554784805799</v>
      </c>
      <c r="I1426">
        <v>0.316257824840969</v>
      </c>
      <c r="J1426">
        <v>0.257262964920112</v>
      </c>
      <c r="K1426">
        <v>0.227322351083893</v>
      </c>
      <c r="L1426">
        <v>739.213206343548</v>
      </c>
      <c r="M1426">
        <v>16.1709701731072</v>
      </c>
      <c r="N1426">
        <v>48.2182956729662</v>
      </c>
      <c r="O1426">
        <v>45.0304460145807</v>
      </c>
      <c r="P1426">
        <v>-0.0642648005726226</v>
      </c>
      <c r="Q1426">
        <v>0.284234668367787</v>
      </c>
      <c r="R1426">
        <v>0.8795710050119619</v>
      </c>
      <c r="S1426" t="s">
        <v>3619</v>
      </c>
      <c r="T1426" t="s">
        <v>4362</v>
      </c>
      <c r="U1426" t="s">
        <v>4362</v>
      </c>
      <c r="V1426" t="s">
        <v>4362</v>
      </c>
      <c r="W1426" t="s">
        <v>5784</v>
      </c>
      <c r="X1426">
        <v>1</v>
      </c>
      <c r="Y1426" t="s">
        <v>7947</v>
      </c>
      <c r="Z1426" t="s">
        <v>10114</v>
      </c>
      <c r="AA1426">
        <v>0.5064740379690417</v>
      </c>
      <c r="AB1426">
        <f>HYPERLINK("Melting_Curves/meltCurve_P32675_pflC.pdf", "Melting_Curves/meltCurve_P32675_pflC.pdf")</f>
        <v>0</v>
      </c>
    </row>
    <row r="1427" spans="1:28">
      <c r="A1427" t="s">
        <v>1453</v>
      </c>
      <c r="B1427">
        <v>0.999739202189716</v>
      </c>
      <c r="C1427">
        <v>0.813630859048615</v>
      </c>
      <c r="D1427">
        <v>0.743785366874155</v>
      </c>
      <c r="E1427">
        <v>0.406969298498293</v>
      </c>
      <c r="F1427">
        <v>0.252332560092715</v>
      </c>
      <c r="G1427">
        <v>0.181371768922484</v>
      </c>
      <c r="H1427">
        <v>0.133222487475978</v>
      </c>
      <c r="I1427">
        <v>0.0668933247430423</v>
      </c>
      <c r="J1427">
        <v>0.0362156648162838</v>
      </c>
      <c r="K1427">
        <v>0.0283790886079889</v>
      </c>
      <c r="L1427">
        <v>580.060870778996</v>
      </c>
      <c r="M1427">
        <v>12.7250369181173</v>
      </c>
      <c r="N1427">
        <v>45.8184004230824</v>
      </c>
      <c r="O1427">
        <v>44.5024398149666</v>
      </c>
      <c r="P1427">
        <v>-0.06924768633830999</v>
      </c>
      <c r="Q1427">
        <v>0.0314843116126339</v>
      </c>
      <c r="R1427">
        <v>0.989502664120338</v>
      </c>
      <c r="S1427" t="s">
        <v>3620</v>
      </c>
      <c r="T1427" t="s">
        <v>4362</v>
      </c>
      <c r="U1427" t="s">
        <v>4362</v>
      </c>
      <c r="V1427" t="s">
        <v>4362</v>
      </c>
      <c r="W1427" t="s">
        <v>5785</v>
      </c>
      <c r="X1427">
        <v>2</v>
      </c>
      <c r="Y1427" t="s">
        <v>7948</v>
      </c>
      <c r="Z1427" t="s">
        <v>10115</v>
      </c>
      <c r="AA1427">
        <v>0.3393699162564948</v>
      </c>
      <c r="AB1427">
        <f>HYPERLINK("Melting_Curves/meltCurve_P32680_yjaG.pdf", "Melting_Curves/meltCurve_P32680_yjaG.pdf")</f>
        <v>0</v>
      </c>
    </row>
    <row r="1428" spans="1:28">
      <c r="A1428" t="s">
        <v>1454</v>
      </c>
      <c r="B1428">
        <v>0.999739202189716</v>
      </c>
      <c r="C1428">
        <v>0.754588731291471</v>
      </c>
      <c r="D1428">
        <v>0.685319741222045</v>
      </c>
      <c r="E1428">
        <v>0.321680364866811</v>
      </c>
      <c r="F1428">
        <v>0.178320500513539</v>
      </c>
      <c r="G1428">
        <v>0.111942180879327</v>
      </c>
      <c r="H1428">
        <v>0.08988028981899961</v>
      </c>
      <c r="I1428">
        <v>0.0645477608608358</v>
      </c>
      <c r="J1428">
        <v>0.0615975833531765</v>
      </c>
      <c r="K1428">
        <v>0.0494499119596866</v>
      </c>
      <c r="L1428">
        <v>654.353431993615</v>
      </c>
      <c r="M1428">
        <v>14.8119807598689</v>
      </c>
      <c r="N1428">
        <v>44.4827126679547</v>
      </c>
      <c r="O1428">
        <v>43.3955343995433</v>
      </c>
      <c r="P1428">
        <v>-0.08121416189938881</v>
      </c>
      <c r="Q1428">
        <v>0.0483497006417447</v>
      </c>
      <c r="R1428">
        <v>0.9864570589045381</v>
      </c>
      <c r="S1428" t="s">
        <v>3621</v>
      </c>
      <c r="T1428" t="s">
        <v>4362</v>
      </c>
      <c r="U1428" t="s">
        <v>4362</v>
      </c>
      <c r="V1428" t="s">
        <v>4362</v>
      </c>
      <c r="W1428" t="s">
        <v>5786</v>
      </c>
      <c r="X1428">
        <v>4</v>
      </c>
      <c r="Y1428" t="s">
        <v>7949</v>
      </c>
      <c r="Z1428" t="s">
        <v>10116</v>
      </c>
      <c r="AA1428">
        <v>0.3000716674070124</v>
      </c>
      <c r="AB1428">
        <f>HYPERLINK("Melting_Curves/meltCurve_P32684_rluF.pdf", "Melting_Curves/meltCurve_P32684_rluF.pdf")</f>
        <v>0</v>
      </c>
    </row>
    <row r="1429" spans="1:28">
      <c r="A1429" t="s">
        <v>1455</v>
      </c>
      <c r="B1429">
        <v>0.999739202189716</v>
      </c>
      <c r="C1429">
        <v>1.04179150461272</v>
      </c>
      <c r="D1429">
        <v>1.20210687216339</v>
      </c>
      <c r="E1429">
        <v>0.869920308487711</v>
      </c>
      <c r="F1429">
        <v>0.972262458117946</v>
      </c>
      <c r="G1429">
        <v>0.78910494828079</v>
      </c>
      <c r="H1429">
        <v>0.734626121315649</v>
      </c>
      <c r="I1429">
        <v>0.708335882241846</v>
      </c>
      <c r="J1429">
        <v>0.684659690716352</v>
      </c>
      <c r="K1429">
        <v>0.698993064557035</v>
      </c>
      <c r="L1429">
        <v>1308.1458276331</v>
      </c>
      <c r="M1429">
        <v>24.8169901379539</v>
      </c>
      <c r="O1429">
        <v>52.373020211203</v>
      </c>
      <c r="P1429">
        <v>-0.0364822105882986</v>
      </c>
      <c r="Q1429">
        <v>0.692040509826678</v>
      </c>
      <c r="R1429">
        <v>0.78900141847567</v>
      </c>
      <c r="S1429" t="s">
        <v>3622</v>
      </c>
      <c r="T1429" t="s">
        <v>4362</v>
      </c>
      <c r="U1429" t="s">
        <v>4362</v>
      </c>
      <c r="V1429" t="s">
        <v>4362</v>
      </c>
      <c r="W1429" t="s">
        <v>5787</v>
      </c>
      <c r="X1429">
        <v>2</v>
      </c>
      <c r="Y1429" t="s">
        <v>7950</v>
      </c>
      <c r="Z1429" t="s">
        <v>10117</v>
      </c>
      <c r="AA1429">
        <v>0.8560868608182187</v>
      </c>
      <c r="AB1429">
        <f>HYPERLINK("Melting_Curves/meltCurve_P32685_yjbD.pdf", "Melting_Curves/meltCurve_P32685_yjbD.pdf")</f>
        <v>0</v>
      </c>
    </row>
    <row r="1430" spans="1:28">
      <c r="A1430" t="s">
        <v>1456</v>
      </c>
      <c r="B1430">
        <v>0.999739202189716</v>
      </c>
      <c r="C1430">
        <v>0.8523208204553721</v>
      </c>
      <c r="D1430">
        <v>0.563071219354187</v>
      </c>
      <c r="E1430">
        <v>0.422662462891754</v>
      </c>
      <c r="F1430">
        <v>0.310576442234251</v>
      </c>
      <c r="G1430">
        <v>0.206172562865319</v>
      </c>
      <c r="H1430">
        <v>0.144057407281917</v>
      </c>
      <c r="I1430">
        <v>0.133101068582773</v>
      </c>
      <c r="J1430">
        <v>0.116518308971089</v>
      </c>
      <c r="K1430">
        <v>0.0996432097210206</v>
      </c>
      <c r="L1430">
        <v>569.915267701597</v>
      </c>
      <c r="M1430">
        <v>12.8796942043294</v>
      </c>
      <c r="N1430">
        <v>45.1036250827562</v>
      </c>
      <c r="O1430">
        <v>43.2231449397698</v>
      </c>
      <c r="P1430">
        <v>-0.0664427170799765</v>
      </c>
      <c r="Q1430">
        <v>0.108259193349013</v>
      </c>
      <c r="R1430">
        <v>0.985932639309706</v>
      </c>
      <c r="S1430" t="s">
        <v>3623</v>
      </c>
      <c r="T1430" t="s">
        <v>4362</v>
      </c>
      <c r="U1430" t="s">
        <v>4362</v>
      </c>
      <c r="V1430" t="s">
        <v>4362</v>
      </c>
      <c r="W1430" t="s">
        <v>5788</v>
      </c>
      <c r="X1430">
        <v>5</v>
      </c>
      <c r="Y1430" t="s">
        <v>7951</v>
      </c>
      <c r="Z1430" t="s">
        <v>10118</v>
      </c>
      <c r="AA1430">
        <v>0.3533990770641358</v>
      </c>
      <c r="AB1430">
        <f>HYPERLINK("Melting_Curves/meltCurve_P32695_dusA.pdf", "Melting_Curves/meltCurve_P32695_dusA.pdf")</f>
        <v>0</v>
      </c>
    </row>
    <row r="1431" spans="1:28">
      <c r="A1431" t="s">
        <v>1457</v>
      </c>
      <c r="B1431">
        <v>0.999739202189716</v>
      </c>
      <c r="C1431">
        <v>0.956293496989336</v>
      </c>
      <c r="D1431">
        <v>0.342551166574312</v>
      </c>
      <c r="E1431">
        <v>0.225431609966951</v>
      </c>
      <c r="F1431">
        <v>0.152845364512064</v>
      </c>
      <c r="G1431">
        <v>0.09281572714882499</v>
      </c>
      <c r="H1431">
        <v>0.0917760764111655</v>
      </c>
      <c r="I1431">
        <v>0.0738084160106089</v>
      </c>
      <c r="J1431">
        <v>0.0777834546403313</v>
      </c>
      <c r="K1431">
        <v>0.0606911088884387</v>
      </c>
      <c r="L1431">
        <v>1965.36280757481</v>
      </c>
      <c r="M1431">
        <v>46.6682801865915</v>
      </c>
      <c r="N1431">
        <v>42.3342561489124</v>
      </c>
      <c r="O1431">
        <v>42.0363516370405</v>
      </c>
      <c r="P1431">
        <v>-0.247567206216877</v>
      </c>
      <c r="Q1431">
        <v>0.108018521975552</v>
      </c>
      <c r="R1431">
        <v>0.984202373193362</v>
      </c>
      <c r="S1431" t="s">
        <v>3624</v>
      </c>
      <c r="T1431" t="s">
        <v>4362</v>
      </c>
      <c r="U1431" t="s">
        <v>4362</v>
      </c>
      <c r="V1431" t="s">
        <v>4362</v>
      </c>
      <c r="W1431" t="s">
        <v>5789</v>
      </c>
      <c r="X1431">
        <v>2</v>
      </c>
      <c r="Y1431" t="s">
        <v>7952</v>
      </c>
      <c r="Z1431" t="s">
        <v>10119</v>
      </c>
      <c r="AA1431">
        <v>0.2619907689154675</v>
      </c>
      <c r="AB1431">
        <f>HYPERLINK("Melting_Curves/meltCurve_P32703_yjcE.pdf", "Melting_Curves/meltCurve_P32703_yjcE.pdf")</f>
        <v>0</v>
      </c>
    </row>
    <row r="1432" spans="1:28">
      <c r="A1432" t="s">
        <v>1458</v>
      </c>
      <c r="B1432">
        <v>0.999739202189716</v>
      </c>
      <c r="C1432">
        <v>1.00860301029856</v>
      </c>
      <c r="D1432">
        <v>0.650495100064417</v>
      </c>
      <c r="E1432">
        <v>0.444291865197069</v>
      </c>
      <c r="F1432">
        <v>0.230527249461976</v>
      </c>
      <c r="G1432">
        <v>0.160352545021592</v>
      </c>
      <c r="H1432">
        <v>0.08695371941546449</v>
      </c>
      <c r="I1432">
        <v>0.0492437273914471</v>
      </c>
      <c r="J1432">
        <v>0.0389012222745288</v>
      </c>
      <c r="K1432">
        <v>0.0278348907680368</v>
      </c>
      <c r="L1432">
        <v>711.389576622282</v>
      </c>
      <c r="M1432">
        <v>15.6215931101526</v>
      </c>
      <c r="N1432">
        <v>45.7940237557512</v>
      </c>
      <c r="O1432">
        <v>44.8122181541715</v>
      </c>
      <c r="P1432">
        <v>-0.0835250246311855</v>
      </c>
      <c r="Q1432">
        <v>0.0416809575816149</v>
      </c>
      <c r="R1432">
        <v>0.985574594698313</v>
      </c>
      <c r="S1432" t="s">
        <v>3625</v>
      </c>
      <c r="T1432" t="s">
        <v>4362</v>
      </c>
      <c r="U1432" t="s">
        <v>4362</v>
      </c>
      <c r="V1432" t="s">
        <v>4362</v>
      </c>
      <c r="W1432" t="s">
        <v>5790</v>
      </c>
      <c r="X1432">
        <v>5</v>
      </c>
      <c r="Y1432" t="s">
        <v>7953</v>
      </c>
      <c r="Z1432" t="s">
        <v>10120</v>
      </c>
      <c r="AA1432">
        <v>0.3351301239244056</v>
      </c>
      <c r="AB1432">
        <f>HYPERLINK("Melting_Curves/meltCurve_P32705_actP.pdf", "Melting_Curves/meltCurve_P32705_actP.pdf")</f>
        <v>0</v>
      </c>
    </row>
    <row r="1433" spans="1:28">
      <c r="A1433" t="s">
        <v>1459</v>
      </c>
      <c r="B1433">
        <v>0.999739202189716</v>
      </c>
      <c r="C1433">
        <v>1.13213690874314</v>
      </c>
      <c r="D1433">
        <v>0.802953979112814</v>
      </c>
      <c r="E1433">
        <v>1.15438169648281</v>
      </c>
      <c r="F1433">
        <v>0.934347815361018</v>
      </c>
      <c r="G1433">
        <v>0.864340414556607</v>
      </c>
      <c r="H1433">
        <v>0.596700778004517</v>
      </c>
      <c r="I1433">
        <v>0.482836894944789</v>
      </c>
      <c r="J1433">
        <v>0.373749171218488</v>
      </c>
      <c r="K1433">
        <v>0.63041275476252</v>
      </c>
      <c r="L1433">
        <v>2067.89203834477</v>
      </c>
      <c r="M1433">
        <v>37.4767109155813</v>
      </c>
      <c r="N1433">
        <v>62.1384991885574</v>
      </c>
      <c r="O1433">
        <v>55.0216542327054</v>
      </c>
      <c r="P1433">
        <v>-0.0864204095943947</v>
      </c>
      <c r="Q1433">
        <v>0.49248685204444</v>
      </c>
      <c r="R1433">
        <v>0.819501381138493</v>
      </c>
      <c r="S1433" t="s">
        <v>3626</v>
      </c>
      <c r="T1433" t="s">
        <v>4362</v>
      </c>
      <c r="U1433" t="s">
        <v>4362</v>
      </c>
      <c r="V1433" t="s">
        <v>4362</v>
      </c>
      <c r="W1433" t="s">
        <v>5791</v>
      </c>
      <c r="X1433">
        <v>1</v>
      </c>
      <c r="Y1433" t="s">
        <v>7954</v>
      </c>
      <c r="Z1433" t="s">
        <v>10121</v>
      </c>
      <c r="AA1433">
        <v>0.8021625765629433</v>
      </c>
      <c r="AB1433">
        <f>HYPERLINK("Melting_Curves/meltCurve_P32715_mdtO.pdf", "Melting_Curves/meltCurve_P32715_mdtO.pdf")</f>
        <v>0</v>
      </c>
    </row>
    <row r="1434" spans="1:28">
      <c r="A1434" t="s">
        <v>1460</v>
      </c>
      <c r="B1434">
        <v>0.999739202189716</v>
      </c>
      <c r="C1434">
        <v>0.724690082957079</v>
      </c>
      <c r="D1434">
        <v>0.475660139528526</v>
      </c>
      <c r="E1434">
        <v>0.25228229882262</v>
      </c>
      <c r="F1434">
        <v>0.158127157089612</v>
      </c>
      <c r="G1434">
        <v>0.0860627574502557</v>
      </c>
      <c r="H1434">
        <v>0.06511932824676379</v>
      </c>
      <c r="I1434">
        <v>0.051756703257908</v>
      </c>
      <c r="J1434">
        <v>0.0423086280724267</v>
      </c>
      <c r="K1434">
        <v>0.0370050188233507</v>
      </c>
      <c r="L1434">
        <v>679.762344490861</v>
      </c>
      <c r="M1434">
        <v>15.957122628068</v>
      </c>
      <c r="N1434">
        <v>42.8776686347144</v>
      </c>
      <c r="O1434">
        <v>41.9470967307952</v>
      </c>
      <c r="P1434">
        <v>-0.0904302950112516</v>
      </c>
      <c r="Q1434">
        <v>0.0492046118580682</v>
      </c>
      <c r="R1434">
        <v>0.991309417195154</v>
      </c>
      <c r="S1434" t="s">
        <v>3627</v>
      </c>
      <c r="T1434" t="s">
        <v>4362</v>
      </c>
      <c r="U1434" t="s">
        <v>4362</v>
      </c>
      <c r="V1434" t="s">
        <v>4362</v>
      </c>
      <c r="W1434" t="s">
        <v>5792</v>
      </c>
      <c r="X1434">
        <v>1</v>
      </c>
      <c r="Y1434" t="s">
        <v>7955</v>
      </c>
      <c r="Z1434" t="s">
        <v>10122</v>
      </c>
      <c r="AA1434">
        <v>0.2493356254208124</v>
      </c>
      <c r="AB1434">
        <f>HYPERLINK("Melting_Curves/meltCurve_P32718_alsK.pdf", "Melting_Curves/meltCurve_P32718_alsK.pdf")</f>
        <v>0</v>
      </c>
    </row>
    <row r="1435" spans="1:28">
      <c r="A1435" t="s">
        <v>1461</v>
      </c>
      <c r="B1435">
        <v>0.999739202189716</v>
      </c>
      <c r="C1435">
        <v>0.740051019158393</v>
      </c>
      <c r="D1435">
        <v>1.03400818358241</v>
      </c>
      <c r="E1435">
        <v>0.745208109548234</v>
      </c>
      <c r="F1435">
        <v>0.689058492526588</v>
      </c>
      <c r="G1435">
        <v>0.467615543424916</v>
      </c>
      <c r="H1435">
        <v>0.313192664628782</v>
      </c>
      <c r="I1435">
        <v>0.23098688730509</v>
      </c>
      <c r="J1435">
        <v>0.185992434409945</v>
      </c>
      <c r="K1435">
        <v>0.12027719442759</v>
      </c>
      <c r="L1435">
        <v>494.62567995748</v>
      </c>
      <c r="M1435">
        <v>9.28828454813039</v>
      </c>
      <c r="N1435">
        <v>53.2526312901687</v>
      </c>
      <c r="O1435">
        <v>50.9588755739193</v>
      </c>
      <c r="P1435">
        <v>-0.0455969181155326</v>
      </c>
      <c r="Q1435">
        <v>0</v>
      </c>
      <c r="R1435">
        <v>0.93016819887033</v>
      </c>
      <c r="S1435" t="s">
        <v>3628</v>
      </c>
      <c r="T1435" t="s">
        <v>4362</v>
      </c>
      <c r="U1435" t="s">
        <v>4362</v>
      </c>
      <c r="V1435" t="s">
        <v>4362</v>
      </c>
      <c r="W1435" t="s">
        <v>5793</v>
      </c>
      <c r="X1435">
        <v>1</v>
      </c>
      <c r="Y1435" t="s">
        <v>7956</v>
      </c>
      <c r="Z1435" t="s">
        <v>10123</v>
      </c>
      <c r="AA1435">
        <v>0.562889480797649</v>
      </c>
      <c r="AB1435">
        <f>HYPERLINK("Melting_Curves/meltCurve_P32719_alsE.pdf", "Melting_Curves/meltCurve_P32719_alsE.pdf")</f>
        <v>0</v>
      </c>
    </row>
    <row r="1436" spans="1:28">
      <c r="A1436" t="s">
        <v>1462</v>
      </c>
      <c r="B1436">
        <v>0.999739202189716</v>
      </c>
      <c r="C1436">
        <v>0.948497613774225</v>
      </c>
      <c r="D1436">
        <v>0.777137708708392</v>
      </c>
      <c r="E1436">
        <v>0.973899974441953</v>
      </c>
      <c r="F1436">
        <v>0.877539103957046</v>
      </c>
      <c r="G1436">
        <v>0.680469340539773</v>
      </c>
      <c r="H1436">
        <v>0.803005283429102</v>
      </c>
      <c r="I1436">
        <v>0.596350983952317</v>
      </c>
      <c r="J1436">
        <v>0.5040265853054821</v>
      </c>
      <c r="K1436">
        <v>0.323011206970143</v>
      </c>
      <c r="L1436">
        <v>428.16421906135</v>
      </c>
      <c r="M1436">
        <v>6.73573755800402</v>
      </c>
      <c r="N1436">
        <v>63.566048250599</v>
      </c>
      <c r="O1436">
        <v>58.6671637935815</v>
      </c>
      <c r="P1436">
        <v>-0.0287644336745003</v>
      </c>
      <c r="Q1436">
        <v>0</v>
      </c>
      <c r="R1436">
        <v>0.834958919541685</v>
      </c>
      <c r="S1436" t="s">
        <v>3629</v>
      </c>
      <c r="T1436" t="s">
        <v>4362</v>
      </c>
      <c r="U1436" t="s">
        <v>4362</v>
      </c>
      <c r="V1436" t="s">
        <v>4362</v>
      </c>
      <c r="W1436" t="s">
        <v>5794</v>
      </c>
      <c r="X1436">
        <v>3</v>
      </c>
      <c r="Y1436" t="s">
        <v>7957</v>
      </c>
      <c r="Z1436" t="s">
        <v>10124</v>
      </c>
      <c r="AA1436">
        <v>0.7734738660025197</v>
      </c>
      <c r="AB1436">
        <f>HYPERLINK("Melting_Curves/meltCurve_P33012_sbmC.pdf", "Melting_Curves/meltCurve_P33012_sbmC.pdf")</f>
        <v>0</v>
      </c>
    </row>
    <row r="1437" spans="1:28">
      <c r="A1437" t="s">
        <v>1463</v>
      </c>
      <c r="B1437">
        <v>0.999739202189716</v>
      </c>
      <c r="C1437">
        <v>0.9438424734345759</v>
      </c>
      <c r="D1437">
        <v>0.970218584262619</v>
      </c>
      <c r="E1437">
        <v>0.7753002666769671</v>
      </c>
      <c r="F1437">
        <v>1.06913330689973</v>
      </c>
      <c r="G1437">
        <v>0.757155507023837</v>
      </c>
      <c r="H1437">
        <v>0.71652085907195</v>
      </c>
      <c r="I1437">
        <v>0.221235865841915</v>
      </c>
      <c r="J1437">
        <v>0.199423757528511</v>
      </c>
      <c r="K1437">
        <v>0.134837823712129</v>
      </c>
      <c r="L1437">
        <v>1285.22218266244</v>
      </c>
      <c r="M1437">
        <v>22.0838187910871</v>
      </c>
      <c r="N1437">
        <v>58.5906010610638</v>
      </c>
      <c r="O1437">
        <v>57.7265344370459</v>
      </c>
      <c r="P1437">
        <v>-0.0890557569207987</v>
      </c>
      <c r="Q1437">
        <v>0.068862257888182</v>
      </c>
      <c r="R1437">
        <v>0.916811151166897</v>
      </c>
      <c r="S1437" t="s">
        <v>3630</v>
      </c>
      <c r="T1437" t="s">
        <v>4362</v>
      </c>
      <c r="U1437" t="s">
        <v>4362</v>
      </c>
      <c r="V1437" t="s">
        <v>4362</v>
      </c>
      <c r="W1437" t="s">
        <v>5795</v>
      </c>
      <c r="X1437">
        <v>4</v>
      </c>
      <c r="Y1437" t="s">
        <v>7958</v>
      </c>
      <c r="Z1437" t="s">
        <v>10125</v>
      </c>
      <c r="AA1437">
        <v>0.732806974673693</v>
      </c>
      <c r="AB1437">
        <f>HYPERLINK("Melting_Curves/meltCurve_P33018_yeiG.pdf", "Melting_Curves/meltCurve_P33018_yeiG.pdf")</f>
        <v>0</v>
      </c>
    </row>
    <row r="1438" spans="1:28">
      <c r="A1438" t="s">
        <v>1464</v>
      </c>
      <c r="B1438">
        <v>0.999739202189716</v>
      </c>
      <c r="C1438">
        <v>1.15006343100312</v>
      </c>
      <c r="D1438">
        <v>0.504876355173991</v>
      </c>
      <c r="E1438">
        <v>0.948158406963665</v>
      </c>
      <c r="F1438">
        <v>0.800491513185442</v>
      </c>
      <c r="G1438">
        <v>0.561587018573759</v>
      </c>
      <c r="H1438">
        <v>0.392733512814535</v>
      </c>
      <c r="I1438">
        <v>0.293733631870169</v>
      </c>
      <c r="J1438">
        <v>0.238440165897344</v>
      </c>
      <c r="K1438">
        <v>0.247124507596068</v>
      </c>
      <c r="L1438">
        <v>436.90333767786</v>
      </c>
      <c r="M1438">
        <v>7.86985000064676</v>
      </c>
      <c r="N1438">
        <v>55.5160947205377</v>
      </c>
      <c r="O1438">
        <v>52.2742878165291</v>
      </c>
      <c r="P1438">
        <v>-0.0376825423835029</v>
      </c>
      <c r="Q1438">
        <v>0</v>
      </c>
      <c r="R1438">
        <v>0.77218870962763</v>
      </c>
      <c r="S1438" t="s">
        <v>3631</v>
      </c>
      <c r="T1438" t="s">
        <v>4362</v>
      </c>
      <c r="U1438" t="s">
        <v>4362</v>
      </c>
      <c r="V1438" t="s">
        <v>4362</v>
      </c>
      <c r="W1438" t="s">
        <v>5796</v>
      </c>
      <c r="X1438">
        <v>1</v>
      </c>
      <c r="Y1438" t="s">
        <v>7959</v>
      </c>
      <c r="Z1438" t="s">
        <v>10126</v>
      </c>
      <c r="AA1438">
        <v>0.6190621288960048</v>
      </c>
      <c r="AB1438">
        <f>HYPERLINK("Melting_Curves/meltCurve_P33022_rihB.pdf", "Melting_Curves/meltCurve_P33022_rihB.pdf")</f>
        <v>0</v>
      </c>
    </row>
    <row r="1439" spans="1:28">
      <c r="A1439" t="s">
        <v>1465</v>
      </c>
      <c r="B1439">
        <v>0.999739202189716</v>
      </c>
      <c r="C1439">
        <v>0.900345453112969</v>
      </c>
      <c r="D1439">
        <v>0.860798358398972</v>
      </c>
      <c r="E1439">
        <v>0.701992383973203</v>
      </c>
      <c r="F1439">
        <v>0.576802572380545</v>
      </c>
      <c r="G1439">
        <v>0.357919982857628</v>
      </c>
      <c r="H1439">
        <v>0.332151113081308</v>
      </c>
      <c r="I1439">
        <v>0.252813075508392</v>
      </c>
      <c r="J1439">
        <v>0.227459390663687</v>
      </c>
      <c r="K1439">
        <v>0.203921837946977</v>
      </c>
      <c r="L1439">
        <v>517.976398580711</v>
      </c>
      <c r="M1439">
        <v>10.4841426056882</v>
      </c>
      <c r="N1439">
        <v>51.196527014468</v>
      </c>
      <c r="O1439">
        <v>47.7097320455043</v>
      </c>
      <c r="P1439">
        <v>-0.0465230804030697</v>
      </c>
      <c r="Q1439">
        <v>0.153501281449556</v>
      </c>
      <c r="R1439">
        <v>0.99308281861296</v>
      </c>
      <c r="S1439" t="s">
        <v>3632</v>
      </c>
      <c r="T1439" t="s">
        <v>4362</v>
      </c>
      <c r="U1439" t="s">
        <v>4362</v>
      </c>
      <c r="V1439" t="s">
        <v>4362</v>
      </c>
      <c r="W1439" t="s">
        <v>5797</v>
      </c>
      <c r="X1439">
        <v>2</v>
      </c>
      <c r="Y1439" t="s">
        <v>7960</v>
      </c>
      <c r="Z1439" t="s">
        <v>10127</v>
      </c>
      <c r="AA1439">
        <v>0.5323939687649314</v>
      </c>
      <c r="AB1439">
        <f>HYPERLINK("Melting_Curves/meltCurve_P33025_psuG.pdf", "Melting_Curves/meltCurve_P33025_psuG.pdf")</f>
        <v>0</v>
      </c>
    </row>
    <row r="1440" spans="1:28">
      <c r="A1440" t="s">
        <v>1466</v>
      </c>
      <c r="B1440">
        <v>0.999739202189716</v>
      </c>
      <c r="C1440">
        <v>0.896523051527943</v>
      </c>
      <c r="D1440">
        <v>0.716920964558958</v>
      </c>
      <c r="E1440">
        <v>0.459785509655315</v>
      </c>
      <c r="F1440">
        <v>0.24271167954946</v>
      </c>
      <c r="G1440">
        <v>0.162215687842201</v>
      </c>
      <c r="H1440">
        <v>0.118647175261854</v>
      </c>
      <c r="I1440">
        <v>0.101281400768225</v>
      </c>
      <c r="J1440">
        <v>0.0832009930241092</v>
      </c>
      <c r="K1440">
        <v>0.0770764120401201</v>
      </c>
      <c r="L1440">
        <v>693.139072403811</v>
      </c>
      <c r="M1440">
        <v>15.2595770816485</v>
      </c>
      <c r="N1440">
        <v>45.9281950937716</v>
      </c>
      <c r="O1440">
        <v>44.6645600566185</v>
      </c>
      <c r="P1440">
        <v>-0.0788232264119396</v>
      </c>
      <c r="Q1440">
        <v>0.07722941775085999</v>
      </c>
      <c r="R1440">
        <v>0.9989808326983241</v>
      </c>
      <c r="S1440" t="s">
        <v>3633</v>
      </c>
      <c r="T1440" t="s">
        <v>4362</v>
      </c>
      <c r="U1440" t="s">
        <v>4362</v>
      </c>
      <c r="V1440" t="s">
        <v>4362</v>
      </c>
      <c r="W1440" t="s">
        <v>5798</v>
      </c>
      <c r="X1440">
        <v>7</v>
      </c>
      <c r="Y1440" t="s">
        <v>7961</v>
      </c>
      <c r="Z1440" t="s">
        <v>10128</v>
      </c>
      <c r="AA1440">
        <v>0.3572433063354616</v>
      </c>
      <c r="AB1440">
        <f>HYPERLINK("Melting_Curves/meltCurve_P33030_yeiR.pdf", "Melting_Curves/meltCurve_P33030_yeiR.pdf")</f>
        <v>0</v>
      </c>
    </row>
    <row r="1441" spans="1:28">
      <c r="A1441" t="s">
        <v>1467</v>
      </c>
      <c r="B1441">
        <v>0.999739202189716</v>
      </c>
      <c r="C1441">
        <v>1.21512022761233</v>
      </c>
      <c r="D1441">
        <v>1.38967441156793</v>
      </c>
      <c r="E1441">
        <v>1.18002274522539</v>
      </c>
      <c r="F1441">
        <v>1.15948109365397</v>
      </c>
      <c r="G1441">
        <v>1.06631951795872</v>
      </c>
      <c r="H1441">
        <v>0.35058895196847</v>
      </c>
      <c r="I1441">
        <v>0.0878935471879759</v>
      </c>
      <c r="J1441">
        <v>0.0774118440044398</v>
      </c>
      <c r="K1441">
        <v>0.0577832630009367</v>
      </c>
      <c r="L1441">
        <v>14300.9318551644</v>
      </c>
      <c r="M1441">
        <v>250</v>
      </c>
      <c r="N1441">
        <v>57.2406006243245</v>
      </c>
      <c r="O1441">
        <v>57.2000668228244</v>
      </c>
      <c r="P1441">
        <v>-1.01140308318928</v>
      </c>
      <c r="Q1441">
        <v>0.0743628189851144</v>
      </c>
      <c r="R1441">
        <v>0.90228450937708</v>
      </c>
      <c r="S1441" t="s">
        <v>3634</v>
      </c>
      <c r="T1441" t="s">
        <v>4362</v>
      </c>
      <c r="U1441" t="s">
        <v>4362</v>
      </c>
      <c r="V1441" t="s">
        <v>4362</v>
      </c>
      <c r="W1441" t="s">
        <v>5799</v>
      </c>
      <c r="X1441">
        <v>19</v>
      </c>
      <c r="Y1441" t="s">
        <v>7962</v>
      </c>
      <c r="Z1441" t="s">
        <v>10129</v>
      </c>
      <c r="AA1441">
        <v>0.6978331217519451</v>
      </c>
      <c r="AB1441">
        <f>HYPERLINK("Melting_Curves/meltCurve_P33136_mdoG.pdf", "Melting_Curves/meltCurve_P33136_mdoG.pdf")</f>
        <v>0</v>
      </c>
    </row>
    <row r="1442" spans="1:28">
      <c r="A1442" t="s">
        <v>1468</v>
      </c>
      <c r="B1442">
        <v>0.999739202189716</v>
      </c>
      <c r="C1442">
        <v>1.54568376173709</v>
      </c>
      <c r="D1442">
        <v>1.02900885421452</v>
      </c>
      <c r="E1442">
        <v>1.43627870989707</v>
      </c>
      <c r="F1442">
        <v>0.835034953103273</v>
      </c>
      <c r="G1442">
        <v>0.785257361460696</v>
      </c>
      <c r="H1442">
        <v>0.217168860011287</v>
      </c>
      <c r="I1442">
        <v>0.11614209488404</v>
      </c>
      <c r="J1442">
        <v>0.0977837664557501</v>
      </c>
      <c r="K1442">
        <v>0.0871768970385228</v>
      </c>
      <c r="L1442">
        <v>2304.79621487732</v>
      </c>
      <c r="M1442">
        <v>41.8044426781518</v>
      </c>
      <c r="N1442">
        <v>55.3953397005752</v>
      </c>
      <c r="O1442">
        <v>55.0071000332965</v>
      </c>
      <c r="P1442">
        <v>-0.172921927874691</v>
      </c>
      <c r="Q1442">
        <v>0.0898655009155846</v>
      </c>
      <c r="R1442">
        <v>0.816196649748438</v>
      </c>
      <c r="S1442" t="s">
        <v>3635</v>
      </c>
      <c r="T1442" t="s">
        <v>4362</v>
      </c>
      <c r="U1442" t="s">
        <v>4362</v>
      </c>
      <c r="V1442" t="s">
        <v>4362</v>
      </c>
      <c r="W1442" t="s">
        <v>5800</v>
      </c>
      <c r="X1442">
        <v>23</v>
      </c>
      <c r="Y1442" t="s">
        <v>7963</v>
      </c>
      <c r="Z1442" t="s">
        <v>10130</v>
      </c>
      <c r="AA1442">
        <v>0.6431110239554559</v>
      </c>
      <c r="AB1442">
        <f>HYPERLINK("Melting_Curves/meltCurve_P33195_gcvP.pdf", "Melting_Curves/meltCurve_P33195_gcvP.pdf")</f>
        <v>0</v>
      </c>
    </row>
    <row r="1443" spans="1:28">
      <c r="A1443" t="s">
        <v>1469</v>
      </c>
      <c r="B1443">
        <v>0.999739202189716</v>
      </c>
      <c r="C1443">
        <v>0.98070482626112</v>
      </c>
      <c r="D1443">
        <v>0.838668257841613</v>
      </c>
      <c r="E1443">
        <v>0.698886997313459</v>
      </c>
      <c r="F1443">
        <v>0.426778259215143</v>
      </c>
      <c r="G1443">
        <v>0.274640643579862</v>
      </c>
      <c r="H1443">
        <v>0.18617018684199</v>
      </c>
      <c r="I1443">
        <v>0.136531169427108</v>
      </c>
      <c r="J1443">
        <v>0.121209794169469</v>
      </c>
      <c r="K1443">
        <v>0.0980542024620427</v>
      </c>
      <c r="L1443">
        <v>678.468668621489</v>
      </c>
      <c r="M1443">
        <v>13.9675566082949</v>
      </c>
      <c r="N1443">
        <v>49.2399006053879</v>
      </c>
      <c r="O1443">
        <v>47.6114316674686</v>
      </c>
      <c r="P1443">
        <v>-0.0670437659598089</v>
      </c>
      <c r="Q1443">
        <v>0.085989461880531</v>
      </c>
      <c r="R1443">
        <v>0.997847939712954</v>
      </c>
      <c r="S1443" t="s">
        <v>3636</v>
      </c>
      <c r="T1443" t="s">
        <v>4362</v>
      </c>
      <c r="U1443" t="s">
        <v>4362</v>
      </c>
      <c r="V1443" t="s">
        <v>4362</v>
      </c>
      <c r="W1443" t="s">
        <v>5801</v>
      </c>
      <c r="X1443">
        <v>5</v>
      </c>
      <c r="Y1443" t="s">
        <v>7964</v>
      </c>
      <c r="Z1443" t="s">
        <v>10131</v>
      </c>
      <c r="AA1443">
        <v>0.4608767259497323</v>
      </c>
      <c r="AB1443">
        <f>HYPERLINK("Melting_Curves/meltCurve_P33218_yebE.pdf", "Melting_Curves/meltCurve_P33218_yebE.pdf")</f>
        <v>0</v>
      </c>
    </row>
    <row r="1444" spans="1:28">
      <c r="A1444" t="s">
        <v>1470</v>
      </c>
      <c r="B1444">
        <v>0.999739202189716</v>
      </c>
      <c r="C1444">
        <v>1.03976953084049</v>
      </c>
      <c r="D1444">
        <v>0.946363165114167</v>
      </c>
      <c r="E1444">
        <v>1.12298436923426</v>
      </c>
      <c r="F1444">
        <v>1.04116229040505</v>
      </c>
      <c r="G1444">
        <v>0.888786619397543</v>
      </c>
      <c r="H1444">
        <v>0.800104258040183</v>
      </c>
      <c r="I1444">
        <v>0.738425761607574</v>
      </c>
      <c r="J1444">
        <v>0.634694597461947</v>
      </c>
      <c r="K1444">
        <v>0.637340469125547</v>
      </c>
      <c r="L1444">
        <v>1243.5464299932</v>
      </c>
      <c r="M1444">
        <v>21.7164848930934</v>
      </c>
      <c r="O1444">
        <v>56.7838642564948</v>
      </c>
      <c r="P1444">
        <v>-0.0360229050872437</v>
      </c>
      <c r="Q1444">
        <v>0.623240781358475</v>
      </c>
      <c r="R1444">
        <v>0.902450499101289</v>
      </c>
      <c r="S1444" t="s">
        <v>3637</v>
      </c>
      <c r="T1444" t="s">
        <v>4362</v>
      </c>
      <c r="U1444" t="s">
        <v>4362</v>
      </c>
      <c r="V1444" t="s">
        <v>4362</v>
      </c>
      <c r="W1444" t="s">
        <v>5802</v>
      </c>
      <c r="X1444">
        <v>7</v>
      </c>
      <c r="Y1444" t="s">
        <v>7965</v>
      </c>
      <c r="Z1444" t="s">
        <v>10132</v>
      </c>
      <c r="AA1444">
        <v>0.8807482705590499</v>
      </c>
      <c r="AB1444">
        <f>HYPERLINK("Melting_Curves/meltCurve_P33219_yebF.pdf", "Melting_Curves/meltCurve_P33219_yebF.pdf")</f>
        <v>0</v>
      </c>
    </row>
    <row r="1445" spans="1:28">
      <c r="A1445" t="s">
        <v>1471</v>
      </c>
      <c r="B1445">
        <v>0.999739202189716</v>
      </c>
      <c r="C1445">
        <v>1.01732484272409</v>
      </c>
      <c r="D1445">
        <v>0.879928529143177</v>
      </c>
      <c r="E1445">
        <v>0.7313765169966679</v>
      </c>
      <c r="F1445">
        <v>0.340207882000947</v>
      </c>
      <c r="G1445">
        <v>0.209718044540343</v>
      </c>
      <c r="H1445">
        <v>0.143352732370045</v>
      </c>
      <c r="I1445">
        <v>0.102382277437986</v>
      </c>
      <c r="J1445">
        <v>0.101195728497058</v>
      </c>
      <c r="K1445">
        <v>0.0832637602865245</v>
      </c>
      <c r="L1445">
        <v>966.089932096973</v>
      </c>
      <c r="M1445">
        <v>20.0488622997173</v>
      </c>
      <c r="N1445">
        <v>48.6877326660701</v>
      </c>
      <c r="O1445">
        <v>47.7150452118851</v>
      </c>
      <c r="P1445">
        <v>-0.0952575600360608</v>
      </c>
      <c r="Q1445">
        <v>0.0932008111154302</v>
      </c>
      <c r="R1445">
        <v>0.995667746405729</v>
      </c>
      <c r="S1445" t="s">
        <v>3638</v>
      </c>
      <c r="T1445" t="s">
        <v>4362</v>
      </c>
      <c r="U1445" t="s">
        <v>4362</v>
      </c>
      <c r="V1445" t="s">
        <v>4362</v>
      </c>
      <c r="W1445" t="s">
        <v>5803</v>
      </c>
      <c r="X1445">
        <v>4</v>
      </c>
      <c r="Y1445" t="s">
        <v>7966</v>
      </c>
      <c r="Z1445" t="s">
        <v>10133</v>
      </c>
      <c r="AA1445">
        <v>0.4432065084146481</v>
      </c>
      <c r="AB1445">
        <f>HYPERLINK("Melting_Curves/meltCurve_P33221_purT.pdf", "Melting_Curves/meltCurve_P33221_purT.pdf")</f>
        <v>0</v>
      </c>
    </row>
    <row r="1446" spans="1:28">
      <c r="A1446" t="s">
        <v>1472</v>
      </c>
      <c r="B1446">
        <v>0.999739202189716</v>
      </c>
      <c r="C1446">
        <v>1.19029271602172</v>
      </c>
      <c r="D1446">
        <v>1.21837896507088</v>
      </c>
      <c r="E1446">
        <v>1.07341263200851</v>
      </c>
      <c r="F1446">
        <v>0.968710316699709</v>
      </c>
      <c r="G1446">
        <v>0.84311564404543</v>
      </c>
      <c r="H1446">
        <v>0.291761875231697</v>
      </c>
      <c r="I1446">
        <v>0.121988654731025</v>
      </c>
      <c r="J1446">
        <v>0.114634680699497</v>
      </c>
      <c r="K1446">
        <v>0.09478228990094439</v>
      </c>
      <c r="L1446">
        <v>2436.94733206878</v>
      </c>
      <c r="M1446">
        <v>43.7657808292982</v>
      </c>
      <c r="N1446">
        <v>55.9752863002894</v>
      </c>
      <c r="O1446">
        <v>55.5656935976421</v>
      </c>
      <c r="P1446">
        <v>-0.176708522573143</v>
      </c>
      <c r="Q1446">
        <v>0.102594122315497</v>
      </c>
      <c r="R1446">
        <v>0.955860301981805</v>
      </c>
      <c r="S1446" t="s">
        <v>3639</v>
      </c>
      <c r="T1446" t="s">
        <v>4362</v>
      </c>
      <c r="U1446" t="s">
        <v>4362</v>
      </c>
      <c r="V1446" t="s">
        <v>4362</v>
      </c>
      <c r="W1446" t="s">
        <v>5804</v>
      </c>
      <c r="X1446">
        <v>13</v>
      </c>
      <c r="Y1446" t="s">
        <v>7967</v>
      </c>
      <c r="Z1446" t="s">
        <v>10134</v>
      </c>
      <c r="AA1446">
        <v>0.6642716325345785</v>
      </c>
      <c r="AB1446">
        <f>HYPERLINK("Melting_Curves/meltCurve_P33224_aidB.pdf", "Melting_Curves/meltCurve_P33224_aidB.pdf")</f>
        <v>0</v>
      </c>
    </row>
    <row r="1447" spans="1:28">
      <c r="A1447" t="s">
        <v>1473</v>
      </c>
      <c r="B1447">
        <v>0.999739202189716</v>
      </c>
      <c r="C1447">
        <v>0.957979487482722</v>
      </c>
      <c r="D1447">
        <v>0.862892370544237</v>
      </c>
      <c r="E1447">
        <v>0.914808419700699</v>
      </c>
      <c r="F1447">
        <v>0.920662033769597</v>
      </c>
      <c r="G1447">
        <v>0.743076337282874</v>
      </c>
      <c r="H1447">
        <v>0.669334091518988</v>
      </c>
      <c r="I1447">
        <v>0.538374952597252</v>
      </c>
      <c r="J1447">
        <v>0.502971801555589</v>
      </c>
      <c r="K1447">
        <v>0.361948614326726</v>
      </c>
      <c r="L1447">
        <v>435.191752234455</v>
      </c>
      <c r="M1447">
        <v>6.91962544611042</v>
      </c>
      <c r="N1447">
        <v>62.8923854822598</v>
      </c>
      <c r="O1447">
        <v>58.2696389599207</v>
      </c>
      <c r="P1447">
        <v>-0.0297453719910771</v>
      </c>
      <c r="Q1447">
        <v>0</v>
      </c>
      <c r="R1447">
        <v>0.958694609096729</v>
      </c>
      <c r="S1447" t="s">
        <v>3640</v>
      </c>
      <c r="T1447" t="s">
        <v>4362</v>
      </c>
      <c r="U1447" t="s">
        <v>4362</v>
      </c>
      <c r="V1447" t="s">
        <v>4362</v>
      </c>
      <c r="W1447" t="s">
        <v>5805</v>
      </c>
      <c r="X1447">
        <v>4</v>
      </c>
      <c r="Y1447" t="s">
        <v>7968</v>
      </c>
      <c r="Z1447" t="s">
        <v>10135</v>
      </c>
      <c r="AA1447">
        <v>0.7649953810782065</v>
      </c>
      <c r="AB1447">
        <f>HYPERLINK("Melting_Curves/meltCurve_P33225_torA.pdf", "Melting_Curves/meltCurve_P33225_torA.pdf")</f>
        <v>0</v>
      </c>
    </row>
    <row r="1448" spans="1:28">
      <c r="A1448" t="s">
        <v>1474</v>
      </c>
      <c r="B1448">
        <v>0.999739202189716</v>
      </c>
      <c r="C1448">
        <v>1.51547526528247</v>
      </c>
      <c r="D1448">
        <v>0.469527602042351</v>
      </c>
      <c r="E1448">
        <v>1.16968700748619</v>
      </c>
      <c r="F1448">
        <v>0.506302024062054</v>
      </c>
      <c r="G1448">
        <v>0.216179713247216</v>
      </c>
      <c r="H1448">
        <v>0.0769275164831635</v>
      </c>
      <c r="I1448">
        <v>0.0452451687604025</v>
      </c>
      <c r="J1448">
        <v>0.0462479580820443</v>
      </c>
      <c r="K1448">
        <v>0.0422154581817464</v>
      </c>
      <c r="L1448">
        <v>3427.54313960933</v>
      </c>
      <c r="M1448">
        <v>68.3936566478846</v>
      </c>
      <c r="N1448">
        <v>50.2478010215459</v>
      </c>
      <c r="O1448">
        <v>50.0721372574001</v>
      </c>
      <c r="P1448">
        <v>-0.313228170113385</v>
      </c>
      <c r="Q1448">
        <v>0.0827220031020693</v>
      </c>
      <c r="R1448">
        <v>0.771070831943829</v>
      </c>
      <c r="S1448" t="s">
        <v>3641</v>
      </c>
      <c r="T1448" t="s">
        <v>4362</v>
      </c>
      <c r="U1448" t="s">
        <v>4362</v>
      </c>
      <c r="V1448" t="s">
        <v>4362</v>
      </c>
      <c r="W1448" t="s">
        <v>5806</v>
      </c>
      <c r="X1448">
        <v>2</v>
      </c>
      <c r="Y1448" t="s">
        <v>7969</v>
      </c>
      <c r="Z1448" t="s">
        <v>10136</v>
      </c>
      <c r="AA1448">
        <v>0.4848040416118788</v>
      </c>
      <c r="AB1448">
        <f>HYPERLINK("Melting_Curves/meltCurve_P33232_lldD.pdf", "Melting_Curves/meltCurve_P33232_lldD.pdf")</f>
        <v>0</v>
      </c>
    </row>
    <row r="1449" spans="1:28">
      <c r="A1449" t="s">
        <v>1475</v>
      </c>
      <c r="B1449">
        <v>0.999739202189716</v>
      </c>
      <c r="C1449">
        <v>1.00657885153757</v>
      </c>
      <c r="D1449">
        <v>0.897426610544936</v>
      </c>
      <c r="E1449">
        <v>0.8480488351657089</v>
      </c>
      <c r="F1449">
        <v>0.807979518303289</v>
      </c>
      <c r="G1449">
        <v>0.7352438746043189</v>
      </c>
      <c r="H1449">
        <v>0.794627050306834</v>
      </c>
      <c r="I1449">
        <v>0.500419350105621</v>
      </c>
      <c r="J1449">
        <v>0.391601110883229</v>
      </c>
      <c r="K1449">
        <v>0.349991821710374</v>
      </c>
      <c r="L1449">
        <v>434.395286726799</v>
      </c>
      <c r="M1449">
        <v>7.0101937256016</v>
      </c>
      <c r="N1449">
        <v>61.9662310291115</v>
      </c>
      <c r="O1449">
        <v>57.5149957883481</v>
      </c>
      <c r="P1449">
        <v>-0.0305273481215235</v>
      </c>
      <c r="Q1449">
        <v>0</v>
      </c>
      <c r="R1449">
        <v>0.925936861524427</v>
      </c>
      <c r="S1449" t="s">
        <v>3642</v>
      </c>
      <c r="T1449" t="s">
        <v>4362</v>
      </c>
      <c r="U1449" t="s">
        <v>4362</v>
      </c>
      <c r="V1449" t="s">
        <v>4362</v>
      </c>
      <c r="W1449" t="s">
        <v>5807</v>
      </c>
      <c r="X1449">
        <v>4</v>
      </c>
      <c r="Y1449" t="s">
        <v>7970</v>
      </c>
      <c r="Z1449" t="s">
        <v>10137</v>
      </c>
      <c r="AA1449">
        <v>0.7497396809538159</v>
      </c>
      <c r="AB1449">
        <f>HYPERLINK("Melting_Curves/meltCurve_P33235_flgK.pdf", "Melting_Curves/meltCurve_P33235_flgK.pdf")</f>
        <v>0</v>
      </c>
    </row>
    <row r="1450" spans="1:28">
      <c r="A1450" t="s">
        <v>1476</v>
      </c>
      <c r="B1450">
        <v>0.999739202189716</v>
      </c>
      <c r="C1450">
        <v>0.984808730885352</v>
      </c>
      <c r="D1450">
        <v>0.910602027935058</v>
      </c>
      <c r="E1450">
        <v>0.893424239256287</v>
      </c>
      <c r="F1450">
        <v>0.451791418619836</v>
      </c>
      <c r="G1450">
        <v>0.242827870960985</v>
      </c>
      <c r="H1450">
        <v>0.194959503350524</v>
      </c>
      <c r="I1450">
        <v>0.151486411635106</v>
      </c>
      <c r="J1450">
        <v>0.154187606447237</v>
      </c>
      <c r="K1450">
        <v>0.131981827320117</v>
      </c>
      <c r="L1450">
        <v>1390.94288511992</v>
      </c>
      <c r="M1450">
        <v>28.2151782197536</v>
      </c>
      <c r="N1450">
        <v>49.9505664301309</v>
      </c>
      <c r="O1450">
        <v>49.0520394891248</v>
      </c>
      <c r="P1450">
        <v>-0.121626822849677</v>
      </c>
      <c r="Q1450">
        <v>0.154214932519576</v>
      </c>
      <c r="R1450">
        <v>0.993427894666464</v>
      </c>
      <c r="S1450" t="s">
        <v>3643</v>
      </c>
      <c r="T1450" t="s">
        <v>4362</v>
      </c>
      <c r="U1450" t="s">
        <v>4362</v>
      </c>
      <c r="V1450" t="s">
        <v>4362</v>
      </c>
      <c r="W1450" t="s">
        <v>5808</v>
      </c>
      <c r="X1450">
        <v>6</v>
      </c>
      <c r="Y1450" t="s">
        <v>7971</v>
      </c>
      <c r="Z1450" t="s">
        <v>10138</v>
      </c>
      <c r="AA1450">
        <v>0.5067124971889858</v>
      </c>
      <c r="AB1450">
        <f>HYPERLINK("Melting_Curves/meltCurve_P33355_yehS.pdf", "Melting_Curves/meltCurve_P33355_yehS.pdf")</f>
        <v>0</v>
      </c>
    </row>
    <row r="1451" spans="1:28">
      <c r="A1451" t="s">
        <v>1477</v>
      </c>
      <c r="B1451">
        <v>0.999739202189716</v>
      </c>
      <c r="C1451">
        <v>0.793052614581197</v>
      </c>
      <c r="D1451">
        <v>0.277279047287442</v>
      </c>
      <c r="E1451">
        <v>0.211598177761109</v>
      </c>
      <c r="F1451">
        <v>0.134436744893906</v>
      </c>
      <c r="G1451">
        <v>0.0801908629847032</v>
      </c>
      <c r="H1451">
        <v>0.0758909848976041</v>
      </c>
      <c r="I1451">
        <v>0.0383398222843514</v>
      </c>
      <c r="J1451">
        <v>0.0508352646312935</v>
      </c>
      <c r="K1451">
        <v>0.0421548626224956</v>
      </c>
      <c r="L1451">
        <v>1243.11920286584</v>
      </c>
      <c r="M1451">
        <v>30.0012334057371</v>
      </c>
      <c r="N1451">
        <v>41.6823018551523</v>
      </c>
      <c r="O1451">
        <v>41.2528126058303</v>
      </c>
      <c r="P1451">
        <v>-0.167024538103909</v>
      </c>
      <c r="Q1451">
        <v>0.08134615986130921</v>
      </c>
      <c r="R1451">
        <v>0.982616242750699</v>
      </c>
      <c r="S1451" t="s">
        <v>3644</v>
      </c>
      <c r="T1451" t="s">
        <v>4362</v>
      </c>
      <c r="U1451" t="s">
        <v>4362</v>
      </c>
      <c r="V1451" t="s">
        <v>4362</v>
      </c>
      <c r="W1451" t="s">
        <v>5809</v>
      </c>
      <c r="X1451">
        <v>1</v>
      </c>
      <c r="Y1451" t="s">
        <v>7972</v>
      </c>
      <c r="Z1451" t="s">
        <v>10139</v>
      </c>
      <c r="AA1451">
        <v>0.2227443709145863</v>
      </c>
      <c r="AB1451">
        <f>HYPERLINK("Melting_Curves/meltCurve_P33360_yehX.pdf", "Melting_Curves/meltCurve_P33360_yehX.pdf")</f>
        <v>0</v>
      </c>
    </row>
    <row r="1452" spans="1:28">
      <c r="A1452" t="s">
        <v>1478</v>
      </c>
      <c r="B1452">
        <v>0.999739202189716</v>
      </c>
      <c r="C1452">
        <v>0.9041340054641041</v>
      </c>
      <c r="D1452">
        <v>0.925303031138901</v>
      </c>
      <c r="E1452">
        <v>0.892182268114077</v>
      </c>
      <c r="F1452">
        <v>0.895327790844918</v>
      </c>
      <c r="G1452">
        <v>0.766309256087934</v>
      </c>
      <c r="H1452">
        <v>0.59258047300516</v>
      </c>
      <c r="I1452">
        <v>0.52857138975047</v>
      </c>
      <c r="J1452">
        <v>0.455157624145769</v>
      </c>
      <c r="K1452">
        <v>0.385804720916293</v>
      </c>
      <c r="L1452">
        <v>419.772320009993</v>
      </c>
      <c r="M1452">
        <v>6.74828916772897</v>
      </c>
      <c r="N1452">
        <v>62.2042577444848</v>
      </c>
      <c r="O1452">
        <v>57.4259461975544</v>
      </c>
      <c r="P1452">
        <v>-0.029440490082562</v>
      </c>
      <c r="Q1452">
        <v>0</v>
      </c>
      <c r="R1452">
        <v>0.971287677163626</v>
      </c>
      <c r="S1452" t="s">
        <v>3645</v>
      </c>
      <c r="T1452" t="s">
        <v>4362</v>
      </c>
      <c r="U1452" t="s">
        <v>4362</v>
      </c>
      <c r="V1452" t="s">
        <v>4362</v>
      </c>
      <c r="W1452" t="s">
        <v>5810</v>
      </c>
      <c r="X1452">
        <v>11</v>
      </c>
      <c r="Y1452" t="s">
        <v>7973</v>
      </c>
      <c r="Z1452" t="s">
        <v>10140</v>
      </c>
      <c r="AA1452">
        <v>0.749962415512093</v>
      </c>
      <c r="AB1452">
        <f>HYPERLINK("Melting_Curves/meltCurve_P33362_yehZ.pdf", "Melting_Curves/meltCurve_P33362_yehZ.pdf")</f>
        <v>0</v>
      </c>
    </row>
    <row r="1453" spans="1:28">
      <c r="A1453" t="s">
        <v>1479</v>
      </c>
      <c r="B1453">
        <v>0.999739202189716</v>
      </c>
      <c r="C1453">
        <v>1.19219399125224</v>
      </c>
      <c r="D1453">
        <v>1.08505258464046</v>
      </c>
      <c r="E1453">
        <v>1.09006613897768</v>
      </c>
      <c r="F1453">
        <v>0.435235208983821</v>
      </c>
      <c r="G1453">
        <v>0.276913685870365</v>
      </c>
      <c r="H1453">
        <v>0.119705644972671</v>
      </c>
      <c r="I1453">
        <v>0.107362041557424</v>
      </c>
      <c r="J1453">
        <v>0.083368466254686</v>
      </c>
      <c r="K1453">
        <v>0.0756701742546442</v>
      </c>
      <c r="L1453">
        <v>4487.50290428145</v>
      </c>
      <c r="M1453">
        <v>90.00678524409091</v>
      </c>
      <c r="N1453">
        <v>50.0279895573822</v>
      </c>
      <c r="O1453">
        <v>49.8327893844388</v>
      </c>
      <c r="P1453">
        <v>-0.391871175036898</v>
      </c>
      <c r="Q1453">
        <v>0.132152920086203</v>
      </c>
      <c r="R1453">
        <v>0.962200509627302</v>
      </c>
      <c r="S1453" t="s">
        <v>3646</v>
      </c>
      <c r="T1453" t="s">
        <v>4362</v>
      </c>
      <c r="U1453" t="s">
        <v>4362</v>
      </c>
      <c r="V1453" t="s">
        <v>4362</v>
      </c>
      <c r="W1453" t="s">
        <v>5811</v>
      </c>
      <c r="X1453">
        <v>29</v>
      </c>
      <c r="Y1453" t="s">
        <v>7974</v>
      </c>
      <c r="Z1453" t="s">
        <v>10141</v>
      </c>
      <c r="AA1453">
        <v>0.5046810832688122</v>
      </c>
      <c r="AB1453">
        <f>HYPERLINK("Melting_Curves/meltCurve_P33363_bglX.pdf", "Melting_Curves/meltCurve_P33363_bglX.pdf")</f>
        <v>0</v>
      </c>
    </row>
    <row r="1454" spans="1:28">
      <c r="A1454" t="s">
        <v>1480</v>
      </c>
      <c r="B1454">
        <v>0.999739202189716</v>
      </c>
      <c r="C1454">
        <v>0.854634901500708</v>
      </c>
      <c r="D1454">
        <v>0.855776657880862</v>
      </c>
      <c r="E1454">
        <v>0.7602861255648919</v>
      </c>
      <c r="F1454">
        <v>0.618499102877457</v>
      </c>
      <c r="G1454">
        <v>0.391625935239696</v>
      </c>
      <c r="H1454">
        <v>0.187749855221171</v>
      </c>
      <c r="I1454">
        <v>0.115715957223033</v>
      </c>
      <c r="J1454">
        <v>0.0994037194909852</v>
      </c>
      <c r="K1454">
        <v>0.07851625721986601</v>
      </c>
      <c r="L1454">
        <v>563.751450029495</v>
      </c>
      <c r="M1454">
        <v>10.9903598571401</v>
      </c>
      <c r="N1454">
        <v>51.2950854511555</v>
      </c>
      <c r="O1454">
        <v>49.6845757179786</v>
      </c>
      <c r="P1454">
        <v>-0.0553193818677956</v>
      </c>
      <c r="Q1454">
        <v>0</v>
      </c>
      <c r="R1454">
        <v>0.983272757431874</v>
      </c>
      <c r="S1454" t="s">
        <v>3647</v>
      </c>
      <c r="T1454" t="s">
        <v>4362</v>
      </c>
      <c r="U1454" t="s">
        <v>4362</v>
      </c>
      <c r="V1454" t="s">
        <v>4362</v>
      </c>
      <c r="W1454" t="s">
        <v>5812</v>
      </c>
      <c r="X1454">
        <v>3</v>
      </c>
      <c r="Y1454" t="s">
        <v>7975</v>
      </c>
      <c r="Z1454" t="s">
        <v>10142</v>
      </c>
      <c r="AA1454">
        <v>0.5039195305007084</v>
      </c>
      <c r="AB1454">
        <f>HYPERLINK("Melting_Curves/meltCurve_P33368_yohF.pdf", "Melting_Curves/meltCurve_P33368_yohF.pdf")</f>
        <v>0</v>
      </c>
    </row>
    <row r="1455" spans="1:28">
      <c r="A1455" t="s">
        <v>1481</v>
      </c>
      <c r="B1455">
        <v>0.999739202189716</v>
      </c>
      <c r="C1455">
        <v>0.932807615749905</v>
      </c>
      <c r="D1455">
        <v>0.777434668163819</v>
      </c>
      <c r="E1455">
        <v>0.718010089540617</v>
      </c>
      <c r="F1455">
        <v>0.459537243711031</v>
      </c>
      <c r="G1455">
        <v>0.332323810199505</v>
      </c>
      <c r="H1455">
        <v>0.266691825819725</v>
      </c>
      <c r="I1455">
        <v>0.238074973408594</v>
      </c>
      <c r="J1455">
        <v>0.216230771231443</v>
      </c>
      <c r="K1455">
        <v>0.138376165488252</v>
      </c>
      <c r="L1455">
        <v>537.857570628123</v>
      </c>
      <c r="M1455">
        <v>11.1077133128015</v>
      </c>
      <c r="N1455">
        <v>49.8424578446596</v>
      </c>
      <c r="O1455">
        <v>46.9320287955247</v>
      </c>
      <c r="P1455">
        <v>-0.0511580466467091</v>
      </c>
      <c r="Q1455">
        <v>0.135674148250319</v>
      </c>
      <c r="R1455">
        <v>0.988998776360665</v>
      </c>
      <c r="S1455" t="s">
        <v>3648</v>
      </c>
      <c r="T1455" t="s">
        <v>4362</v>
      </c>
      <c r="U1455" t="s">
        <v>4362</v>
      </c>
      <c r="V1455" t="s">
        <v>4362</v>
      </c>
      <c r="W1455" t="s">
        <v>5813</v>
      </c>
      <c r="X1455">
        <v>3</v>
      </c>
      <c r="Y1455" t="s">
        <v>7976</v>
      </c>
      <c r="Z1455" t="s">
        <v>10143</v>
      </c>
      <c r="AA1455">
        <v>0.4941862487572757</v>
      </c>
      <c r="AB1455">
        <f>HYPERLINK("Melting_Curves/meltCurve_P33371_dusC.pdf", "Melting_Curves/meltCurve_P33371_dusC.pdf")</f>
        <v>0</v>
      </c>
    </row>
    <row r="1456" spans="1:28">
      <c r="A1456" t="s">
        <v>1482</v>
      </c>
      <c r="B1456">
        <v>0.999739202189716</v>
      </c>
      <c r="C1456">
        <v>1.2815733083488</v>
      </c>
      <c r="D1456">
        <v>1.11698653645543</v>
      </c>
      <c r="E1456">
        <v>1.35321432625642</v>
      </c>
      <c r="F1456">
        <v>1.03526214038323</v>
      </c>
      <c r="G1456">
        <v>0.928592634156386</v>
      </c>
      <c r="H1456">
        <v>0.648783663382181</v>
      </c>
      <c r="I1456">
        <v>0.207909906882514</v>
      </c>
      <c r="J1456">
        <v>0.106879552508852</v>
      </c>
      <c r="K1456">
        <v>0.08712152090272569</v>
      </c>
      <c r="L1456">
        <v>2119.96701782238</v>
      </c>
      <c r="M1456">
        <v>36.4820533270675</v>
      </c>
      <c r="N1456">
        <v>58.3749828985717</v>
      </c>
      <c r="O1456">
        <v>57.9360872407489</v>
      </c>
      <c r="P1456">
        <v>-0.145405204878278</v>
      </c>
      <c r="Q1456">
        <v>0.0763476683120958</v>
      </c>
      <c r="R1456">
        <v>0.895577528967998</v>
      </c>
      <c r="S1456" t="s">
        <v>3649</v>
      </c>
      <c r="T1456" t="s">
        <v>4362</v>
      </c>
      <c r="U1456" t="s">
        <v>4362</v>
      </c>
      <c r="V1456" t="s">
        <v>4362</v>
      </c>
      <c r="W1456" t="s">
        <v>5814</v>
      </c>
      <c r="X1456">
        <v>20</v>
      </c>
      <c r="Y1456" t="s">
        <v>7977</v>
      </c>
      <c r="Z1456" t="s">
        <v>10144</v>
      </c>
      <c r="AA1456">
        <v>0.7302070238575955</v>
      </c>
      <c r="AB1456">
        <f>HYPERLINK("Melting_Curves/meltCurve_P33570_tktB.pdf", "Melting_Curves/meltCurve_P33570_tktB.pdf")</f>
        <v>0</v>
      </c>
    </row>
    <row r="1457" spans="1:28">
      <c r="A1457" t="s">
        <v>1483</v>
      </c>
      <c r="B1457">
        <v>0.999739202189716</v>
      </c>
      <c r="C1457">
        <v>1.04002617166152</v>
      </c>
      <c r="D1457">
        <v>1.08177929033162</v>
      </c>
      <c r="E1457">
        <v>1.03234903118511</v>
      </c>
      <c r="F1457">
        <v>0.876614367799644</v>
      </c>
      <c r="G1457">
        <v>0.335923059800807</v>
      </c>
      <c r="H1457">
        <v>0.196883120676785</v>
      </c>
      <c r="I1457">
        <v>0.159632953887905</v>
      </c>
      <c r="J1457">
        <v>0.128816496662973</v>
      </c>
      <c r="K1457">
        <v>0.0755679022756757</v>
      </c>
      <c r="L1457">
        <v>2158.66304680749</v>
      </c>
      <c r="M1457">
        <v>41.2405328463582</v>
      </c>
      <c r="N1457">
        <v>52.7348440612616</v>
      </c>
      <c r="O1457">
        <v>52.2205963693519</v>
      </c>
      <c r="P1457">
        <v>-0.171393865534023</v>
      </c>
      <c r="Q1457">
        <v>0.131895150422025</v>
      </c>
      <c r="R1457">
        <v>0.99125156675151</v>
      </c>
      <c r="S1457" t="s">
        <v>3650</v>
      </c>
      <c r="T1457" t="s">
        <v>4362</v>
      </c>
      <c r="U1457" t="s">
        <v>4362</v>
      </c>
      <c r="V1457" t="s">
        <v>4362</v>
      </c>
      <c r="W1457" t="s">
        <v>5815</v>
      </c>
      <c r="X1457">
        <v>13</v>
      </c>
      <c r="Y1457" t="s">
        <v>7978</v>
      </c>
      <c r="Z1457" t="s">
        <v>10145</v>
      </c>
      <c r="AA1457">
        <v>0.5788261220670274</v>
      </c>
      <c r="AB1457">
        <f>HYPERLINK("Melting_Curves/meltCurve_P33590_nikA.pdf", "Melting_Curves/meltCurve_P33590_nikA.pdf")</f>
        <v>0</v>
      </c>
    </row>
    <row r="1458" spans="1:28">
      <c r="A1458" t="s">
        <v>1484</v>
      </c>
      <c r="B1458">
        <v>0.999739202189716</v>
      </c>
      <c r="C1458">
        <v>0.655181216323094</v>
      </c>
      <c r="D1458">
        <v>0.201252007306488</v>
      </c>
      <c r="E1458">
        <v>0.111619574600431</v>
      </c>
      <c r="F1458">
        <v>0.07649593513882171</v>
      </c>
      <c r="G1458">
        <v>0.0416313209284039</v>
      </c>
      <c r="H1458">
        <v>0.0383510532770025</v>
      </c>
      <c r="I1458">
        <v>0.0281811514248367</v>
      </c>
      <c r="J1458">
        <v>0.0296875110769186</v>
      </c>
      <c r="K1458">
        <v>0.0162730425143074</v>
      </c>
      <c r="L1458">
        <v>1242.72317109928</v>
      </c>
      <c r="M1458">
        <v>30.5215287121016</v>
      </c>
      <c r="N1458">
        <v>40.8421970638518</v>
      </c>
      <c r="O1458">
        <v>40.5426970474172</v>
      </c>
      <c r="P1458">
        <v>-0.179756235884516</v>
      </c>
      <c r="Q1458">
        <v>0.0449026787226988</v>
      </c>
      <c r="R1458">
        <v>0.993722793418891</v>
      </c>
      <c r="S1458" t="s">
        <v>3651</v>
      </c>
      <c r="T1458" t="s">
        <v>4362</v>
      </c>
      <c r="U1458" t="s">
        <v>4362</v>
      </c>
      <c r="V1458" t="s">
        <v>4362</v>
      </c>
      <c r="W1458" t="s">
        <v>5816</v>
      </c>
      <c r="X1458">
        <v>2</v>
      </c>
      <c r="Y1458" t="s">
        <v>7979</v>
      </c>
      <c r="Z1458" t="s">
        <v>10146</v>
      </c>
      <c r="AA1458">
        <v>0.1693735010593824</v>
      </c>
      <c r="AB1458">
        <f>HYPERLINK("Melting_Curves/meltCurve_P33596_recX.pdf", "Melting_Curves/meltCurve_P33596_recX.pdf")</f>
        <v>0</v>
      </c>
    </row>
    <row r="1459" spans="1:28">
      <c r="A1459" t="s">
        <v>1485</v>
      </c>
      <c r="B1459">
        <v>0.999739202189716</v>
      </c>
      <c r="C1459">
        <v>0.686790304959246</v>
      </c>
      <c r="D1459">
        <v>0.371705308600481</v>
      </c>
      <c r="E1459">
        <v>0.199995294053388</v>
      </c>
      <c r="F1459">
        <v>0.140123153043182</v>
      </c>
      <c r="G1459">
        <v>0.0731102216615383</v>
      </c>
      <c r="H1459">
        <v>0.0665552459197632</v>
      </c>
      <c r="I1459">
        <v>0.0549383366215055</v>
      </c>
      <c r="J1459">
        <v>0.0579094858458862</v>
      </c>
      <c r="K1459">
        <v>0.0464388177306706</v>
      </c>
      <c r="L1459">
        <v>819.243711110014</v>
      </c>
      <c r="M1459">
        <v>19.7029246230723</v>
      </c>
      <c r="N1459">
        <v>41.888413496823</v>
      </c>
      <c r="O1459">
        <v>41.1585861025016</v>
      </c>
      <c r="P1459">
        <v>-0.111595108121719</v>
      </c>
      <c r="Q1459">
        <v>0.0675621326427383</v>
      </c>
      <c r="R1459">
        <v>0.989193435875634</v>
      </c>
      <c r="S1459" t="s">
        <v>3652</v>
      </c>
      <c r="T1459" t="s">
        <v>4362</v>
      </c>
      <c r="U1459" t="s">
        <v>4362</v>
      </c>
      <c r="V1459" t="s">
        <v>4362</v>
      </c>
      <c r="W1459" t="s">
        <v>5817</v>
      </c>
      <c r="X1459">
        <v>10</v>
      </c>
      <c r="Y1459" t="s">
        <v>7980</v>
      </c>
      <c r="Z1459" t="s">
        <v>10147</v>
      </c>
      <c r="AA1459">
        <v>0.2251605621621931</v>
      </c>
      <c r="AB1459">
        <f>HYPERLINK("Melting_Curves/meltCurve_P33599_nuoC.pdf", "Melting_Curves/meltCurve_P33599_nuoC.pdf")</f>
        <v>0</v>
      </c>
    </row>
    <row r="1460" spans="1:28">
      <c r="A1460" t="s">
        <v>1486</v>
      </c>
      <c r="B1460">
        <v>0.999739202189716</v>
      </c>
      <c r="C1460">
        <v>1.07808695827825</v>
      </c>
      <c r="D1460">
        <v>0.598226419717136</v>
      </c>
      <c r="E1460">
        <v>0.592383895989591</v>
      </c>
      <c r="F1460">
        <v>0.449628603050764</v>
      </c>
      <c r="G1460">
        <v>0.288495736057177</v>
      </c>
      <c r="H1460">
        <v>0.200741034312264</v>
      </c>
      <c r="I1460">
        <v>0.169116133015524</v>
      </c>
      <c r="J1460">
        <v>0.162626638571408</v>
      </c>
      <c r="K1460">
        <v>0.149126299182586</v>
      </c>
      <c r="L1460">
        <v>557.281930261394</v>
      </c>
      <c r="M1460">
        <v>11.9111574778037</v>
      </c>
      <c r="N1460">
        <v>47.9887601069751</v>
      </c>
      <c r="O1460">
        <v>45.5262546005698</v>
      </c>
      <c r="P1460">
        <v>-0.0569848388599866</v>
      </c>
      <c r="Q1460">
        <v>0.128996895521192</v>
      </c>
      <c r="R1460">
        <v>0.937774142190997</v>
      </c>
      <c r="S1460" t="s">
        <v>3653</v>
      </c>
      <c r="T1460" t="s">
        <v>4362</v>
      </c>
      <c r="U1460" t="s">
        <v>4362</v>
      </c>
      <c r="V1460" t="s">
        <v>4362</v>
      </c>
      <c r="W1460" t="s">
        <v>5818</v>
      </c>
      <c r="X1460">
        <v>24</v>
      </c>
      <c r="Y1460" t="s">
        <v>7981</v>
      </c>
      <c r="Z1460" t="s">
        <v>10148</v>
      </c>
      <c r="AA1460">
        <v>0.4423972736654642</v>
      </c>
      <c r="AB1460">
        <f>HYPERLINK("Melting_Curves/meltCurve_P33602_nuoG.pdf", "Melting_Curves/meltCurve_P33602_nuoG.pdf")</f>
        <v>0</v>
      </c>
    </row>
    <row r="1461" spans="1:28">
      <c r="A1461" t="s">
        <v>1487</v>
      </c>
      <c r="B1461">
        <v>0.999739202189716</v>
      </c>
      <c r="C1461">
        <v>1.1847868540032</v>
      </c>
      <c r="D1461">
        <v>0.402223613037522</v>
      </c>
      <c r="E1461">
        <v>0.255687081270612</v>
      </c>
      <c r="F1461">
        <v>0.14996262146203</v>
      </c>
      <c r="G1461">
        <v>0.107749175313045</v>
      </c>
      <c r="H1461">
        <v>0.08239419765403889</v>
      </c>
      <c r="I1461">
        <v>0.0620049193598766</v>
      </c>
      <c r="J1461">
        <v>0.0608382323465375</v>
      </c>
      <c r="K1461">
        <v>0.0515236794521405</v>
      </c>
      <c r="L1461">
        <v>10719.2216504649</v>
      </c>
      <c r="M1461">
        <v>250</v>
      </c>
      <c r="N1461">
        <v>42.9195526607054</v>
      </c>
      <c r="O1461">
        <v>42.8741399141744</v>
      </c>
      <c r="P1461">
        <v>-1.29736873558781</v>
      </c>
      <c r="Q1461">
        <v>0.110022842755628</v>
      </c>
      <c r="R1461">
        <v>0.957624707020168</v>
      </c>
      <c r="S1461" t="s">
        <v>3654</v>
      </c>
      <c r="T1461" t="s">
        <v>4362</v>
      </c>
      <c r="U1461" t="s">
        <v>4362</v>
      </c>
      <c r="V1461" t="s">
        <v>4362</v>
      </c>
      <c r="W1461" t="s">
        <v>5819</v>
      </c>
      <c r="X1461">
        <v>5</v>
      </c>
      <c r="Y1461" t="s">
        <v>7982</v>
      </c>
      <c r="Z1461" t="s">
        <v>10149</v>
      </c>
      <c r="AA1461">
        <v>0.2844329730415553</v>
      </c>
      <c r="AB1461">
        <f>HYPERLINK("Melting_Curves/meltCurve_P33607_nuoL.pdf", "Melting_Curves/meltCurve_P33607_nuoL.pdf")</f>
        <v>0</v>
      </c>
    </row>
    <row r="1462" spans="1:28">
      <c r="A1462" t="s">
        <v>1488</v>
      </c>
      <c r="B1462">
        <v>0.999739202189716</v>
      </c>
      <c r="C1462">
        <v>0.8550359851263361</v>
      </c>
      <c r="D1462">
        <v>1.38119141483551</v>
      </c>
      <c r="E1462">
        <v>0.742000902007637</v>
      </c>
      <c r="F1462">
        <v>0.273575220438942</v>
      </c>
      <c r="G1462">
        <v>0.0911951093196892</v>
      </c>
      <c r="H1462">
        <v>0.0674221865005367</v>
      </c>
      <c r="I1462">
        <v>0.051675775940905</v>
      </c>
      <c r="J1462">
        <v>0.0544822826884172</v>
      </c>
      <c r="K1462">
        <v>0.0485423808919006</v>
      </c>
      <c r="L1462">
        <v>1759.83880612868</v>
      </c>
      <c r="M1462">
        <v>36.4777591107239</v>
      </c>
      <c r="N1462">
        <v>48.4169794635395</v>
      </c>
      <c r="O1462">
        <v>48.099855268052</v>
      </c>
      <c r="P1462">
        <v>-0.178021239394973</v>
      </c>
      <c r="Q1462">
        <v>0.0610420916735455</v>
      </c>
      <c r="R1462">
        <v>0.918719394575215</v>
      </c>
      <c r="S1462" t="s">
        <v>3655</v>
      </c>
      <c r="T1462" t="s">
        <v>4362</v>
      </c>
      <c r="U1462" t="s">
        <v>4362</v>
      </c>
      <c r="V1462" t="s">
        <v>4362</v>
      </c>
      <c r="W1462" t="s">
        <v>5820</v>
      </c>
      <c r="X1462">
        <v>6</v>
      </c>
      <c r="Y1462" t="s">
        <v>7983</v>
      </c>
      <c r="Z1462" t="s">
        <v>10150</v>
      </c>
      <c r="AA1462">
        <v>0.4167386686148118</v>
      </c>
      <c r="AB1462">
        <f>HYPERLINK("Melting_Curves/meltCurve_P33643_rluD.pdf", "Melting_Curves/meltCurve_P33643_rluD.pdf")</f>
        <v>0</v>
      </c>
    </row>
    <row r="1463" spans="1:28">
      <c r="A1463" t="s">
        <v>1489</v>
      </c>
      <c r="B1463">
        <v>0.999739202189716</v>
      </c>
      <c r="C1463">
        <v>1.00138289532003</v>
      </c>
      <c r="D1463">
        <v>0.965682181606939</v>
      </c>
      <c r="E1463">
        <v>0.97436826481362</v>
      </c>
      <c r="F1463">
        <v>0.914472059450561</v>
      </c>
      <c r="G1463">
        <v>0.738128952486872</v>
      </c>
      <c r="H1463">
        <v>0.631476410826358</v>
      </c>
      <c r="I1463">
        <v>0.40229431243367</v>
      </c>
      <c r="J1463">
        <v>0.231983010268043</v>
      </c>
      <c r="K1463">
        <v>0.106294348709579</v>
      </c>
      <c r="L1463">
        <v>828.106202535172</v>
      </c>
      <c r="M1463">
        <v>14.0734145999614</v>
      </c>
      <c r="N1463">
        <v>58.8418820956569</v>
      </c>
      <c r="O1463">
        <v>57.6920097878772</v>
      </c>
      <c r="P1463">
        <v>-0.0609929932674789</v>
      </c>
      <c r="Q1463">
        <v>0</v>
      </c>
      <c r="R1463">
        <v>0.9921279442875049</v>
      </c>
      <c r="S1463" t="s">
        <v>3656</v>
      </c>
      <c r="T1463" t="s">
        <v>4362</v>
      </c>
      <c r="U1463" t="s">
        <v>4362</v>
      </c>
      <c r="V1463" t="s">
        <v>4362</v>
      </c>
      <c r="W1463" t="s">
        <v>5821</v>
      </c>
      <c r="X1463">
        <v>9</v>
      </c>
      <c r="Y1463" t="s">
        <v>7984</v>
      </c>
      <c r="Z1463" t="s">
        <v>10151</v>
      </c>
      <c r="AA1463">
        <v>0.7264409318262069</v>
      </c>
      <c r="AB1463">
        <f>HYPERLINK("Melting_Curves/meltCurve_P33644_yfiH.pdf", "Melting_Curves/meltCurve_P33644_yfiH.pdf")</f>
        <v>0</v>
      </c>
    </row>
    <row r="1464" spans="1:28">
      <c r="A1464" t="s">
        <v>1490</v>
      </c>
      <c r="B1464">
        <v>0.999739202189716</v>
      </c>
      <c r="C1464">
        <v>1.1671244567747</v>
      </c>
      <c r="D1464">
        <v>1.11886508199799</v>
      </c>
      <c r="E1464">
        <v>1.09829836633483</v>
      </c>
      <c r="F1464">
        <v>0.373049181858326</v>
      </c>
      <c r="G1464">
        <v>0.226156693609841</v>
      </c>
      <c r="H1464">
        <v>0.19428528410416</v>
      </c>
      <c r="I1464">
        <v>0.176006004212529</v>
      </c>
      <c r="J1464">
        <v>0.159135574290157</v>
      </c>
      <c r="K1464">
        <v>0.122292159052482</v>
      </c>
      <c r="L1464">
        <v>12492.0059049559</v>
      </c>
      <c r="M1464">
        <v>250</v>
      </c>
      <c r="N1464">
        <v>50.0546289531005</v>
      </c>
      <c r="O1464">
        <v>49.9648260142335</v>
      </c>
      <c r="P1464">
        <v>-1.03125654735284</v>
      </c>
      <c r="Q1464">
        <v>0.175575137806067</v>
      </c>
      <c r="R1464">
        <v>0.970295568026334</v>
      </c>
      <c r="S1464" t="s">
        <v>3657</v>
      </c>
      <c r="T1464" t="s">
        <v>4362</v>
      </c>
      <c r="U1464" t="s">
        <v>4362</v>
      </c>
      <c r="V1464" t="s">
        <v>4362</v>
      </c>
      <c r="W1464" t="s">
        <v>5822</v>
      </c>
      <c r="X1464">
        <v>13</v>
      </c>
      <c r="Y1464" t="s">
        <v>7985</v>
      </c>
      <c r="Z1464" t="s">
        <v>10152</v>
      </c>
      <c r="AA1464">
        <v>0.5320194703710897</v>
      </c>
      <c r="AB1464">
        <f>HYPERLINK("Melting_Curves/meltCurve_P33913_yejA.pdf", "Melting_Curves/meltCurve_P33913_yejA.pdf")</f>
        <v>0</v>
      </c>
    </row>
    <row r="1465" spans="1:28">
      <c r="A1465" t="s">
        <v>1491</v>
      </c>
      <c r="B1465">
        <v>0.999739202189716</v>
      </c>
      <c r="C1465">
        <v>0.92909507881999</v>
      </c>
      <c r="D1465">
        <v>0.680176595677932</v>
      </c>
      <c r="E1465">
        <v>0.8266245482405991</v>
      </c>
      <c r="F1465">
        <v>0.638727754148227</v>
      </c>
      <c r="G1465">
        <v>0.579040957601819</v>
      </c>
      <c r="H1465">
        <v>0.521716379772266</v>
      </c>
      <c r="I1465">
        <v>0.520897371212275</v>
      </c>
      <c r="J1465">
        <v>0.395959330718471</v>
      </c>
      <c r="K1465">
        <v>0.514538420104974</v>
      </c>
      <c r="L1465">
        <v>378.006915600838</v>
      </c>
      <c r="M1465">
        <v>7.9330071202636</v>
      </c>
      <c r="N1465">
        <v>60.5483453654536</v>
      </c>
      <c r="O1465">
        <v>44.9074403526561</v>
      </c>
      <c r="P1465">
        <v>-0.0261867656170919</v>
      </c>
      <c r="Q1465">
        <v>0.407735415591933</v>
      </c>
      <c r="R1465">
        <v>0.8755698806266889</v>
      </c>
      <c r="S1465" t="s">
        <v>3658</v>
      </c>
      <c r="T1465" t="s">
        <v>4362</v>
      </c>
      <c r="U1465" t="s">
        <v>4362</v>
      </c>
      <c r="V1465" t="s">
        <v>4362</v>
      </c>
      <c r="W1465" t="s">
        <v>5823</v>
      </c>
      <c r="X1465">
        <v>1</v>
      </c>
      <c r="Y1465" t="s">
        <v>7986</v>
      </c>
      <c r="Z1465" t="s">
        <v>10153</v>
      </c>
      <c r="AA1465">
        <v>0.6501482204215897</v>
      </c>
      <c r="AB1465">
        <f>HYPERLINK("Melting_Curves/meltCurve_P33916_yejF.pdf", "Melting_Curves/meltCurve_P33916_yejF.pdf")</f>
        <v>0</v>
      </c>
    </row>
    <row r="1466" spans="1:28">
      <c r="A1466" t="s">
        <v>1492</v>
      </c>
      <c r="B1466">
        <v>0.999739202189716</v>
      </c>
      <c r="C1466">
        <v>0.95711419573831</v>
      </c>
      <c r="D1466">
        <v>0.680958150433026</v>
      </c>
      <c r="E1466">
        <v>0.596847147260392</v>
      </c>
      <c r="F1466">
        <v>0.296692966190896</v>
      </c>
      <c r="G1466">
        <v>0.170685218917339</v>
      </c>
      <c r="H1466">
        <v>0.138233913177918</v>
      </c>
      <c r="I1466">
        <v>0.0895711670857742</v>
      </c>
      <c r="J1466">
        <v>0.0777998407992508</v>
      </c>
      <c r="K1466">
        <v>0.0857761711031562</v>
      </c>
      <c r="L1466">
        <v>627.625736589873</v>
      </c>
      <c r="M1466">
        <v>13.4736948037846</v>
      </c>
      <c r="N1466">
        <v>47.0125564378229</v>
      </c>
      <c r="O1466">
        <v>45.5913627103477</v>
      </c>
      <c r="P1466">
        <v>-0.06960110050940981</v>
      </c>
      <c r="Q1466">
        <v>0.058099031838297</v>
      </c>
      <c r="R1466">
        <v>0.986433775154245</v>
      </c>
      <c r="S1466" t="s">
        <v>3659</v>
      </c>
      <c r="T1466" t="s">
        <v>4362</v>
      </c>
      <c r="U1466" t="s">
        <v>4362</v>
      </c>
      <c r="V1466" t="s">
        <v>4362</v>
      </c>
      <c r="W1466" t="s">
        <v>5824</v>
      </c>
      <c r="X1466">
        <v>3</v>
      </c>
      <c r="Y1466" t="s">
        <v>7987</v>
      </c>
      <c r="Z1466" t="s">
        <v>10154</v>
      </c>
      <c r="AA1466">
        <v>0.3848786684904718</v>
      </c>
      <c r="AB1466">
        <f>HYPERLINK("Melting_Curves/meltCurve_P33920_yejK.pdf", "Melting_Curves/meltCurve_P33920_yejK.pdf")</f>
        <v>0</v>
      </c>
    </row>
    <row r="1467" spans="1:28">
      <c r="A1467" t="s">
        <v>1493</v>
      </c>
      <c r="B1467">
        <v>0.999739202189716</v>
      </c>
      <c r="C1467">
        <v>1.2617925793453</v>
      </c>
      <c r="D1467">
        <v>0.57971408238307</v>
      </c>
      <c r="E1467">
        <v>0.528917305537039</v>
      </c>
      <c r="F1467">
        <v>0.325684087148722</v>
      </c>
      <c r="G1467">
        <v>0.242734598415876</v>
      </c>
      <c r="H1467">
        <v>0.18576174667534</v>
      </c>
      <c r="I1467">
        <v>0.153150179673854</v>
      </c>
      <c r="J1467">
        <v>0.167416806863217</v>
      </c>
      <c r="K1467">
        <v>0.14147529195559</v>
      </c>
      <c r="L1467">
        <v>847.139889507391</v>
      </c>
      <c r="M1467">
        <v>18.6906133399821</v>
      </c>
      <c r="N1467">
        <v>46.3601895318285</v>
      </c>
      <c r="O1467">
        <v>44.815068482631</v>
      </c>
      <c r="P1467">
        <v>-0.08647181830239931</v>
      </c>
      <c r="Q1467">
        <v>0.170690543684465</v>
      </c>
      <c r="R1467">
        <v>0.890951074901818</v>
      </c>
      <c r="S1467" t="s">
        <v>3660</v>
      </c>
      <c r="T1467" t="s">
        <v>4362</v>
      </c>
      <c r="U1467" t="s">
        <v>4362</v>
      </c>
      <c r="V1467" t="s">
        <v>4362</v>
      </c>
      <c r="W1467" t="s">
        <v>5825</v>
      </c>
      <c r="X1467">
        <v>1</v>
      </c>
      <c r="Y1467" t="s">
        <v>7988</v>
      </c>
      <c r="Z1467" t="s">
        <v>10155</v>
      </c>
      <c r="AA1467">
        <v>0.4133120168764929</v>
      </c>
      <c r="AB1467">
        <f>HYPERLINK("Melting_Curves/meltCurve_P33927_ccmF.pdf", "Melting_Curves/meltCurve_P33927_ccmF.pdf")</f>
        <v>0</v>
      </c>
    </row>
    <row r="1468" spans="1:28">
      <c r="A1468" t="s">
        <v>1494</v>
      </c>
      <c r="B1468">
        <v>0.999739202189716</v>
      </c>
      <c r="C1468">
        <v>1.0479210809547</v>
      </c>
      <c r="D1468">
        <v>0.754617771755405</v>
      </c>
      <c r="E1468">
        <v>0.9239549839793419</v>
      </c>
      <c r="F1468">
        <v>0.626590946493793</v>
      </c>
      <c r="G1468">
        <v>0.527558824655515</v>
      </c>
      <c r="H1468">
        <v>0.451799020041471</v>
      </c>
      <c r="I1468">
        <v>0.351245951443317</v>
      </c>
      <c r="J1468">
        <v>0.31532771050768</v>
      </c>
      <c r="K1468">
        <v>0.231308454675889</v>
      </c>
      <c r="L1468">
        <v>469.006648579605</v>
      </c>
      <c r="M1468">
        <v>8.82658078074923</v>
      </c>
      <c r="N1468">
        <v>55.1345112778139</v>
      </c>
      <c r="O1468">
        <v>50.6202453912023</v>
      </c>
      <c r="P1468">
        <v>-0.0376528332846877</v>
      </c>
      <c r="Q1468">
        <v>0.136922363797513</v>
      </c>
      <c r="R1468">
        <v>0.93744317807578</v>
      </c>
      <c r="S1468" t="s">
        <v>3661</v>
      </c>
      <c r="T1468" t="s">
        <v>4362</v>
      </c>
      <c r="U1468" t="s">
        <v>4362</v>
      </c>
      <c r="V1468" t="s">
        <v>4362</v>
      </c>
      <c r="W1468" t="s">
        <v>5826</v>
      </c>
      <c r="X1468">
        <v>15</v>
      </c>
      <c r="Y1468" t="s">
        <v>7989</v>
      </c>
      <c r="Z1468" t="s">
        <v>10156</v>
      </c>
      <c r="AA1468">
        <v>0.6197724125150151</v>
      </c>
      <c r="AB1468">
        <f>HYPERLINK("Melting_Curves/meltCurve_P33937_napA.pdf", "Melting_Curves/meltCurve_P33937_napA.pdf")</f>
        <v>0</v>
      </c>
    </row>
    <row r="1469" spans="1:28">
      <c r="A1469" t="s">
        <v>1495</v>
      </c>
      <c r="B1469">
        <v>0.999739202189716</v>
      </c>
      <c r="C1469">
        <v>0.81394807383159</v>
      </c>
      <c r="D1469">
        <v>0.496207423258609</v>
      </c>
      <c r="E1469">
        <v>0.255408791364712</v>
      </c>
      <c r="F1469">
        <v>0.209205695606121</v>
      </c>
      <c r="G1469">
        <v>0.168802723454202</v>
      </c>
      <c r="H1469">
        <v>0.126747299426375</v>
      </c>
      <c r="I1469">
        <v>0.106155252357653</v>
      </c>
      <c r="J1469">
        <v>0.114497700084386</v>
      </c>
      <c r="K1469">
        <v>0.093312858047312</v>
      </c>
      <c r="L1469">
        <v>842.310894336733</v>
      </c>
      <c r="M1469">
        <v>19.8075934852289</v>
      </c>
      <c r="N1469">
        <v>43.1466372440331</v>
      </c>
      <c r="O1469">
        <v>42.0983296049008</v>
      </c>
      <c r="P1469">
        <v>-0.103021612001181</v>
      </c>
      <c r="Q1469">
        <v>0.124196394179359</v>
      </c>
      <c r="R1469">
        <v>0.992993420574878</v>
      </c>
      <c r="S1469" t="s">
        <v>3662</v>
      </c>
      <c r="T1469" t="s">
        <v>4362</v>
      </c>
      <c r="U1469" t="s">
        <v>4362</v>
      </c>
      <c r="V1469" t="s">
        <v>4362</v>
      </c>
      <c r="W1469" t="s">
        <v>5827</v>
      </c>
      <c r="X1469">
        <v>3</v>
      </c>
      <c r="Y1469" t="s">
        <v>7990</v>
      </c>
      <c r="Z1469" t="s">
        <v>10157</v>
      </c>
      <c r="AA1469">
        <v>0.298367842444123</v>
      </c>
      <c r="AB1469">
        <f>HYPERLINK("Melting_Curves/meltCurve_P34209_ydcF.pdf", "Melting_Curves/meltCurve_P34209_ydcF.pdf")</f>
        <v>0</v>
      </c>
    </row>
    <row r="1470" spans="1:28">
      <c r="A1470" t="s">
        <v>1496</v>
      </c>
      <c r="B1470">
        <v>0.999739202189716</v>
      </c>
      <c r="C1470">
        <v>1.05508169667247</v>
      </c>
      <c r="D1470">
        <v>1.06594222691815</v>
      </c>
      <c r="E1470">
        <v>0.851448160218605</v>
      </c>
      <c r="F1470">
        <v>0.605527665132952</v>
      </c>
      <c r="G1470">
        <v>0.342794351792624</v>
      </c>
      <c r="H1470">
        <v>0.213716663441664</v>
      </c>
      <c r="I1470">
        <v>0.138860701888551</v>
      </c>
      <c r="J1470">
        <v>0.09830922798946209</v>
      </c>
      <c r="K1470">
        <v>0.0707815294327265</v>
      </c>
      <c r="L1470">
        <v>954.876706341939</v>
      </c>
      <c r="M1470">
        <v>18.6816368734956</v>
      </c>
      <c r="N1470">
        <v>51.6199043496797</v>
      </c>
      <c r="O1470">
        <v>50.5382473136191</v>
      </c>
      <c r="P1470">
        <v>-0.0846736952373883</v>
      </c>
      <c r="Q1470">
        <v>0.08378948878708049</v>
      </c>
      <c r="R1470">
        <v>0.991093894047965</v>
      </c>
      <c r="S1470" t="s">
        <v>3663</v>
      </c>
      <c r="T1470" t="s">
        <v>4362</v>
      </c>
      <c r="U1470" t="s">
        <v>4362</v>
      </c>
      <c r="V1470" t="s">
        <v>4362</v>
      </c>
      <c r="W1470" t="s">
        <v>5828</v>
      </c>
      <c r="X1470">
        <v>20</v>
      </c>
      <c r="Y1470" t="s">
        <v>7991</v>
      </c>
      <c r="Z1470" t="s">
        <v>10158</v>
      </c>
      <c r="AA1470">
        <v>0.5281888288648829</v>
      </c>
      <c r="AB1470">
        <f>HYPERLINK("Melting_Curves/meltCurve_P35340_ahpF.pdf", "Melting_Curves/meltCurve_P35340_ahpF.pdf")</f>
        <v>0</v>
      </c>
    </row>
    <row r="1471" spans="1:28">
      <c r="A1471" t="s">
        <v>1497</v>
      </c>
      <c r="B1471">
        <v>0.999739202189716</v>
      </c>
      <c r="C1471">
        <v>1.00931304490038</v>
      </c>
      <c r="D1471">
        <v>0.822729933095076</v>
      </c>
      <c r="E1471">
        <v>0.755058908746515</v>
      </c>
      <c r="F1471">
        <v>0.6964457801364849</v>
      </c>
      <c r="G1471">
        <v>0.514324364292485</v>
      </c>
      <c r="H1471">
        <v>0.29940059791221</v>
      </c>
      <c r="I1471">
        <v>0.17773445678635</v>
      </c>
      <c r="J1471">
        <v>0.1772946409463</v>
      </c>
      <c r="K1471">
        <v>0.15925337372757</v>
      </c>
      <c r="L1471">
        <v>496.987773360049</v>
      </c>
      <c r="M1471">
        <v>9.34006318935972</v>
      </c>
      <c r="N1471">
        <v>53.2103153222069</v>
      </c>
      <c r="O1471">
        <v>50.9419594742283</v>
      </c>
      <c r="P1471">
        <v>-0.045865711873487</v>
      </c>
      <c r="Q1471">
        <v>0</v>
      </c>
      <c r="R1471">
        <v>0.979862850196926</v>
      </c>
      <c r="S1471" t="s">
        <v>3664</v>
      </c>
      <c r="T1471" t="s">
        <v>4362</v>
      </c>
      <c r="U1471" t="s">
        <v>4362</v>
      </c>
      <c r="V1471" t="s">
        <v>4362</v>
      </c>
      <c r="W1471" t="s">
        <v>5829</v>
      </c>
      <c r="X1471">
        <v>4</v>
      </c>
      <c r="Y1471" t="s">
        <v>7992</v>
      </c>
      <c r="Z1471" t="s">
        <v>10159</v>
      </c>
      <c r="AA1471">
        <v>0.561722427339549</v>
      </c>
      <c r="AB1471">
        <f>HYPERLINK("Melting_Curves/meltCurve_P36553_hemF.pdf", "Melting_Curves/meltCurve_P36553_hemF.pdf")</f>
        <v>0</v>
      </c>
    </row>
    <row r="1472" spans="1:28">
      <c r="A1472" t="s">
        <v>1498</v>
      </c>
      <c r="B1472">
        <v>0.999739202189716</v>
      </c>
      <c r="C1472">
        <v>0.711816840105969</v>
      </c>
      <c r="D1472">
        <v>0.597598779463766</v>
      </c>
      <c r="E1472">
        <v>0.471542694481136</v>
      </c>
      <c r="F1472">
        <v>0.416974545206556</v>
      </c>
      <c r="G1472">
        <v>0.291464127030108</v>
      </c>
      <c r="H1472">
        <v>0.245599608016092</v>
      </c>
      <c r="I1472">
        <v>0.192902495098602</v>
      </c>
      <c r="J1472">
        <v>0.176461141088146</v>
      </c>
      <c r="K1472">
        <v>0.160310038835686</v>
      </c>
      <c r="L1472">
        <v>408.077963311925</v>
      </c>
      <c r="M1472">
        <v>9.1699493281454</v>
      </c>
      <c r="N1472">
        <v>46.1120588039391</v>
      </c>
      <c r="O1472">
        <v>42.5385920925562</v>
      </c>
      <c r="P1472">
        <v>-0.046539282219643</v>
      </c>
      <c r="Q1472">
        <v>0.137016783163239</v>
      </c>
      <c r="R1472">
        <v>0.966140804725623</v>
      </c>
      <c r="S1472" t="s">
        <v>3665</v>
      </c>
      <c r="T1472" t="s">
        <v>4362</v>
      </c>
      <c r="U1472" t="s">
        <v>4362</v>
      </c>
      <c r="V1472" t="s">
        <v>4362</v>
      </c>
      <c r="W1472" t="s">
        <v>5830</v>
      </c>
      <c r="X1472">
        <v>2</v>
      </c>
      <c r="Y1472" t="s">
        <v>7993</v>
      </c>
      <c r="Z1472" t="s">
        <v>10160</v>
      </c>
      <c r="AA1472">
        <v>0.4036567140812338</v>
      </c>
      <c r="AB1472">
        <f>HYPERLINK("Melting_Curves/meltCurve_P36562_cobT.pdf", "Melting_Curves/meltCurve_P36562_cobT.pdf")</f>
        <v>0</v>
      </c>
    </row>
    <row r="1473" spans="1:28">
      <c r="A1473" t="s">
        <v>1499</v>
      </c>
      <c r="B1473">
        <v>0.999739202189716</v>
      </c>
      <c r="C1473">
        <v>1.21950905910983</v>
      </c>
      <c r="D1473">
        <v>0.839500933059115</v>
      </c>
      <c r="E1473">
        <v>0.929947262130507</v>
      </c>
      <c r="F1473">
        <v>0.973716632537362</v>
      </c>
      <c r="G1473">
        <v>0.780626390055924</v>
      </c>
      <c r="H1473">
        <v>0.839663140889914</v>
      </c>
      <c r="I1473">
        <v>0.789342668066612</v>
      </c>
      <c r="J1473">
        <v>0.855067315494399</v>
      </c>
      <c r="K1473">
        <v>0.567783214090685</v>
      </c>
      <c r="L1473">
        <v>359.085084003927</v>
      </c>
      <c r="M1473">
        <v>4.65519887354397</v>
      </c>
      <c r="O1473">
        <v>66.14917696580351</v>
      </c>
      <c r="P1473">
        <v>-0.0177309465611697</v>
      </c>
      <c r="Q1473">
        <v>0</v>
      </c>
      <c r="R1473">
        <v>0.5590723878370359</v>
      </c>
      <c r="S1473" t="s">
        <v>3666</v>
      </c>
      <c r="T1473" t="s">
        <v>4362</v>
      </c>
      <c r="U1473" t="s">
        <v>4362</v>
      </c>
      <c r="V1473" t="s">
        <v>4362</v>
      </c>
      <c r="W1473" t="s">
        <v>5831</v>
      </c>
      <c r="X1473">
        <v>9</v>
      </c>
      <c r="Y1473" t="s">
        <v>7994</v>
      </c>
      <c r="Z1473" t="s">
        <v>10161</v>
      </c>
      <c r="AA1473">
        <v>0.8783150162038736</v>
      </c>
      <c r="AB1473">
        <f>HYPERLINK("Melting_Curves/meltCurve_P36649_cueO.pdf", "Melting_Curves/meltCurve_P36649_cueO.pdf")</f>
        <v>0</v>
      </c>
    </row>
    <row r="1474" spans="1:28">
      <c r="A1474" t="s">
        <v>1500</v>
      </c>
      <c r="B1474">
        <v>0.999739202189716</v>
      </c>
      <c r="C1474">
        <v>1.20310187713322</v>
      </c>
      <c r="D1474">
        <v>0.793063197327762</v>
      </c>
      <c r="E1474">
        <v>0.829861138311061</v>
      </c>
      <c r="F1474">
        <v>0.644954978337251</v>
      </c>
      <c r="G1474">
        <v>0.475371664064388</v>
      </c>
      <c r="H1474">
        <v>0.356770982768536</v>
      </c>
      <c r="I1474">
        <v>0.280375919597223</v>
      </c>
      <c r="J1474">
        <v>0.2275748614458</v>
      </c>
      <c r="K1474">
        <v>0.149018049910236</v>
      </c>
      <c r="L1474">
        <v>580.589220444654</v>
      </c>
      <c r="M1474">
        <v>11.1290559899038</v>
      </c>
      <c r="N1474">
        <v>53.3884993337509</v>
      </c>
      <c r="O1474">
        <v>50.5693671653685</v>
      </c>
      <c r="P1474">
        <v>-0.0488584573365983</v>
      </c>
      <c r="Q1474">
        <v>0.112253717113232</v>
      </c>
      <c r="R1474">
        <v>0.93574521445072</v>
      </c>
      <c r="S1474" t="s">
        <v>3667</v>
      </c>
      <c r="T1474" t="s">
        <v>4362</v>
      </c>
      <c r="U1474" t="s">
        <v>4362</v>
      </c>
      <c r="V1474" t="s">
        <v>4362</v>
      </c>
      <c r="W1474" t="s">
        <v>5832</v>
      </c>
      <c r="X1474">
        <v>3</v>
      </c>
      <c r="Y1474" t="s">
        <v>7995</v>
      </c>
      <c r="Z1474" t="s">
        <v>10162</v>
      </c>
      <c r="AA1474">
        <v>0.5829247709075432</v>
      </c>
      <c r="AB1474">
        <f>HYPERLINK("Melting_Curves/meltCurve_P36655_dsbD.pdf", "Melting_Curves/meltCurve_P36655_dsbD.pdf")</f>
        <v>0</v>
      </c>
    </row>
    <row r="1475" spans="1:28">
      <c r="A1475" t="s">
        <v>1501</v>
      </c>
      <c r="B1475">
        <v>0.999739202189716</v>
      </c>
      <c r="C1475">
        <v>0.901077044824542</v>
      </c>
      <c r="D1475">
        <v>1.01300841476701</v>
      </c>
      <c r="E1475">
        <v>0.912090561966912</v>
      </c>
      <c r="F1475">
        <v>0.996219274868253</v>
      </c>
      <c r="G1475">
        <v>0.831666584661492</v>
      </c>
      <c r="H1475">
        <v>0.716680874110355</v>
      </c>
      <c r="I1475">
        <v>0.588738772523754</v>
      </c>
      <c r="J1475">
        <v>0.406076095355127</v>
      </c>
      <c r="K1475">
        <v>0.08789355367142571</v>
      </c>
      <c r="L1475">
        <v>950.846723241827</v>
      </c>
      <c r="M1475">
        <v>15.5014694377503</v>
      </c>
      <c r="N1475">
        <v>61.339135308932</v>
      </c>
      <c r="O1475">
        <v>60.3455227305972</v>
      </c>
      <c r="P1475">
        <v>-0.064225333693834</v>
      </c>
      <c r="Q1475">
        <v>0</v>
      </c>
      <c r="R1475">
        <v>0.943712093261483</v>
      </c>
      <c r="S1475" t="s">
        <v>3668</v>
      </c>
      <c r="T1475" t="s">
        <v>4362</v>
      </c>
      <c r="U1475" t="s">
        <v>4362</v>
      </c>
      <c r="V1475" t="s">
        <v>4362</v>
      </c>
      <c r="W1475" t="s">
        <v>5833</v>
      </c>
      <c r="X1475">
        <v>8</v>
      </c>
      <c r="Y1475" t="s">
        <v>7996</v>
      </c>
      <c r="Z1475" t="s">
        <v>10163</v>
      </c>
      <c r="AA1475">
        <v>0.7961541012140125</v>
      </c>
      <c r="AB1475">
        <f>HYPERLINK("Melting_Curves/meltCurve_P36659_cbpA.pdf", "Melting_Curves/meltCurve_P36659_cbpA.pdf")</f>
        <v>0</v>
      </c>
    </row>
    <row r="1476" spans="1:28">
      <c r="A1476" t="s">
        <v>1502</v>
      </c>
      <c r="B1476">
        <v>0.999739202189716</v>
      </c>
      <c r="C1476">
        <v>1.02699476239763</v>
      </c>
      <c r="D1476">
        <v>0.653463151691283</v>
      </c>
      <c r="E1476">
        <v>0.669611124210402</v>
      </c>
      <c r="F1476">
        <v>0.504739610033235</v>
      </c>
      <c r="G1476">
        <v>0.427594697695886</v>
      </c>
      <c r="H1476">
        <v>0.397829568107343</v>
      </c>
      <c r="I1476">
        <v>0.329231899923736</v>
      </c>
      <c r="J1476">
        <v>0.327086055535351</v>
      </c>
      <c r="K1476">
        <v>0.259341279699777</v>
      </c>
      <c r="L1476">
        <v>515.8740212860311</v>
      </c>
      <c r="M1476">
        <v>11.0855889640967</v>
      </c>
      <c r="N1476">
        <v>50.3324228120998</v>
      </c>
      <c r="O1476">
        <v>45.0982110045132</v>
      </c>
      <c r="P1476">
        <v>-0.0440553367994829</v>
      </c>
      <c r="Q1476">
        <v>0.283333936501379</v>
      </c>
      <c r="R1476">
        <v>0.938251997427025</v>
      </c>
      <c r="S1476" t="s">
        <v>3669</v>
      </c>
      <c r="T1476" t="s">
        <v>4362</v>
      </c>
      <c r="U1476" t="s">
        <v>4362</v>
      </c>
      <c r="V1476" t="s">
        <v>4362</v>
      </c>
      <c r="W1476" t="s">
        <v>5834</v>
      </c>
      <c r="X1476">
        <v>3</v>
      </c>
      <c r="Y1476" t="s">
        <v>7997</v>
      </c>
      <c r="Z1476" t="s">
        <v>10164</v>
      </c>
      <c r="AA1476">
        <v>0.5384726538044028</v>
      </c>
      <c r="AB1476">
        <f>HYPERLINK("Melting_Curves/meltCurve_P36672_treB.pdf", "Melting_Curves/meltCurve_P36672_treB.pdf")</f>
        <v>0</v>
      </c>
    </row>
    <row r="1477" spans="1:28">
      <c r="A1477" t="s">
        <v>1503</v>
      </c>
      <c r="B1477">
        <v>0.999739202189716</v>
      </c>
      <c r="C1477">
        <v>0.921013223899794</v>
      </c>
      <c r="D1477">
        <v>1.00977027711776</v>
      </c>
      <c r="E1477">
        <v>0.430881356505339</v>
      </c>
      <c r="F1477">
        <v>0.296580867683703</v>
      </c>
      <c r="G1477">
        <v>0.205235186115859</v>
      </c>
      <c r="H1477">
        <v>0.112049301054283</v>
      </c>
      <c r="I1477">
        <v>0.07724739983998891</v>
      </c>
      <c r="J1477">
        <v>0.06824346880907441</v>
      </c>
      <c r="K1477">
        <v>0.0532721636278163</v>
      </c>
      <c r="L1477">
        <v>1162.97547552653</v>
      </c>
      <c r="M1477">
        <v>25.0816451284393</v>
      </c>
      <c r="N1477">
        <v>46.7931371210971</v>
      </c>
      <c r="O1477">
        <v>46.0758585245595</v>
      </c>
      <c r="P1477">
        <v>-0.122213047479642</v>
      </c>
      <c r="Q1477">
        <v>0.101973445158607</v>
      </c>
      <c r="R1477">
        <v>0.9704058914221531</v>
      </c>
      <c r="S1477" t="s">
        <v>3670</v>
      </c>
      <c r="T1477" t="s">
        <v>4362</v>
      </c>
      <c r="U1477" t="s">
        <v>4362</v>
      </c>
      <c r="V1477" t="s">
        <v>4362</v>
      </c>
      <c r="W1477" t="s">
        <v>5835</v>
      </c>
      <c r="X1477">
        <v>5</v>
      </c>
      <c r="Y1477" t="s">
        <v>7998</v>
      </c>
      <c r="Z1477" t="s">
        <v>10165</v>
      </c>
      <c r="AA1477">
        <v>0.389811275750003</v>
      </c>
      <c r="AB1477">
        <f>HYPERLINK("Melting_Curves/meltCurve_P36673_treR.pdf", "Melting_Curves/meltCurve_P36673_treR.pdf")</f>
        <v>0</v>
      </c>
    </row>
    <row r="1478" spans="1:28">
      <c r="A1478" t="s">
        <v>1504</v>
      </c>
      <c r="B1478">
        <v>0.999739202189716</v>
      </c>
      <c r="C1478">
        <v>0.810074650557683</v>
      </c>
      <c r="D1478">
        <v>0.635461972537318</v>
      </c>
      <c r="E1478">
        <v>0.577262314179936</v>
      </c>
      <c r="F1478">
        <v>0.453121780816703</v>
      </c>
      <c r="G1478">
        <v>0.299675063208214</v>
      </c>
      <c r="H1478">
        <v>0.191088343063251</v>
      </c>
      <c r="I1478">
        <v>0.146441200857305</v>
      </c>
      <c r="J1478">
        <v>0.135841748835024</v>
      </c>
      <c r="K1478">
        <v>0.125871180373148</v>
      </c>
      <c r="L1478">
        <v>391.105491177783</v>
      </c>
      <c r="M1478">
        <v>8.237484240182431</v>
      </c>
      <c r="N1478">
        <v>47.8414339427381</v>
      </c>
      <c r="O1478">
        <v>44.9271634466235</v>
      </c>
      <c r="P1478">
        <v>-0.0444955984429296</v>
      </c>
      <c r="Q1478">
        <v>0.0302686982559438</v>
      </c>
      <c r="R1478">
        <v>0.9798576167379081</v>
      </c>
      <c r="S1478" t="s">
        <v>3671</v>
      </c>
      <c r="T1478" t="s">
        <v>4362</v>
      </c>
      <c r="U1478" t="s">
        <v>4362</v>
      </c>
      <c r="V1478" t="s">
        <v>4362</v>
      </c>
      <c r="W1478" t="s">
        <v>5836</v>
      </c>
      <c r="X1478">
        <v>6</v>
      </c>
      <c r="Y1478" t="s">
        <v>7999</v>
      </c>
      <c r="Z1478" t="s">
        <v>10166</v>
      </c>
      <c r="AA1478">
        <v>0.420374667433028</v>
      </c>
      <c r="AB1478">
        <f>HYPERLINK("Melting_Curves/meltCurve_P36680_zapD.pdf", "Melting_Curves/meltCurve_P36680_zapD.pdf")</f>
        <v>0</v>
      </c>
    </row>
    <row r="1479" spans="1:28">
      <c r="A1479" t="s">
        <v>1505</v>
      </c>
      <c r="B1479">
        <v>0.999739202189716</v>
      </c>
      <c r="C1479">
        <v>1.18366508643681</v>
      </c>
      <c r="D1479">
        <v>0.858893102266616</v>
      </c>
      <c r="E1479">
        <v>0.35733494267392</v>
      </c>
      <c r="F1479">
        <v>0.16413882676144</v>
      </c>
      <c r="G1479">
        <v>0.108368067726444</v>
      </c>
      <c r="H1479">
        <v>0.08214646109513039</v>
      </c>
      <c r="I1479">
        <v>0.0682749226779632</v>
      </c>
      <c r="J1479">
        <v>0.0571179727795262</v>
      </c>
      <c r="K1479">
        <v>0.0547906571926673</v>
      </c>
      <c r="L1479">
        <v>1487.67751259811</v>
      </c>
      <c r="M1479">
        <v>32.7217514661573</v>
      </c>
      <c r="N1479">
        <v>45.7076281169498</v>
      </c>
      <c r="O1479">
        <v>45.2956857348567</v>
      </c>
      <c r="P1479">
        <v>-0.166175309650966</v>
      </c>
      <c r="Q1479">
        <v>0.079879344012399</v>
      </c>
      <c r="R1479">
        <v>0.9766169115797519</v>
      </c>
      <c r="S1479" t="s">
        <v>3672</v>
      </c>
      <c r="T1479" t="s">
        <v>4362</v>
      </c>
      <c r="U1479" t="s">
        <v>4362</v>
      </c>
      <c r="V1479" t="s">
        <v>4362</v>
      </c>
      <c r="W1479" t="s">
        <v>5837</v>
      </c>
      <c r="X1479">
        <v>35</v>
      </c>
      <c r="Y1479" t="s">
        <v>8000</v>
      </c>
      <c r="Z1479" t="s">
        <v>10167</v>
      </c>
      <c r="AA1479">
        <v>0.3438447009807459</v>
      </c>
      <c r="AB1479">
        <f>HYPERLINK("Melting_Curves/meltCurve_P36683_acnB.pdf", "Melting_Curves/meltCurve_P36683_acnB.pdf")</f>
        <v>0</v>
      </c>
    </row>
    <row r="1480" spans="1:28">
      <c r="A1480" t="s">
        <v>1506</v>
      </c>
      <c r="B1480">
        <v>0.999739202189716</v>
      </c>
      <c r="C1480">
        <v>1.07339873404099</v>
      </c>
      <c r="D1480">
        <v>1.30940483210015</v>
      </c>
      <c r="E1480">
        <v>1.01822349377497</v>
      </c>
      <c r="F1480">
        <v>0.838613663231</v>
      </c>
      <c r="G1480">
        <v>0.655541257202546</v>
      </c>
      <c r="H1480">
        <v>0.305758339531838</v>
      </c>
      <c r="I1480">
        <v>0.133209230052026</v>
      </c>
      <c r="J1480">
        <v>0.08625888791340761</v>
      </c>
      <c r="K1480">
        <v>0.06943637449926229</v>
      </c>
      <c r="L1480">
        <v>1218.81767898432</v>
      </c>
      <c r="M1480">
        <v>22.1943278866518</v>
      </c>
      <c r="N1480">
        <v>55.161749274684</v>
      </c>
      <c r="O1480">
        <v>54.4757345705076</v>
      </c>
      <c r="P1480">
        <v>-0.0970564081345073</v>
      </c>
      <c r="Q1480">
        <v>0.0471249796253303</v>
      </c>
      <c r="R1480">
        <v>0.944789628297357</v>
      </c>
      <c r="S1480" t="s">
        <v>3673</v>
      </c>
      <c r="T1480" t="s">
        <v>4362</v>
      </c>
      <c r="U1480" t="s">
        <v>4362</v>
      </c>
      <c r="V1480" t="s">
        <v>4362</v>
      </c>
      <c r="W1480" t="s">
        <v>5838</v>
      </c>
      <c r="X1480">
        <v>11</v>
      </c>
      <c r="Y1480" t="s">
        <v>8001</v>
      </c>
      <c r="Z1480" t="s">
        <v>10168</v>
      </c>
      <c r="AA1480">
        <v>0.6257724523449752</v>
      </c>
      <c r="AB1480">
        <f>HYPERLINK("Melting_Curves/meltCurve_P36767_rdgC.pdf", "Melting_Curves/meltCurve_P36767_rdgC.pdf")</f>
        <v>0</v>
      </c>
    </row>
    <row r="1481" spans="1:28">
      <c r="A1481" t="s">
        <v>1507</v>
      </c>
      <c r="B1481">
        <v>0.999739202189716</v>
      </c>
      <c r="C1481">
        <v>0.92193461598294</v>
      </c>
      <c r="D1481">
        <v>0.619892830855973</v>
      </c>
      <c r="E1481">
        <v>0.719262580552933</v>
      </c>
      <c r="F1481">
        <v>0.722715730559066</v>
      </c>
      <c r="G1481">
        <v>0.5121408969422681</v>
      </c>
      <c r="H1481">
        <v>0.422692912803635</v>
      </c>
      <c r="I1481">
        <v>0.33135643630664</v>
      </c>
      <c r="J1481">
        <v>0.233034915845434</v>
      </c>
      <c r="K1481">
        <v>0.15963343930366</v>
      </c>
      <c r="L1481">
        <v>329.960620349187</v>
      </c>
      <c r="M1481">
        <v>6.1563279949639</v>
      </c>
      <c r="N1481">
        <v>53.5969851834</v>
      </c>
      <c r="O1481">
        <v>48.7694250346808</v>
      </c>
      <c r="P1481">
        <v>-0.0316515545131344</v>
      </c>
      <c r="Q1481">
        <v>0</v>
      </c>
      <c r="R1481">
        <v>0.909162062968107</v>
      </c>
      <c r="S1481" t="s">
        <v>3674</v>
      </c>
      <c r="T1481" t="s">
        <v>4362</v>
      </c>
      <c r="U1481" t="s">
        <v>4362</v>
      </c>
      <c r="V1481" t="s">
        <v>4362</v>
      </c>
      <c r="W1481" t="s">
        <v>5839</v>
      </c>
      <c r="X1481">
        <v>4</v>
      </c>
      <c r="Y1481" t="s">
        <v>8002</v>
      </c>
      <c r="Z1481" t="s">
        <v>10169</v>
      </c>
      <c r="AA1481">
        <v>0.565167706356053</v>
      </c>
      <c r="AB1481">
        <f>HYPERLINK("Melting_Curves/meltCurve_P36771_lrhA.pdf", "Melting_Curves/meltCurve_P36771_lrhA.pdf")</f>
        <v>0</v>
      </c>
    </row>
    <row r="1482" spans="1:28">
      <c r="A1482" t="s">
        <v>1508</v>
      </c>
      <c r="B1482">
        <v>0.999739202189716</v>
      </c>
      <c r="C1482">
        <v>1.05195099361249</v>
      </c>
      <c r="D1482">
        <v>0.688791343385542</v>
      </c>
      <c r="E1482">
        <v>0.637022043766352</v>
      </c>
      <c r="F1482">
        <v>0.572393109070108</v>
      </c>
      <c r="G1482">
        <v>0.494067514092845</v>
      </c>
      <c r="H1482">
        <v>0.433012093491216</v>
      </c>
      <c r="I1482">
        <v>0.387983646457446</v>
      </c>
      <c r="J1482">
        <v>0.377699024718015</v>
      </c>
      <c r="K1482">
        <v>0.269726376653512</v>
      </c>
      <c r="L1482">
        <v>490.454904219319</v>
      </c>
      <c r="M1482">
        <v>10.4513430573165</v>
      </c>
      <c r="N1482">
        <v>51.9335458821643</v>
      </c>
      <c r="O1482">
        <v>45.3070052109038</v>
      </c>
      <c r="P1482">
        <v>-0.0393799603051573</v>
      </c>
      <c r="Q1482">
        <v>0.317425349440751</v>
      </c>
      <c r="R1482">
        <v>0.92264908308213</v>
      </c>
      <c r="S1482" t="s">
        <v>3675</v>
      </c>
      <c r="T1482" t="s">
        <v>4362</v>
      </c>
      <c r="U1482" t="s">
        <v>4362</v>
      </c>
      <c r="V1482" t="s">
        <v>4362</v>
      </c>
      <c r="W1482" t="s">
        <v>5840</v>
      </c>
      <c r="X1482">
        <v>1</v>
      </c>
      <c r="Y1482" t="s">
        <v>8003</v>
      </c>
      <c r="Z1482" t="s">
        <v>10170</v>
      </c>
      <c r="AA1482">
        <v>0.5710943456301627</v>
      </c>
      <c r="AB1482">
        <f>HYPERLINK("Melting_Curves/meltCurve_P36837_dtpB.pdf", "Melting_Curves/meltCurve_P36837_dtpB.pdf")</f>
        <v>0</v>
      </c>
    </row>
    <row r="1483" spans="1:28">
      <c r="A1483" t="s">
        <v>1509</v>
      </c>
      <c r="B1483">
        <v>0.999739202189716</v>
      </c>
      <c r="C1483">
        <v>1.17773295954025</v>
      </c>
      <c r="D1483">
        <v>0.840986321427333</v>
      </c>
      <c r="E1483">
        <v>0.8743614117963751</v>
      </c>
      <c r="F1483">
        <v>0.618132911619158</v>
      </c>
      <c r="G1483">
        <v>0.468242433403432</v>
      </c>
      <c r="H1483">
        <v>0.362959963707668</v>
      </c>
      <c r="I1483">
        <v>0.267999068240798</v>
      </c>
      <c r="J1483">
        <v>0.220683230163089</v>
      </c>
      <c r="K1483">
        <v>0.208109485675979</v>
      </c>
      <c r="L1483">
        <v>700.356632386613</v>
      </c>
      <c r="M1483">
        <v>13.6592630266792</v>
      </c>
      <c r="N1483">
        <v>53.0365031403774</v>
      </c>
      <c r="O1483">
        <v>50.211861072923</v>
      </c>
      <c r="P1483">
        <v>-0.0556058256613328</v>
      </c>
      <c r="Q1483">
        <v>0.182484373910903</v>
      </c>
      <c r="R1483">
        <v>0.9530747550566741</v>
      </c>
      <c r="S1483" t="s">
        <v>3676</v>
      </c>
      <c r="T1483" t="s">
        <v>4362</v>
      </c>
      <c r="U1483" t="s">
        <v>4362</v>
      </c>
      <c r="V1483" t="s">
        <v>4362</v>
      </c>
      <c r="W1483" t="s">
        <v>5841</v>
      </c>
      <c r="X1483">
        <v>3</v>
      </c>
      <c r="Y1483" t="s">
        <v>8004</v>
      </c>
      <c r="Z1483" t="s">
        <v>10171</v>
      </c>
      <c r="AA1483">
        <v>0.5896317458024554</v>
      </c>
      <c r="AB1483">
        <f>HYPERLINK("Melting_Curves/meltCurve_P36879_yadG.pdf", "Melting_Curves/meltCurve_P36879_yadG.pdf")</f>
        <v>0</v>
      </c>
    </row>
    <row r="1484" spans="1:28">
      <c r="A1484" t="s">
        <v>1510</v>
      </c>
      <c r="B1484">
        <v>0.999739202189716</v>
      </c>
      <c r="C1484">
        <v>0.9162668652067401</v>
      </c>
      <c r="D1484">
        <v>0.7950330963951</v>
      </c>
      <c r="E1484">
        <v>0.505056092732818</v>
      </c>
      <c r="F1484">
        <v>0.264330438039974</v>
      </c>
      <c r="G1484">
        <v>0.188292247385954</v>
      </c>
      <c r="H1484">
        <v>0.166057641044183</v>
      </c>
      <c r="I1484">
        <v>0.14161097928419</v>
      </c>
      <c r="J1484">
        <v>0.131329227733483</v>
      </c>
      <c r="K1484">
        <v>0.119788797153749</v>
      </c>
      <c r="L1484">
        <v>801.897729158096</v>
      </c>
      <c r="M1484">
        <v>17.5118288019068</v>
      </c>
      <c r="N1484">
        <v>46.5677677345202</v>
      </c>
      <c r="O1484">
        <v>45.2071518018444</v>
      </c>
      <c r="P1484">
        <v>-0.0845918428989427</v>
      </c>
      <c r="Q1484">
        <v>0.126545544099092</v>
      </c>
      <c r="R1484">
        <v>0.998739760999509</v>
      </c>
      <c r="S1484" t="s">
        <v>3677</v>
      </c>
      <c r="T1484" t="s">
        <v>4362</v>
      </c>
      <c r="U1484" t="s">
        <v>4362</v>
      </c>
      <c r="V1484" t="s">
        <v>4362</v>
      </c>
      <c r="W1484" t="s">
        <v>5842</v>
      </c>
      <c r="X1484">
        <v>5</v>
      </c>
      <c r="Y1484" t="s">
        <v>8005</v>
      </c>
      <c r="Z1484" t="s">
        <v>10172</v>
      </c>
      <c r="AA1484">
        <v>0.3974696012880148</v>
      </c>
      <c r="AB1484">
        <f>HYPERLINK("Melting_Curves/meltCurve_P36929_rsmB.pdf", "Melting_Curves/meltCurve_P36929_rsmB.pdf")</f>
        <v>0</v>
      </c>
    </row>
    <row r="1485" spans="1:28">
      <c r="A1485" t="s">
        <v>1511</v>
      </c>
      <c r="B1485">
        <v>0.999739202189716</v>
      </c>
      <c r="C1485">
        <v>0.934912886775411</v>
      </c>
      <c r="D1485">
        <v>0.943891703336633</v>
      </c>
      <c r="E1485">
        <v>0.676737475079682</v>
      </c>
      <c r="F1485">
        <v>0.566944441225442</v>
      </c>
      <c r="G1485">
        <v>0.364588130323178</v>
      </c>
      <c r="H1485">
        <v>0.291481175591978</v>
      </c>
      <c r="I1485">
        <v>0.236213210359766</v>
      </c>
      <c r="J1485">
        <v>0.194972508233969</v>
      </c>
      <c r="K1485">
        <v>0.165019323667717</v>
      </c>
      <c r="L1485">
        <v>608.450329197329</v>
      </c>
      <c r="M1485">
        <v>12.2819997545069</v>
      </c>
      <c r="N1485">
        <v>50.9757427107787</v>
      </c>
      <c r="O1485">
        <v>48.2816004246857</v>
      </c>
      <c r="P1485">
        <v>-0.054308876427306</v>
      </c>
      <c r="Q1485">
        <v>0.146216360962214</v>
      </c>
      <c r="R1485">
        <v>0.991401179186426</v>
      </c>
      <c r="S1485" t="s">
        <v>3678</v>
      </c>
      <c r="T1485" t="s">
        <v>4362</v>
      </c>
      <c r="U1485" t="s">
        <v>4362</v>
      </c>
      <c r="V1485" t="s">
        <v>4362</v>
      </c>
      <c r="W1485" t="s">
        <v>5843</v>
      </c>
      <c r="X1485">
        <v>19</v>
      </c>
      <c r="Y1485" t="s">
        <v>8006</v>
      </c>
      <c r="Z1485" t="s">
        <v>10173</v>
      </c>
      <c r="AA1485">
        <v>0.5269882693554796</v>
      </c>
      <c r="AB1485">
        <f>HYPERLINK("Melting_Curves/meltCurve_P36938_pgm.pdf", "Melting_Curves/meltCurve_P36938_pgm.pdf")</f>
        <v>0</v>
      </c>
    </row>
    <row r="1486" spans="1:28">
      <c r="A1486" t="s">
        <v>1512</v>
      </c>
      <c r="B1486">
        <v>0.999739202189716</v>
      </c>
      <c r="C1486">
        <v>0.9893940598526551</v>
      </c>
      <c r="D1486">
        <v>0.796332050420104</v>
      </c>
      <c r="E1486">
        <v>0.790506196420229</v>
      </c>
      <c r="F1486">
        <v>0.730214043998858</v>
      </c>
      <c r="G1486">
        <v>0.543583829116918</v>
      </c>
      <c r="H1486">
        <v>0.400827942564375</v>
      </c>
      <c r="I1486">
        <v>0.350073837071824</v>
      </c>
      <c r="J1486">
        <v>0.315685134094334</v>
      </c>
      <c r="K1486">
        <v>0.299092669969274</v>
      </c>
      <c r="L1486">
        <v>439.5306618689</v>
      </c>
      <c r="M1486">
        <v>8.33680542757007</v>
      </c>
      <c r="N1486">
        <v>55.2231314475755</v>
      </c>
      <c r="O1486">
        <v>49.9497165721177</v>
      </c>
      <c r="P1486">
        <v>-0.0351983259961949</v>
      </c>
      <c r="Q1486">
        <v>0.157257539650279</v>
      </c>
      <c r="R1486">
        <v>0.974313462891288</v>
      </c>
      <c r="S1486" t="s">
        <v>3679</v>
      </c>
      <c r="T1486" t="s">
        <v>4362</v>
      </c>
      <c r="U1486" t="s">
        <v>4362</v>
      </c>
      <c r="V1486" t="s">
        <v>4362</v>
      </c>
      <c r="W1486" t="s">
        <v>5844</v>
      </c>
      <c r="X1486">
        <v>6</v>
      </c>
      <c r="Y1486" t="s">
        <v>8007</v>
      </c>
      <c r="Z1486" t="s">
        <v>10174</v>
      </c>
      <c r="AA1486">
        <v>0.6190541097153255</v>
      </c>
      <c r="AB1486">
        <f>HYPERLINK("Melting_Curves/meltCurve_P36979_rlmN.pdf", "Melting_Curves/meltCurve_P36979_rlmN.pdf")</f>
        <v>0</v>
      </c>
    </row>
    <row r="1487" spans="1:28">
      <c r="A1487" t="s">
        <v>1513</v>
      </c>
      <c r="B1487">
        <v>0.999739202189716</v>
      </c>
      <c r="C1487">
        <v>0.945105035284559</v>
      </c>
      <c r="D1487">
        <v>0.904335309602543</v>
      </c>
      <c r="E1487">
        <v>0.793749742813492</v>
      </c>
      <c r="F1487">
        <v>0.469559437351809</v>
      </c>
      <c r="G1487">
        <v>0.234520222777403</v>
      </c>
      <c r="H1487">
        <v>0.213612721622714</v>
      </c>
      <c r="I1487">
        <v>0.147823847748391</v>
      </c>
      <c r="J1487">
        <v>0.138942854222137</v>
      </c>
      <c r="K1487">
        <v>0.126709199319874</v>
      </c>
      <c r="L1487">
        <v>921.3904168812199</v>
      </c>
      <c r="M1487">
        <v>18.7836976903314</v>
      </c>
      <c r="N1487">
        <v>49.8346682767849</v>
      </c>
      <c r="O1487">
        <v>48.50683880368</v>
      </c>
      <c r="P1487">
        <v>-0.0844560629823629</v>
      </c>
      <c r="Q1487">
        <v>0.127642309259101</v>
      </c>
      <c r="R1487">
        <v>0.99484579001963</v>
      </c>
      <c r="S1487" t="s">
        <v>3680</v>
      </c>
      <c r="T1487" t="s">
        <v>4362</v>
      </c>
      <c r="U1487" t="s">
        <v>4362</v>
      </c>
      <c r="V1487" t="s">
        <v>4362</v>
      </c>
      <c r="W1487" t="s">
        <v>5845</v>
      </c>
      <c r="X1487">
        <v>4</v>
      </c>
      <c r="Y1487" t="s">
        <v>8008</v>
      </c>
      <c r="Z1487" t="s">
        <v>10175</v>
      </c>
      <c r="AA1487">
        <v>0.4909822810862199</v>
      </c>
      <c r="AB1487">
        <f>HYPERLINK("Melting_Curves/meltCurve_P36999_rlmA.pdf", "Melting_Curves/meltCurve_P36999_rlmA.pdf")</f>
        <v>0</v>
      </c>
    </row>
    <row r="1488" spans="1:28">
      <c r="A1488" t="s">
        <v>1514</v>
      </c>
      <c r="B1488">
        <v>0.999739202189716</v>
      </c>
      <c r="C1488">
        <v>0.590444894273065</v>
      </c>
      <c r="D1488">
        <v>0.317490197402882</v>
      </c>
      <c r="E1488">
        <v>0.195128442415501</v>
      </c>
      <c r="F1488">
        <v>0.147554477420412</v>
      </c>
      <c r="G1488">
        <v>0.0898483866626766</v>
      </c>
      <c r="H1488">
        <v>0.0792826845998862</v>
      </c>
      <c r="I1488">
        <v>0.0623643697113479</v>
      </c>
      <c r="J1488">
        <v>0.0518621680779132</v>
      </c>
      <c r="K1488">
        <v>0.0471884653267002</v>
      </c>
      <c r="L1488">
        <v>860.552611426722</v>
      </c>
      <c r="M1488">
        <v>21.0945411691163</v>
      </c>
      <c r="N1488">
        <v>41.1423504365926</v>
      </c>
      <c r="O1488">
        <v>40.4337159246402</v>
      </c>
      <c r="P1488">
        <v>-0.119792294670946</v>
      </c>
      <c r="Q1488">
        <v>0.0815593464665266</v>
      </c>
      <c r="R1488">
        <v>0.977193084905138</v>
      </c>
      <c r="S1488" t="s">
        <v>3681</v>
      </c>
      <c r="T1488" t="s">
        <v>4362</v>
      </c>
      <c r="U1488" t="s">
        <v>4362</v>
      </c>
      <c r="V1488" t="s">
        <v>4362</v>
      </c>
      <c r="W1488" t="s">
        <v>5846</v>
      </c>
      <c r="X1488">
        <v>4</v>
      </c>
      <c r="Y1488" t="s">
        <v>8009</v>
      </c>
      <c r="Z1488" t="s">
        <v>10176</v>
      </c>
      <c r="AA1488">
        <v>0.2121183911760046</v>
      </c>
      <c r="AB1488">
        <f>HYPERLINK("Melting_Curves/meltCurve_P37005_lasT.pdf", "Melting_Curves/meltCurve_P37005_lasT.pdf")</f>
        <v>0</v>
      </c>
    </row>
    <row r="1489" spans="1:28">
      <c r="A1489" t="s">
        <v>1515</v>
      </c>
      <c r="B1489">
        <v>0.999739202189716</v>
      </c>
      <c r="C1489">
        <v>1.05370025303037</v>
      </c>
      <c r="D1489">
        <v>0.881097213465971</v>
      </c>
      <c r="E1489">
        <v>0.840719952931556</v>
      </c>
      <c r="F1489">
        <v>0.6090347093376141</v>
      </c>
      <c r="G1489">
        <v>0.334046236680605</v>
      </c>
      <c r="H1489">
        <v>0.174844572056607</v>
      </c>
      <c r="I1489">
        <v>0.167060521503554</v>
      </c>
      <c r="J1489">
        <v>0.190361472814882</v>
      </c>
      <c r="K1489">
        <v>0.132130154635644</v>
      </c>
      <c r="L1489">
        <v>912.373758748147</v>
      </c>
      <c r="M1489">
        <v>18.1000693118814</v>
      </c>
      <c r="N1489">
        <v>51.2661973689438</v>
      </c>
      <c r="O1489">
        <v>49.8039725782801</v>
      </c>
      <c r="P1489">
        <v>-0.0789760097817913</v>
      </c>
      <c r="Q1489">
        <v>0.130803289693563</v>
      </c>
      <c r="R1489">
        <v>0.9884766896728679</v>
      </c>
      <c r="S1489" t="s">
        <v>3682</v>
      </c>
      <c r="T1489" t="s">
        <v>4362</v>
      </c>
      <c r="U1489" t="s">
        <v>4362</v>
      </c>
      <c r="V1489" t="s">
        <v>4362</v>
      </c>
      <c r="W1489" t="s">
        <v>5847</v>
      </c>
      <c r="X1489">
        <v>2</v>
      </c>
      <c r="Y1489" t="s">
        <v>8010</v>
      </c>
      <c r="Z1489" t="s">
        <v>10177</v>
      </c>
      <c r="AA1489">
        <v>0.5327513108336255</v>
      </c>
      <c r="AB1489">
        <f>HYPERLINK("Melting_Curves/meltCurve_P37025_thpR.pdf", "Melting_Curves/meltCurve_P37025_thpR.pdf")</f>
        <v>0</v>
      </c>
    </row>
    <row r="1490" spans="1:28">
      <c r="A1490" t="s">
        <v>1516</v>
      </c>
      <c r="B1490">
        <v>0.999739202189716</v>
      </c>
      <c r="C1490">
        <v>1.2155571692771</v>
      </c>
      <c r="D1490">
        <v>0.868233218810904</v>
      </c>
      <c r="E1490">
        <v>1.17044972658633</v>
      </c>
      <c r="F1490">
        <v>0.7327080670423241</v>
      </c>
      <c r="G1490">
        <v>0.684861050943118</v>
      </c>
      <c r="H1490">
        <v>0.354852712081063</v>
      </c>
      <c r="I1490">
        <v>0.214671481897058</v>
      </c>
      <c r="J1490">
        <v>0.160442852227457</v>
      </c>
      <c r="K1490">
        <v>0.198107272845203</v>
      </c>
      <c r="L1490">
        <v>1088.89685888398</v>
      </c>
      <c r="M1490">
        <v>20.0126271579151</v>
      </c>
      <c r="N1490">
        <v>55.3516598072172</v>
      </c>
      <c r="O1490">
        <v>53.8759626619564</v>
      </c>
      <c r="P1490">
        <v>-0.07947445334194291</v>
      </c>
      <c r="Q1490">
        <v>0.144215815354945</v>
      </c>
      <c r="R1490">
        <v>0.914874937045389</v>
      </c>
      <c r="S1490" t="s">
        <v>3683</v>
      </c>
      <c r="T1490" t="s">
        <v>4362</v>
      </c>
      <c r="U1490" t="s">
        <v>4362</v>
      </c>
      <c r="V1490" t="s">
        <v>4362</v>
      </c>
      <c r="W1490" t="s">
        <v>5848</v>
      </c>
      <c r="X1490">
        <v>2</v>
      </c>
      <c r="Y1490" t="s">
        <v>8011</v>
      </c>
      <c r="Z1490" t="s">
        <v>10178</v>
      </c>
      <c r="AA1490">
        <v>0.6509770887953029</v>
      </c>
      <c r="AB1490">
        <f>HYPERLINK("Melting_Curves/meltCurve_P37028_btuF.pdf", "Melting_Curves/meltCurve_P37028_btuF.pdf")</f>
        <v>0</v>
      </c>
    </row>
    <row r="1491" spans="1:28">
      <c r="A1491" t="s">
        <v>1517</v>
      </c>
      <c r="B1491">
        <v>0.999739202189716</v>
      </c>
      <c r="C1491">
        <v>0.890789816566398</v>
      </c>
      <c r="D1491">
        <v>1.17311155800211</v>
      </c>
      <c r="E1491">
        <v>0.920525702492676</v>
      </c>
      <c r="F1491">
        <v>0.690266241863525</v>
      </c>
      <c r="G1491">
        <v>0.539653560099853</v>
      </c>
      <c r="H1491">
        <v>0.272235302118261</v>
      </c>
      <c r="I1491">
        <v>0.0972633463618616</v>
      </c>
      <c r="J1491">
        <v>0.06458072086986689</v>
      </c>
      <c r="K1491">
        <v>0.0538609465454429</v>
      </c>
      <c r="L1491">
        <v>867.857500611166</v>
      </c>
      <c r="M1491">
        <v>16.148428834751</v>
      </c>
      <c r="N1491">
        <v>53.7425350298942</v>
      </c>
      <c r="O1491">
        <v>52.9386467870201</v>
      </c>
      <c r="P1491">
        <v>-0.0762658816408025</v>
      </c>
      <c r="Q1491">
        <v>0</v>
      </c>
      <c r="R1491">
        <v>0.966041951679297</v>
      </c>
      <c r="S1491" t="s">
        <v>3684</v>
      </c>
      <c r="T1491" t="s">
        <v>4362</v>
      </c>
      <c r="U1491" t="s">
        <v>4362</v>
      </c>
      <c r="V1491" t="s">
        <v>4362</v>
      </c>
      <c r="W1491" t="s">
        <v>5849</v>
      </c>
      <c r="X1491">
        <v>9</v>
      </c>
      <c r="Y1491" t="s">
        <v>8012</v>
      </c>
      <c r="Z1491" t="s">
        <v>10179</v>
      </c>
      <c r="AA1491">
        <v>0.5737162435735047</v>
      </c>
      <c r="AB1491">
        <f>HYPERLINK("Melting_Curves/meltCurve_P37051_purU.pdf", "Melting_Curves/meltCurve_P37051_purU.pdf")</f>
        <v>0</v>
      </c>
    </row>
    <row r="1492" spans="1:28">
      <c r="A1492" t="s">
        <v>1518</v>
      </c>
      <c r="B1492">
        <v>0.999739202189716</v>
      </c>
      <c r="C1492">
        <v>1.04246320111497</v>
      </c>
      <c r="D1492">
        <v>1.13848160490952</v>
      </c>
      <c r="E1492">
        <v>0.920515312638288</v>
      </c>
      <c r="F1492">
        <v>0.798130220331559</v>
      </c>
      <c r="G1492">
        <v>0.467816416561329</v>
      </c>
      <c r="H1492">
        <v>0.335957080288959</v>
      </c>
      <c r="I1492">
        <v>0.230456633979847</v>
      </c>
      <c r="J1492">
        <v>0.242087689362129</v>
      </c>
      <c r="K1492">
        <v>0.266291907672191</v>
      </c>
      <c r="L1492">
        <v>1300.17774149485</v>
      </c>
      <c r="M1492">
        <v>24.9605002788573</v>
      </c>
      <c r="N1492">
        <v>53.5124294113778</v>
      </c>
      <c r="O1492">
        <v>51.7585186692781</v>
      </c>
      <c r="P1492">
        <v>-0.0913219209143914</v>
      </c>
      <c r="Q1492">
        <v>0.242543506570079</v>
      </c>
      <c r="R1492">
        <v>0.978767599532719</v>
      </c>
      <c r="S1492" t="s">
        <v>3685</v>
      </c>
      <c r="T1492" t="s">
        <v>4362</v>
      </c>
      <c r="U1492" t="s">
        <v>4362</v>
      </c>
      <c r="V1492" t="s">
        <v>4362</v>
      </c>
      <c r="W1492" t="s">
        <v>5850</v>
      </c>
      <c r="X1492">
        <v>4</v>
      </c>
      <c r="Y1492" t="s">
        <v>8013</v>
      </c>
      <c r="Z1492" t="s">
        <v>10180</v>
      </c>
      <c r="AA1492">
        <v>0.6302593117742181</v>
      </c>
      <c r="AB1492">
        <f>HYPERLINK("Melting_Curves/meltCurve_P37052_ychJ.pdf", "Melting_Curves/meltCurve_P37052_ychJ.pdf")</f>
        <v>0</v>
      </c>
    </row>
    <row r="1493" spans="1:28">
      <c r="A1493" t="s">
        <v>1519</v>
      </c>
      <c r="B1493">
        <v>0.999739202189716</v>
      </c>
      <c r="C1493">
        <v>0.944598806356949</v>
      </c>
      <c r="D1493">
        <v>0.984079581104721</v>
      </c>
      <c r="E1493">
        <v>0.444481491589225</v>
      </c>
      <c r="F1493">
        <v>0.254298969297138</v>
      </c>
      <c r="G1493">
        <v>0.14213850102918</v>
      </c>
      <c r="H1493">
        <v>0.108423963492988</v>
      </c>
      <c r="I1493">
        <v>0.0860406070767292</v>
      </c>
      <c r="J1493">
        <v>0.0783147802778081</v>
      </c>
      <c r="K1493">
        <v>0.0691476242154712</v>
      </c>
      <c r="L1493">
        <v>1376.81517959787</v>
      </c>
      <c r="M1493">
        <v>29.8026587994194</v>
      </c>
      <c r="N1493">
        <v>46.5576346499231</v>
      </c>
      <c r="O1493">
        <v>45.9912268044673</v>
      </c>
      <c r="P1493">
        <v>-0.145334674677207</v>
      </c>
      <c r="Q1493">
        <v>0.102888731195096</v>
      </c>
      <c r="R1493">
        <v>0.987638661356372</v>
      </c>
      <c r="S1493" t="s">
        <v>3686</v>
      </c>
      <c r="T1493" t="s">
        <v>4362</v>
      </c>
      <c r="U1493" t="s">
        <v>4362</v>
      </c>
      <c r="V1493" t="s">
        <v>4362</v>
      </c>
      <c r="W1493" t="s">
        <v>5851</v>
      </c>
      <c r="X1493">
        <v>17</v>
      </c>
      <c r="Y1493" t="s">
        <v>8014</v>
      </c>
      <c r="Z1493" t="s">
        <v>10181</v>
      </c>
      <c r="AA1493">
        <v>0.3831412533288083</v>
      </c>
      <c r="AB1493">
        <f>HYPERLINK("Melting_Curves/meltCurve_P37095_pepB.pdf", "Melting_Curves/meltCurve_P37095_pepB.pdf")</f>
        <v>0</v>
      </c>
    </row>
    <row r="1494" spans="1:28">
      <c r="A1494" t="s">
        <v>1520</v>
      </c>
      <c r="B1494">
        <v>0.999739202189716</v>
      </c>
      <c r="C1494">
        <v>1.00941570599043</v>
      </c>
      <c r="D1494">
        <v>0.681171339727399</v>
      </c>
      <c r="E1494">
        <v>0.461157524062735</v>
      </c>
      <c r="F1494">
        <v>0.5431303332677661</v>
      </c>
      <c r="G1494">
        <v>0.203671939297347</v>
      </c>
      <c r="H1494">
        <v>0.292716737974499</v>
      </c>
      <c r="I1494">
        <v>0.246569049977552</v>
      </c>
      <c r="J1494">
        <v>0.447771179542009</v>
      </c>
      <c r="K1494">
        <v>0.30332645400564</v>
      </c>
      <c r="L1494">
        <v>902.7807862223131</v>
      </c>
      <c r="M1494">
        <v>20.5416457078624</v>
      </c>
      <c r="N1494">
        <v>46.2641417582429</v>
      </c>
      <c r="O1494">
        <v>43.5386531070468</v>
      </c>
      <c r="P1494">
        <v>-0.08007400827715</v>
      </c>
      <c r="Q1494">
        <v>0.321142534182965</v>
      </c>
      <c r="R1494">
        <v>0.895159454785675</v>
      </c>
      <c r="S1494" t="s">
        <v>3687</v>
      </c>
      <c r="T1494" t="s">
        <v>4362</v>
      </c>
      <c r="U1494" t="s">
        <v>4362</v>
      </c>
      <c r="V1494" t="s">
        <v>4362</v>
      </c>
      <c r="W1494" t="s">
        <v>5852</v>
      </c>
      <c r="X1494">
        <v>4</v>
      </c>
      <c r="Y1494" t="s">
        <v>8015</v>
      </c>
      <c r="Z1494" t="s">
        <v>10182</v>
      </c>
      <c r="AA1494">
        <v>0.4869631915574148</v>
      </c>
      <c r="AB1494">
        <f>HYPERLINK("Melting_Curves/meltCurve_P37128_nudK.pdf", "Melting_Curves/meltCurve_P37128_nudK.pdf")</f>
        <v>0</v>
      </c>
    </row>
    <row r="1495" spans="1:28">
      <c r="A1495" t="s">
        <v>1521</v>
      </c>
      <c r="B1495">
        <v>0.999739202189716</v>
      </c>
      <c r="C1495">
        <v>0.851343050274637</v>
      </c>
      <c r="D1495">
        <v>1.25239789280222</v>
      </c>
      <c r="E1495">
        <v>0.982980169074546</v>
      </c>
      <c r="F1495">
        <v>1.12139132649467</v>
      </c>
      <c r="G1495">
        <v>0.903346235100976</v>
      </c>
      <c r="H1495">
        <v>0.920657362651378</v>
      </c>
      <c r="I1495">
        <v>0.86184072453782</v>
      </c>
      <c r="J1495">
        <v>0.806664826575478</v>
      </c>
      <c r="K1495">
        <v>0.445216611679934</v>
      </c>
      <c r="L1495">
        <v>1642.94849143778</v>
      </c>
      <c r="M1495">
        <v>24.6054794053842</v>
      </c>
      <c r="N1495">
        <v>66.77164768272721</v>
      </c>
      <c r="O1495">
        <v>66.3352973681157</v>
      </c>
      <c r="P1495">
        <v>-0.0927328032385783</v>
      </c>
      <c r="Q1495">
        <v>0</v>
      </c>
      <c r="R1495">
        <v>0.70051099486508</v>
      </c>
      <c r="S1495" t="s">
        <v>3688</v>
      </c>
      <c r="T1495" t="s">
        <v>4362</v>
      </c>
      <c r="U1495" t="s">
        <v>4362</v>
      </c>
      <c r="V1495" t="s">
        <v>4362</v>
      </c>
      <c r="W1495" t="s">
        <v>5853</v>
      </c>
      <c r="X1495">
        <v>3</v>
      </c>
      <c r="Y1495" t="s">
        <v>8016</v>
      </c>
      <c r="Z1495" t="s">
        <v>10183</v>
      </c>
      <c r="AA1495">
        <v>0.9387685958899787</v>
      </c>
      <c r="AB1495">
        <f>HYPERLINK("Melting_Curves/meltCurve_P37147_fxsA.pdf", "Melting_Curves/meltCurve_P37147_fxsA.pdf")</f>
        <v>0</v>
      </c>
    </row>
    <row r="1496" spans="1:28">
      <c r="A1496" t="s">
        <v>1522</v>
      </c>
      <c r="B1496">
        <v>0.999739202189716</v>
      </c>
      <c r="C1496">
        <v>1.36591544166168</v>
      </c>
      <c r="D1496">
        <v>0.740800066798508</v>
      </c>
      <c r="E1496">
        <v>0.692921882130936</v>
      </c>
      <c r="F1496">
        <v>0.3394907229806</v>
      </c>
      <c r="G1496">
        <v>0.206872855126453</v>
      </c>
      <c r="H1496">
        <v>0.157089792266226</v>
      </c>
      <c r="I1496">
        <v>0.125412682289471</v>
      </c>
      <c r="J1496">
        <v>0.121017253119939</v>
      </c>
      <c r="K1496">
        <v>0.08712856600168981</v>
      </c>
      <c r="L1496">
        <v>939.727568587321</v>
      </c>
      <c r="M1496">
        <v>19.7070739840885</v>
      </c>
      <c r="N1496">
        <v>48.3001608498371</v>
      </c>
      <c r="O1496">
        <v>47.2019225435556</v>
      </c>
      <c r="P1496">
        <v>-0.092791801047304</v>
      </c>
      <c r="Q1496">
        <v>0.111019671006485</v>
      </c>
      <c r="R1496">
        <v>0.899682046416717</v>
      </c>
      <c r="S1496" t="s">
        <v>3689</v>
      </c>
      <c r="T1496" t="s">
        <v>4362</v>
      </c>
      <c r="U1496" t="s">
        <v>4362</v>
      </c>
      <c r="V1496" t="s">
        <v>4362</v>
      </c>
      <c r="W1496" t="s">
        <v>5854</v>
      </c>
      <c r="X1496">
        <v>2</v>
      </c>
      <c r="Y1496" t="s">
        <v>8017</v>
      </c>
      <c r="Z1496" t="s">
        <v>10184</v>
      </c>
      <c r="AA1496">
        <v>0.4396380039426501</v>
      </c>
      <c r="AB1496">
        <f>HYPERLINK("Melting_Curves/meltCurve_P37180_hybB.pdf", "Melting_Curves/meltCurve_P37180_hybB.pdf")</f>
        <v>0</v>
      </c>
    </row>
    <row r="1497" spans="1:28">
      <c r="A1497" t="s">
        <v>1523</v>
      </c>
      <c r="B1497">
        <v>0.999739202189716</v>
      </c>
      <c r="C1497">
        <v>0.922386543764371</v>
      </c>
      <c r="D1497">
        <v>0.881343333632732</v>
      </c>
      <c r="E1497">
        <v>0.9967541104954321</v>
      </c>
      <c r="F1497">
        <v>0.8175249698215949</v>
      </c>
      <c r="G1497">
        <v>0.597040882122444</v>
      </c>
      <c r="H1497">
        <v>0.39791726664603</v>
      </c>
      <c r="I1497">
        <v>0.30731186683557</v>
      </c>
      <c r="J1497">
        <v>0.216073957013525</v>
      </c>
      <c r="K1497">
        <v>0.211890342449293</v>
      </c>
      <c r="L1497">
        <v>882.0934906995039</v>
      </c>
      <c r="M1497">
        <v>16.3124682952985</v>
      </c>
      <c r="N1497">
        <v>55.5270933874017</v>
      </c>
      <c r="O1497">
        <v>53.2817370453916</v>
      </c>
      <c r="P1497">
        <v>-0.0632520491547707</v>
      </c>
      <c r="Q1497">
        <v>0.173654405841745</v>
      </c>
      <c r="R1497">
        <v>0.978471648068193</v>
      </c>
      <c r="S1497" t="s">
        <v>3690</v>
      </c>
      <c r="T1497" t="s">
        <v>4362</v>
      </c>
      <c r="U1497" t="s">
        <v>4362</v>
      </c>
      <c r="V1497" t="s">
        <v>4362</v>
      </c>
      <c r="W1497" t="s">
        <v>5855</v>
      </c>
      <c r="X1497">
        <v>5</v>
      </c>
      <c r="Y1497" t="s">
        <v>8018</v>
      </c>
      <c r="Z1497" t="s">
        <v>10185</v>
      </c>
      <c r="AA1497">
        <v>0.6563940947095422</v>
      </c>
      <c r="AB1497">
        <f>HYPERLINK("Melting_Curves/meltCurve_P37182_hybD.pdf", "Melting_Curves/meltCurve_P37182_hybD.pdf")</f>
        <v>0</v>
      </c>
    </row>
    <row r="1498" spans="1:28">
      <c r="A1498" t="s">
        <v>1524</v>
      </c>
      <c r="B1498">
        <v>0.999739202189716</v>
      </c>
      <c r="C1498">
        <v>1.06582987480589</v>
      </c>
      <c r="D1498">
        <v>0.647486235422865</v>
      </c>
      <c r="E1498">
        <v>1.09891154589322</v>
      </c>
      <c r="F1498">
        <v>0.8059159273009801</v>
      </c>
      <c r="G1498">
        <v>0.682705380583213</v>
      </c>
      <c r="H1498">
        <v>0.539327151014404</v>
      </c>
      <c r="I1498">
        <v>0.334952591960674</v>
      </c>
      <c r="J1498">
        <v>0.303103321218756</v>
      </c>
      <c r="K1498">
        <v>0.283755675679037</v>
      </c>
      <c r="L1498">
        <v>694.5518066897559</v>
      </c>
      <c r="M1498">
        <v>12.4387987659511</v>
      </c>
      <c r="N1498">
        <v>57.7162557721979</v>
      </c>
      <c r="O1498">
        <v>54.4532555533995</v>
      </c>
      <c r="P1498">
        <v>-0.0476105477900607</v>
      </c>
      <c r="Q1498">
        <v>0.166477160140933</v>
      </c>
      <c r="R1498">
        <v>0.833111899830986</v>
      </c>
      <c r="S1498" t="s">
        <v>3691</v>
      </c>
      <c r="T1498" t="s">
        <v>4362</v>
      </c>
      <c r="U1498" t="s">
        <v>4362</v>
      </c>
      <c r="V1498" t="s">
        <v>4362</v>
      </c>
      <c r="W1498" t="s">
        <v>5856</v>
      </c>
      <c r="X1498">
        <v>4</v>
      </c>
      <c r="Y1498" t="s">
        <v>8019</v>
      </c>
      <c r="Z1498" t="s">
        <v>10186</v>
      </c>
      <c r="AA1498">
        <v>0.699007726722317</v>
      </c>
      <c r="AB1498">
        <f>HYPERLINK("Melting_Curves/meltCurve_P37188_gatB.pdf", "Melting_Curves/meltCurve_P37188_gatB.pdf")</f>
        <v>0</v>
      </c>
    </row>
    <row r="1499" spans="1:28">
      <c r="A1499" t="s">
        <v>1525</v>
      </c>
      <c r="B1499">
        <v>0.999739202189716</v>
      </c>
      <c r="C1499">
        <v>0.698010039310494</v>
      </c>
      <c r="D1499">
        <v>0.82544742209925</v>
      </c>
      <c r="E1499">
        <v>0.493583499112449</v>
      </c>
      <c r="F1499">
        <v>0.250514669914801</v>
      </c>
      <c r="G1499">
        <v>0.107334486876007</v>
      </c>
      <c r="H1499">
        <v>0.0903852980611947</v>
      </c>
      <c r="I1499">
        <v>0.0803916716113796</v>
      </c>
      <c r="J1499">
        <v>0.090030060178629</v>
      </c>
      <c r="K1499">
        <v>0.0747453213427154</v>
      </c>
      <c r="L1499">
        <v>593.405669227302</v>
      </c>
      <c r="M1499">
        <v>12.9333372098241</v>
      </c>
      <c r="N1499">
        <v>46.1577967788653</v>
      </c>
      <c r="O1499">
        <v>44.8265125620052</v>
      </c>
      <c r="P1499">
        <v>-0.06945920310846861</v>
      </c>
      <c r="Q1499">
        <v>0.0372007873956341</v>
      </c>
      <c r="R1499">
        <v>0.954071448094959</v>
      </c>
      <c r="S1499" t="s">
        <v>3692</v>
      </c>
      <c r="T1499" t="s">
        <v>4362</v>
      </c>
      <c r="U1499" t="s">
        <v>4362</v>
      </c>
      <c r="V1499" t="s">
        <v>4362</v>
      </c>
      <c r="W1499" t="s">
        <v>5857</v>
      </c>
      <c r="X1499">
        <v>3</v>
      </c>
      <c r="Y1499" t="s">
        <v>8020</v>
      </c>
      <c r="Z1499" t="s">
        <v>10187</v>
      </c>
      <c r="AA1499">
        <v>0.3515524837872377</v>
      </c>
      <c r="AB1499">
        <f>HYPERLINK("Melting_Curves/meltCurve_P37194_slp.pdf", "Melting_Curves/meltCurve_P37194_slp.pdf")</f>
        <v>0</v>
      </c>
    </row>
    <row r="1500" spans="1:28">
      <c r="A1500" t="s">
        <v>1526</v>
      </c>
      <c r="B1500">
        <v>0.999739202189716</v>
      </c>
      <c r="C1500">
        <v>0.759849501785411</v>
      </c>
      <c r="D1500">
        <v>0.5336614446615781</v>
      </c>
      <c r="E1500">
        <v>0.36264279329973</v>
      </c>
      <c r="F1500">
        <v>0.244340782504179</v>
      </c>
      <c r="G1500">
        <v>0.169499242259876</v>
      </c>
      <c r="H1500">
        <v>0.13441283703727</v>
      </c>
      <c r="I1500">
        <v>0.0922250216121024</v>
      </c>
      <c r="J1500">
        <v>0.0622912037220298</v>
      </c>
      <c r="K1500">
        <v>0.0485195840767412</v>
      </c>
      <c r="L1500">
        <v>548.4575848038299</v>
      </c>
      <c r="M1500">
        <v>12.5694869110141</v>
      </c>
      <c r="N1500">
        <v>44.1443314895747</v>
      </c>
      <c r="O1500">
        <v>42.5737924917188</v>
      </c>
      <c r="P1500">
        <v>-0.0688330484649006</v>
      </c>
      <c r="Q1500">
        <v>0.0676170295448001</v>
      </c>
      <c r="R1500">
        <v>0.986105871152296</v>
      </c>
      <c r="S1500" t="s">
        <v>3693</v>
      </c>
      <c r="T1500" t="s">
        <v>4362</v>
      </c>
      <c r="U1500" t="s">
        <v>4362</v>
      </c>
      <c r="V1500" t="s">
        <v>4362</v>
      </c>
      <c r="W1500" t="s">
        <v>5858</v>
      </c>
      <c r="X1500">
        <v>1</v>
      </c>
      <c r="Y1500" t="s">
        <v>8021</v>
      </c>
      <c r="Z1500" t="s">
        <v>10188</v>
      </c>
      <c r="AA1500">
        <v>0.3076069739052282</v>
      </c>
      <c r="AB1500">
        <f>HYPERLINK("Melting_Curves/meltCurve_P37195_dctR.pdf", "Melting_Curves/meltCurve_P37195_dctR.pdf")</f>
        <v>0</v>
      </c>
    </row>
    <row r="1501" spans="1:28">
      <c r="A1501" t="s">
        <v>1527</v>
      </c>
      <c r="B1501">
        <v>0.999739202189716</v>
      </c>
      <c r="C1501">
        <v>0.998483891545722</v>
      </c>
      <c r="D1501">
        <v>0.585324409686295</v>
      </c>
      <c r="E1501">
        <v>0.209068723091031</v>
      </c>
      <c r="F1501">
        <v>0.107155271817345</v>
      </c>
      <c r="G1501">
        <v>0.0623372075815371</v>
      </c>
      <c r="H1501">
        <v>0.0559913231423597</v>
      </c>
      <c r="I1501">
        <v>0.0423400750785874</v>
      </c>
      <c r="J1501">
        <v>0.0363731013987276</v>
      </c>
      <c r="K1501">
        <v>0.0336901122744327</v>
      </c>
      <c r="L1501">
        <v>1226.55333151206</v>
      </c>
      <c r="M1501">
        <v>28.1371095865053</v>
      </c>
      <c r="N1501">
        <v>43.767401136303</v>
      </c>
      <c r="O1501">
        <v>43.3736065480153</v>
      </c>
      <c r="P1501">
        <v>-0.153533755998157</v>
      </c>
      <c r="Q1501">
        <v>0.053313309669138</v>
      </c>
      <c r="R1501">
        <v>0.994772990871109</v>
      </c>
      <c r="S1501" t="s">
        <v>3694</v>
      </c>
      <c r="T1501" t="s">
        <v>4362</v>
      </c>
      <c r="U1501" t="s">
        <v>4362</v>
      </c>
      <c r="V1501" t="s">
        <v>4362</v>
      </c>
      <c r="W1501" t="s">
        <v>5859</v>
      </c>
      <c r="X1501">
        <v>4</v>
      </c>
      <c r="Y1501" t="s">
        <v>8022</v>
      </c>
      <c r="Z1501" t="s">
        <v>10189</v>
      </c>
      <c r="AA1501">
        <v>0.2673661886661712</v>
      </c>
      <c r="AB1501">
        <f>HYPERLINK("Melting_Curves/meltCurve_P37197_yhjA.pdf", "Melting_Curves/meltCurve_P37197_yhjA.pdf")</f>
        <v>0</v>
      </c>
    </row>
    <row r="1502" spans="1:28">
      <c r="A1502" t="s">
        <v>1528</v>
      </c>
      <c r="B1502">
        <v>0.999739202189716</v>
      </c>
      <c r="C1502">
        <v>0.6977567181844609</v>
      </c>
      <c r="D1502">
        <v>0.501384227199987</v>
      </c>
      <c r="E1502">
        <v>0.181117073008116</v>
      </c>
      <c r="F1502">
        <v>0.115378613097487</v>
      </c>
      <c r="G1502">
        <v>0.0816791972234379</v>
      </c>
      <c r="H1502">
        <v>0.0641183091413076</v>
      </c>
      <c r="I1502">
        <v>0.0520188320535472</v>
      </c>
      <c r="J1502">
        <v>0.048223476900272</v>
      </c>
      <c r="K1502">
        <v>0.0406583972574288</v>
      </c>
      <c r="L1502">
        <v>747.320100688268</v>
      </c>
      <c r="M1502">
        <v>17.6484378510451</v>
      </c>
      <c r="N1502">
        <v>42.595535397601</v>
      </c>
      <c r="O1502">
        <v>41.8123805520329</v>
      </c>
      <c r="P1502">
        <v>-0.100321416902585</v>
      </c>
      <c r="Q1502">
        <v>0.049331508360483</v>
      </c>
      <c r="R1502">
        <v>0.989136399130878</v>
      </c>
      <c r="S1502" t="s">
        <v>3695</v>
      </c>
      <c r="T1502" t="s">
        <v>4362</v>
      </c>
      <c r="U1502" t="s">
        <v>4362</v>
      </c>
      <c r="V1502" t="s">
        <v>4362</v>
      </c>
      <c r="W1502" t="s">
        <v>5860</v>
      </c>
      <c r="X1502">
        <v>7</v>
      </c>
      <c r="Y1502" t="s">
        <v>8023</v>
      </c>
      <c r="Z1502" t="s">
        <v>10190</v>
      </c>
      <c r="AA1502">
        <v>0.2372046151264692</v>
      </c>
      <c r="AB1502">
        <f>HYPERLINK("Melting_Curves/meltCurve_P37313_dppF.pdf", "Melting_Curves/meltCurve_P37313_dppF.pdf")</f>
        <v>0</v>
      </c>
    </row>
    <row r="1503" spans="1:28">
      <c r="A1503" t="s">
        <v>1529</v>
      </c>
      <c r="B1503">
        <v>0.999739202189716</v>
      </c>
      <c r="C1503">
        <v>0.838949479618044</v>
      </c>
      <c r="D1503">
        <v>0.987559177155018</v>
      </c>
      <c r="E1503">
        <v>0.9421498165468301</v>
      </c>
      <c r="F1503">
        <v>1.08103317708175</v>
      </c>
      <c r="G1503">
        <v>0.997418007603863</v>
      </c>
      <c r="H1503">
        <v>1.10800468407511</v>
      </c>
      <c r="I1503">
        <v>1.41855100201081</v>
      </c>
      <c r="J1503">
        <v>0.773503782588229</v>
      </c>
      <c r="K1503">
        <v>0.434253439132707</v>
      </c>
      <c r="L1503">
        <v>15000</v>
      </c>
      <c r="M1503">
        <v>233.605188190947</v>
      </c>
      <c r="N1503">
        <v>64.77329428328819</v>
      </c>
      <c r="O1503">
        <v>64.2062058672816</v>
      </c>
      <c r="P1503">
        <v>-0.514629194683295</v>
      </c>
      <c r="Q1503">
        <v>0.434218332327829</v>
      </c>
      <c r="R1503">
        <v>0.61354569146163</v>
      </c>
      <c r="S1503" t="s">
        <v>3696</v>
      </c>
      <c r="T1503" t="s">
        <v>4362</v>
      </c>
      <c r="U1503" t="s">
        <v>4362</v>
      </c>
      <c r="V1503" t="s">
        <v>4362</v>
      </c>
      <c r="W1503" t="s">
        <v>5861</v>
      </c>
      <c r="X1503">
        <v>9</v>
      </c>
      <c r="Y1503" t="s">
        <v>8024</v>
      </c>
      <c r="Z1503" t="s">
        <v>10191</v>
      </c>
      <c r="AA1503">
        <v>0.9474720110545644</v>
      </c>
      <c r="AB1503">
        <f>HYPERLINK("Melting_Curves/meltCurve_P37325_ybcH.pdf", "Melting_Curves/meltCurve_P37325_ybcH.pdf")</f>
        <v>0</v>
      </c>
    </row>
    <row r="1504" spans="1:28">
      <c r="A1504" t="s">
        <v>1530</v>
      </c>
      <c r="B1504">
        <v>0.999739202189716</v>
      </c>
      <c r="C1504">
        <v>1.29200169304778</v>
      </c>
      <c r="D1504">
        <v>0.420423780324822</v>
      </c>
      <c r="E1504">
        <v>0.860955739341283</v>
      </c>
      <c r="F1504">
        <v>0.5541658428167709</v>
      </c>
      <c r="G1504">
        <v>0.43891708490471</v>
      </c>
      <c r="H1504">
        <v>0.273466176280288</v>
      </c>
      <c r="I1504">
        <v>0.123336033441467</v>
      </c>
      <c r="J1504">
        <v>0.111745845993393</v>
      </c>
      <c r="K1504">
        <v>0.0933867774741501</v>
      </c>
      <c r="L1504">
        <v>486.844573266543</v>
      </c>
      <c r="M1504">
        <v>9.49597322609128</v>
      </c>
      <c r="N1504">
        <v>51.2685282220083</v>
      </c>
      <c r="O1504">
        <v>49.149319274131</v>
      </c>
      <c r="P1504">
        <v>-0.048330267936266</v>
      </c>
      <c r="Q1504">
        <v>0</v>
      </c>
      <c r="R1504">
        <v>0.7732052748172999</v>
      </c>
      <c r="S1504" t="s">
        <v>3697</v>
      </c>
      <c r="T1504" t="s">
        <v>4362</v>
      </c>
      <c r="U1504" t="s">
        <v>4362</v>
      </c>
      <c r="V1504" t="s">
        <v>4362</v>
      </c>
      <c r="W1504" t="s">
        <v>5862</v>
      </c>
      <c r="X1504">
        <v>1</v>
      </c>
      <c r="Y1504" t="s">
        <v>8025</v>
      </c>
      <c r="Z1504" t="s">
        <v>10192</v>
      </c>
      <c r="AA1504">
        <v>0.5061044994225983</v>
      </c>
      <c r="AB1504">
        <f>HYPERLINK("Melting_Curves/meltCurve_P37327_yfdC.pdf", "Melting_Curves/meltCurve_P37327_yfdC.pdf")</f>
        <v>0</v>
      </c>
    </row>
    <row r="1505" spans="1:28">
      <c r="A1505" t="s">
        <v>1531</v>
      </c>
      <c r="B1505">
        <v>0.999739202189716</v>
      </c>
      <c r="C1505">
        <v>1.02777620094499</v>
      </c>
      <c r="D1505">
        <v>0.951740795127285</v>
      </c>
      <c r="E1505">
        <v>0.981578746638799</v>
      </c>
      <c r="F1505">
        <v>0.919705599030872</v>
      </c>
      <c r="G1505">
        <v>0.806982640223096</v>
      </c>
      <c r="H1505">
        <v>0.806144896577293</v>
      </c>
      <c r="I1505">
        <v>0.740514041792154</v>
      </c>
      <c r="J1505">
        <v>0.740675483092648</v>
      </c>
      <c r="K1505">
        <v>0.6167505110477191</v>
      </c>
      <c r="L1505">
        <v>437.768965099895</v>
      </c>
      <c r="M1505">
        <v>7.0828901250249</v>
      </c>
      <c r="O1505">
        <v>57.447168781616</v>
      </c>
      <c r="P1505">
        <v>-0.0169414175557131</v>
      </c>
      <c r="Q1505">
        <v>0.451347433211768</v>
      </c>
      <c r="R1505">
        <v>0.942949385359934</v>
      </c>
      <c r="S1505" t="s">
        <v>3698</v>
      </c>
      <c r="T1505" t="s">
        <v>4362</v>
      </c>
      <c r="U1505" t="s">
        <v>4362</v>
      </c>
      <c r="V1505" t="s">
        <v>4362</v>
      </c>
      <c r="W1505" t="s">
        <v>5863</v>
      </c>
      <c r="X1505">
        <v>19</v>
      </c>
      <c r="Y1505" t="s">
        <v>8026</v>
      </c>
      <c r="Z1505" t="s">
        <v>10193</v>
      </c>
      <c r="AA1505">
        <v>0.8616642160549095</v>
      </c>
      <c r="AB1505">
        <f>HYPERLINK("Melting_Curves/meltCurve_P37329_modA.pdf", "Melting_Curves/meltCurve_P37329_modA.pdf")</f>
        <v>0</v>
      </c>
    </row>
    <row r="1506" spans="1:28">
      <c r="A1506" t="s">
        <v>1532</v>
      </c>
      <c r="B1506">
        <v>0.999739202189716</v>
      </c>
      <c r="C1506">
        <v>1.04569277527363</v>
      </c>
      <c r="D1506">
        <v>1.14243623250663</v>
      </c>
      <c r="E1506">
        <v>1.06243842417868</v>
      </c>
      <c r="F1506">
        <v>0.304487289952861</v>
      </c>
      <c r="G1506">
        <v>0.14700526726423</v>
      </c>
      <c r="H1506">
        <v>0.0980559910871394</v>
      </c>
      <c r="I1506">
        <v>0.0761232149948655</v>
      </c>
      <c r="J1506">
        <v>0.0699885334578698</v>
      </c>
      <c r="K1506">
        <v>0.0597242294568641</v>
      </c>
      <c r="L1506">
        <v>12490.9027679903</v>
      </c>
      <c r="M1506">
        <v>250</v>
      </c>
      <c r="N1506">
        <v>50.0033977852539</v>
      </c>
      <c r="O1506">
        <v>49.9604352101649</v>
      </c>
      <c r="P1506">
        <v>-1.13817681890052</v>
      </c>
      <c r="Q1506">
        <v>0.0901794420774772</v>
      </c>
      <c r="R1506">
        <v>0.985598480645084</v>
      </c>
      <c r="S1506" t="s">
        <v>3699</v>
      </c>
      <c r="T1506" t="s">
        <v>4362</v>
      </c>
      <c r="U1506" t="s">
        <v>4362</v>
      </c>
      <c r="V1506" t="s">
        <v>4362</v>
      </c>
      <c r="W1506" t="s">
        <v>5864</v>
      </c>
      <c r="X1506">
        <v>27</v>
      </c>
      <c r="Y1506" t="s">
        <v>8027</v>
      </c>
      <c r="Z1506" t="s">
        <v>10194</v>
      </c>
      <c r="AA1506">
        <v>0.4834112152932198</v>
      </c>
      <c r="AB1506">
        <f>HYPERLINK("Melting_Curves/meltCurve_P37330_glcB.pdf", "Melting_Curves/meltCurve_P37330_glcB.pdf")</f>
        <v>0</v>
      </c>
    </row>
    <row r="1507" spans="1:28">
      <c r="A1507" t="s">
        <v>1533</v>
      </c>
      <c r="B1507">
        <v>0.999739202189716</v>
      </c>
      <c r="C1507">
        <v>1.02125945362806</v>
      </c>
      <c r="D1507">
        <v>0.9341526798124949</v>
      </c>
      <c r="E1507">
        <v>0.795537435299618</v>
      </c>
      <c r="F1507">
        <v>0.57298727749939</v>
      </c>
      <c r="G1507">
        <v>0.504646143077956</v>
      </c>
      <c r="H1507">
        <v>0.336046119329049</v>
      </c>
      <c r="I1507">
        <v>0.275373919089538</v>
      </c>
      <c r="J1507">
        <v>0.249050372868264</v>
      </c>
      <c r="K1507">
        <v>0.225468071781684</v>
      </c>
      <c r="L1507">
        <v>646.26950139401</v>
      </c>
      <c r="M1507">
        <v>12.7763138803408</v>
      </c>
      <c r="N1507">
        <v>52.6657104181977</v>
      </c>
      <c r="O1507">
        <v>49.3922442341112</v>
      </c>
      <c r="P1507">
        <v>-0.0518543733767227</v>
      </c>
      <c r="Q1507">
        <v>0.198291651904215</v>
      </c>
      <c r="R1507">
        <v>0.992309252339359</v>
      </c>
      <c r="S1507" t="s">
        <v>3700</v>
      </c>
      <c r="T1507" t="s">
        <v>4362</v>
      </c>
      <c r="U1507" t="s">
        <v>4362</v>
      </c>
      <c r="V1507" t="s">
        <v>4362</v>
      </c>
      <c r="W1507" t="s">
        <v>5865</v>
      </c>
      <c r="X1507">
        <v>9</v>
      </c>
      <c r="Y1507" t="s">
        <v>8028</v>
      </c>
      <c r="Z1507" t="s">
        <v>10195</v>
      </c>
      <c r="AA1507">
        <v>0.5813907300407057</v>
      </c>
      <c r="AB1507">
        <f>HYPERLINK("Melting_Curves/meltCurve_P37339_lhgO.pdf", "Melting_Curves/meltCurve_P37339_lhgO.pdf")</f>
        <v>0</v>
      </c>
    </row>
    <row r="1508" spans="1:28">
      <c r="A1508" t="s">
        <v>1534</v>
      </c>
      <c r="B1508">
        <v>0.999739202189716</v>
      </c>
      <c r="C1508">
        <v>1.02259890303039</v>
      </c>
      <c r="D1508">
        <v>0.410418033894037</v>
      </c>
      <c r="E1508">
        <v>0.330783586117299</v>
      </c>
      <c r="F1508">
        <v>0.225491510769602</v>
      </c>
      <c r="G1508">
        <v>0.151512620753136</v>
      </c>
      <c r="H1508">
        <v>0.127372270002166</v>
      </c>
      <c r="I1508">
        <v>0.104907571469739</v>
      </c>
      <c r="J1508">
        <v>0.09787770637924979</v>
      </c>
      <c r="K1508">
        <v>0.0819794392900246</v>
      </c>
      <c r="L1508">
        <v>2826.70273390515</v>
      </c>
      <c r="M1508">
        <v>66.56590542055601</v>
      </c>
      <c r="N1508">
        <v>42.7107188511344</v>
      </c>
      <c r="O1508">
        <v>42.4264465569484</v>
      </c>
      <c r="P1508">
        <v>-0.329787295581954</v>
      </c>
      <c r="Q1508">
        <v>0.159227284422399</v>
      </c>
      <c r="R1508">
        <v>0.959279153964496</v>
      </c>
      <c r="S1508" t="s">
        <v>3701</v>
      </c>
      <c r="T1508" t="s">
        <v>4362</v>
      </c>
      <c r="U1508" t="s">
        <v>4362</v>
      </c>
      <c r="V1508" t="s">
        <v>4362</v>
      </c>
      <c r="W1508" t="s">
        <v>5866</v>
      </c>
      <c r="X1508">
        <v>1</v>
      </c>
      <c r="Y1508" t="s">
        <v>8029</v>
      </c>
      <c r="Z1508" t="s">
        <v>10196</v>
      </c>
      <c r="AA1508">
        <v>0.3132673795397932</v>
      </c>
      <c r="AB1508">
        <f>HYPERLINK("Melting_Curves/meltCurve_P37340_mdtK.pdf", "Melting_Curves/meltCurve_P37340_mdtK.pdf")</f>
        <v>0</v>
      </c>
    </row>
    <row r="1509" spans="1:28">
      <c r="A1509" t="s">
        <v>1535</v>
      </c>
      <c r="B1509">
        <v>0.999739202189716</v>
      </c>
      <c r="C1509">
        <v>1.07346613591004</v>
      </c>
      <c r="D1509">
        <v>0.918984864862415</v>
      </c>
      <c r="E1509">
        <v>0.624033696516397</v>
      </c>
      <c r="F1509">
        <v>0.335099419705394</v>
      </c>
      <c r="G1509">
        <v>0.241477092042629</v>
      </c>
      <c r="H1509">
        <v>0.175371474361626</v>
      </c>
      <c r="I1509">
        <v>0.113489956643983</v>
      </c>
      <c r="J1509">
        <v>0.091243127383104</v>
      </c>
      <c r="K1509">
        <v>0.0733250028236839</v>
      </c>
      <c r="L1509">
        <v>920.684352472608</v>
      </c>
      <c r="M1509">
        <v>19.3196571387916</v>
      </c>
      <c r="N1509">
        <v>48.2491592409126</v>
      </c>
      <c r="O1509">
        <v>47.1535456445151</v>
      </c>
      <c r="P1509">
        <v>-0.0915945691353275</v>
      </c>
      <c r="Q1509">
        <v>0.105812803491459</v>
      </c>
      <c r="R1509">
        <v>0.989475298168676</v>
      </c>
      <c r="S1509" t="s">
        <v>3702</v>
      </c>
      <c r="T1509" t="s">
        <v>4362</v>
      </c>
      <c r="U1509" t="s">
        <v>4362</v>
      </c>
      <c r="V1509" t="s">
        <v>4362</v>
      </c>
      <c r="W1509" t="s">
        <v>5867</v>
      </c>
      <c r="X1509">
        <v>6</v>
      </c>
      <c r="Y1509" t="s">
        <v>8030</v>
      </c>
      <c r="Z1509" t="s">
        <v>10197</v>
      </c>
      <c r="AA1509">
        <v>0.4359410202838903</v>
      </c>
      <c r="AB1509">
        <f>HYPERLINK("Melting_Curves/meltCurve_P37342_yjjI.pdf", "Melting_Curves/meltCurve_P37342_yjjI.pdf")</f>
        <v>0</v>
      </c>
    </row>
    <row r="1510" spans="1:28">
      <c r="A1510" t="s">
        <v>1536</v>
      </c>
      <c r="B1510">
        <v>0.999739202189716</v>
      </c>
      <c r="C1510">
        <v>0.8525396246461</v>
      </c>
      <c r="D1510">
        <v>1.10806281013192</v>
      </c>
      <c r="E1510">
        <v>0.841307577838164</v>
      </c>
      <c r="F1510">
        <v>0.6902865115944939</v>
      </c>
      <c r="G1510">
        <v>0.344699945102281</v>
      </c>
      <c r="H1510">
        <v>0.130732626377256</v>
      </c>
      <c r="I1510">
        <v>0.0880212540011498</v>
      </c>
      <c r="J1510">
        <v>0.0584591679495346</v>
      </c>
      <c r="K1510">
        <v>0.0593911667560402</v>
      </c>
      <c r="L1510">
        <v>1049.72304039669</v>
      </c>
      <c r="M1510">
        <v>20.2887804048455</v>
      </c>
      <c r="N1510">
        <v>51.9528659538219</v>
      </c>
      <c r="O1510">
        <v>51.2443167693807</v>
      </c>
      <c r="P1510">
        <v>-0.09501966276130069</v>
      </c>
      <c r="Q1510">
        <v>0.0400471906711484</v>
      </c>
      <c r="R1510">
        <v>0.973953409978185</v>
      </c>
      <c r="S1510" t="s">
        <v>3703</v>
      </c>
      <c r="T1510" t="s">
        <v>4362</v>
      </c>
      <c r="U1510" t="s">
        <v>4362</v>
      </c>
      <c r="V1510" t="s">
        <v>4362</v>
      </c>
      <c r="W1510" t="s">
        <v>5868</v>
      </c>
      <c r="X1510">
        <v>7</v>
      </c>
      <c r="Y1510" t="s">
        <v>8031</v>
      </c>
      <c r="Z1510" t="s">
        <v>10198</v>
      </c>
      <c r="AA1510">
        <v>0.5238452511562116</v>
      </c>
      <c r="AB1510">
        <f>HYPERLINK("Melting_Curves/meltCurve_P37349_dhaM.pdf", "Melting_Curves/meltCurve_P37349_dhaM.pdf")</f>
        <v>0</v>
      </c>
    </row>
    <row r="1511" spans="1:28">
      <c r="A1511" t="s">
        <v>1537</v>
      </c>
      <c r="B1511">
        <v>0.999739202189716</v>
      </c>
      <c r="C1511">
        <v>0.861507592297482</v>
      </c>
      <c r="D1511">
        <v>0.856788866527617</v>
      </c>
      <c r="E1511">
        <v>0.855342124254529</v>
      </c>
      <c r="F1511">
        <v>0.789229478983354</v>
      </c>
      <c r="G1511">
        <v>0.610785595713681</v>
      </c>
      <c r="H1511">
        <v>0.474528454930746</v>
      </c>
      <c r="I1511">
        <v>0.283576204443715</v>
      </c>
      <c r="J1511">
        <v>0.183217561293223</v>
      </c>
      <c r="K1511">
        <v>0.103994866524028</v>
      </c>
      <c r="L1511">
        <v>561.254672568813</v>
      </c>
      <c r="M1511">
        <v>10.067427129961</v>
      </c>
      <c r="N1511">
        <v>55.7495516532007</v>
      </c>
      <c r="O1511">
        <v>53.6839279610438</v>
      </c>
      <c r="P1511">
        <v>-0.0469050975844989</v>
      </c>
      <c r="Q1511">
        <v>0</v>
      </c>
      <c r="R1511">
        <v>0.965936111468664</v>
      </c>
      <c r="S1511" t="s">
        <v>3704</v>
      </c>
      <c r="T1511" t="s">
        <v>4362</v>
      </c>
      <c r="U1511" t="s">
        <v>4362</v>
      </c>
      <c r="V1511" t="s">
        <v>4362</v>
      </c>
      <c r="W1511" t="s">
        <v>5869</v>
      </c>
      <c r="X1511">
        <v>5</v>
      </c>
      <c r="Y1511" t="s">
        <v>8032</v>
      </c>
      <c r="Z1511" t="s">
        <v>10199</v>
      </c>
      <c r="AA1511">
        <v>0.6328032220874069</v>
      </c>
      <c r="AB1511">
        <f>HYPERLINK("Melting_Curves/meltCurve_P37351_rpiB.pdf", "Melting_Curves/meltCurve_P37351_rpiB.pdf")</f>
        <v>0</v>
      </c>
    </row>
    <row r="1512" spans="1:28">
      <c r="A1512" t="s">
        <v>1538</v>
      </c>
      <c r="B1512">
        <v>0.999739202189716</v>
      </c>
      <c r="C1512">
        <v>1.04203517746757</v>
      </c>
      <c r="D1512">
        <v>0.772032278301137</v>
      </c>
      <c r="E1512">
        <v>0.414352866765237</v>
      </c>
      <c r="F1512">
        <v>0.252671982092673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894.533381620452</v>
      </c>
      <c r="M1512">
        <v>19.4153213411244</v>
      </c>
      <c r="N1512">
        <v>46.0735582459281</v>
      </c>
      <c r="O1512">
        <v>45.5931575334576</v>
      </c>
      <c r="P1512">
        <v>-0.106463531563573</v>
      </c>
      <c r="Q1512">
        <v>0</v>
      </c>
      <c r="R1512">
        <v>0.987814364258961</v>
      </c>
      <c r="S1512" t="s">
        <v>3705</v>
      </c>
      <c r="T1512" t="s">
        <v>4362</v>
      </c>
      <c r="U1512" t="s">
        <v>4362</v>
      </c>
      <c r="V1512" t="s">
        <v>4362</v>
      </c>
      <c r="W1512" t="s">
        <v>5870</v>
      </c>
      <c r="X1512">
        <v>2</v>
      </c>
      <c r="Y1512" t="s">
        <v>8033</v>
      </c>
      <c r="Z1512" t="s">
        <v>10200</v>
      </c>
      <c r="AA1512">
        <v>0.3163324773051203</v>
      </c>
      <c r="AB1512">
        <f>HYPERLINK("Melting_Curves/meltCurve_P37353_menE.pdf", "Melting_Curves/meltCurve_P37353_menE.pdf")</f>
        <v>0</v>
      </c>
    </row>
    <row r="1513" spans="1:28">
      <c r="A1513" t="s">
        <v>1539</v>
      </c>
      <c r="B1513">
        <v>0.999739202189716</v>
      </c>
      <c r="C1513">
        <v>0.896205960268058</v>
      </c>
      <c r="D1513">
        <v>1.03884320142912</v>
      </c>
      <c r="E1513">
        <v>0.934055036879377</v>
      </c>
      <c r="F1513">
        <v>1.04551266604322</v>
      </c>
      <c r="G1513">
        <v>0.853313626383458</v>
      </c>
      <c r="H1513">
        <v>0.8228541938181539</v>
      </c>
      <c r="I1513">
        <v>0.740733194800647</v>
      </c>
      <c r="J1513">
        <v>0.790413164925572</v>
      </c>
      <c r="K1513">
        <v>0.614096459830986</v>
      </c>
      <c r="L1513">
        <v>462.225857397446</v>
      </c>
      <c r="M1513">
        <v>6.59455565867229</v>
      </c>
      <c r="O1513">
        <v>64.4863821686874</v>
      </c>
      <c r="P1513">
        <v>-0.0211783803495244</v>
      </c>
      <c r="Q1513">
        <v>0.173514146775705</v>
      </c>
      <c r="R1513">
        <v>0.792463359948543</v>
      </c>
      <c r="S1513" t="s">
        <v>3706</v>
      </c>
      <c r="T1513" t="s">
        <v>4362</v>
      </c>
      <c r="U1513" t="s">
        <v>4362</v>
      </c>
      <c r="V1513" t="s">
        <v>4362</v>
      </c>
      <c r="W1513" t="s">
        <v>5871</v>
      </c>
      <c r="X1513">
        <v>16</v>
      </c>
      <c r="Y1513" t="s">
        <v>8034</v>
      </c>
      <c r="Z1513" t="s">
        <v>10201</v>
      </c>
      <c r="AA1513">
        <v>0.8867435235089618</v>
      </c>
      <c r="AB1513">
        <f>HYPERLINK("Melting_Curves/meltCurve_P37387_xylF.pdf", "Melting_Curves/meltCurve_P37387_xylF.pdf")</f>
        <v>0</v>
      </c>
    </row>
    <row r="1514" spans="1:28">
      <c r="A1514" t="s">
        <v>1540</v>
      </c>
      <c r="B1514">
        <v>0.999739202189716</v>
      </c>
      <c r="C1514">
        <v>0.8359855327863011</v>
      </c>
      <c r="D1514">
        <v>0.849756902615056</v>
      </c>
      <c r="E1514">
        <v>0.659449964825673</v>
      </c>
      <c r="F1514">
        <v>0.452391056081282</v>
      </c>
      <c r="G1514">
        <v>0.246622548756825</v>
      </c>
      <c r="H1514">
        <v>0.138963556381714</v>
      </c>
      <c r="I1514">
        <v>0.101390674705503</v>
      </c>
      <c r="J1514">
        <v>0.0908372711475266</v>
      </c>
      <c r="K1514">
        <v>0.0836383431115546</v>
      </c>
      <c r="L1514">
        <v>561.6305512384801</v>
      </c>
      <c r="M1514">
        <v>11.5128103143639</v>
      </c>
      <c r="N1514">
        <v>48.9609390029155</v>
      </c>
      <c r="O1514">
        <v>47.3808874367194</v>
      </c>
      <c r="P1514">
        <v>-0.0595189334371413</v>
      </c>
      <c r="Q1514">
        <v>0.0204778745545697</v>
      </c>
      <c r="R1514">
        <v>0.989124105101699</v>
      </c>
      <c r="S1514" t="s">
        <v>3707</v>
      </c>
      <c r="T1514" t="s">
        <v>4362</v>
      </c>
      <c r="U1514" t="s">
        <v>4362</v>
      </c>
      <c r="V1514" t="s">
        <v>4362</v>
      </c>
      <c r="W1514" t="s">
        <v>5872</v>
      </c>
      <c r="X1514">
        <v>7</v>
      </c>
      <c r="Y1514" t="s">
        <v>8035</v>
      </c>
      <c r="Z1514" t="s">
        <v>10202</v>
      </c>
      <c r="AA1514">
        <v>0.4363337339333668</v>
      </c>
      <c r="AB1514">
        <f>HYPERLINK("Melting_Curves/meltCurve_P37440_ucpA.pdf", "Melting_Curves/meltCurve_P37440_ucpA.pdf")</f>
        <v>0</v>
      </c>
    </row>
    <row r="1515" spans="1:28">
      <c r="A1515" t="s">
        <v>1541</v>
      </c>
      <c r="B1515">
        <v>0.999739202189716</v>
      </c>
      <c r="C1515">
        <v>1.10525962126042</v>
      </c>
      <c r="D1515">
        <v>0.725287336728343</v>
      </c>
      <c r="E1515">
        <v>1.1486446169641</v>
      </c>
      <c r="F1515">
        <v>0.825205771518228</v>
      </c>
      <c r="G1515">
        <v>0.724695661726354</v>
      </c>
      <c r="H1515">
        <v>0.601007500267853</v>
      </c>
      <c r="I1515">
        <v>0.440722295028524</v>
      </c>
      <c r="J1515">
        <v>0.358246349040182</v>
      </c>
      <c r="K1515">
        <v>0.43182643240884</v>
      </c>
      <c r="L1515">
        <v>935.178334666636</v>
      </c>
      <c r="M1515">
        <v>17.0730550232609</v>
      </c>
      <c r="N1515">
        <v>59.2211292927132</v>
      </c>
      <c r="O1515">
        <v>54.0401943221864</v>
      </c>
      <c r="P1515">
        <v>-0.0504554547476639</v>
      </c>
      <c r="Q1515">
        <v>0.361225768763462</v>
      </c>
      <c r="R1515">
        <v>0.826093825823807</v>
      </c>
      <c r="S1515" t="s">
        <v>3708</v>
      </c>
      <c r="T1515" t="s">
        <v>4362</v>
      </c>
      <c r="U1515" t="s">
        <v>4362</v>
      </c>
      <c r="V1515" t="s">
        <v>4362</v>
      </c>
      <c r="W1515" t="s">
        <v>5873</v>
      </c>
      <c r="X1515">
        <v>1</v>
      </c>
      <c r="Y1515" t="s">
        <v>8036</v>
      </c>
      <c r="Z1515" t="s">
        <v>10203</v>
      </c>
      <c r="AA1515">
        <v>0.7482965964469807</v>
      </c>
      <c r="AB1515">
        <f>HYPERLINK("Melting_Curves/meltCurve_P37590_pmrD.pdf", "Melting_Curves/meltCurve_P37590_pmrD.pdf")</f>
        <v>0</v>
      </c>
    </row>
    <row r="1516" spans="1:28">
      <c r="A1516" t="s">
        <v>1542</v>
      </c>
      <c r="B1516">
        <v>0.999739202189716</v>
      </c>
      <c r="C1516">
        <v>1.05219963318506</v>
      </c>
      <c r="D1516">
        <v>0.893692234488627</v>
      </c>
      <c r="E1516">
        <v>0.835170841566283</v>
      </c>
      <c r="F1516">
        <v>0.896225655198465</v>
      </c>
      <c r="G1516">
        <v>0.724150910572368</v>
      </c>
      <c r="H1516">
        <v>0.546351148716684</v>
      </c>
      <c r="I1516">
        <v>0.52595967494687</v>
      </c>
      <c r="J1516">
        <v>0.499028481348056</v>
      </c>
      <c r="K1516">
        <v>0.523737203594308</v>
      </c>
      <c r="L1516">
        <v>599.695207582984</v>
      </c>
      <c r="M1516">
        <v>11.2748296561075</v>
      </c>
      <c r="N1516">
        <v>64.93579146202021</v>
      </c>
      <c r="O1516">
        <v>51.5980134343074</v>
      </c>
      <c r="P1516">
        <v>-0.030876527539327</v>
      </c>
      <c r="Q1516">
        <v>0.434961366631129</v>
      </c>
      <c r="R1516">
        <v>0.932418145154431</v>
      </c>
      <c r="S1516" t="s">
        <v>3709</v>
      </c>
      <c r="T1516" t="s">
        <v>4362</v>
      </c>
      <c r="U1516" t="s">
        <v>4362</v>
      </c>
      <c r="V1516" t="s">
        <v>4362</v>
      </c>
      <c r="W1516" t="s">
        <v>5874</v>
      </c>
      <c r="X1516">
        <v>7</v>
      </c>
      <c r="Y1516" t="s">
        <v>8037</v>
      </c>
      <c r="Z1516" t="s">
        <v>10204</v>
      </c>
      <c r="AA1516">
        <v>0.751757748701636</v>
      </c>
      <c r="AB1516">
        <f>HYPERLINK("Melting_Curves/meltCurve_P37595_iaaA.pdf", "Melting_Curves/meltCurve_P37595_iaaA.pdf")</f>
        <v>0</v>
      </c>
    </row>
    <row r="1517" spans="1:28">
      <c r="A1517" t="s">
        <v>1543</v>
      </c>
      <c r="B1517">
        <v>0.999739202189716</v>
      </c>
      <c r="C1517">
        <v>1.00244393602633</v>
      </c>
      <c r="D1517">
        <v>0.845818747815106</v>
      </c>
      <c r="E1517">
        <v>0.926440751012031</v>
      </c>
      <c r="F1517">
        <v>0.6218989784158721</v>
      </c>
      <c r="G1517">
        <v>0.348492711278328</v>
      </c>
      <c r="H1517">
        <v>0.252990645853821</v>
      </c>
      <c r="I1517">
        <v>0.204298945949358</v>
      </c>
      <c r="J1517">
        <v>0.212535338057876</v>
      </c>
      <c r="K1517">
        <v>0.152569120865973</v>
      </c>
      <c r="L1517">
        <v>1016.92741792759</v>
      </c>
      <c r="M1517">
        <v>20.0810152741552</v>
      </c>
      <c r="N1517">
        <v>51.7396271083353</v>
      </c>
      <c r="O1517">
        <v>50.1470489563478</v>
      </c>
      <c r="P1517">
        <v>-0.0827397591518107</v>
      </c>
      <c r="Q1517">
        <v>0.173543385566939</v>
      </c>
      <c r="R1517">
        <v>0.98128179066231</v>
      </c>
      <c r="S1517" t="s">
        <v>3710</v>
      </c>
      <c r="T1517" t="s">
        <v>4362</v>
      </c>
      <c r="U1517" t="s">
        <v>4362</v>
      </c>
      <c r="V1517" t="s">
        <v>4362</v>
      </c>
      <c r="W1517" t="s">
        <v>5875</v>
      </c>
      <c r="X1517">
        <v>3</v>
      </c>
      <c r="Y1517" t="s">
        <v>8038</v>
      </c>
      <c r="Z1517" t="s">
        <v>10205</v>
      </c>
      <c r="AA1517">
        <v>0.5601168309656401</v>
      </c>
      <c r="AB1517">
        <f>HYPERLINK("Melting_Curves/meltCurve_P37613_panM.pdf", "Melting_Curves/meltCurve_P37613_panM.pdf")</f>
        <v>0</v>
      </c>
    </row>
    <row r="1518" spans="1:28">
      <c r="A1518" t="s">
        <v>1544</v>
      </c>
      <c r="B1518">
        <v>0.999739202189716</v>
      </c>
      <c r="C1518">
        <v>1.09796797051953</v>
      </c>
      <c r="D1518">
        <v>0.492704482400944</v>
      </c>
      <c r="E1518">
        <v>0.740263369297536</v>
      </c>
      <c r="F1518">
        <v>0.466492016716385</v>
      </c>
      <c r="G1518">
        <v>0.236059107359379</v>
      </c>
      <c r="H1518">
        <v>0.229376148455556</v>
      </c>
      <c r="I1518">
        <v>0.140557745126684</v>
      </c>
      <c r="J1518">
        <v>0.142115276925014</v>
      </c>
      <c r="K1518">
        <v>0.133992698184374</v>
      </c>
      <c r="L1518">
        <v>501.372342256657</v>
      </c>
      <c r="M1518">
        <v>10.4615977422063</v>
      </c>
      <c r="N1518">
        <v>48.6761781758256</v>
      </c>
      <c r="O1518">
        <v>46.2731635674753</v>
      </c>
      <c r="P1518">
        <v>-0.0523291257753392</v>
      </c>
      <c r="Q1518">
        <v>0.0745409388340412</v>
      </c>
      <c r="R1518">
        <v>0.873002064818881</v>
      </c>
      <c r="S1518" t="s">
        <v>3711</v>
      </c>
      <c r="T1518" t="s">
        <v>4362</v>
      </c>
      <c r="U1518" t="s">
        <v>4362</v>
      </c>
      <c r="V1518" t="s">
        <v>4362</v>
      </c>
      <c r="W1518" t="s">
        <v>5876</v>
      </c>
      <c r="X1518">
        <v>1</v>
      </c>
      <c r="Y1518" t="s">
        <v>8039</v>
      </c>
      <c r="Z1518" t="s">
        <v>10206</v>
      </c>
      <c r="AA1518">
        <v>0.4468052723481492</v>
      </c>
      <c r="AB1518">
        <f>HYPERLINK("Melting_Curves/meltCurve_P37614_yhhL.pdf", "Melting_Curves/meltCurve_P37614_yhhL.pdf")</f>
        <v>0</v>
      </c>
    </row>
    <row r="1519" spans="1:28">
      <c r="A1519" t="s">
        <v>1545</v>
      </c>
      <c r="B1519">
        <v>0.999739202189716</v>
      </c>
      <c r="C1519">
        <v>0.932126761951741</v>
      </c>
      <c r="D1519">
        <v>0.85571088506076</v>
      </c>
      <c r="E1519">
        <v>0.68330146654677</v>
      </c>
      <c r="F1519">
        <v>0.533154816261764</v>
      </c>
      <c r="G1519">
        <v>0.423795784968585</v>
      </c>
      <c r="H1519">
        <v>0.446817989688306</v>
      </c>
      <c r="I1519">
        <v>0.394518586233401</v>
      </c>
      <c r="J1519">
        <v>0.425499356317378</v>
      </c>
      <c r="K1519">
        <v>0.387283611620533</v>
      </c>
      <c r="L1519">
        <v>716.633900678386</v>
      </c>
      <c r="M1519">
        <v>15.5223624932639</v>
      </c>
      <c r="N1519">
        <v>51.3072718977131</v>
      </c>
      <c r="O1519">
        <v>45.4219385733031</v>
      </c>
      <c r="P1519">
        <v>-0.051744326700419</v>
      </c>
      <c r="Q1519">
        <v>0.394391132321151</v>
      </c>
      <c r="R1519">
        <v>0.994146060356583</v>
      </c>
      <c r="S1519" t="s">
        <v>3712</v>
      </c>
      <c r="T1519" t="s">
        <v>4362</v>
      </c>
      <c r="U1519" t="s">
        <v>4362</v>
      </c>
      <c r="V1519" t="s">
        <v>4362</v>
      </c>
      <c r="W1519" t="s">
        <v>5877</v>
      </c>
      <c r="X1519">
        <v>1</v>
      </c>
      <c r="Y1519" t="s">
        <v>8040</v>
      </c>
      <c r="Z1519" t="s">
        <v>10207</v>
      </c>
      <c r="AA1519">
        <v>0.5924961590035027</v>
      </c>
      <c r="AB1519">
        <f>HYPERLINK("Melting_Curves/meltCurve_P37615_yhhM.pdf", "Melting_Curves/meltCurve_P37615_yhhM.pdf")</f>
        <v>0</v>
      </c>
    </row>
    <row r="1520" spans="1:28">
      <c r="A1520" t="s">
        <v>1546</v>
      </c>
      <c r="B1520">
        <v>0.999739202189716</v>
      </c>
      <c r="C1520">
        <v>0.956893790316615</v>
      </c>
      <c r="D1520">
        <v>0.742096915819273</v>
      </c>
      <c r="E1520">
        <v>0.570005417043613</v>
      </c>
      <c r="F1520">
        <v>0.37797755795864</v>
      </c>
      <c r="G1520">
        <v>0.269526875354701</v>
      </c>
      <c r="H1520">
        <v>0.214136855360533</v>
      </c>
      <c r="I1520">
        <v>0.152700221312011</v>
      </c>
      <c r="J1520">
        <v>0.133465960495665</v>
      </c>
      <c r="K1520">
        <v>0.135033655390253</v>
      </c>
      <c r="L1520">
        <v>599.331662138939</v>
      </c>
      <c r="M1520">
        <v>12.8217316791649</v>
      </c>
      <c r="N1520">
        <v>47.7654986213844</v>
      </c>
      <c r="O1520">
        <v>45.6501619565615</v>
      </c>
      <c r="P1520">
        <v>-0.0618049457065419</v>
      </c>
      <c r="Q1520">
        <v>0.119969108110047</v>
      </c>
      <c r="R1520">
        <v>0.994924268804649</v>
      </c>
      <c r="S1520" t="s">
        <v>3713</v>
      </c>
      <c r="T1520" t="s">
        <v>4362</v>
      </c>
      <c r="U1520" t="s">
        <v>4362</v>
      </c>
      <c r="V1520" t="s">
        <v>4362</v>
      </c>
      <c r="W1520" t="s">
        <v>5878</v>
      </c>
      <c r="X1520">
        <v>9</v>
      </c>
      <c r="Y1520" t="s">
        <v>8041</v>
      </c>
      <c r="Z1520" t="s">
        <v>10208</v>
      </c>
      <c r="AA1520">
        <v>0.4320258874029089</v>
      </c>
      <c r="AB1520">
        <f>HYPERLINK("Melting_Curves/meltCurve_P37617_zntA.pdf", "Melting_Curves/meltCurve_P37617_zntA.pdf")</f>
        <v>0</v>
      </c>
    </row>
    <row r="1521" spans="1:28">
      <c r="A1521" t="s">
        <v>1547</v>
      </c>
      <c r="B1521">
        <v>0.999739202189716</v>
      </c>
      <c r="C1521">
        <v>0.848523368061226</v>
      </c>
      <c r="D1521">
        <v>0.738783463066564</v>
      </c>
      <c r="E1521">
        <v>0.57195191898289</v>
      </c>
      <c r="F1521">
        <v>0.46503507216653</v>
      </c>
      <c r="G1521">
        <v>0.365653833493368</v>
      </c>
      <c r="H1521">
        <v>0.276140991947716</v>
      </c>
      <c r="I1521">
        <v>0.221687636669748</v>
      </c>
      <c r="J1521">
        <v>0.214938772971783</v>
      </c>
      <c r="K1521">
        <v>0.180214372022236</v>
      </c>
      <c r="L1521">
        <v>441.135880524754</v>
      </c>
      <c r="M1521">
        <v>9.363120049178461</v>
      </c>
      <c r="N1521">
        <v>48.843777533876</v>
      </c>
      <c r="O1521">
        <v>45.1149059499628</v>
      </c>
      <c r="P1521">
        <v>-0.0445919767453491</v>
      </c>
      <c r="Q1521">
        <v>0.141095661892853</v>
      </c>
      <c r="R1521">
        <v>0.992669342474111</v>
      </c>
      <c r="S1521" t="s">
        <v>3714</v>
      </c>
      <c r="T1521" t="s">
        <v>4362</v>
      </c>
      <c r="U1521" t="s">
        <v>4362</v>
      </c>
      <c r="V1521" t="s">
        <v>4362</v>
      </c>
      <c r="W1521" t="s">
        <v>5879</v>
      </c>
      <c r="X1521">
        <v>2</v>
      </c>
      <c r="Y1521" t="s">
        <v>8042</v>
      </c>
      <c r="Z1521" t="s">
        <v>10209</v>
      </c>
      <c r="AA1521">
        <v>0.4708477615604752</v>
      </c>
      <c r="AB1521">
        <f>HYPERLINK("Melting_Curves/meltCurve_P37624_rbbA.pdf", "Melting_Curves/meltCurve_P37624_rbbA.pdf")</f>
        <v>0</v>
      </c>
    </row>
    <row r="1522" spans="1:28">
      <c r="A1522" t="s">
        <v>1548</v>
      </c>
      <c r="B1522">
        <v>0.999739202189716</v>
      </c>
      <c r="C1522">
        <v>0.907512053104123</v>
      </c>
      <c r="D1522">
        <v>0.666290784375001</v>
      </c>
      <c r="E1522">
        <v>0.488094458361891</v>
      </c>
      <c r="F1522">
        <v>0.311165819701579</v>
      </c>
      <c r="G1522">
        <v>0.216240132874482</v>
      </c>
      <c r="H1522">
        <v>0.182585434315665</v>
      </c>
      <c r="I1522">
        <v>0.148476344714312</v>
      </c>
      <c r="J1522">
        <v>0.134715361837176</v>
      </c>
      <c r="K1522">
        <v>0.125065320928707</v>
      </c>
      <c r="L1522">
        <v>622.5487931858599</v>
      </c>
      <c r="M1522">
        <v>13.7697325927333</v>
      </c>
      <c r="N1522">
        <v>46.1866633114403</v>
      </c>
      <c r="O1522">
        <v>44.2898292912662</v>
      </c>
      <c r="P1522">
        <v>-0.0679295289861117</v>
      </c>
      <c r="Q1522">
        <v>0.126152248074305</v>
      </c>
      <c r="R1522">
        <v>0.995042252439523</v>
      </c>
      <c r="S1522" t="s">
        <v>3715</v>
      </c>
      <c r="T1522" t="s">
        <v>4362</v>
      </c>
      <c r="U1522" t="s">
        <v>4362</v>
      </c>
      <c r="V1522" t="s">
        <v>4362</v>
      </c>
      <c r="W1522" t="s">
        <v>5880</v>
      </c>
      <c r="X1522">
        <v>17</v>
      </c>
      <c r="Y1522" t="s">
        <v>8043</v>
      </c>
      <c r="Z1522" t="s">
        <v>10210</v>
      </c>
      <c r="AA1522">
        <v>0.3896988623598385</v>
      </c>
      <c r="AB1522">
        <f>HYPERLINK("Melting_Curves/meltCurve_P37626_yhiI.pdf", "Melting_Curves/meltCurve_P37626_yhiI.pdf")</f>
        <v>0</v>
      </c>
    </row>
    <row r="1523" spans="1:28">
      <c r="A1523" t="s">
        <v>1549</v>
      </c>
      <c r="B1523">
        <v>0.999739202189716</v>
      </c>
      <c r="C1523">
        <v>0.834802868947866</v>
      </c>
      <c r="D1523">
        <v>0.895337001765617</v>
      </c>
      <c r="E1523">
        <v>0.735387536796171</v>
      </c>
      <c r="F1523">
        <v>0.619372194002376</v>
      </c>
      <c r="G1523">
        <v>0.338171825320246</v>
      </c>
      <c r="H1523">
        <v>0.131087427925763</v>
      </c>
      <c r="I1523">
        <v>0.097384460849474</v>
      </c>
      <c r="J1523">
        <v>0.08018399237318991</v>
      </c>
      <c r="K1523">
        <v>0.0660315745054149</v>
      </c>
      <c r="L1523">
        <v>620.503279517028</v>
      </c>
      <c r="M1523">
        <v>12.2021266265277</v>
      </c>
      <c r="N1523">
        <v>50.852061439737</v>
      </c>
      <c r="O1523">
        <v>49.5440920600367</v>
      </c>
      <c r="P1523">
        <v>-0.0615859694498209</v>
      </c>
      <c r="Q1523">
        <v>0</v>
      </c>
      <c r="R1523">
        <v>0.9769567994717711</v>
      </c>
      <c r="S1523" t="s">
        <v>3716</v>
      </c>
      <c r="T1523" t="s">
        <v>4362</v>
      </c>
      <c r="U1523" t="s">
        <v>4362</v>
      </c>
      <c r="V1523" t="s">
        <v>4362</v>
      </c>
      <c r="W1523" t="s">
        <v>5881</v>
      </c>
      <c r="X1523">
        <v>4</v>
      </c>
      <c r="Y1523" t="s">
        <v>8044</v>
      </c>
      <c r="Z1523" t="s">
        <v>10211</v>
      </c>
      <c r="AA1523">
        <v>0.4876258644005988</v>
      </c>
      <c r="AB1523">
        <f>HYPERLINK("Melting_Curves/meltCurve_P37631_yhiN.pdf", "Melting_Curves/meltCurve_P37631_yhiN.pdf")</f>
        <v>0</v>
      </c>
    </row>
    <row r="1524" spans="1:28">
      <c r="A1524" t="s">
        <v>1550</v>
      </c>
      <c r="B1524">
        <v>0.999739202189716</v>
      </c>
      <c r="C1524">
        <v>1.57146696269501</v>
      </c>
      <c r="D1524">
        <v>1.30539711620151</v>
      </c>
      <c r="E1524">
        <v>1.58626023325187</v>
      </c>
      <c r="F1524">
        <v>0.829846504854475</v>
      </c>
      <c r="G1524">
        <v>0.814154731223752</v>
      </c>
      <c r="H1524">
        <v>0.489908071265446</v>
      </c>
      <c r="I1524">
        <v>0.417117634659878</v>
      </c>
      <c r="J1524">
        <v>0.349469208827916</v>
      </c>
      <c r="K1524">
        <v>0.219118222383773</v>
      </c>
      <c r="L1524">
        <v>1375.77066687508</v>
      </c>
      <c r="M1524">
        <v>24.6443683558319</v>
      </c>
      <c r="N1524">
        <v>57.748386683823</v>
      </c>
      <c r="O1524">
        <v>55.4612712848807</v>
      </c>
      <c r="P1524">
        <v>-0.0799882185119251</v>
      </c>
      <c r="Q1524">
        <v>0.279967726387223</v>
      </c>
      <c r="R1524">
        <v>0.6466715284871259</v>
      </c>
      <c r="S1524" t="s">
        <v>3717</v>
      </c>
      <c r="T1524" t="s">
        <v>4362</v>
      </c>
      <c r="U1524" t="s">
        <v>4362</v>
      </c>
      <c r="V1524" t="s">
        <v>4362</v>
      </c>
      <c r="W1524" t="s">
        <v>5882</v>
      </c>
      <c r="X1524">
        <v>6</v>
      </c>
      <c r="Y1524" t="s">
        <v>8045</v>
      </c>
      <c r="Z1524" t="s">
        <v>10212</v>
      </c>
      <c r="AA1524">
        <v>0.7377976367918321</v>
      </c>
      <c r="AB1524">
        <f>HYPERLINK("Melting_Curves/meltCurve_P37634_rlmJ.pdf", "Melting_Curves/meltCurve_P37634_rlmJ.pdf")</f>
        <v>0</v>
      </c>
    </row>
    <row r="1525" spans="1:28">
      <c r="A1525" t="s">
        <v>1551</v>
      </c>
      <c r="B1525">
        <v>0.999739202189716</v>
      </c>
      <c r="C1525">
        <v>0.974119966222078</v>
      </c>
      <c r="D1525">
        <v>0.964371042009197</v>
      </c>
      <c r="E1525">
        <v>0.984464887660803</v>
      </c>
      <c r="F1525">
        <v>0.63114366274725</v>
      </c>
      <c r="G1525">
        <v>0.292827313654962</v>
      </c>
      <c r="H1525">
        <v>0.154711128403582</v>
      </c>
      <c r="I1525">
        <v>0.0810207895708584</v>
      </c>
      <c r="J1525">
        <v>0.0602924055611291</v>
      </c>
      <c r="K1525">
        <v>0.0489143470313926</v>
      </c>
      <c r="L1525">
        <v>1271.37909689524</v>
      </c>
      <c r="M1525">
        <v>24.7755027875188</v>
      </c>
      <c r="N1525">
        <v>51.5936743615839</v>
      </c>
      <c r="O1525">
        <v>50.985161450152</v>
      </c>
      <c r="P1525">
        <v>-0.113902856393183</v>
      </c>
      <c r="Q1525">
        <v>0.06241666930581</v>
      </c>
      <c r="R1525">
        <v>0.996220029027453</v>
      </c>
      <c r="S1525" t="s">
        <v>3718</v>
      </c>
      <c r="T1525" t="s">
        <v>4362</v>
      </c>
      <c r="U1525" t="s">
        <v>4362</v>
      </c>
      <c r="V1525" t="s">
        <v>4362</v>
      </c>
      <c r="W1525" t="s">
        <v>5883</v>
      </c>
      <c r="X1525">
        <v>10</v>
      </c>
      <c r="Y1525" t="s">
        <v>8046</v>
      </c>
      <c r="Z1525" t="s">
        <v>10213</v>
      </c>
      <c r="AA1525">
        <v>0.5182567549078229</v>
      </c>
      <c r="AB1525">
        <f>HYPERLINK("Melting_Curves/meltCurve_P37636_mdtE.pdf", "Melting_Curves/meltCurve_P37636_mdtE.pdf")</f>
        <v>0</v>
      </c>
    </row>
    <row r="1526" spans="1:28">
      <c r="A1526" t="s">
        <v>1552</v>
      </c>
      <c r="B1526">
        <v>0.999739202189716</v>
      </c>
      <c r="C1526">
        <v>1.73837321388539</v>
      </c>
      <c r="D1526">
        <v>1.25063035437104</v>
      </c>
      <c r="E1526">
        <v>1.10583727250587</v>
      </c>
      <c r="F1526">
        <v>0.344083515539657</v>
      </c>
      <c r="G1526">
        <v>0.184785857340831</v>
      </c>
      <c r="H1526">
        <v>0.119778400054859</v>
      </c>
      <c r="I1526">
        <v>0.0984227261191836</v>
      </c>
      <c r="J1526">
        <v>0.091195262586536</v>
      </c>
      <c r="K1526">
        <v>0.0662747188192509</v>
      </c>
      <c r="L1526">
        <v>12497.825636594</v>
      </c>
      <c r="M1526">
        <v>250</v>
      </c>
      <c r="N1526">
        <v>50.0421155899973</v>
      </c>
      <c r="O1526">
        <v>49.988097400923</v>
      </c>
      <c r="P1526">
        <v>-1.11014990505874</v>
      </c>
      <c r="Q1526">
        <v>0.112091388326186</v>
      </c>
      <c r="R1526">
        <v>0.815436308920936</v>
      </c>
      <c r="S1526" t="s">
        <v>3719</v>
      </c>
      <c r="T1526" t="s">
        <v>4362</v>
      </c>
      <c r="U1526" t="s">
        <v>4362</v>
      </c>
      <c r="V1526" t="s">
        <v>4362</v>
      </c>
      <c r="W1526" t="s">
        <v>5884</v>
      </c>
      <c r="X1526">
        <v>12</v>
      </c>
      <c r="Y1526" t="s">
        <v>8047</v>
      </c>
      <c r="Z1526" t="s">
        <v>10214</v>
      </c>
      <c r="AA1526">
        <v>0.4966722683225436</v>
      </c>
      <c r="AB1526">
        <f>HYPERLINK("Melting_Curves/meltCurve_P37637_mdtF.pdf", "Melting_Curves/meltCurve_P37637_mdtF.pdf")</f>
        <v>0</v>
      </c>
    </row>
    <row r="1527" spans="1:28">
      <c r="A1527" t="s">
        <v>1553</v>
      </c>
      <c r="B1527">
        <v>0.999739202189716</v>
      </c>
      <c r="C1527">
        <v>1.5109498978446</v>
      </c>
      <c r="D1527">
        <v>1.34437327444328</v>
      </c>
      <c r="E1527">
        <v>1.47119582134854</v>
      </c>
      <c r="F1527">
        <v>1.03657227416203</v>
      </c>
      <c r="G1527">
        <v>1.04235907837357</v>
      </c>
      <c r="H1527">
        <v>0.44999225282961</v>
      </c>
      <c r="I1527">
        <v>0.427736639221354</v>
      </c>
      <c r="J1527">
        <v>0.362116424115946</v>
      </c>
      <c r="K1527">
        <v>0.3243358586341</v>
      </c>
      <c r="L1527">
        <v>14238.3220821264</v>
      </c>
      <c r="M1527">
        <v>250</v>
      </c>
      <c r="N1527">
        <v>57.2643186210396</v>
      </c>
      <c r="O1527">
        <v>56.9496436766857</v>
      </c>
      <c r="P1527">
        <v>-0.689867971458875</v>
      </c>
      <c r="Q1527">
        <v>0.371396237989001</v>
      </c>
      <c r="R1527">
        <v>0.693628729767701</v>
      </c>
      <c r="S1527" t="s">
        <v>3720</v>
      </c>
      <c r="T1527" t="s">
        <v>4362</v>
      </c>
      <c r="U1527" t="s">
        <v>4362</v>
      </c>
      <c r="V1527" t="s">
        <v>4362</v>
      </c>
      <c r="W1527" t="s">
        <v>5885</v>
      </c>
      <c r="X1527">
        <v>1</v>
      </c>
      <c r="Y1527" t="s">
        <v>8048</v>
      </c>
      <c r="Z1527" t="s">
        <v>10215</v>
      </c>
      <c r="AA1527">
        <v>0.7895494718698084</v>
      </c>
      <c r="AB1527">
        <f>HYPERLINK("Melting_Curves/meltCurve_P37641_yhjC.pdf", "Melting_Curves/meltCurve_P37641_yhjC.pdf")</f>
        <v>0</v>
      </c>
    </row>
    <row r="1528" spans="1:28">
      <c r="A1528" t="s">
        <v>1554</v>
      </c>
      <c r="B1528">
        <v>0.999739202189716</v>
      </c>
      <c r="C1528">
        <v>0.838669716249401</v>
      </c>
      <c r="D1528">
        <v>0.951702444504509</v>
      </c>
      <c r="E1528">
        <v>0.778131579579271</v>
      </c>
      <c r="F1528">
        <v>0.6489046670504121</v>
      </c>
      <c r="G1528">
        <v>0.478286759066979</v>
      </c>
      <c r="H1528">
        <v>0.342171031336922</v>
      </c>
      <c r="I1528">
        <v>0.202887622833486</v>
      </c>
      <c r="J1528">
        <v>0.138074429151571</v>
      </c>
      <c r="K1528">
        <v>0.0745754437384141</v>
      </c>
      <c r="L1528">
        <v>528.1108450371941</v>
      </c>
      <c r="M1528">
        <v>9.95913597911753</v>
      </c>
      <c r="N1528">
        <v>53.0277646014306</v>
      </c>
      <c r="O1528">
        <v>51.0226847988272</v>
      </c>
      <c r="P1528">
        <v>-0.0488216974799111</v>
      </c>
      <c r="Q1528">
        <v>0</v>
      </c>
      <c r="R1528">
        <v>0.980988632255365</v>
      </c>
      <c r="S1528" t="s">
        <v>3721</v>
      </c>
      <c r="T1528" t="s">
        <v>4362</v>
      </c>
      <c r="U1528" t="s">
        <v>4362</v>
      </c>
      <c r="V1528" t="s">
        <v>4362</v>
      </c>
      <c r="W1528" t="s">
        <v>5886</v>
      </c>
      <c r="X1528">
        <v>4</v>
      </c>
      <c r="Y1528" t="s">
        <v>8049</v>
      </c>
      <c r="Z1528" t="s">
        <v>10216</v>
      </c>
      <c r="AA1528">
        <v>0.5565373201731728</v>
      </c>
      <c r="AB1528">
        <f>HYPERLINK("Melting_Curves/meltCurve_P37642_yhjD.pdf", "Melting_Curves/meltCurve_P37642_yhjD.pdf")</f>
        <v>0</v>
      </c>
    </row>
    <row r="1529" spans="1:28">
      <c r="A1529" t="s">
        <v>1555</v>
      </c>
      <c r="B1529">
        <v>0.999739202189716</v>
      </c>
      <c r="C1529">
        <v>1.07074370982511</v>
      </c>
      <c r="D1529">
        <v>0.735524421430569</v>
      </c>
      <c r="E1529">
        <v>0.558023087208414</v>
      </c>
      <c r="F1529">
        <v>0.248427299392767</v>
      </c>
      <c r="G1529">
        <v>0.144053073120141</v>
      </c>
      <c r="H1529">
        <v>0.12531514361251</v>
      </c>
      <c r="I1529">
        <v>0.0939417188505554</v>
      </c>
      <c r="J1529">
        <v>0.0859720295069465</v>
      </c>
      <c r="K1529">
        <v>0.08424197064711619</v>
      </c>
      <c r="L1529">
        <v>846.160495496516</v>
      </c>
      <c r="M1529">
        <v>18.2661852545575</v>
      </c>
      <c r="N1529">
        <v>46.7936680646369</v>
      </c>
      <c r="O1529">
        <v>45.7793628300887</v>
      </c>
      <c r="P1529">
        <v>-0.09139863111125809</v>
      </c>
      <c r="Q1529">
        <v>0.08377653203747699</v>
      </c>
      <c r="R1529">
        <v>0.9834954484480219</v>
      </c>
      <c r="S1529" t="s">
        <v>3722</v>
      </c>
      <c r="T1529" t="s">
        <v>4362</v>
      </c>
      <c r="U1529" t="s">
        <v>4362</v>
      </c>
      <c r="V1529" t="s">
        <v>4362</v>
      </c>
      <c r="W1529" t="s">
        <v>5887</v>
      </c>
      <c r="X1529">
        <v>18</v>
      </c>
      <c r="Y1529" t="s">
        <v>8050</v>
      </c>
      <c r="Z1529" t="s">
        <v>10217</v>
      </c>
      <c r="AA1529">
        <v>0.3828821435664444</v>
      </c>
      <c r="AB1529">
        <f>HYPERLINK("Melting_Curves/meltCurve_P37645_yhjG.pdf", "Melting_Curves/meltCurve_P37645_yhjG.pdf")</f>
        <v>0</v>
      </c>
    </row>
    <row r="1530" spans="1:28">
      <c r="A1530" t="s">
        <v>1556</v>
      </c>
      <c r="B1530">
        <v>0.999739202189716</v>
      </c>
      <c r="C1530">
        <v>1.04312659806467</v>
      </c>
      <c r="D1530">
        <v>1.0151103128206</v>
      </c>
      <c r="E1530">
        <v>1.08675771032807</v>
      </c>
      <c r="F1530">
        <v>1.01139868834247</v>
      </c>
      <c r="G1530">
        <v>0.8384578947842179</v>
      </c>
      <c r="H1530">
        <v>0.443306608184229</v>
      </c>
      <c r="I1530">
        <v>0.156346175439616</v>
      </c>
      <c r="J1530">
        <v>0.11162124189719</v>
      </c>
      <c r="K1530">
        <v>0.105333611634575</v>
      </c>
      <c r="L1530">
        <v>1842.80194816061</v>
      </c>
      <c r="M1530">
        <v>32.6135505907505</v>
      </c>
      <c r="N1530">
        <v>56.8634303444261</v>
      </c>
      <c r="O1530">
        <v>56.2930134767615</v>
      </c>
      <c r="P1530">
        <v>-0.131354497895364</v>
      </c>
      <c r="Q1530">
        <v>0.0931002152983883</v>
      </c>
      <c r="R1530">
        <v>0.993288566856932</v>
      </c>
      <c r="S1530" t="s">
        <v>3723</v>
      </c>
      <c r="T1530" t="s">
        <v>4362</v>
      </c>
      <c r="U1530" t="s">
        <v>4362</v>
      </c>
      <c r="V1530" t="s">
        <v>4362</v>
      </c>
      <c r="W1530" t="s">
        <v>5888</v>
      </c>
      <c r="X1530">
        <v>4</v>
      </c>
      <c r="Y1530" t="s">
        <v>8051</v>
      </c>
      <c r="Z1530" t="s">
        <v>10218</v>
      </c>
      <c r="AA1530">
        <v>0.687585421515386</v>
      </c>
      <c r="AB1530">
        <f>HYPERLINK("Melting_Curves/meltCurve_P37647_kdgK.pdf", "Melting_Curves/meltCurve_P37647_kdgK.pdf")</f>
        <v>0</v>
      </c>
    </row>
    <row r="1531" spans="1:28">
      <c r="A1531" t="s">
        <v>1557</v>
      </c>
      <c r="B1531">
        <v>0.999739202189716</v>
      </c>
      <c r="C1531">
        <v>1.03629185614557</v>
      </c>
      <c r="D1531">
        <v>1.09469861911278</v>
      </c>
      <c r="E1531">
        <v>1.03772470576821</v>
      </c>
      <c r="F1531">
        <v>1.04586603771941</v>
      </c>
      <c r="G1531">
        <v>0.388522967404859</v>
      </c>
      <c r="H1531">
        <v>0.124517404298506</v>
      </c>
      <c r="I1531">
        <v>0.109018491104813</v>
      </c>
      <c r="J1531">
        <v>0.08966171505926621</v>
      </c>
      <c r="K1531">
        <v>0.09067622692699689</v>
      </c>
      <c r="L1531">
        <v>13408.9400106437</v>
      </c>
      <c r="M1531">
        <v>250</v>
      </c>
      <c r="N1531">
        <v>53.6855421891763</v>
      </c>
      <c r="O1531">
        <v>53.6323303825866</v>
      </c>
      <c r="P1531">
        <v>-1.04476581562108</v>
      </c>
      <c r="Q1531">
        <v>0.103468439363987</v>
      </c>
      <c r="R1531">
        <v>0.992741584826675</v>
      </c>
      <c r="S1531" t="s">
        <v>3724</v>
      </c>
      <c r="T1531" t="s">
        <v>4362</v>
      </c>
      <c r="U1531" t="s">
        <v>4362</v>
      </c>
      <c r="V1531" t="s">
        <v>4362</v>
      </c>
      <c r="W1531" t="s">
        <v>5889</v>
      </c>
      <c r="X1531">
        <v>14</v>
      </c>
      <c r="Y1531" t="s">
        <v>8052</v>
      </c>
      <c r="Z1531" t="s">
        <v>10219</v>
      </c>
      <c r="AA1531">
        <v>0.6007022935896192</v>
      </c>
      <c r="AB1531">
        <f>HYPERLINK("Melting_Curves/meltCurve_P37648_yhjJ.pdf", "Melting_Curves/meltCurve_P37648_yhjJ.pdf")</f>
        <v>0</v>
      </c>
    </row>
    <row r="1532" spans="1:28">
      <c r="A1532" t="s">
        <v>1558</v>
      </c>
      <c r="B1532">
        <v>0.999739202189716</v>
      </c>
      <c r="C1532">
        <v>0.793970684942042</v>
      </c>
      <c r="D1532">
        <v>0.408313645242781</v>
      </c>
      <c r="E1532">
        <v>0.233487812127062</v>
      </c>
      <c r="F1532">
        <v>0.122523091115377</v>
      </c>
      <c r="G1532">
        <v>0.0951527410472614</v>
      </c>
      <c r="H1532">
        <v>0.0714693235411504</v>
      </c>
      <c r="I1532">
        <v>0.0593556182167964</v>
      </c>
      <c r="J1532">
        <v>0.06291240954029111</v>
      </c>
      <c r="K1532">
        <v>0.0609207930845256</v>
      </c>
      <c r="L1532">
        <v>884.182934102628</v>
      </c>
      <c r="M1532">
        <v>20.9586752089828</v>
      </c>
      <c r="N1532">
        <v>42.5141247483194</v>
      </c>
      <c r="O1532">
        <v>41.8085382998381</v>
      </c>
      <c r="P1532">
        <v>-0.115994326353008</v>
      </c>
      <c r="Q1532">
        <v>0.074479274882481</v>
      </c>
      <c r="R1532">
        <v>0.993343451514314</v>
      </c>
      <c r="S1532" t="s">
        <v>3725</v>
      </c>
      <c r="T1532" t="s">
        <v>4362</v>
      </c>
      <c r="U1532" t="s">
        <v>4362</v>
      </c>
      <c r="V1532" t="s">
        <v>4362</v>
      </c>
      <c r="W1532" t="s">
        <v>5890</v>
      </c>
      <c r="X1532">
        <v>2</v>
      </c>
      <c r="Y1532" t="s">
        <v>8053</v>
      </c>
      <c r="Z1532" t="s">
        <v>10220</v>
      </c>
      <c r="AA1532">
        <v>0.2467789906047629</v>
      </c>
      <c r="AB1532">
        <f>HYPERLINK("Melting_Curves/meltCurve_P37649_yhjK.pdf", "Melting_Curves/meltCurve_P37649_yhjK.pdf")</f>
        <v>0</v>
      </c>
    </row>
    <row r="1533" spans="1:28">
      <c r="A1533" t="s">
        <v>1559</v>
      </c>
      <c r="B1533">
        <v>0.999739202189716</v>
      </c>
      <c r="C1533">
        <v>1.19662583954815</v>
      </c>
      <c r="D1533">
        <v>1.04378734334003</v>
      </c>
      <c r="E1533">
        <v>0.907245680382502</v>
      </c>
      <c r="F1533">
        <v>0.819986329746066</v>
      </c>
      <c r="G1533">
        <v>0.6742232210672831</v>
      </c>
      <c r="H1533">
        <v>0.553798379673397</v>
      </c>
      <c r="I1533">
        <v>0.458287496370534</v>
      </c>
      <c r="J1533">
        <v>0.365955428732448</v>
      </c>
      <c r="K1533">
        <v>0.13411141786822</v>
      </c>
      <c r="L1533">
        <v>590.067205193962</v>
      </c>
      <c r="M1533">
        <v>10.0502490469173</v>
      </c>
      <c r="N1533">
        <v>58.711699840391</v>
      </c>
      <c r="O1533">
        <v>56.5293204330598</v>
      </c>
      <c r="P1533">
        <v>-0.0444682708823845</v>
      </c>
      <c r="Q1533">
        <v>0</v>
      </c>
      <c r="R1533">
        <v>0.9366355941618399</v>
      </c>
      <c r="S1533" t="s">
        <v>3726</v>
      </c>
      <c r="T1533" t="s">
        <v>4362</v>
      </c>
      <c r="U1533" t="s">
        <v>4362</v>
      </c>
      <c r="V1533" t="s">
        <v>4362</v>
      </c>
      <c r="W1533" t="s">
        <v>5891</v>
      </c>
      <c r="X1533">
        <v>3</v>
      </c>
      <c r="Y1533" t="s">
        <v>8054</v>
      </c>
      <c r="Z1533" t="s">
        <v>10221</v>
      </c>
      <c r="AA1533">
        <v>0.7093471907777956</v>
      </c>
      <c r="AB1533">
        <f>HYPERLINK("Melting_Curves/meltCurve_P37651_bcsZ.pdf", "Melting_Curves/meltCurve_P37651_bcsZ.pdf")</f>
        <v>0</v>
      </c>
    </row>
    <row r="1534" spans="1:28">
      <c r="A1534" t="s">
        <v>1560</v>
      </c>
      <c r="B1534">
        <v>0.999739202189716</v>
      </c>
      <c r="C1534">
        <v>1.06976343369893</v>
      </c>
      <c r="D1534">
        <v>0.664371545727183</v>
      </c>
      <c r="E1534">
        <v>0.512597529640948</v>
      </c>
      <c r="F1534">
        <v>0.257414797762863</v>
      </c>
      <c r="G1534">
        <v>0.160765364672398</v>
      </c>
      <c r="H1534">
        <v>0.140461498099559</v>
      </c>
      <c r="I1534">
        <v>0.08479712448558591</v>
      </c>
      <c r="J1534">
        <v>0.0941298353566981</v>
      </c>
      <c r="K1534">
        <v>0.07851692241418511</v>
      </c>
      <c r="L1534">
        <v>769.82070376039</v>
      </c>
      <c r="M1534">
        <v>16.8174627015691</v>
      </c>
      <c r="N1534">
        <v>46.3086745987051</v>
      </c>
      <c r="O1534">
        <v>45.1425414017237</v>
      </c>
      <c r="P1534">
        <v>-0.0849374002923154</v>
      </c>
      <c r="Q1534">
        <v>0.08808047912199229</v>
      </c>
      <c r="R1534">
        <v>0.974901293620555</v>
      </c>
      <c r="S1534" t="s">
        <v>3727</v>
      </c>
      <c r="T1534" t="s">
        <v>4362</v>
      </c>
      <c r="U1534" t="s">
        <v>4362</v>
      </c>
      <c r="V1534" t="s">
        <v>4362</v>
      </c>
      <c r="W1534" t="s">
        <v>5892</v>
      </c>
      <c r="X1534">
        <v>2</v>
      </c>
      <c r="Y1534" t="s">
        <v>8055</v>
      </c>
      <c r="Z1534" t="s">
        <v>10222</v>
      </c>
      <c r="AA1534">
        <v>0.3717437599957558</v>
      </c>
      <c r="AB1534">
        <f>HYPERLINK("Melting_Curves/meltCurve_P37652_bcsB.pdf", "Melting_Curves/meltCurve_P37652_bcsB.pdf")</f>
        <v>0</v>
      </c>
    </row>
    <row r="1535" spans="1:28">
      <c r="A1535" t="s">
        <v>1561</v>
      </c>
      <c r="B1535">
        <v>0.999739202189716</v>
      </c>
      <c r="C1535">
        <v>1.01973505406075</v>
      </c>
      <c r="D1535">
        <v>0.957896074676282</v>
      </c>
      <c r="E1535">
        <v>0.8885531835003</v>
      </c>
      <c r="F1535">
        <v>0.800064310757999</v>
      </c>
      <c r="G1535">
        <v>0.590235105249722</v>
      </c>
      <c r="H1535">
        <v>0.390743645341539</v>
      </c>
      <c r="I1535">
        <v>0.215995035847527</v>
      </c>
      <c r="J1535">
        <v>0.130023632530443</v>
      </c>
      <c r="K1535">
        <v>0.08042708046608529</v>
      </c>
      <c r="L1535">
        <v>728.147123851827</v>
      </c>
      <c r="M1535">
        <v>13.1839438031093</v>
      </c>
      <c r="N1535">
        <v>55.2298414098905</v>
      </c>
      <c r="O1535">
        <v>54.0055178810538</v>
      </c>
      <c r="P1535">
        <v>-0.0610407236719338</v>
      </c>
      <c r="Q1535">
        <v>0</v>
      </c>
      <c r="R1535">
        <v>0.997998779016914</v>
      </c>
      <c r="S1535" t="s">
        <v>3728</v>
      </c>
      <c r="T1535" t="s">
        <v>4362</v>
      </c>
      <c r="U1535" t="s">
        <v>4362</v>
      </c>
      <c r="V1535" t="s">
        <v>4362</v>
      </c>
      <c r="W1535" t="s">
        <v>5893</v>
      </c>
      <c r="X1535">
        <v>1</v>
      </c>
      <c r="Y1535" t="s">
        <v>8056</v>
      </c>
      <c r="Z1535" t="s">
        <v>10223</v>
      </c>
      <c r="AA1535">
        <v>0.6213428667190918</v>
      </c>
      <c r="AB1535">
        <f>HYPERLINK("Melting_Curves/meltCurve_P37659_bcsG.pdf", "Melting_Curves/meltCurve_P37659_bcsG.pdf")</f>
        <v>0</v>
      </c>
    </row>
    <row r="1536" spans="1:28">
      <c r="A1536" t="s">
        <v>1562</v>
      </c>
      <c r="B1536">
        <v>0.999739202189716</v>
      </c>
      <c r="C1536">
        <v>0.816741323282519</v>
      </c>
      <c r="D1536">
        <v>0.886998364398321</v>
      </c>
      <c r="E1536">
        <v>0.504587185777006</v>
      </c>
      <c r="F1536">
        <v>0.270653506011495</v>
      </c>
      <c r="G1536">
        <v>0.112840729916885</v>
      </c>
      <c r="H1536">
        <v>0.147015351906611</v>
      </c>
      <c r="I1536">
        <v>0.0676199653447362</v>
      </c>
      <c r="J1536">
        <v>0.0673571884654027</v>
      </c>
      <c r="K1536">
        <v>0.0585135090191889</v>
      </c>
      <c r="L1536">
        <v>779.720771170063</v>
      </c>
      <c r="M1536">
        <v>16.7648100568716</v>
      </c>
      <c r="N1536">
        <v>46.8617224696384</v>
      </c>
      <c r="O1536">
        <v>45.8627310080931</v>
      </c>
      <c r="P1536">
        <v>-0.0859798726695622</v>
      </c>
      <c r="Q1536">
        <v>0.0592163046220633</v>
      </c>
      <c r="R1536">
        <v>0.97912241298811</v>
      </c>
      <c r="S1536" t="s">
        <v>3729</v>
      </c>
      <c r="T1536" t="s">
        <v>4362</v>
      </c>
      <c r="U1536" t="s">
        <v>4362</v>
      </c>
      <c r="V1536" t="s">
        <v>4362</v>
      </c>
      <c r="W1536" t="s">
        <v>5894</v>
      </c>
      <c r="X1536">
        <v>4</v>
      </c>
      <c r="Y1536" t="s">
        <v>8057</v>
      </c>
      <c r="Z1536" t="s">
        <v>10224</v>
      </c>
      <c r="AA1536">
        <v>0.3748017338544623</v>
      </c>
      <c r="AB1536">
        <f>HYPERLINK("Melting_Curves/meltCurve_P37661_eptB.pdf", "Melting_Curves/meltCurve_P37661_eptB.pdf")</f>
        <v>0</v>
      </c>
    </row>
    <row r="1537" spans="1:28">
      <c r="A1537" t="s">
        <v>1563</v>
      </c>
      <c r="B1537">
        <v>0.999739202189716</v>
      </c>
      <c r="C1537">
        <v>0.791540638865492</v>
      </c>
      <c r="D1537">
        <v>1.01479148297731</v>
      </c>
      <c r="E1537">
        <v>0.476750527947827</v>
      </c>
      <c r="F1537">
        <v>0.195417487263756</v>
      </c>
      <c r="G1537">
        <v>0.103977728426449</v>
      </c>
      <c r="H1537">
        <v>0.0678224588518801</v>
      </c>
      <c r="I1537">
        <v>0.0521831251233835</v>
      </c>
      <c r="J1537">
        <v>0.0473168625013448</v>
      </c>
      <c r="K1537">
        <v>0.0587614342122047</v>
      </c>
      <c r="L1537">
        <v>1451.65705848202</v>
      </c>
      <c r="M1537">
        <v>31.2497842499785</v>
      </c>
      <c r="N1537">
        <v>46.6727470848487</v>
      </c>
      <c r="O1537">
        <v>46.2643595038633</v>
      </c>
      <c r="P1537">
        <v>-0.157332062622709</v>
      </c>
      <c r="Q1537">
        <v>0.0683037300082284</v>
      </c>
      <c r="R1537">
        <v>0.964586532189262</v>
      </c>
      <c r="S1537" t="s">
        <v>3730</v>
      </c>
      <c r="T1537" t="s">
        <v>4362</v>
      </c>
      <c r="U1537" t="s">
        <v>4362</v>
      </c>
      <c r="V1537" t="s">
        <v>4362</v>
      </c>
      <c r="W1537" t="s">
        <v>5895</v>
      </c>
      <c r="X1537">
        <v>7</v>
      </c>
      <c r="Y1537" t="s">
        <v>8058</v>
      </c>
      <c r="Z1537" t="s">
        <v>10225</v>
      </c>
      <c r="AA1537">
        <v>0.3668254777653399</v>
      </c>
      <c r="AB1537">
        <f>HYPERLINK("Melting_Curves/meltCurve_P37666_ghrB.pdf", "Melting_Curves/meltCurve_P37666_ghrB.pdf")</f>
        <v>0</v>
      </c>
    </row>
    <row r="1538" spans="1:28">
      <c r="A1538" t="s">
        <v>1564</v>
      </c>
      <c r="B1538">
        <v>0.999739202189716</v>
      </c>
      <c r="C1538">
        <v>1.03494295601452</v>
      </c>
      <c r="D1538">
        <v>0.469727988333961</v>
      </c>
      <c r="E1538">
        <v>0.67284173170168</v>
      </c>
      <c r="F1538">
        <v>0.262487238078494</v>
      </c>
      <c r="G1538">
        <v>0.142141146543254</v>
      </c>
      <c r="H1538">
        <v>0.110100023885967</v>
      </c>
      <c r="I1538">
        <v>0.0708599258132635</v>
      </c>
      <c r="J1538">
        <v>0.0596782821505139</v>
      </c>
      <c r="K1538">
        <v>0.0509164616230252</v>
      </c>
      <c r="L1538">
        <v>560.8153728457449</v>
      </c>
      <c r="M1538">
        <v>12.0960633084313</v>
      </c>
      <c r="N1538">
        <v>46.5269519207629</v>
      </c>
      <c r="O1538">
        <v>45.1508200500673</v>
      </c>
      <c r="P1538">
        <v>-0.06559762503882149</v>
      </c>
      <c r="Q1538">
        <v>0.0208066976527461</v>
      </c>
      <c r="R1538">
        <v>0.907085165382932</v>
      </c>
      <c r="S1538" t="s">
        <v>3731</v>
      </c>
      <c r="T1538" t="s">
        <v>4362</v>
      </c>
      <c r="U1538" t="s">
        <v>4362</v>
      </c>
      <c r="V1538" t="s">
        <v>4362</v>
      </c>
      <c r="W1538" t="s">
        <v>5896</v>
      </c>
      <c r="X1538">
        <v>1</v>
      </c>
      <c r="Y1538" t="s">
        <v>8059</v>
      </c>
      <c r="Z1538" t="s">
        <v>10226</v>
      </c>
      <c r="AA1538">
        <v>0.3591681718109918</v>
      </c>
      <c r="AB1538">
        <f>HYPERLINK("Melting_Curves/meltCurve_P37672_dlgD.pdf", "Melting_Curves/meltCurve_P37672_dlgD.pdf")</f>
        <v>0</v>
      </c>
    </row>
    <row r="1539" spans="1:28">
      <c r="A1539" t="s">
        <v>1565</v>
      </c>
      <c r="B1539">
        <v>0.999739202189716</v>
      </c>
      <c r="C1539">
        <v>0.910786602994737</v>
      </c>
      <c r="D1539">
        <v>0.783599722139548</v>
      </c>
      <c r="E1539">
        <v>0.94432221730998</v>
      </c>
      <c r="F1539">
        <v>0.711264048365194</v>
      </c>
      <c r="G1539">
        <v>0.315132351446584</v>
      </c>
      <c r="H1539">
        <v>0.167717417417117</v>
      </c>
      <c r="I1539">
        <v>0.124305992570186</v>
      </c>
      <c r="J1539">
        <v>0.112582738640226</v>
      </c>
      <c r="K1539">
        <v>0.108597316781952</v>
      </c>
      <c r="L1539">
        <v>1262.21429244237</v>
      </c>
      <c r="M1539">
        <v>24.5087496979306</v>
      </c>
      <c r="N1539">
        <v>51.9848983410509</v>
      </c>
      <c r="O1539">
        <v>51.1613674872245</v>
      </c>
      <c r="P1539">
        <v>-0.10753875608545</v>
      </c>
      <c r="Q1539">
        <v>0.102075815147985</v>
      </c>
      <c r="R1539">
        <v>0.960303232101295</v>
      </c>
      <c r="S1539" t="s">
        <v>3732</v>
      </c>
      <c r="T1539" t="s">
        <v>4362</v>
      </c>
      <c r="U1539" t="s">
        <v>4362</v>
      </c>
      <c r="V1539" t="s">
        <v>4362</v>
      </c>
      <c r="W1539" t="s">
        <v>5897</v>
      </c>
      <c r="X1539">
        <v>6</v>
      </c>
      <c r="Y1539" t="s">
        <v>8060</v>
      </c>
      <c r="Z1539" t="s">
        <v>10227</v>
      </c>
      <c r="AA1539">
        <v>0.5443256473526271</v>
      </c>
      <c r="AB1539">
        <f>HYPERLINK("Melting_Curves/meltCurve_P37676_yiaO.pdf", "Melting_Curves/meltCurve_P37676_yiaO.pdf")</f>
        <v>0</v>
      </c>
    </row>
    <row r="1540" spans="1:28">
      <c r="A1540" t="s">
        <v>1566</v>
      </c>
      <c r="B1540">
        <v>0.999739202189716</v>
      </c>
      <c r="C1540">
        <v>1.13876535901511</v>
      </c>
      <c r="D1540">
        <v>1.3734967204325</v>
      </c>
      <c r="E1540">
        <v>1.10133777055998</v>
      </c>
      <c r="F1540">
        <v>0.901848503924206</v>
      </c>
      <c r="G1540">
        <v>0.864177857227013</v>
      </c>
      <c r="H1540">
        <v>0.475179656999735</v>
      </c>
      <c r="I1540">
        <v>0.358351320214077</v>
      </c>
      <c r="J1540">
        <v>0.213769032105106</v>
      </c>
      <c r="K1540">
        <v>0.116135214603487</v>
      </c>
      <c r="L1540">
        <v>1215.07017119929</v>
      </c>
      <c r="M1540">
        <v>21.2523320248609</v>
      </c>
      <c r="N1540">
        <v>57.8943157646315</v>
      </c>
      <c r="O1540">
        <v>56.6745271000001</v>
      </c>
      <c r="P1540">
        <v>-0.0828517832780407</v>
      </c>
      <c r="Q1540">
        <v>0.116244964352666</v>
      </c>
      <c r="R1540">
        <v>0.889503196106716</v>
      </c>
      <c r="S1540" t="s">
        <v>3733</v>
      </c>
      <c r="T1540" t="s">
        <v>4362</v>
      </c>
      <c r="U1540" t="s">
        <v>4362</v>
      </c>
      <c r="V1540" t="s">
        <v>4362</v>
      </c>
      <c r="W1540" t="s">
        <v>5898</v>
      </c>
      <c r="X1540">
        <v>17</v>
      </c>
      <c r="Y1540" t="s">
        <v>8061</v>
      </c>
      <c r="Z1540" t="s">
        <v>10228</v>
      </c>
      <c r="AA1540">
        <v>0.717841893913619</v>
      </c>
      <c r="AB1540">
        <f>HYPERLINK("Melting_Curves/meltCurve_P37685_aldB.pdf", "Melting_Curves/meltCurve_P37685_aldB.pdf")</f>
        <v>0</v>
      </c>
    </row>
    <row r="1541" spans="1:28">
      <c r="A1541" t="s">
        <v>1567</v>
      </c>
      <c r="B1541">
        <v>0.999739202189716</v>
      </c>
      <c r="C1541">
        <v>1.15042406917343</v>
      </c>
      <c r="D1541">
        <v>1.05118379268504</v>
      </c>
      <c r="E1541">
        <v>1.03901069848142</v>
      </c>
      <c r="F1541">
        <v>1.0723293417246</v>
      </c>
      <c r="G1541">
        <v>0.764080826694661</v>
      </c>
      <c r="H1541">
        <v>0.341264929851032</v>
      </c>
      <c r="I1541">
        <v>0.178629192551998</v>
      </c>
      <c r="J1541">
        <v>0.134052562897744</v>
      </c>
      <c r="K1541">
        <v>0.0938340875820888</v>
      </c>
      <c r="L1541">
        <v>1937.94118034991</v>
      </c>
      <c r="M1541">
        <v>34.8836639679794</v>
      </c>
      <c r="N1541">
        <v>55.9928234468797</v>
      </c>
      <c r="O1541">
        <v>55.3727871878105</v>
      </c>
      <c r="P1541">
        <v>-0.138673681347893</v>
      </c>
      <c r="Q1541">
        <v>0.119505283647271</v>
      </c>
      <c r="R1541">
        <v>0.978768413576602</v>
      </c>
      <c r="S1541" t="s">
        <v>3734</v>
      </c>
      <c r="T1541" t="s">
        <v>4362</v>
      </c>
      <c r="U1541" t="s">
        <v>4362</v>
      </c>
      <c r="V1541" t="s">
        <v>4362</v>
      </c>
      <c r="W1541" t="s">
        <v>5899</v>
      </c>
      <c r="X1541">
        <v>12</v>
      </c>
      <c r="Y1541" t="s">
        <v>8062</v>
      </c>
      <c r="Z1541" t="s">
        <v>10229</v>
      </c>
      <c r="AA1541">
        <v>0.668344446203215</v>
      </c>
      <c r="AB1541">
        <f>HYPERLINK("Melting_Curves/meltCurve_P37689_gpmI.pdf", "Melting_Curves/meltCurve_P37689_gpmI.pdf")</f>
        <v>0</v>
      </c>
    </row>
    <row r="1542" spans="1:28">
      <c r="A1542" t="s">
        <v>1568</v>
      </c>
      <c r="B1542">
        <v>0.999739202189716</v>
      </c>
      <c r="C1542">
        <v>0.968742828771603</v>
      </c>
      <c r="D1542">
        <v>0.8688052338903099</v>
      </c>
      <c r="E1542">
        <v>0.76974687506215</v>
      </c>
      <c r="F1542">
        <v>0.433493518056862</v>
      </c>
      <c r="G1542">
        <v>0.188982474361342</v>
      </c>
      <c r="H1542">
        <v>0.143845605515627</v>
      </c>
      <c r="I1542">
        <v>0.109600852331299</v>
      </c>
      <c r="J1542">
        <v>0.10770303983318</v>
      </c>
      <c r="K1542">
        <v>0.0923125084546057</v>
      </c>
      <c r="L1542">
        <v>909.480518927761</v>
      </c>
      <c r="M1542">
        <v>18.6262557279099</v>
      </c>
      <c r="N1542">
        <v>49.3218550348844</v>
      </c>
      <c r="O1542">
        <v>48.2754948886799</v>
      </c>
      <c r="P1542">
        <v>-0.0882543043513605</v>
      </c>
      <c r="Q1542">
        <v>0.0850899529984171</v>
      </c>
      <c r="R1542">
        <v>0.994860436803699</v>
      </c>
      <c r="S1542" t="s">
        <v>3735</v>
      </c>
      <c r="T1542" t="s">
        <v>4362</v>
      </c>
      <c r="U1542" t="s">
        <v>4362</v>
      </c>
      <c r="V1542" t="s">
        <v>4362</v>
      </c>
      <c r="W1542" t="s">
        <v>5900</v>
      </c>
      <c r="X1542">
        <v>9</v>
      </c>
      <c r="Y1542" t="s">
        <v>8063</v>
      </c>
      <c r="Z1542" t="s">
        <v>10230</v>
      </c>
      <c r="AA1542">
        <v>0.4595115181841711</v>
      </c>
      <c r="AB1542">
        <f>HYPERLINK("Melting_Curves/meltCurve_P37690_envC.pdf", "Melting_Curves/meltCurve_P37690_envC.pdf")</f>
        <v>0</v>
      </c>
    </row>
    <row r="1543" spans="1:28">
      <c r="A1543" t="s">
        <v>1569</v>
      </c>
      <c r="B1543">
        <v>0.999739202189716</v>
      </c>
      <c r="C1543">
        <v>0.844942390322533</v>
      </c>
      <c r="D1543">
        <v>0.783532878038035</v>
      </c>
      <c r="E1543">
        <v>0.496921813054324</v>
      </c>
      <c r="F1543">
        <v>0.346598495352108</v>
      </c>
      <c r="G1543">
        <v>0.271837962631667</v>
      </c>
      <c r="H1543">
        <v>0.268558211296365</v>
      </c>
      <c r="I1543">
        <v>0.245479424415029</v>
      </c>
      <c r="J1543">
        <v>0.231557905056185</v>
      </c>
      <c r="K1543">
        <v>0.171958702855828</v>
      </c>
      <c r="L1543">
        <v>658.7874386500951</v>
      </c>
      <c r="M1543">
        <v>14.6003562997975</v>
      </c>
      <c r="N1543">
        <v>46.8529545353098</v>
      </c>
      <c r="O1543">
        <v>44.3002148258726</v>
      </c>
      <c r="P1543">
        <v>-0.0652214877529986</v>
      </c>
      <c r="Q1543">
        <v>0.208512058388147</v>
      </c>
      <c r="R1543">
        <v>0.988784857404777</v>
      </c>
      <c r="S1543" t="s">
        <v>3736</v>
      </c>
      <c r="T1543" t="s">
        <v>4362</v>
      </c>
      <c r="U1543" t="s">
        <v>4362</v>
      </c>
      <c r="V1543" t="s">
        <v>4362</v>
      </c>
      <c r="W1543" t="s">
        <v>5901</v>
      </c>
      <c r="X1543">
        <v>1</v>
      </c>
      <c r="Y1543" t="s">
        <v>8064</v>
      </c>
      <c r="Z1543" t="s">
        <v>10231</v>
      </c>
      <c r="AA1543">
        <v>0.4425479743880957</v>
      </c>
      <c r="AB1543">
        <f>HYPERLINK("Melting_Curves/meltCurve_P37691_yibQ.pdf", "Melting_Curves/meltCurve_P37691_yibQ.pdf")</f>
        <v>0</v>
      </c>
    </row>
    <row r="1544" spans="1:28">
      <c r="A1544" t="s">
        <v>1570</v>
      </c>
      <c r="B1544">
        <v>0.999739202189716</v>
      </c>
      <c r="C1544">
        <v>0.762870165393352</v>
      </c>
      <c r="D1544">
        <v>0.342648240595146</v>
      </c>
      <c r="E1544">
        <v>0.206433253642595</v>
      </c>
      <c r="F1544">
        <v>0.162155560542032</v>
      </c>
      <c r="G1544">
        <v>0.0956479061016077</v>
      </c>
      <c r="H1544">
        <v>0.0796552445260819</v>
      </c>
      <c r="I1544">
        <v>0.0668739619481655</v>
      </c>
      <c r="J1544">
        <v>0.06478316549860499</v>
      </c>
      <c r="K1544">
        <v>0.0576559812417823</v>
      </c>
      <c r="L1544">
        <v>993.4840033547169</v>
      </c>
      <c r="M1544">
        <v>23.8789499926166</v>
      </c>
      <c r="N1544">
        <v>41.9488893392536</v>
      </c>
      <c r="O1544">
        <v>41.3165327739303</v>
      </c>
      <c r="P1544">
        <v>-0.131646439751894</v>
      </c>
      <c r="Q1544">
        <v>0.0888904489447407</v>
      </c>
      <c r="R1544">
        <v>0.9884746475694119</v>
      </c>
      <c r="S1544" t="s">
        <v>3737</v>
      </c>
      <c r="T1544" t="s">
        <v>4362</v>
      </c>
      <c r="U1544" t="s">
        <v>4362</v>
      </c>
      <c r="V1544" t="s">
        <v>4362</v>
      </c>
      <c r="W1544" t="s">
        <v>5902</v>
      </c>
      <c r="X1544">
        <v>3</v>
      </c>
      <c r="Y1544" t="s">
        <v>8065</v>
      </c>
      <c r="Z1544" t="s">
        <v>10232</v>
      </c>
      <c r="AA1544">
        <v>0.2381526124020885</v>
      </c>
      <c r="AB1544">
        <f>HYPERLINK("Melting_Curves/meltCurve_P37692_rfaF.pdf", "Melting_Curves/meltCurve_P37692_rfaF.pdf")</f>
        <v>0</v>
      </c>
    </row>
    <row r="1545" spans="1:28">
      <c r="A1545" t="s">
        <v>1571</v>
      </c>
      <c r="B1545">
        <v>0.999739202189716</v>
      </c>
      <c r="C1545">
        <v>0.534856190737798</v>
      </c>
      <c r="D1545">
        <v>0.265439711746713</v>
      </c>
      <c r="E1545">
        <v>0.201803976357391</v>
      </c>
      <c r="F1545">
        <v>0.128966705523698</v>
      </c>
      <c r="G1545">
        <v>0.0740003255024974</v>
      </c>
      <c r="H1545">
        <v>0.061697041923687</v>
      </c>
      <c r="I1545">
        <v>0.0458436669185969</v>
      </c>
      <c r="J1545">
        <v>0.0433928518545439</v>
      </c>
      <c r="K1545">
        <v>0.0355629851828675</v>
      </c>
      <c r="L1545">
        <v>951.03673497546</v>
      </c>
      <c r="M1545">
        <v>23.5759614141717</v>
      </c>
      <c r="N1545">
        <v>40.6236471096801</v>
      </c>
      <c r="O1545">
        <v>40.0523890326936</v>
      </c>
      <c r="P1545">
        <v>-0.135965226268766</v>
      </c>
      <c r="Q1545">
        <v>0.0760691192942676</v>
      </c>
      <c r="R1545">
        <v>0.967937969541884</v>
      </c>
      <c r="S1545" t="s">
        <v>3738</v>
      </c>
      <c r="T1545" t="s">
        <v>4362</v>
      </c>
      <c r="U1545" t="s">
        <v>4362</v>
      </c>
      <c r="V1545" t="s">
        <v>4362</v>
      </c>
      <c r="W1545" t="s">
        <v>5903</v>
      </c>
      <c r="X1545">
        <v>11</v>
      </c>
      <c r="Y1545" t="s">
        <v>8066</v>
      </c>
      <c r="Z1545" t="s">
        <v>10233</v>
      </c>
      <c r="AA1545">
        <v>0.1910742932050258</v>
      </c>
      <c r="AB1545">
        <f>HYPERLINK("Melting_Curves/meltCurve_P37744_rfbA.pdf", "Melting_Curves/meltCurve_P37744_rfbA.pdf")</f>
        <v>0</v>
      </c>
    </row>
    <row r="1546" spans="1:28">
      <c r="A1546" t="s">
        <v>1572</v>
      </c>
      <c r="B1546">
        <v>0.999739202189716</v>
      </c>
      <c r="C1546">
        <v>1.13469586467692</v>
      </c>
      <c r="D1546">
        <v>0.789344554884625</v>
      </c>
      <c r="E1546">
        <v>0.705682671345073</v>
      </c>
      <c r="F1546">
        <v>0.273240398354858</v>
      </c>
      <c r="G1546">
        <v>0.162872767374698</v>
      </c>
      <c r="H1546">
        <v>0.107371030017642</v>
      </c>
      <c r="I1546">
        <v>0.0863893711602053</v>
      </c>
      <c r="J1546">
        <v>0.0796623063348776</v>
      </c>
      <c r="K1546">
        <v>0.0612050804344001</v>
      </c>
      <c r="L1546">
        <v>972.881021808735</v>
      </c>
      <c r="M1546">
        <v>20.4062208705954</v>
      </c>
      <c r="N1546">
        <v>48.0317407796472</v>
      </c>
      <c r="O1546">
        <v>47.2249348036086</v>
      </c>
      <c r="P1546">
        <v>-0.100447554382189</v>
      </c>
      <c r="Q1546">
        <v>0.070187981003989</v>
      </c>
      <c r="R1546">
        <v>0.972883664866627</v>
      </c>
      <c r="S1546" t="s">
        <v>3739</v>
      </c>
      <c r="T1546" t="s">
        <v>4362</v>
      </c>
      <c r="U1546" t="s">
        <v>4362</v>
      </c>
      <c r="V1546" t="s">
        <v>4362</v>
      </c>
      <c r="W1546" t="s">
        <v>5904</v>
      </c>
      <c r="X1546">
        <v>2</v>
      </c>
      <c r="Y1546" t="s">
        <v>8067</v>
      </c>
      <c r="Z1546" t="s">
        <v>10234</v>
      </c>
      <c r="AA1546">
        <v>0.4128082891183737</v>
      </c>
      <c r="AB1546">
        <f>HYPERLINK("Melting_Curves/meltCurve_P37745_rfbC.pdf", "Melting_Curves/meltCurve_P37745_rfbC.pdf")</f>
        <v>0</v>
      </c>
    </row>
    <row r="1547" spans="1:28">
      <c r="A1547" t="s">
        <v>1573</v>
      </c>
      <c r="B1547">
        <v>0.999739202189716</v>
      </c>
      <c r="C1547">
        <v>0.771604282483502</v>
      </c>
      <c r="D1547">
        <v>0.499310711018555</v>
      </c>
      <c r="E1547">
        <v>0.347744795007147</v>
      </c>
      <c r="F1547">
        <v>0.306976472084961</v>
      </c>
      <c r="G1547">
        <v>0.190586129967052</v>
      </c>
      <c r="H1547">
        <v>0.190854559172503</v>
      </c>
      <c r="I1547">
        <v>0.139514719667117</v>
      </c>
      <c r="J1547">
        <v>0.119829077218096</v>
      </c>
      <c r="K1547">
        <v>0.09554303838332601</v>
      </c>
      <c r="L1547">
        <v>604.50434368698</v>
      </c>
      <c r="M1547">
        <v>14.105927619608</v>
      </c>
      <c r="N1547">
        <v>43.8457539944138</v>
      </c>
      <c r="O1547">
        <v>42.0209467390831</v>
      </c>
      <c r="P1547">
        <v>-0.0724750107342243</v>
      </c>
      <c r="Q1547">
        <v>0.136511671640163</v>
      </c>
      <c r="R1547">
        <v>0.976473108158785</v>
      </c>
      <c r="S1547" t="s">
        <v>3740</v>
      </c>
      <c r="T1547" t="s">
        <v>4362</v>
      </c>
      <c r="U1547" t="s">
        <v>4362</v>
      </c>
      <c r="V1547" t="s">
        <v>4362</v>
      </c>
      <c r="W1547" t="s">
        <v>5905</v>
      </c>
      <c r="X1547">
        <v>4</v>
      </c>
      <c r="Y1547" t="s">
        <v>8068</v>
      </c>
      <c r="Z1547" t="s">
        <v>10235</v>
      </c>
      <c r="AA1547">
        <v>0.3312921960683073</v>
      </c>
      <c r="AB1547">
        <f>HYPERLINK("Melting_Curves/meltCurve_P37747_glf.pdf", "Melting_Curves/meltCurve_P37747_glf.pdf")</f>
        <v>0</v>
      </c>
    </row>
    <row r="1548" spans="1:28">
      <c r="A1548" t="s">
        <v>1574</v>
      </c>
      <c r="B1548">
        <v>0.999739202189716</v>
      </c>
      <c r="C1548">
        <v>0.590646492896894</v>
      </c>
      <c r="D1548">
        <v>0.42938126454127</v>
      </c>
      <c r="E1548">
        <v>0.22939760159789</v>
      </c>
      <c r="F1548">
        <v>0.205034274014661</v>
      </c>
      <c r="G1548">
        <v>0.135592339249488</v>
      </c>
      <c r="H1548">
        <v>0.118550947046791</v>
      </c>
      <c r="I1548">
        <v>0.09881437576963351</v>
      </c>
      <c r="J1548">
        <v>0.08740626988039341</v>
      </c>
      <c r="K1548">
        <v>0.0715017158580723</v>
      </c>
      <c r="L1548">
        <v>690.220271820176</v>
      </c>
      <c r="M1548">
        <v>16.7194744537653</v>
      </c>
      <c r="N1548">
        <v>41.8822947695085</v>
      </c>
      <c r="O1548">
        <v>40.7054086219012</v>
      </c>
      <c r="P1548">
        <v>-0.0917576897401578</v>
      </c>
      <c r="Q1548">
        <v>0.106482002700353</v>
      </c>
      <c r="R1548">
        <v>0.967575596906163</v>
      </c>
      <c r="S1548" t="s">
        <v>3741</v>
      </c>
      <c r="T1548" t="s">
        <v>4362</v>
      </c>
      <c r="U1548" t="s">
        <v>4362</v>
      </c>
      <c r="V1548" t="s">
        <v>4362</v>
      </c>
      <c r="W1548" t="s">
        <v>5906</v>
      </c>
      <c r="X1548">
        <v>4</v>
      </c>
      <c r="Y1548" t="s">
        <v>8069</v>
      </c>
      <c r="Z1548" t="s">
        <v>10236</v>
      </c>
      <c r="AA1548">
        <v>0.256114479881593</v>
      </c>
      <c r="AB1548">
        <f>HYPERLINK("Melting_Curves/meltCurve_P37749_wbbI.pdf", "Melting_Curves/meltCurve_P37749_wbbI.pdf")</f>
        <v>0</v>
      </c>
    </row>
    <row r="1549" spans="1:28">
      <c r="A1549" t="s">
        <v>1575</v>
      </c>
      <c r="B1549">
        <v>0.999739202189716</v>
      </c>
      <c r="C1549">
        <v>0.825157383824803</v>
      </c>
      <c r="D1549">
        <v>0.820383503263247</v>
      </c>
      <c r="E1549">
        <v>0.599774745463369</v>
      </c>
      <c r="F1549">
        <v>0.394700831776331</v>
      </c>
      <c r="G1549">
        <v>0.297363967107418</v>
      </c>
      <c r="H1549">
        <v>0.249132550359348</v>
      </c>
      <c r="I1549">
        <v>0.218381901179581</v>
      </c>
      <c r="J1549">
        <v>0.187150956156921</v>
      </c>
      <c r="K1549">
        <v>0.166657733371587</v>
      </c>
      <c r="L1549">
        <v>544.919073654389</v>
      </c>
      <c r="M1549">
        <v>11.6334620927248</v>
      </c>
      <c r="N1549">
        <v>48.3330954263026</v>
      </c>
      <c r="O1549">
        <v>45.5207859181151</v>
      </c>
      <c r="P1549">
        <v>-0.0542652234996178</v>
      </c>
      <c r="Q1549">
        <v>0.150889049280921</v>
      </c>
      <c r="R1549">
        <v>0.988497876870842</v>
      </c>
      <c r="S1549" t="s">
        <v>3742</v>
      </c>
      <c r="T1549" t="s">
        <v>4362</v>
      </c>
      <c r="U1549" t="s">
        <v>4362</v>
      </c>
      <c r="V1549" t="s">
        <v>4362</v>
      </c>
      <c r="W1549" t="s">
        <v>5907</v>
      </c>
      <c r="X1549">
        <v>4</v>
      </c>
      <c r="Y1549" t="s">
        <v>8070</v>
      </c>
      <c r="Z1549" t="s">
        <v>10237</v>
      </c>
      <c r="AA1549">
        <v>0.4589557167027148</v>
      </c>
      <c r="AB1549">
        <f>HYPERLINK("Melting_Curves/meltCurve_P37750_wbbJ.pdf", "Melting_Curves/meltCurve_P37750_wbbJ.pdf")</f>
        <v>0</v>
      </c>
    </row>
    <row r="1550" spans="1:28">
      <c r="A1550" t="s">
        <v>1576</v>
      </c>
      <c r="B1550">
        <v>0.999739202189716</v>
      </c>
      <c r="C1550">
        <v>0.96501233596247</v>
      </c>
      <c r="D1550">
        <v>0.535710304869411</v>
      </c>
      <c r="E1550">
        <v>0.449819576922217</v>
      </c>
      <c r="F1550">
        <v>0.308659039540552</v>
      </c>
      <c r="G1550">
        <v>0.245806965351698</v>
      </c>
      <c r="H1550">
        <v>0.201380849551601</v>
      </c>
      <c r="I1550">
        <v>0.158447542641166</v>
      </c>
      <c r="J1550">
        <v>0.152876882466434</v>
      </c>
      <c r="K1550">
        <v>0.127424684605741</v>
      </c>
      <c r="L1550">
        <v>680.766409557978</v>
      </c>
      <c r="M1550">
        <v>15.4564778794826</v>
      </c>
      <c r="N1550">
        <v>45.2018650183453</v>
      </c>
      <c r="O1550">
        <v>43.3266043096967</v>
      </c>
      <c r="P1550">
        <v>-0.0746141240795488</v>
      </c>
      <c r="Q1550">
        <v>0.163461503418159</v>
      </c>
      <c r="R1550">
        <v>0.964510415887643</v>
      </c>
      <c r="S1550" t="s">
        <v>3743</v>
      </c>
      <c r="T1550" t="s">
        <v>4362</v>
      </c>
      <c r="U1550" t="s">
        <v>4362</v>
      </c>
      <c r="V1550" t="s">
        <v>4362</v>
      </c>
      <c r="W1550" t="s">
        <v>5908</v>
      </c>
      <c r="X1550">
        <v>5</v>
      </c>
      <c r="Y1550" t="s">
        <v>8071</v>
      </c>
      <c r="Z1550" t="s">
        <v>10238</v>
      </c>
      <c r="AA1550">
        <v>0.3793591685972375</v>
      </c>
      <c r="AB1550">
        <f>HYPERLINK("Melting_Curves/meltCurve_P37751_wbbK.pdf", "Melting_Curves/meltCurve_P37751_wbbK.pdf")</f>
        <v>0</v>
      </c>
    </row>
    <row r="1551" spans="1:28">
      <c r="A1551" t="s">
        <v>1577</v>
      </c>
      <c r="B1551">
        <v>0.999739202189716</v>
      </c>
      <c r="C1551">
        <v>1.09710228374174</v>
      </c>
      <c r="D1551">
        <v>0.748440301570202</v>
      </c>
      <c r="E1551">
        <v>0.914850860703581</v>
      </c>
      <c r="F1551">
        <v>0.514361922030146</v>
      </c>
      <c r="G1551">
        <v>0.308584507932617</v>
      </c>
      <c r="H1551">
        <v>0.233522606934264</v>
      </c>
      <c r="I1551">
        <v>0.17784033055811</v>
      </c>
      <c r="J1551">
        <v>0.186659482675572</v>
      </c>
      <c r="K1551">
        <v>0.173908689530069</v>
      </c>
      <c r="L1551">
        <v>944.450717848704</v>
      </c>
      <c r="M1551">
        <v>19.0090958430281</v>
      </c>
      <c r="N1551">
        <v>50.7460198861172</v>
      </c>
      <c r="O1551">
        <v>49.1440933447194</v>
      </c>
      <c r="P1551">
        <v>-0.0808362320535564</v>
      </c>
      <c r="Q1551">
        <v>0.164091693533353</v>
      </c>
      <c r="R1551">
        <v>0.94661176166802</v>
      </c>
      <c r="S1551" t="s">
        <v>3744</v>
      </c>
      <c r="T1551" t="s">
        <v>4362</v>
      </c>
      <c r="U1551" t="s">
        <v>4362</v>
      </c>
      <c r="V1551" t="s">
        <v>4362</v>
      </c>
      <c r="W1551" t="s">
        <v>5909</v>
      </c>
      <c r="X1551">
        <v>1</v>
      </c>
      <c r="Y1551" t="s">
        <v>8072</v>
      </c>
      <c r="Z1551" t="s">
        <v>10239</v>
      </c>
      <c r="AA1551">
        <v>0.5295587603723588</v>
      </c>
      <c r="AB1551">
        <f>HYPERLINK("Melting_Curves/meltCurve_P37757_yddE.pdf", "Melting_Curves/meltCurve_P37757_yddE.pdf")</f>
        <v>0</v>
      </c>
    </row>
    <row r="1552" spans="1:28">
      <c r="A1552" t="s">
        <v>1578</v>
      </c>
      <c r="B1552">
        <v>0.999739202189716</v>
      </c>
      <c r="C1552">
        <v>0.631837747508341</v>
      </c>
      <c r="D1552">
        <v>0.324450150417496</v>
      </c>
      <c r="E1552">
        <v>0.262508443312423</v>
      </c>
      <c r="F1552">
        <v>0.200908619934509</v>
      </c>
      <c r="G1552">
        <v>0.155781257551041</v>
      </c>
      <c r="H1552">
        <v>0.136200836197908</v>
      </c>
      <c r="I1552">
        <v>0.110866710788974</v>
      </c>
      <c r="J1552">
        <v>0.110225570661611</v>
      </c>
      <c r="K1552">
        <v>0.09824143397933049</v>
      </c>
      <c r="L1552">
        <v>934.5984976934531</v>
      </c>
      <c r="M1552">
        <v>22.9606591927574</v>
      </c>
      <c r="N1552">
        <v>41.3047284218815</v>
      </c>
      <c r="O1552">
        <v>40.3993526518886</v>
      </c>
      <c r="P1552">
        <v>-0.121928388487297</v>
      </c>
      <c r="Q1552">
        <v>0.141882654696202</v>
      </c>
      <c r="R1552">
        <v>0.974404521462276</v>
      </c>
      <c r="S1552" t="s">
        <v>3745</v>
      </c>
      <c r="T1552" t="s">
        <v>4362</v>
      </c>
      <c r="U1552" t="s">
        <v>4362</v>
      </c>
      <c r="V1552" t="s">
        <v>4362</v>
      </c>
      <c r="W1552" t="s">
        <v>5910</v>
      </c>
      <c r="X1552">
        <v>11</v>
      </c>
      <c r="Y1552" t="s">
        <v>8073</v>
      </c>
      <c r="Z1552" t="s">
        <v>10240</v>
      </c>
      <c r="AA1552">
        <v>0.259007074824208</v>
      </c>
      <c r="AB1552">
        <f>HYPERLINK("Melting_Curves/meltCurve_P37759_rfbB.pdf", "Melting_Curves/meltCurve_P37759_rfbB.pdf")</f>
        <v>0</v>
      </c>
    </row>
    <row r="1553" spans="1:28">
      <c r="A1553" t="s">
        <v>1579</v>
      </c>
      <c r="B1553">
        <v>0.999739202189716</v>
      </c>
      <c r="C1553">
        <v>0.702069339651437</v>
      </c>
      <c r="D1553">
        <v>0.528403009598557</v>
      </c>
      <c r="E1553">
        <v>0.354715901139656</v>
      </c>
      <c r="F1553">
        <v>0.249180117671584</v>
      </c>
      <c r="G1553">
        <v>0.163263896903479</v>
      </c>
      <c r="H1553">
        <v>0.112807349399491</v>
      </c>
      <c r="I1553">
        <v>0.0854732216781225</v>
      </c>
      <c r="J1553">
        <v>0.0838937725619778</v>
      </c>
      <c r="K1553">
        <v>0.0764737151684468</v>
      </c>
      <c r="L1553">
        <v>536.087614202433</v>
      </c>
      <c r="M1553">
        <v>12.3999481492429</v>
      </c>
      <c r="N1553">
        <v>43.8081646402342</v>
      </c>
      <c r="O1553">
        <v>42.1548306686965</v>
      </c>
      <c r="P1553">
        <v>-0.0680288932915569</v>
      </c>
      <c r="Q1553">
        <v>0.0751134963266236</v>
      </c>
      <c r="R1553">
        <v>0.982243518697674</v>
      </c>
      <c r="S1553" t="s">
        <v>3746</v>
      </c>
      <c r="T1553" t="s">
        <v>4362</v>
      </c>
      <c r="U1553" t="s">
        <v>4362</v>
      </c>
      <c r="V1553" t="s">
        <v>4362</v>
      </c>
      <c r="W1553" t="s">
        <v>5911</v>
      </c>
      <c r="X1553">
        <v>6</v>
      </c>
      <c r="Y1553" t="s">
        <v>8074</v>
      </c>
      <c r="Z1553" t="s">
        <v>10241</v>
      </c>
      <c r="AA1553">
        <v>0.3027152758492313</v>
      </c>
      <c r="AB1553">
        <f>HYPERLINK("Melting_Curves/meltCurve_P37760_rfbD.pdf", "Melting_Curves/meltCurve_P37760_rfbD.pdf")</f>
        <v>0</v>
      </c>
    </row>
    <row r="1554" spans="1:28">
      <c r="A1554" t="s">
        <v>1580</v>
      </c>
      <c r="B1554">
        <v>0.999739202189716</v>
      </c>
      <c r="C1554">
        <v>0.755810775304533</v>
      </c>
      <c r="D1554">
        <v>0.466474428829109</v>
      </c>
      <c r="E1554">
        <v>0.155632456702965</v>
      </c>
      <c r="F1554">
        <v>0.10873930483259</v>
      </c>
      <c r="G1554">
        <v>0.0755511555448824</v>
      </c>
      <c r="H1554">
        <v>0.0568040903697538</v>
      </c>
      <c r="I1554">
        <v>0.0445910082240387</v>
      </c>
      <c r="J1554">
        <v>0.0404693957535408</v>
      </c>
      <c r="K1554">
        <v>0.0371739100110025</v>
      </c>
      <c r="L1554">
        <v>860.90783214595</v>
      </c>
      <c r="M1554">
        <v>20.3409873730582</v>
      </c>
      <c r="N1554">
        <v>42.5384170181804</v>
      </c>
      <c r="O1554">
        <v>41.921094352376</v>
      </c>
      <c r="P1554">
        <v>-0.115392640088142</v>
      </c>
      <c r="Q1554">
        <v>0.0487699685032439</v>
      </c>
      <c r="R1554">
        <v>0.9954589676126629</v>
      </c>
      <c r="S1554" t="s">
        <v>3747</v>
      </c>
      <c r="T1554" t="s">
        <v>4362</v>
      </c>
      <c r="U1554" t="s">
        <v>4362</v>
      </c>
      <c r="V1554" t="s">
        <v>4362</v>
      </c>
      <c r="W1554" t="s">
        <v>5912</v>
      </c>
      <c r="X1554">
        <v>12</v>
      </c>
      <c r="Y1554" t="s">
        <v>8075</v>
      </c>
      <c r="Z1554" t="s">
        <v>10242</v>
      </c>
      <c r="AA1554">
        <v>0.2309495087918743</v>
      </c>
      <c r="AB1554">
        <f>HYPERLINK("Melting_Curves/meltCurve_P37765_rluB.pdf", "Melting_Curves/meltCurve_P37765_rluB.pdf")</f>
        <v>0</v>
      </c>
    </row>
    <row r="1555" spans="1:28">
      <c r="A1555" t="s">
        <v>1581</v>
      </c>
      <c r="B1555">
        <v>0.999739202189716</v>
      </c>
      <c r="C1555">
        <v>1.07210423074828</v>
      </c>
      <c r="D1555">
        <v>1.07592026594858</v>
      </c>
      <c r="E1555">
        <v>0.9116774368871809</v>
      </c>
      <c r="F1555">
        <v>0.676605787863659</v>
      </c>
      <c r="G1555">
        <v>0.505654239010396</v>
      </c>
      <c r="H1555">
        <v>0.393892266653293</v>
      </c>
      <c r="I1555">
        <v>0.237072517650225</v>
      </c>
      <c r="J1555">
        <v>0.186679317743688</v>
      </c>
      <c r="K1555">
        <v>0.158141528569969</v>
      </c>
      <c r="L1555">
        <v>793.938938930823</v>
      </c>
      <c r="M1555">
        <v>15.0254404729263</v>
      </c>
      <c r="N1555">
        <v>54.009197107364</v>
      </c>
      <c r="O1555">
        <v>51.9301902679117</v>
      </c>
      <c r="P1555">
        <v>-0.0622959032204841</v>
      </c>
      <c r="Q1555">
        <v>0.138870257457769</v>
      </c>
      <c r="R1555">
        <v>0.981484794799833</v>
      </c>
      <c r="S1555" t="s">
        <v>3748</v>
      </c>
      <c r="T1555" t="s">
        <v>4362</v>
      </c>
      <c r="U1555" t="s">
        <v>4362</v>
      </c>
      <c r="V1555" t="s">
        <v>4362</v>
      </c>
      <c r="W1555" t="s">
        <v>5913</v>
      </c>
      <c r="X1555">
        <v>3</v>
      </c>
      <c r="Y1555" t="s">
        <v>8076</v>
      </c>
      <c r="Z1555" t="s">
        <v>10243</v>
      </c>
      <c r="AA1555">
        <v>0.6090770155108454</v>
      </c>
      <c r="AB1555">
        <f>HYPERLINK("Melting_Curves/meltCurve_P37767_yfhH.pdf", "Melting_Curves/meltCurve_P37767_yfhH.pdf")</f>
        <v>0</v>
      </c>
    </row>
    <row r="1556" spans="1:28">
      <c r="A1556" t="s">
        <v>1582</v>
      </c>
      <c r="B1556">
        <v>0.999739202189716</v>
      </c>
      <c r="C1556">
        <v>0.587096430088527</v>
      </c>
      <c r="D1556">
        <v>0.435435820626334</v>
      </c>
      <c r="E1556">
        <v>0.278035899956006</v>
      </c>
      <c r="F1556">
        <v>0.206126801261828</v>
      </c>
      <c r="G1556">
        <v>0.163506942520086</v>
      </c>
      <c r="H1556">
        <v>0.135180937148197</v>
      </c>
      <c r="I1556">
        <v>0.0964082122820842</v>
      </c>
      <c r="J1556">
        <v>0.0946638251333759</v>
      </c>
      <c r="K1556">
        <v>0.110836500426848</v>
      </c>
      <c r="L1556">
        <v>655.304241173034</v>
      </c>
      <c r="M1556">
        <v>15.8616872380008</v>
      </c>
      <c r="N1556">
        <v>42.0491716768009</v>
      </c>
      <c r="O1556">
        <v>40.673710197809</v>
      </c>
      <c r="P1556">
        <v>-0.08569003634995009</v>
      </c>
      <c r="Q1556">
        <v>0.121140434685319</v>
      </c>
      <c r="R1556">
        <v>0.9637363538163251</v>
      </c>
      <c r="S1556" t="s">
        <v>3749</v>
      </c>
      <c r="T1556" t="s">
        <v>4362</v>
      </c>
      <c r="U1556" t="s">
        <v>4362</v>
      </c>
      <c r="V1556" t="s">
        <v>4362</v>
      </c>
      <c r="W1556" t="s">
        <v>5914</v>
      </c>
      <c r="X1556">
        <v>2</v>
      </c>
      <c r="Y1556" t="s">
        <v>8077</v>
      </c>
      <c r="Z1556" t="s">
        <v>10244</v>
      </c>
      <c r="AA1556">
        <v>0.2717910430226316</v>
      </c>
      <c r="AB1556">
        <f>HYPERLINK("Melting_Curves/meltCurve_P37769_kduD.pdf", "Melting_Curves/meltCurve_P37769_kduD.pdf")</f>
        <v>0</v>
      </c>
    </row>
    <row r="1557" spans="1:28">
      <c r="A1557" t="s">
        <v>1583</v>
      </c>
      <c r="B1557">
        <v>0.999739202189716</v>
      </c>
      <c r="C1557">
        <v>0.865411586281197</v>
      </c>
      <c r="D1557">
        <v>0.894479451572754</v>
      </c>
      <c r="E1557">
        <v>0.591376627792495</v>
      </c>
      <c r="F1557">
        <v>0.500482418094797</v>
      </c>
      <c r="G1557">
        <v>0.336041861442592</v>
      </c>
      <c r="H1557">
        <v>0.164210502373999</v>
      </c>
      <c r="I1557">
        <v>0.107005092295484</v>
      </c>
      <c r="J1557">
        <v>0.0948423545666921</v>
      </c>
      <c r="K1557">
        <v>0.0782361756333043</v>
      </c>
      <c r="L1557">
        <v>509.651547395114</v>
      </c>
      <c r="M1557">
        <v>10.2853928904295</v>
      </c>
      <c r="N1557">
        <v>49.550997958458</v>
      </c>
      <c r="O1557">
        <v>47.7875326529176</v>
      </c>
      <c r="P1557">
        <v>-0.0538314156359853</v>
      </c>
      <c r="Q1557">
        <v>0</v>
      </c>
      <c r="R1557">
        <v>0.9857170794580929</v>
      </c>
      <c r="S1557" t="s">
        <v>3750</v>
      </c>
      <c r="T1557" t="s">
        <v>4362</v>
      </c>
      <c r="U1557" t="s">
        <v>4362</v>
      </c>
      <c r="V1557" t="s">
        <v>4362</v>
      </c>
      <c r="W1557" t="s">
        <v>5915</v>
      </c>
      <c r="X1557">
        <v>9</v>
      </c>
      <c r="Y1557" t="s">
        <v>8078</v>
      </c>
      <c r="Z1557" t="s">
        <v>10245</v>
      </c>
      <c r="AA1557">
        <v>0.4527397992080548</v>
      </c>
      <c r="AB1557">
        <f>HYPERLINK("Melting_Curves/meltCurve_P37773_mpl.pdf", "Melting_Curves/meltCurve_P37773_mpl.pdf")</f>
        <v>0</v>
      </c>
    </row>
    <row r="1558" spans="1:28">
      <c r="A1558" t="s">
        <v>1584</v>
      </c>
      <c r="B1558">
        <v>0.999739202189716</v>
      </c>
      <c r="C1558">
        <v>0.840855154799123</v>
      </c>
      <c r="D1558">
        <v>0.490025526306333</v>
      </c>
      <c r="E1558">
        <v>0.510654009118499</v>
      </c>
      <c r="F1558">
        <v>0.378402561187862</v>
      </c>
      <c r="G1558">
        <v>0.292047062503165</v>
      </c>
      <c r="H1558">
        <v>0.283343735899536</v>
      </c>
      <c r="I1558">
        <v>0.257655032920607</v>
      </c>
      <c r="J1558">
        <v>0.252672942712702</v>
      </c>
      <c r="K1558">
        <v>0.290663127473312</v>
      </c>
      <c r="L1558">
        <v>669.0998062836589</v>
      </c>
      <c r="M1558">
        <v>15.7564888396754</v>
      </c>
      <c r="N1558">
        <v>44.7740434129264</v>
      </c>
      <c r="O1558">
        <v>41.7986708903094</v>
      </c>
      <c r="P1558">
        <v>-0.0680339587890358</v>
      </c>
      <c r="Q1558">
        <v>0.278140652811293</v>
      </c>
      <c r="R1558">
        <v>0.951983823086815</v>
      </c>
      <c r="S1558" t="s">
        <v>3751</v>
      </c>
      <c r="T1558" t="s">
        <v>4362</v>
      </c>
      <c r="U1558" t="s">
        <v>4362</v>
      </c>
      <c r="V1558" t="s">
        <v>4362</v>
      </c>
      <c r="W1558" t="s">
        <v>5916</v>
      </c>
      <c r="X1558">
        <v>2</v>
      </c>
      <c r="Y1558" t="s">
        <v>8079</v>
      </c>
      <c r="Z1558" t="s">
        <v>10246</v>
      </c>
      <c r="AA1558">
        <v>0.427539485668367</v>
      </c>
      <c r="AB1558">
        <f>HYPERLINK("Melting_Curves/meltCurve_P37774_yecC.pdf", "Melting_Curves/meltCurve_P37774_yecC.pdf")</f>
        <v>0</v>
      </c>
    </row>
    <row r="1559" spans="1:28">
      <c r="A1559" t="s">
        <v>1585</v>
      </c>
      <c r="B1559">
        <v>0.999739202189716</v>
      </c>
      <c r="C1559">
        <v>1.0353538427636</v>
      </c>
      <c r="D1559">
        <v>0.68477469331898</v>
      </c>
      <c r="E1559">
        <v>0.733629950298101</v>
      </c>
      <c r="F1559">
        <v>0.6735689000159</v>
      </c>
      <c r="G1559">
        <v>0.517236417650996</v>
      </c>
      <c r="H1559">
        <v>0.426598110396384</v>
      </c>
      <c r="I1559">
        <v>0.359118695934872</v>
      </c>
      <c r="J1559">
        <v>0.313849145751761</v>
      </c>
      <c r="K1559">
        <v>0.215103468563151</v>
      </c>
      <c r="L1559">
        <v>338.998156331656</v>
      </c>
      <c r="M1559">
        <v>6.22973923017372</v>
      </c>
      <c r="N1559">
        <v>54.6446531819114</v>
      </c>
      <c r="O1559">
        <v>49.6134695554601</v>
      </c>
      <c r="P1559">
        <v>-0.0310754220830789</v>
      </c>
      <c r="Q1559">
        <v>0.012859399164706</v>
      </c>
      <c r="R1559">
        <v>0.9333388837996111</v>
      </c>
      <c r="S1559" t="s">
        <v>3752</v>
      </c>
      <c r="T1559" t="s">
        <v>4362</v>
      </c>
      <c r="U1559" t="s">
        <v>4362</v>
      </c>
      <c r="V1559" t="s">
        <v>4362</v>
      </c>
      <c r="W1559" t="s">
        <v>5917</v>
      </c>
      <c r="X1559">
        <v>4</v>
      </c>
      <c r="Y1559" t="s">
        <v>8080</v>
      </c>
      <c r="Z1559" t="s">
        <v>10247</v>
      </c>
      <c r="AA1559">
        <v>0.5894580197233067</v>
      </c>
      <c r="AB1559">
        <f>HYPERLINK("Melting_Curves/meltCurve_P37794_chbG.pdf", "Melting_Curves/meltCurve_P37794_chbG.pdf")</f>
        <v>0</v>
      </c>
    </row>
    <row r="1560" spans="1:28">
      <c r="A1560" t="s">
        <v>1586</v>
      </c>
      <c r="B1560">
        <v>0.999739202189716</v>
      </c>
      <c r="C1560">
        <v>0.957269386252149</v>
      </c>
      <c r="D1560">
        <v>0.97563216235226</v>
      </c>
      <c r="E1560">
        <v>1.11504836554608</v>
      </c>
      <c r="F1560">
        <v>0.965260807913165</v>
      </c>
      <c r="G1560">
        <v>0.858776493049192</v>
      </c>
      <c r="H1560">
        <v>0.804232133393424</v>
      </c>
      <c r="I1560">
        <v>0.70945554896201</v>
      </c>
      <c r="J1560">
        <v>0.738135332906572</v>
      </c>
      <c r="K1560">
        <v>0.60305488172706</v>
      </c>
      <c r="L1560">
        <v>951.371668864312</v>
      </c>
      <c r="M1560">
        <v>16.7443131577748</v>
      </c>
      <c r="O1560">
        <v>56.0257542219353</v>
      </c>
      <c r="P1560">
        <v>-0.0279272717482587</v>
      </c>
      <c r="Q1560">
        <v>0.626250677615498</v>
      </c>
      <c r="R1560">
        <v>0.884889788818194</v>
      </c>
      <c r="S1560" t="s">
        <v>3753</v>
      </c>
      <c r="T1560" t="s">
        <v>4362</v>
      </c>
      <c r="U1560" t="s">
        <v>4362</v>
      </c>
      <c r="V1560" t="s">
        <v>4362</v>
      </c>
      <c r="W1560" t="s">
        <v>5918</v>
      </c>
      <c r="X1560">
        <v>16</v>
      </c>
      <c r="Y1560" t="s">
        <v>8081</v>
      </c>
      <c r="Z1560" t="s">
        <v>10248</v>
      </c>
      <c r="AA1560">
        <v>0.8766412531493429</v>
      </c>
      <c r="AB1560">
        <f>HYPERLINK("Melting_Curves/meltCurve_P37902_gltI.pdf", "Melting_Curves/meltCurve_P37902_gltI.pdf")</f>
        <v>0</v>
      </c>
    </row>
    <row r="1561" spans="1:28">
      <c r="A1561" t="s">
        <v>1587</v>
      </c>
      <c r="B1561">
        <v>0.999739202189716</v>
      </c>
      <c r="C1561">
        <v>1.05526106733553</v>
      </c>
      <c r="D1561">
        <v>0.713848397438422</v>
      </c>
      <c r="E1561">
        <v>1.07225082508691</v>
      </c>
      <c r="F1561">
        <v>0.862609474318263</v>
      </c>
      <c r="G1561">
        <v>0.77746045676326</v>
      </c>
      <c r="H1561">
        <v>0.654443242260189</v>
      </c>
      <c r="I1561">
        <v>0.578237879350333</v>
      </c>
      <c r="J1561">
        <v>0.435708967503741</v>
      </c>
      <c r="K1561">
        <v>0.406160696220597</v>
      </c>
      <c r="L1561">
        <v>459.504481727314</v>
      </c>
      <c r="M1561">
        <v>7.29975740168332</v>
      </c>
      <c r="N1561">
        <v>62.9479109678733</v>
      </c>
      <c r="O1561">
        <v>58.7399619094282</v>
      </c>
      <c r="P1561">
        <v>-0.031117476560057</v>
      </c>
      <c r="Q1561">
        <v>0</v>
      </c>
      <c r="R1561">
        <v>0.826799473885996</v>
      </c>
      <c r="S1561" t="s">
        <v>3754</v>
      </c>
      <c r="T1561" t="s">
        <v>4362</v>
      </c>
      <c r="U1561" t="s">
        <v>4362</v>
      </c>
      <c r="V1561" t="s">
        <v>4362</v>
      </c>
      <c r="W1561" t="s">
        <v>5919</v>
      </c>
      <c r="X1561">
        <v>5</v>
      </c>
      <c r="Y1561" t="s">
        <v>8082</v>
      </c>
      <c r="Z1561" t="s">
        <v>10249</v>
      </c>
      <c r="AA1561">
        <v>0.771939623070223</v>
      </c>
      <c r="AB1561">
        <f>HYPERLINK("Melting_Curves/meltCurve_P37903_uspF.pdf", "Melting_Curves/meltCurve_P37903_uspF.pdf")</f>
        <v>0</v>
      </c>
    </row>
    <row r="1562" spans="1:28">
      <c r="A1562" t="s">
        <v>1588</v>
      </c>
      <c r="B1562">
        <v>0.999739202189716</v>
      </c>
      <c r="C1562">
        <v>1.22219556742479</v>
      </c>
      <c r="D1562">
        <v>0.9804470023662319</v>
      </c>
      <c r="E1562">
        <v>0.917684794457873</v>
      </c>
      <c r="F1562">
        <v>0.587242278582879</v>
      </c>
      <c r="G1562">
        <v>0.214278135449939</v>
      </c>
      <c r="H1562">
        <v>0.115127543715722</v>
      </c>
      <c r="I1562">
        <v>0.0819061419285487</v>
      </c>
      <c r="J1562">
        <v>0.0643660333560208</v>
      </c>
      <c r="K1562">
        <v>0.0588523729008396</v>
      </c>
      <c r="L1562">
        <v>1388.57418245485</v>
      </c>
      <c r="M1562">
        <v>27.4365575954045</v>
      </c>
      <c r="N1562">
        <v>50.8768632209782</v>
      </c>
      <c r="O1562">
        <v>50.34379116997</v>
      </c>
      <c r="P1562">
        <v>-0.127127782725505</v>
      </c>
      <c r="Q1562">
        <v>0.0669332176306149</v>
      </c>
      <c r="R1562">
        <v>0.974504671352673</v>
      </c>
      <c r="S1562" t="s">
        <v>3755</v>
      </c>
      <c r="T1562" t="s">
        <v>4362</v>
      </c>
      <c r="U1562" t="s">
        <v>4362</v>
      </c>
      <c r="V1562" t="s">
        <v>4362</v>
      </c>
      <c r="W1562" t="s">
        <v>5920</v>
      </c>
      <c r="X1562">
        <v>17</v>
      </c>
      <c r="Y1562" t="s">
        <v>8083</v>
      </c>
      <c r="Z1562" t="s">
        <v>10250</v>
      </c>
      <c r="AA1562">
        <v>0.4971221944206506</v>
      </c>
      <c r="AB1562">
        <f>HYPERLINK("Melting_Curves/meltCurve_P38038_cysJ.pdf", "Melting_Curves/meltCurve_P38038_cysJ.pdf")</f>
        <v>0</v>
      </c>
    </row>
    <row r="1563" spans="1:28">
      <c r="A1563" t="s">
        <v>1589</v>
      </c>
      <c r="B1563">
        <v>0.999739202189716</v>
      </c>
      <c r="C1563">
        <v>1.08169984969863</v>
      </c>
      <c r="D1563">
        <v>1.07494519849189</v>
      </c>
      <c r="E1563">
        <v>0.820623697089624</v>
      </c>
      <c r="F1563">
        <v>0.520739118149094</v>
      </c>
      <c r="G1563">
        <v>0.175405718536681</v>
      </c>
      <c r="H1563">
        <v>0.07669536322125629</v>
      </c>
      <c r="I1563">
        <v>0.0475984725210105</v>
      </c>
      <c r="J1563">
        <v>0.0340158859519643</v>
      </c>
      <c r="K1563">
        <v>0.0389608389813202</v>
      </c>
      <c r="L1563">
        <v>1212.66508686604</v>
      </c>
      <c r="M1563">
        <v>24.2163541669543</v>
      </c>
      <c r="N1563">
        <v>50.2184698026</v>
      </c>
      <c r="O1563">
        <v>49.7385286335627</v>
      </c>
      <c r="P1563">
        <v>-0.117687129378059</v>
      </c>
      <c r="Q1563">
        <v>0.0331330307011481</v>
      </c>
      <c r="R1563">
        <v>0.990763485821433</v>
      </c>
      <c r="S1563" t="s">
        <v>3756</v>
      </c>
      <c r="T1563" t="s">
        <v>4362</v>
      </c>
      <c r="U1563" t="s">
        <v>4362</v>
      </c>
      <c r="V1563" t="s">
        <v>4362</v>
      </c>
      <c r="W1563" t="s">
        <v>5921</v>
      </c>
      <c r="X1563">
        <v>4</v>
      </c>
      <c r="Y1563" t="s">
        <v>8084</v>
      </c>
      <c r="Z1563" t="s">
        <v>10251</v>
      </c>
      <c r="AA1563">
        <v>0.4635556829036218</v>
      </c>
      <c r="AB1563">
        <f>HYPERLINK("Melting_Curves/meltCurve_P38051_menF.pdf", "Melting_Curves/meltCurve_P38051_menF.pdf")</f>
        <v>0</v>
      </c>
    </row>
    <row r="1564" spans="1:28">
      <c r="A1564" t="s">
        <v>1590</v>
      </c>
      <c r="B1564">
        <v>0.999739202189716</v>
      </c>
      <c r="C1564">
        <v>1.18512019519481</v>
      </c>
      <c r="D1564">
        <v>0.649843574060615</v>
      </c>
      <c r="E1564">
        <v>0.455700023131724</v>
      </c>
      <c r="F1564">
        <v>0.390532296993225</v>
      </c>
      <c r="G1564">
        <v>0.217685624180495</v>
      </c>
      <c r="H1564">
        <v>0.216429852368027</v>
      </c>
      <c r="I1564">
        <v>0.108212991619932</v>
      </c>
      <c r="J1564">
        <v>0.123074533411103</v>
      </c>
      <c r="K1564">
        <v>0.09222255136047081</v>
      </c>
      <c r="L1564">
        <v>758.656766687147</v>
      </c>
      <c r="M1564">
        <v>16.5863850049691</v>
      </c>
      <c r="N1564">
        <v>46.6223399667981</v>
      </c>
      <c r="O1564">
        <v>45.0903642157207</v>
      </c>
      <c r="P1564">
        <v>-0.0795764173271901</v>
      </c>
      <c r="Q1564">
        <v>0.134739625029352</v>
      </c>
      <c r="R1564">
        <v>0.925812017682614</v>
      </c>
      <c r="S1564" t="s">
        <v>3757</v>
      </c>
      <c r="T1564" t="s">
        <v>4362</v>
      </c>
      <c r="U1564" t="s">
        <v>4362</v>
      </c>
      <c r="V1564" t="s">
        <v>4362</v>
      </c>
      <c r="W1564" t="s">
        <v>5922</v>
      </c>
      <c r="X1564">
        <v>1</v>
      </c>
      <c r="Y1564" t="s">
        <v>8085</v>
      </c>
      <c r="Z1564" t="s">
        <v>10252</v>
      </c>
      <c r="AA1564">
        <v>0.4033268001777437</v>
      </c>
      <c r="AB1564">
        <f>HYPERLINK("Melting_Curves/meltCurve_P38097_yegE.pdf", "Melting_Curves/meltCurve_P38097_yegE.pdf")</f>
        <v>0</v>
      </c>
    </row>
    <row r="1565" spans="1:28">
      <c r="A1565" t="s">
        <v>1591</v>
      </c>
      <c r="B1565">
        <v>0.999739202189716</v>
      </c>
      <c r="C1565">
        <v>0.856634154863823</v>
      </c>
      <c r="D1565">
        <v>1.44260005558913</v>
      </c>
      <c r="E1565">
        <v>0.754351788110545</v>
      </c>
      <c r="F1565">
        <v>0.648563333567432</v>
      </c>
      <c r="G1565">
        <v>0.668241170952067</v>
      </c>
      <c r="H1565">
        <v>0.257683602983455</v>
      </c>
      <c r="I1565">
        <v>0.230412781634683</v>
      </c>
      <c r="J1565">
        <v>0.232701926962135</v>
      </c>
      <c r="K1565">
        <v>0.0437781900677551</v>
      </c>
      <c r="L1565">
        <v>734.556681097318</v>
      </c>
      <c r="M1565">
        <v>13.605712263815</v>
      </c>
      <c r="N1565">
        <v>54.4091152307077</v>
      </c>
      <c r="O1565">
        <v>52.8625900305168</v>
      </c>
      <c r="P1565">
        <v>-0.0611441733003586</v>
      </c>
      <c r="Q1565">
        <v>0.0498810546690072</v>
      </c>
      <c r="R1565">
        <v>0.814279448236548</v>
      </c>
      <c r="S1565" t="s">
        <v>3758</v>
      </c>
      <c r="T1565" t="s">
        <v>4362</v>
      </c>
      <c r="U1565" t="s">
        <v>4362</v>
      </c>
      <c r="V1565" t="s">
        <v>4362</v>
      </c>
      <c r="W1565" t="s">
        <v>5923</v>
      </c>
      <c r="X1565">
        <v>1</v>
      </c>
      <c r="Y1565" t="s">
        <v>8086</v>
      </c>
      <c r="Z1565" t="s">
        <v>10253</v>
      </c>
      <c r="AA1565">
        <v>0.6042820047468902</v>
      </c>
      <c r="AB1565">
        <f>HYPERLINK("Melting_Curves/meltCurve_P38104_rspA.pdf", "Melting_Curves/meltCurve_P38104_rspA.pdf")</f>
        <v>0</v>
      </c>
    </row>
    <row r="1566" spans="1:28">
      <c r="A1566" t="s">
        <v>1592</v>
      </c>
      <c r="B1566">
        <v>0.999739202189716</v>
      </c>
      <c r="C1566">
        <v>1.07159563351289</v>
      </c>
      <c r="D1566">
        <v>0.594910990897532</v>
      </c>
      <c r="E1566">
        <v>0.66470319990725</v>
      </c>
      <c r="F1566">
        <v>1.2292782512262</v>
      </c>
      <c r="G1566">
        <v>0.44991623911295</v>
      </c>
      <c r="H1566">
        <v>0.928406732405776</v>
      </c>
      <c r="I1566">
        <v>0.786217355906773</v>
      </c>
      <c r="J1566">
        <v>1.84261037905348</v>
      </c>
      <c r="K1566">
        <v>0.741268230881486</v>
      </c>
      <c r="L1566">
        <v>5108.31224399125</v>
      </c>
      <c r="M1566">
        <v>82.2528435609275</v>
      </c>
      <c r="O1566">
        <v>62.0683103361536</v>
      </c>
      <c r="P1566">
        <v>0.0847124059106629</v>
      </c>
      <c r="Q1566">
        <v>1.25569719208371</v>
      </c>
      <c r="R1566">
        <v>0.0539527069819558</v>
      </c>
      <c r="S1566" t="s">
        <v>3759</v>
      </c>
      <c r="T1566" t="s">
        <v>4362</v>
      </c>
      <c r="U1566" t="s">
        <v>4362</v>
      </c>
      <c r="V1566" t="s">
        <v>4362</v>
      </c>
      <c r="W1566" t="s">
        <v>5924</v>
      </c>
      <c r="X1566">
        <v>1</v>
      </c>
      <c r="Y1566" t="s">
        <v>8087</v>
      </c>
      <c r="Z1566" t="s">
        <v>10254</v>
      </c>
      <c r="AA1566">
        <v>1.041482265525065</v>
      </c>
      <c r="AB1566">
        <f>HYPERLINK("Melting_Curves/meltCurve_P38392_sieB.pdf", "Melting_Curves/meltCurve_P38392_sieB.pdf")</f>
        <v>0</v>
      </c>
    </row>
    <row r="1567" spans="1:28">
      <c r="A1567" t="s">
        <v>1593</v>
      </c>
      <c r="B1567">
        <v>0.999739202189716</v>
      </c>
      <c r="C1567">
        <v>0.834210554890204</v>
      </c>
      <c r="D1567">
        <v>0.663010847031969</v>
      </c>
      <c r="E1567">
        <v>0.46953137891486</v>
      </c>
      <c r="F1567">
        <v>0.29313155289414</v>
      </c>
      <c r="G1567">
        <v>0.155012419222637</v>
      </c>
      <c r="H1567">
        <v>0.11330713355074</v>
      </c>
      <c r="I1567">
        <v>0.08097951708114461</v>
      </c>
      <c r="J1567">
        <v>0.0754896709621825</v>
      </c>
      <c r="K1567">
        <v>0.0624374542217727</v>
      </c>
      <c r="L1567">
        <v>551.152052695792</v>
      </c>
      <c r="M1567">
        <v>12.1028017638861</v>
      </c>
      <c r="N1567">
        <v>45.8729227900719</v>
      </c>
      <c r="O1567">
        <v>44.349420837683</v>
      </c>
      <c r="P1567">
        <v>-0.0653645036482101</v>
      </c>
      <c r="Q1567">
        <v>0.0421385101901928</v>
      </c>
      <c r="R1567">
        <v>0.995732905439215</v>
      </c>
      <c r="S1567" t="s">
        <v>3760</v>
      </c>
      <c r="T1567" t="s">
        <v>4362</v>
      </c>
      <c r="U1567" t="s">
        <v>4362</v>
      </c>
      <c r="V1567" t="s">
        <v>4362</v>
      </c>
      <c r="W1567" t="s">
        <v>5925</v>
      </c>
      <c r="X1567">
        <v>12</v>
      </c>
      <c r="Y1567" t="s">
        <v>8088</v>
      </c>
      <c r="Z1567" t="s">
        <v>10255</v>
      </c>
      <c r="AA1567">
        <v>0.3481137790773029</v>
      </c>
      <c r="AB1567">
        <f>HYPERLINK("Melting_Curves/meltCurve_P38489_nfsB.pdf", "Melting_Curves/meltCurve_P38489_nfsB.pdf")</f>
        <v>0</v>
      </c>
    </row>
    <row r="1568" spans="1:28">
      <c r="A1568" t="s">
        <v>1594</v>
      </c>
      <c r="B1568">
        <v>0.999739202189716</v>
      </c>
      <c r="C1568">
        <v>1.01929699617993</v>
      </c>
      <c r="D1568">
        <v>1.17701601270722</v>
      </c>
      <c r="E1568">
        <v>1.29313082422351</v>
      </c>
      <c r="F1568">
        <v>1.1586395554604</v>
      </c>
      <c r="G1568">
        <v>1.00583693661662</v>
      </c>
      <c r="H1568">
        <v>0.91388948623989</v>
      </c>
      <c r="I1568">
        <v>0.648493905116153</v>
      </c>
      <c r="J1568">
        <v>0.434118975013899</v>
      </c>
      <c r="K1568">
        <v>0.308572107723649</v>
      </c>
      <c r="L1568">
        <v>1855.7046984487</v>
      </c>
      <c r="M1568">
        <v>30.2884407877842</v>
      </c>
      <c r="N1568">
        <v>62.8457877038341</v>
      </c>
      <c r="O1568">
        <v>61.0025394372282</v>
      </c>
      <c r="P1568">
        <v>-0.0910742346504239</v>
      </c>
      <c r="Q1568">
        <v>0.266291099192518</v>
      </c>
      <c r="R1568">
        <v>0.850779666335976</v>
      </c>
      <c r="S1568" t="s">
        <v>3761</v>
      </c>
      <c r="T1568" t="s">
        <v>4362</v>
      </c>
      <c r="U1568" t="s">
        <v>4362</v>
      </c>
      <c r="V1568" t="s">
        <v>4362</v>
      </c>
      <c r="W1568" t="s">
        <v>5926</v>
      </c>
      <c r="X1568">
        <v>1</v>
      </c>
      <c r="Y1568" t="s">
        <v>8089</v>
      </c>
      <c r="Z1568" t="s">
        <v>10256</v>
      </c>
      <c r="AA1568">
        <v>0.860635134667196</v>
      </c>
      <c r="AB1568">
        <f>HYPERLINK("Melting_Curves/meltCurve_P38521_yggL.pdf", "Melting_Curves/meltCurve_P38521_yggL.pdf")</f>
        <v>0</v>
      </c>
    </row>
    <row r="1569" spans="1:28">
      <c r="A1569" t="s">
        <v>1595</v>
      </c>
      <c r="B1569">
        <v>0.999739202189716</v>
      </c>
      <c r="C1569">
        <v>1.0902958625992</v>
      </c>
      <c r="D1569">
        <v>1.16009787375135</v>
      </c>
      <c r="E1569">
        <v>0.9853853565152</v>
      </c>
      <c r="F1569">
        <v>0.977907235081473</v>
      </c>
      <c r="G1569">
        <v>0.868138628203046</v>
      </c>
      <c r="H1569">
        <v>1.02471425941473</v>
      </c>
      <c r="I1569">
        <v>1.08759555856561</v>
      </c>
      <c r="J1569">
        <v>0.981075481485311</v>
      </c>
      <c r="K1569">
        <v>0.563310601762653</v>
      </c>
      <c r="L1569">
        <v>15000</v>
      </c>
      <c r="M1569">
        <v>230.913942267453</v>
      </c>
      <c r="O1569">
        <v>64.95439581353899</v>
      </c>
      <c r="P1569">
        <v>-0.388451816169785</v>
      </c>
      <c r="Q1569">
        <v>0.562925451485525</v>
      </c>
      <c r="R1569">
        <v>0.753818143169518</v>
      </c>
      <c r="S1569" t="s">
        <v>3762</v>
      </c>
      <c r="T1569" t="s">
        <v>4362</v>
      </c>
      <c r="U1569" t="s">
        <v>4362</v>
      </c>
      <c r="V1569" t="s">
        <v>4362</v>
      </c>
      <c r="W1569" t="s">
        <v>5927</v>
      </c>
      <c r="X1569">
        <v>19</v>
      </c>
      <c r="Y1569" t="s">
        <v>8090</v>
      </c>
      <c r="Z1569" t="s">
        <v>10257</v>
      </c>
      <c r="AA1569">
        <v>0.9703227529729491</v>
      </c>
      <c r="AB1569">
        <f>HYPERLINK("Melting_Curves/meltCurve_P39099_degQ.pdf", "Melting_Curves/meltCurve_P39099_degQ.pdf")</f>
        <v>0</v>
      </c>
    </row>
    <row r="1570" spans="1:28">
      <c r="A1570" t="s">
        <v>1596</v>
      </c>
      <c r="B1570">
        <v>0.999739202189716</v>
      </c>
      <c r="C1570">
        <v>1.11003121536047</v>
      </c>
      <c r="D1570">
        <v>1.04504576530074</v>
      </c>
      <c r="E1570">
        <v>0.935046865773365</v>
      </c>
      <c r="F1570">
        <v>0.68913960995916</v>
      </c>
      <c r="G1570">
        <v>0.215243179455973</v>
      </c>
      <c r="H1570">
        <v>0.09833821884374259</v>
      </c>
      <c r="I1570">
        <v>0.07080301401463961</v>
      </c>
      <c r="J1570">
        <v>0.087910298642498</v>
      </c>
      <c r="K1570">
        <v>0.0792709023380289</v>
      </c>
      <c r="L1570">
        <v>1729.82521935572</v>
      </c>
      <c r="M1570">
        <v>33.8226202225279</v>
      </c>
      <c r="N1570">
        <v>51.3949969745236</v>
      </c>
      <c r="O1570">
        <v>50.9662452148739</v>
      </c>
      <c r="P1570">
        <v>-0.153278545196861</v>
      </c>
      <c r="Q1570">
        <v>0.0761213312890603</v>
      </c>
      <c r="R1570">
        <v>0.99178681733186</v>
      </c>
      <c r="S1570" t="s">
        <v>3763</v>
      </c>
      <c r="T1570" t="s">
        <v>4362</v>
      </c>
      <c r="U1570" t="s">
        <v>4362</v>
      </c>
      <c r="V1570" t="s">
        <v>4362</v>
      </c>
      <c r="W1570" t="s">
        <v>5928</v>
      </c>
      <c r="X1570">
        <v>12</v>
      </c>
      <c r="Y1570" t="s">
        <v>8091</v>
      </c>
      <c r="Z1570" t="s">
        <v>10258</v>
      </c>
      <c r="AA1570">
        <v>0.5162571787494168</v>
      </c>
      <c r="AB1570">
        <f>HYPERLINK("Melting_Curves/meltCurve_P39160_uxuB.pdf", "Melting_Curves/meltCurve_P39160_uxuB.pdf")</f>
        <v>0</v>
      </c>
    </row>
    <row r="1571" spans="1:28">
      <c r="A1571" t="s">
        <v>1597</v>
      </c>
      <c r="B1571">
        <v>0.999739202189716</v>
      </c>
      <c r="C1571">
        <v>0.752725835042252</v>
      </c>
      <c r="D1571">
        <v>0.716655208546519</v>
      </c>
      <c r="E1571">
        <v>0.452066145910159</v>
      </c>
      <c r="F1571">
        <v>0.330194389200185</v>
      </c>
      <c r="G1571">
        <v>0.221228142286105</v>
      </c>
      <c r="H1571">
        <v>0.174723407305114</v>
      </c>
      <c r="I1571">
        <v>0.15065189396763</v>
      </c>
      <c r="J1571">
        <v>0.134588896270415</v>
      </c>
      <c r="K1571">
        <v>0.09781743958860779</v>
      </c>
      <c r="L1571">
        <v>500.824236779269</v>
      </c>
      <c r="M1571">
        <v>11.0717056048904</v>
      </c>
      <c r="N1571">
        <v>46.084887248839</v>
      </c>
      <c r="O1571">
        <v>43.8340993518331</v>
      </c>
      <c r="P1571">
        <v>-0.057330915910507</v>
      </c>
      <c r="Q1571">
        <v>0.0923807504890426</v>
      </c>
      <c r="R1571">
        <v>0.98414497391698</v>
      </c>
      <c r="S1571" t="s">
        <v>3764</v>
      </c>
      <c r="T1571" t="s">
        <v>4362</v>
      </c>
      <c r="U1571" t="s">
        <v>4362</v>
      </c>
      <c r="V1571" t="s">
        <v>4362</v>
      </c>
      <c r="W1571" t="s">
        <v>5929</v>
      </c>
      <c r="X1571">
        <v>2</v>
      </c>
      <c r="Y1571" t="s">
        <v>8092</v>
      </c>
      <c r="Z1571" t="s">
        <v>10259</v>
      </c>
      <c r="AA1571">
        <v>0.3789813707603099</v>
      </c>
      <c r="AB1571">
        <f>HYPERLINK("Melting_Curves/meltCurve_P39161_uxuR.pdf", "Melting_Curves/meltCurve_P39161_uxuR.pdf")</f>
        <v>0</v>
      </c>
    </row>
    <row r="1572" spans="1:28">
      <c r="A1572" t="s">
        <v>1598</v>
      </c>
      <c r="B1572">
        <v>0.999739202189716</v>
      </c>
      <c r="C1572">
        <v>1.00180821968162</v>
      </c>
      <c r="D1572">
        <v>0.914198180570023</v>
      </c>
      <c r="E1572">
        <v>0.981094995496166</v>
      </c>
      <c r="F1572">
        <v>0.928213074350583</v>
      </c>
      <c r="G1572">
        <v>0.812921882662333</v>
      </c>
      <c r="H1572">
        <v>0.804000585972914</v>
      </c>
      <c r="I1572">
        <v>0.683778771787637</v>
      </c>
      <c r="J1572">
        <v>0.515990703949976</v>
      </c>
      <c r="K1572">
        <v>0.363526847729766</v>
      </c>
      <c r="L1572">
        <v>633.697731366814</v>
      </c>
      <c r="M1572">
        <v>9.835968574209209</v>
      </c>
      <c r="N1572">
        <v>64.42657049159639</v>
      </c>
      <c r="O1572">
        <v>61.9329567241096</v>
      </c>
      <c r="P1572">
        <v>-0.0397246674073396</v>
      </c>
      <c r="Q1572">
        <v>0</v>
      </c>
      <c r="R1572">
        <v>0.963366923713131</v>
      </c>
      <c r="S1572" t="s">
        <v>3765</v>
      </c>
      <c r="T1572" t="s">
        <v>4362</v>
      </c>
      <c r="U1572" t="s">
        <v>4362</v>
      </c>
      <c r="V1572" t="s">
        <v>4362</v>
      </c>
      <c r="W1572" t="s">
        <v>5930</v>
      </c>
      <c r="X1572">
        <v>4</v>
      </c>
      <c r="Y1572" t="s">
        <v>8093</v>
      </c>
      <c r="Z1572" t="s">
        <v>10260</v>
      </c>
      <c r="AA1572">
        <v>0.829537837806465</v>
      </c>
      <c r="AB1572">
        <f>HYPERLINK("Melting_Curves/meltCurve_P39172_znuA.pdf", "Melting_Curves/meltCurve_P39172_znuA.pdf")</f>
        <v>0</v>
      </c>
    </row>
    <row r="1573" spans="1:28">
      <c r="A1573" t="s">
        <v>1599</v>
      </c>
      <c r="B1573">
        <v>0.999739202189716</v>
      </c>
      <c r="C1573">
        <v>0.94629203431711</v>
      </c>
      <c r="D1573">
        <v>1.1275852456776</v>
      </c>
      <c r="E1573">
        <v>0.912119325518684</v>
      </c>
      <c r="F1573">
        <v>1.34064165428757</v>
      </c>
      <c r="G1573">
        <v>1.05700457560889</v>
      </c>
      <c r="H1573">
        <v>1.02196469238013</v>
      </c>
      <c r="I1573">
        <v>0.403081217337274</v>
      </c>
      <c r="J1573">
        <v>0.190601906712604</v>
      </c>
      <c r="K1573">
        <v>0.107222302666103</v>
      </c>
      <c r="L1573">
        <v>6297.56883194319</v>
      </c>
      <c r="M1573">
        <v>104.080812756837</v>
      </c>
      <c r="N1573">
        <v>60.7100833819829</v>
      </c>
      <c r="O1573">
        <v>60.4842018106645</v>
      </c>
      <c r="P1573">
        <v>-0.366832174877635</v>
      </c>
      <c r="Q1573">
        <v>0.147295270262007</v>
      </c>
      <c r="R1573">
        <v>0.90599946541998</v>
      </c>
      <c r="S1573" t="s">
        <v>3766</v>
      </c>
      <c r="T1573" t="s">
        <v>4362</v>
      </c>
      <c r="U1573" t="s">
        <v>4362</v>
      </c>
      <c r="V1573" t="s">
        <v>4362</v>
      </c>
      <c r="W1573" t="s">
        <v>5931</v>
      </c>
      <c r="X1573">
        <v>3</v>
      </c>
      <c r="Y1573" t="s">
        <v>8094</v>
      </c>
      <c r="Z1573" t="s">
        <v>10261</v>
      </c>
      <c r="AA1573">
        <v>0.8159550201091685</v>
      </c>
      <c r="AB1573">
        <f>HYPERLINK("Melting_Curves/meltCurve_P39173_yeaD.pdf", "Melting_Curves/meltCurve_P39173_yeaD.pdf")</f>
        <v>0</v>
      </c>
    </row>
    <row r="1574" spans="1:28">
      <c r="A1574" t="s">
        <v>1600</v>
      </c>
      <c r="B1574">
        <v>0.999739202189716</v>
      </c>
      <c r="C1574">
        <v>0.903788282297187</v>
      </c>
      <c r="D1574">
        <v>0.907614505078296</v>
      </c>
      <c r="E1574">
        <v>0.299712110605434</v>
      </c>
      <c r="F1574">
        <v>0.155431036047935</v>
      </c>
      <c r="G1574">
        <v>0.09587694094040319</v>
      </c>
      <c r="H1574">
        <v>0.0825064341233184</v>
      </c>
      <c r="I1574">
        <v>0.07013744119380171</v>
      </c>
      <c r="J1574">
        <v>0.0668305876090612</v>
      </c>
      <c r="K1574">
        <v>0.0514630052271625</v>
      </c>
      <c r="L1574">
        <v>1684.44235599205</v>
      </c>
      <c r="M1574">
        <v>37.2168717292393</v>
      </c>
      <c r="N1574">
        <v>45.4757530357986</v>
      </c>
      <c r="O1574">
        <v>45.1300993715944</v>
      </c>
      <c r="P1574">
        <v>-0.189492810466864</v>
      </c>
      <c r="Q1574">
        <v>0.0808678356687596</v>
      </c>
      <c r="R1574">
        <v>0.991232351099125</v>
      </c>
      <c r="S1574" t="s">
        <v>3767</v>
      </c>
      <c r="T1574" t="s">
        <v>4362</v>
      </c>
      <c r="U1574" t="s">
        <v>4362</v>
      </c>
      <c r="V1574" t="s">
        <v>4362</v>
      </c>
      <c r="W1574" t="s">
        <v>5932</v>
      </c>
      <c r="X1574">
        <v>10</v>
      </c>
      <c r="Y1574" t="s">
        <v>8095</v>
      </c>
      <c r="Z1574" t="s">
        <v>10262</v>
      </c>
      <c r="AA1574">
        <v>0.3372737182698763</v>
      </c>
      <c r="AB1574">
        <f>HYPERLINK("Melting_Curves/meltCurve_P39176_erfK.pdf", "Melting_Curves/meltCurve_P39176_erfK.pdf")</f>
        <v>0</v>
      </c>
    </row>
    <row r="1575" spans="1:28">
      <c r="A1575" t="s">
        <v>1601</v>
      </c>
      <c r="B1575">
        <v>0.999739202189716</v>
      </c>
      <c r="C1575">
        <v>1.04996327505664</v>
      </c>
      <c r="D1575">
        <v>0.499838140297088</v>
      </c>
      <c r="E1575">
        <v>0.746321860921752</v>
      </c>
      <c r="F1575">
        <v>0.746731484481051</v>
      </c>
      <c r="G1575">
        <v>0.433130864677534</v>
      </c>
      <c r="H1575">
        <v>0.4122201122794</v>
      </c>
      <c r="I1575">
        <v>0.289572769959286</v>
      </c>
      <c r="J1575">
        <v>0.252823477625164</v>
      </c>
      <c r="K1575">
        <v>0.24033294950746</v>
      </c>
      <c r="L1575">
        <v>322.668421133969</v>
      </c>
      <c r="M1575">
        <v>6.04161862628214</v>
      </c>
      <c r="N1575">
        <v>53.4076116131767</v>
      </c>
      <c r="O1575">
        <v>48.4399905564463</v>
      </c>
      <c r="P1575">
        <v>-0.0312794578367093</v>
      </c>
      <c r="Q1575">
        <v>0</v>
      </c>
      <c r="R1575">
        <v>0.806241694682781</v>
      </c>
      <c r="S1575" t="s">
        <v>3768</v>
      </c>
      <c r="T1575" t="s">
        <v>4362</v>
      </c>
      <c r="U1575" t="s">
        <v>4362</v>
      </c>
      <c r="V1575" t="s">
        <v>4362</v>
      </c>
      <c r="W1575" t="s">
        <v>5933</v>
      </c>
      <c r="X1575">
        <v>1</v>
      </c>
      <c r="Y1575" t="s">
        <v>8096</v>
      </c>
      <c r="Z1575" t="s">
        <v>10263</v>
      </c>
      <c r="AA1575">
        <v>0.560374164312354</v>
      </c>
      <c r="AB1575">
        <f>HYPERLINK("Melting_Curves/meltCurve_P39177_uspG.pdf", "Melting_Curves/meltCurve_P39177_uspG.pdf")</f>
        <v>0</v>
      </c>
    </row>
    <row r="1576" spans="1:28">
      <c r="A1576" t="s">
        <v>1602</v>
      </c>
      <c r="B1576">
        <v>0.999739202189716</v>
      </c>
      <c r="C1576">
        <v>1.14423092923519</v>
      </c>
      <c r="D1576">
        <v>0.88714983204552</v>
      </c>
      <c r="E1576">
        <v>0.976156579455323</v>
      </c>
      <c r="F1576">
        <v>1.04123744499826</v>
      </c>
      <c r="G1576">
        <v>0.887698707263944</v>
      </c>
      <c r="H1576">
        <v>0.908720552173046</v>
      </c>
      <c r="I1576">
        <v>0.830147832051263</v>
      </c>
      <c r="J1576">
        <v>0.940944961512543</v>
      </c>
      <c r="K1576">
        <v>0.622108388810439</v>
      </c>
      <c r="L1576">
        <v>690.743515851619</v>
      </c>
      <c r="M1576">
        <v>9.44362429571586</v>
      </c>
      <c r="Q1576">
        <v>0</v>
      </c>
      <c r="R1576">
        <v>0.574168333402408</v>
      </c>
      <c r="S1576" t="s">
        <v>3769</v>
      </c>
      <c r="T1576" t="s">
        <v>4362</v>
      </c>
      <c r="U1576" t="s">
        <v>4362</v>
      </c>
      <c r="V1576" t="s">
        <v>4362</v>
      </c>
      <c r="W1576" t="s">
        <v>5934</v>
      </c>
      <c r="X1576">
        <v>5</v>
      </c>
      <c r="Y1576" t="s">
        <v>8097</v>
      </c>
      <c r="Z1576" t="s">
        <v>10264</v>
      </c>
      <c r="AA1576">
        <v>0.936476956529922</v>
      </c>
      <c r="AB1576">
        <f>HYPERLINK("Melting_Curves/meltCurve_P39180_flu.pdf", "Melting_Curves/meltCurve_P39180_flu.pdf")</f>
        <v>0</v>
      </c>
    </row>
    <row r="1577" spans="1:28">
      <c r="A1577" t="s">
        <v>1603</v>
      </c>
      <c r="B1577">
        <v>0.999739202189716</v>
      </c>
      <c r="C1577">
        <v>0.976688711080284</v>
      </c>
      <c r="D1577">
        <v>0.961070808406943</v>
      </c>
      <c r="E1577">
        <v>0.995304564600766</v>
      </c>
      <c r="F1577">
        <v>1.0078130088599</v>
      </c>
      <c r="G1577">
        <v>0.824662994937118</v>
      </c>
      <c r="H1577">
        <v>0.699262851576464</v>
      </c>
      <c r="I1577">
        <v>0.582123015087158</v>
      </c>
      <c r="J1577">
        <v>0.459047541222967</v>
      </c>
      <c r="K1577">
        <v>0.364141618944931</v>
      </c>
      <c r="L1577">
        <v>818.25960464357</v>
      </c>
      <c r="M1577">
        <v>13.734156573403</v>
      </c>
      <c r="N1577">
        <v>62.5773506641601</v>
      </c>
      <c r="O1577">
        <v>58.3579567266285</v>
      </c>
      <c r="P1577">
        <v>-0.0446565996961712</v>
      </c>
      <c r="Q1577">
        <v>0.241105081054664</v>
      </c>
      <c r="R1577">
        <v>0.985357893563756</v>
      </c>
      <c r="S1577" t="s">
        <v>3770</v>
      </c>
      <c r="T1577" t="s">
        <v>4362</v>
      </c>
      <c r="U1577" t="s">
        <v>4362</v>
      </c>
      <c r="V1577" t="s">
        <v>4362</v>
      </c>
      <c r="W1577" t="s">
        <v>5935</v>
      </c>
      <c r="X1577">
        <v>8</v>
      </c>
      <c r="Y1577" t="s">
        <v>8098</v>
      </c>
      <c r="Z1577" t="s">
        <v>10265</v>
      </c>
      <c r="AA1577">
        <v>0.8068831259947765</v>
      </c>
      <c r="AB1577">
        <f>HYPERLINK("Melting_Curves/meltCurve_P39187_ytfJ.pdf", "Melting_Curves/meltCurve_P39187_ytfJ.pdf")</f>
        <v>0</v>
      </c>
    </row>
    <row r="1578" spans="1:28">
      <c r="A1578" t="s">
        <v>1604</v>
      </c>
      <c r="B1578">
        <v>0.999739202189716</v>
      </c>
      <c r="C1578">
        <v>1.37230818821302</v>
      </c>
      <c r="D1578">
        <v>0.706745204846848</v>
      </c>
      <c r="E1578">
        <v>0.445476698972202</v>
      </c>
      <c r="F1578">
        <v>0.190085808021904</v>
      </c>
      <c r="G1578">
        <v>0.106636932627635</v>
      </c>
      <c r="H1578">
        <v>0.0875693236484465</v>
      </c>
      <c r="I1578">
        <v>0.0429661738325567</v>
      </c>
      <c r="J1578">
        <v>0.0837890645847347</v>
      </c>
      <c r="K1578">
        <v>0.0160782757223801</v>
      </c>
      <c r="L1578">
        <v>1116.09427739519</v>
      </c>
      <c r="M1578">
        <v>24.4193971889589</v>
      </c>
      <c r="N1578">
        <v>45.9726556961578</v>
      </c>
      <c r="O1578">
        <v>45.4020497952147</v>
      </c>
      <c r="P1578">
        <v>-0.125561234402524</v>
      </c>
      <c r="Q1578">
        <v>0.0662094159117038</v>
      </c>
      <c r="R1578">
        <v>0.910018905083641</v>
      </c>
      <c r="S1578" t="s">
        <v>3771</v>
      </c>
      <c r="T1578" t="s">
        <v>4362</v>
      </c>
      <c r="U1578" t="s">
        <v>4362</v>
      </c>
      <c r="V1578" t="s">
        <v>4362</v>
      </c>
      <c r="W1578" t="s">
        <v>5936</v>
      </c>
      <c r="X1578">
        <v>1</v>
      </c>
      <c r="Y1578" t="s">
        <v>8099</v>
      </c>
      <c r="Z1578" t="s">
        <v>10266</v>
      </c>
      <c r="AA1578">
        <v>0.3452661271286807</v>
      </c>
      <c r="AB1578">
        <f>HYPERLINK("Melting_Curves/meltCurve_P39196_lplT.pdf", "Melting_Curves/meltCurve_P39196_lplT.pdf")</f>
        <v>0</v>
      </c>
    </row>
    <row r="1579" spans="1:28">
      <c r="A1579" t="s">
        <v>1605</v>
      </c>
      <c r="B1579">
        <v>0.999739202189716</v>
      </c>
      <c r="C1579">
        <v>0.961205994127059</v>
      </c>
      <c r="D1579">
        <v>1.01209462329499</v>
      </c>
      <c r="E1579">
        <v>0.891978566537478</v>
      </c>
      <c r="F1579">
        <v>0.669184381471652</v>
      </c>
      <c r="G1579">
        <v>0.157723136529762</v>
      </c>
      <c r="H1579">
        <v>0.123001384762197</v>
      </c>
      <c r="I1579">
        <v>0.103441571373866</v>
      </c>
      <c r="J1579">
        <v>0.0945365395135999</v>
      </c>
      <c r="K1579">
        <v>0.0839699565898797</v>
      </c>
      <c r="L1579">
        <v>1898.31378524881</v>
      </c>
      <c r="M1579">
        <v>37.3680554446643</v>
      </c>
      <c r="N1579">
        <v>51.0768711574119</v>
      </c>
      <c r="O1579">
        <v>50.6555881964884</v>
      </c>
      <c r="P1579">
        <v>-0.167537687439978</v>
      </c>
      <c r="Q1579">
        <v>0.09155548873010901</v>
      </c>
      <c r="R1579">
        <v>0.9939756071695059</v>
      </c>
      <c r="S1579" t="s">
        <v>3772</v>
      </c>
      <c r="T1579" t="s">
        <v>4362</v>
      </c>
      <c r="U1579" t="s">
        <v>4362</v>
      </c>
      <c r="V1579" t="s">
        <v>4362</v>
      </c>
      <c r="W1579" t="s">
        <v>5937</v>
      </c>
      <c r="X1579">
        <v>6</v>
      </c>
      <c r="Y1579" t="s">
        <v>8100</v>
      </c>
      <c r="Z1579" t="s">
        <v>10267</v>
      </c>
      <c r="AA1579">
        <v>0.5131051826580664</v>
      </c>
      <c r="AB1579">
        <f>HYPERLINK("Melting_Curves/meltCurve_P39199_prmB.pdf", "Melting_Curves/meltCurve_P39199_prmB.pdf")</f>
        <v>0</v>
      </c>
    </row>
    <row r="1580" spans="1:28">
      <c r="A1580" t="s">
        <v>1606</v>
      </c>
      <c r="B1580">
        <v>0.999739202189716</v>
      </c>
      <c r="C1580">
        <v>1.0197748293537</v>
      </c>
      <c r="D1580">
        <v>0.919308467064744</v>
      </c>
      <c r="E1580">
        <v>1.03646357738401</v>
      </c>
      <c r="F1580">
        <v>0.9241409572739669</v>
      </c>
      <c r="G1580">
        <v>0.712400892791369</v>
      </c>
      <c r="H1580">
        <v>0.669719385924075</v>
      </c>
      <c r="I1580">
        <v>0.565815389534592</v>
      </c>
      <c r="J1580">
        <v>0.567925617351227</v>
      </c>
      <c r="K1580">
        <v>0.494832893358568</v>
      </c>
      <c r="L1580">
        <v>1073.04618716774</v>
      </c>
      <c r="M1580">
        <v>19.963294047327</v>
      </c>
      <c r="O1580">
        <v>53.2203245064191</v>
      </c>
      <c r="P1580">
        <v>-0.0445841299809011</v>
      </c>
      <c r="Q1580">
        <v>0.524586661214288</v>
      </c>
      <c r="R1580">
        <v>0.959647795746623</v>
      </c>
      <c r="S1580" t="s">
        <v>3773</v>
      </c>
      <c r="T1580" t="s">
        <v>4362</v>
      </c>
      <c r="U1580" t="s">
        <v>4362</v>
      </c>
      <c r="V1580" t="s">
        <v>4362</v>
      </c>
      <c r="W1580" t="s">
        <v>5938</v>
      </c>
      <c r="X1580">
        <v>14</v>
      </c>
      <c r="Y1580" t="s">
        <v>8101</v>
      </c>
      <c r="Z1580" t="s">
        <v>10268</v>
      </c>
      <c r="AA1580">
        <v>0.7958736603935516</v>
      </c>
      <c r="AB1580">
        <f>HYPERLINK("Melting_Curves/meltCurve_P39265_alsB.pdf", "Melting_Curves/meltCurve_P39265_alsB.pdf")</f>
        <v>0</v>
      </c>
    </row>
    <row r="1581" spans="1:28">
      <c r="A1581" t="s">
        <v>1607</v>
      </c>
      <c r="B1581">
        <v>0.999739202189716</v>
      </c>
      <c r="C1581">
        <v>0.715679489541574</v>
      </c>
      <c r="D1581">
        <v>0.609855213678582</v>
      </c>
      <c r="E1581">
        <v>0.454643475829947</v>
      </c>
      <c r="F1581">
        <v>0.336918574067263</v>
      </c>
      <c r="G1581">
        <v>0.261763390415315</v>
      </c>
      <c r="H1581">
        <v>0.210685238135962</v>
      </c>
      <c r="I1581">
        <v>0.18690207159085</v>
      </c>
      <c r="J1581">
        <v>0.128741220371294</v>
      </c>
      <c r="K1581">
        <v>0.0790908025066077</v>
      </c>
      <c r="L1581">
        <v>425.026716778184</v>
      </c>
      <c r="M1581">
        <v>9.506050502372281</v>
      </c>
      <c r="N1581">
        <v>45.6698832625116</v>
      </c>
      <c r="O1581">
        <v>42.8666821193083</v>
      </c>
      <c r="P1581">
        <v>-0.0504547537354064</v>
      </c>
      <c r="Q1581">
        <v>0.0904521390645316</v>
      </c>
      <c r="R1581">
        <v>0.973361743253934</v>
      </c>
      <c r="S1581" t="s">
        <v>3774</v>
      </c>
      <c r="T1581" t="s">
        <v>4362</v>
      </c>
      <c r="U1581" t="s">
        <v>4362</v>
      </c>
      <c r="V1581" t="s">
        <v>4362</v>
      </c>
      <c r="W1581" t="s">
        <v>5939</v>
      </c>
      <c r="X1581">
        <v>1</v>
      </c>
      <c r="Y1581" t="s">
        <v>8102</v>
      </c>
      <c r="Z1581" t="s">
        <v>10269</v>
      </c>
      <c r="AA1581">
        <v>0.3741302006894964</v>
      </c>
      <c r="AB1581">
        <f>HYPERLINK("Melting_Curves/meltCurve_P39267_yjcZ.pdf", "Melting_Curves/meltCurve_P39267_yjcZ.pdf")</f>
        <v>0</v>
      </c>
    </row>
    <row r="1582" spans="1:28">
      <c r="A1582" t="s">
        <v>1608</v>
      </c>
      <c r="B1582">
        <v>0.999739202189716</v>
      </c>
      <c r="C1582">
        <v>1.10880872238444</v>
      </c>
      <c r="D1582">
        <v>0.984290459451182</v>
      </c>
      <c r="E1582">
        <v>1.34364347000281</v>
      </c>
      <c r="F1582">
        <v>0.718987398573224</v>
      </c>
      <c r="G1582">
        <v>0.766795330138671</v>
      </c>
      <c r="H1582">
        <v>0.571851550452412</v>
      </c>
      <c r="I1582">
        <v>0.331587075817481</v>
      </c>
      <c r="J1582">
        <v>0.249488172032792</v>
      </c>
      <c r="K1582">
        <v>0.417185121063601</v>
      </c>
      <c r="L1582">
        <v>1117.94384660445</v>
      </c>
      <c r="M1582">
        <v>20.3039768704197</v>
      </c>
      <c r="N1582">
        <v>57.6857555938699</v>
      </c>
      <c r="O1582">
        <v>54.5345799653427</v>
      </c>
      <c r="P1582">
        <v>-0.0650124234080785</v>
      </c>
      <c r="Q1582">
        <v>0.301552298962249</v>
      </c>
      <c r="R1582">
        <v>0.824092294078082</v>
      </c>
      <c r="S1582" t="s">
        <v>3775</v>
      </c>
      <c r="T1582" t="s">
        <v>4362</v>
      </c>
      <c r="U1582" t="s">
        <v>4362</v>
      </c>
      <c r="V1582" t="s">
        <v>4362</v>
      </c>
      <c r="W1582" t="s">
        <v>5940</v>
      </c>
      <c r="X1582">
        <v>3</v>
      </c>
      <c r="Y1582" t="s">
        <v>8103</v>
      </c>
      <c r="Z1582" t="s">
        <v>10270</v>
      </c>
      <c r="AA1582">
        <v>0.7297833669525883</v>
      </c>
      <c r="AB1582">
        <f>HYPERLINK("Melting_Curves/meltCurve_P39274_yjdJ.pdf", "Melting_Curves/meltCurve_P39274_yjdJ.pdf")</f>
        <v>0</v>
      </c>
    </row>
    <row r="1583" spans="1:28">
      <c r="A1583" t="s">
        <v>1609</v>
      </c>
      <c r="B1583">
        <v>0.999739202189716</v>
      </c>
      <c r="C1583">
        <v>1.04196792257011</v>
      </c>
      <c r="D1583">
        <v>0.625013763764393</v>
      </c>
      <c r="E1583">
        <v>0.701743786695086</v>
      </c>
      <c r="F1583">
        <v>0.573660301703659</v>
      </c>
      <c r="G1583">
        <v>0.5103208559396361</v>
      </c>
      <c r="H1583">
        <v>0.444872945893573</v>
      </c>
      <c r="I1583">
        <v>0.441001434463614</v>
      </c>
      <c r="J1583">
        <v>0.394456335745534</v>
      </c>
      <c r="K1583">
        <v>0.431109194061188</v>
      </c>
      <c r="L1583">
        <v>565.209539595973</v>
      </c>
      <c r="M1583">
        <v>12.5278101791119</v>
      </c>
      <c r="N1583">
        <v>52.6849399270327</v>
      </c>
      <c r="O1583">
        <v>44.0130936277745</v>
      </c>
      <c r="P1583">
        <v>-0.041471234750643</v>
      </c>
      <c r="Q1583">
        <v>0.417326613414629</v>
      </c>
      <c r="R1583">
        <v>0.889254405620199</v>
      </c>
      <c r="S1583" t="s">
        <v>3776</v>
      </c>
      <c r="T1583" t="s">
        <v>4362</v>
      </c>
      <c r="U1583" t="s">
        <v>4362</v>
      </c>
      <c r="V1583" t="s">
        <v>4362</v>
      </c>
      <c r="W1583" t="s">
        <v>5941</v>
      </c>
      <c r="X1583">
        <v>9</v>
      </c>
      <c r="Y1583" t="s">
        <v>8104</v>
      </c>
      <c r="Z1583" t="s">
        <v>10271</v>
      </c>
      <c r="AA1583">
        <v>0.5944412409364167</v>
      </c>
      <c r="AB1583">
        <f>HYPERLINK("Melting_Curves/meltCurve_P39285_mscM.pdf", "Melting_Curves/meltCurve_P39285_mscM.pdf")</f>
        <v>0</v>
      </c>
    </row>
    <row r="1584" spans="1:28">
      <c r="A1584" t="s">
        <v>1610</v>
      </c>
      <c r="B1584">
        <v>0.999739202189716</v>
      </c>
      <c r="C1584">
        <v>0.84895065457188</v>
      </c>
      <c r="D1584">
        <v>1.02293794277384</v>
      </c>
      <c r="E1584">
        <v>0.75736885001267</v>
      </c>
      <c r="F1584">
        <v>0.276369437411932</v>
      </c>
      <c r="G1584">
        <v>0.13581772412744</v>
      </c>
      <c r="H1584">
        <v>0.116474783558253</v>
      </c>
      <c r="I1584">
        <v>0.0792204153027701</v>
      </c>
      <c r="J1584">
        <v>0.0776333517675908</v>
      </c>
      <c r="K1584">
        <v>0.07215802276815091</v>
      </c>
      <c r="L1584">
        <v>1527.15393877334</v>
      </c>
      <c r="M1584">
        <v>31.736985935899</v>
      </c>
      <c r="N1584">
        <v>48.4137341175493</v>
      </c>
      <c r="O1584">
        <v>47.9292228737716</v>
      </c>
      <c r="P1584">
        <v>-0.151002363320848</v>
      </c>
      <c r="Q1584">
        <v>0.0878291806371016</v>
      </c>
      <c r="R1584">
        <v>0.983384628500831</v>
      </c>
      <c r="S1584" t="s">
        <v>3777</v>
      </c>
      <c r="T1584" t="s">
        <v>4362</v>
      </c>
      <c r="U1584" t="s">
        <v>4362</v>
      </c>
      <c r="V1584" t="s">
        <v>4362</v>
      </c>
      <c r="W1584" t="s">
        <v>5942</v>
      </c>
      <c r="X1584">
        <v>6</v>
      </c>
      <c r="Y1584" t="s">
        <v>8105</v>
      </c>
      <c r="Z1584" t="s">
        <v>10272</v>
      </c>
      <c r="AA1584">
        <v>0.4307474606628767</v>
      </c>
      <c r="AB1584">
        <f>HYPERLINK("Melting_Curves/meltCurve_P39286_rsgA.pdf", "Melting_Curves/meltCurve_P39286_rsgA.pdf")</f>
        <v>0</v>
      </c>
    </row>
    <row r="1585" spans="1:28">
      <c r="A1585" t="s">
        <v>1611</v>
      </c>
      <c r="B1585">
        <v>0.999739202189716</v>
      </c>
      <c r="C1585">
        <v>1.04177739731311</v>
      </c>
      <c r="D1585">
        <v>0.92736103047773</v>
      </c>
      <c r="E1585">
        <v>0.8108187846916</v>
      </c>
      <c r="F1585">
        <v>0.517166451685003</v>
      </c>
      <c r="G1585">
        <v>0.27619223488666</v>
      </c>
      <c r="H1585">
        <v>0.166622504309231</v>
      </c>
      <c r="I1585">
        <v>0.128787198122374</v>
      </c>
      <c r="J1585">
        <v>0.122679008388117</v>
      </c>
      <c r="K1585">
        <v>0.114378284322825</v>
      </c>
      <c r="L1585">
        <v>946.90858747273</v>
      </c>
      <c r="M1585">
        <v>19.0348183204656</v>
      </c>
      <c r="N1585">
        <v>50.374334880812</v>
      </c>
      <c r="O1585">
        <v>49.2068385784843</v>
      </c>
      <c r="P1585">
        <v>-0.0864941286889498</v>
      </c>
      <c r="Q1585">
        <v>0.105652782709465</v>
      </c>
      <c r="R1585">
        <v>0.997554731325264</v>
      </c>
      <c r="S1585" t="s">
        <v>3778</v>
      </c>
      <c r="T1585" t="s">
        <v>4362</v>
      </c>
      <c r="U1585" t="s">
        <v>4362</v>
      </c>
      <c r="V1585" t="s">
        <v>4362</v>
      </c>
      <c r="W1585" t="s">
        <v>5943</v>
      </c>
      <c r="X1585">
        <v>3</v>
      </c>
      <c r="Y1585" t="s">
        <v>8106</v>
      </c>
      <c r="Z1585" t="s">
        <v>10273</v>
      </c>
      <c r="AA1585">
        <v>0.4984834633891743</v>
      </c>
      <c r="AB1585">
        <f>HYPERLINK("Melting_Curves/meltCurve_P39297_bsmA.pdf", "Melting_Curves/meltCurve_P39297_bsmA.pdf")</f>
        <v>0</v>
      </c>
    </row>
    <row r="1586" spans="1:28">
      <c r="A1586" t="s">
        <v>1612</v>
      </c>
      <c r="B1586">
        <v>0.999739202189716</v>
      </c>
      <c r="C1586">
        <v>0.966730163878919</v>
      </c>
      <c r="D1586">
        <v>0.859053470358036</v>
      </c>
      <c r="E1586">
        <v>0.864645250956822</v>
      </c>
      <c r="F1586">
        <v>0.721129062254914</v>
      </c>
      <c r="G1586">
        <v>0.524082326933941</v>
      </c>
      <c r="H1586">
        <v>0.325492578891591</v>
      </c>
      <c r="I1586">
        <v>0.203681391112501</v>
      </c>
      <c r="J1586">
        <v>0.162971627313997</v>
      </c>
      <c r="K1586">
        <v>0.151675403641754</v>
      </c>
      <c r="L1586">
        <v>588.441041376635</v>
      </c>
      <c r="M1586">
        <v>10.9462408408247</v>
      </c>
      <c r="N1586">
        <v>53.9871514091595</v>
      </c>
      <c r="O1586">
        <v>52.0566209907005</v>
      </c>
      <c r="P1586">
        <v>-0.0513900950939382</v>
      </c>
      <c r="Q1586">
        <v>0.0227603085073927</v>
      </c>
      <c r="R1586">
        <v>0.990329085161457</v>
      </c>
      <c r="S1586" t="s">
        <v>3779</v>
      </c>
      <c r="T1586" t="s">
        <v>4362</v>
      </c>
      <c r="U1586" t="s">
        <v>4362</v>
      </c>
      <c r="V1586" t="s">
        <v>4362</v>
      </c>
      <c r="W1586" t="s">
        <v>5944</v>
      </c>
      <c r="X1586">
        <v>6</v>
      </c>
      <c r="Y1586" t="s">
        <v>8107</v>
      </c>
      <c r="Z1586" t="s">
        <v>10274</v>
      </c>
      <c r="AA1586">
        <v>0.5871798322581614</v>
      </c>
      <c r="AB1586">
        <f>HYPERLINK("Melting_Curves/meltCurve_P39298_yjfP.pdf", "Melting_Curves/meltCurve_P39298_yjfP.pdf")</f>
        <v>0</v>
      </c>
    </row>
    <row r="1587" spans="1:28">
      <c r="A1587" t="s">
        <v>1613</v>
      </c>
      <c r="B1587">
        <v>0.999739202189716</v>
      </c>
      <c r="C1587">
        <v>0.889070197657245</v>
      </c>
      <c r="D1587">
        <v>0.869860871981074</v>
      </c>
      <c r="E1587">
        <v>0.669575462981552</v>
      </c>
      <c r="F1587">
        <v>0.570341892453144</v>
      </c>
      <c r="G1587">
        <v>0.423173850274787</v>
      </c>
      <c r="H1587">
        <v>0.292745589819268</v>
      </c>
      <c r="I1587">
        <v>0.258241761484845</v>
      </c>
      <c r="J1587">
        <v>0.176359409156159</v>
      </c>
      <c r="K1587">
        <v>0.179241842520941</v>
      </c>
      <c r="L1587">
        <v>453.810224051351</v>
      </c>
      <c r="M1587">
        <v>8.99069414838659</v>
      </c>
      <c r="N1587">
        <v>51.4534731295239</v>
      </c>
      <c r="O1587">
        <v>48.1659971465344</v>
      </c>
      <c r="P1587">
        <v>-0.0430315184471726</v>
      </c>
      <c r="Q1587">
        <v>0.0785378994187757</v>
      </c>
      <c r="R1587">
        <v>0.993207350759965</v>
      </c>
      <c r="S1587" t="s">
        <v>3780</v>
      </c>
      <c r="T1587" t="s">
        <v>4362</v>
      </c>
      <c r="U1587" t="s">
        <v>4362</v>
      </c>
      <c r="V1587" t="s">
        <v>4362</v>
      </c>
      <c r="W1587" t="s">
        <v>5945</v>
      </c>
      <c r="X1587">
        <v>3</v>
      </c>
      <c r="Y1587" t="s">
        <v>8108</v>
      </c>
      <c r="Z1587" t="s">
        <v>10275</v>
      </c>
      <c r="AA1587">
        <v>0.5248409293582552</v>
      </c>
      <c r="AB1587">
        <f>HYPERLINK("Melting_Curves/meltCurve_P39310_ytfB.pdf", "Melting_Curves/meltCurve_P39310_ytfB.pdf")</f>
        <v>0</v>
      </c>
    </row>
    <row r="1588" spans="1:28">
      <c r="A1588" t="s">
        <v>1614</v>
      </c>
      <c r="B1588">
        <v>0.999739202189716</v>
      </c>
      <c r="C1588">
        <v>0.910275389857143</v>
      </c>
      <c r="D1588">
        <v>0.867714003900098</v>
      </c>
      <c r="E1588">
        <v>0.85279085892068</v>
      </c>
      <c r="F1588">
        <v>0.90426950296009</v>
      </c>
      <c r="G1588">
        <v>0.757548234022515</v>
      </c>
      <c r="H1588">
        <v>0.706951307461311</v>
      </c>
      <c r="I1588">
        <v>0.54247339779009</v>
      </c>
      <c r="J1588">
        <v>0.424609099630383</v>
      </c>
      <c r="K1588">
        <v>0.287871094845876</v>
      </c>
      <c r="L1588">
        <v>483.634127686174</v>
      </c>
      <c r="M1588">
        <v>7.83419851981068</v>
      </c>
      <c r="N1588">
        <v>61.7337064330833</v>
      </c>
      <c r="O1588">
        <v>58.0990874782765</v>
      </c>
      <c r="P1588">
        <v>-0.0337517345026538</v>
      </c>
      <c r="Q1588">
        <v>0</v>
      </c>
      <c r="R1588">
        <v>0.935509717999781</v>
      </c>
      <c r="S1588" t="s">
        <v>3781</v>
      </c>
      <c r="T1588" t="s">
        <v>4362</v>
      </c>
      <c r="U1588" t="s">
        <v>4362</v>
      </c>
      <c r="V1588" t="s">
        <v>4362</v>
      </c>
      <c r="W1588" t="s">
        <v>5946</v>
      </c>
      <c r="X1588">
        <v>5</v>
      </c>
      <c r="Y1588" t="s">
        <v>8109</v>
      </c>
      <c r="Z1588" t="s">
        <v>10276</v>
      </c>
      <c r="AA1588">
        <v>0.7566437400216744</v>
      </c>
      <c r="AB1588">
        <f>HYPERLINK("Melting_Curves/meltCurve_P39315_qorB.pdf", "Melting_Curves/meltCurve_P39315_qorB.pdf")</f>
        <v>0</v>
      </c>
    </row>
    <row r="1589" spans="1:28">
      <c r="A1589" t="s">
        <v>1615</v>
      </c>
      <c r="B1589">
        <v>0.999739202189716</v>
      </c>
      <c r="C1589">
        <v>1.40265809344944</v>
      </c>
      <c r="D1589">
        <v>0.790096730084078</v>
      </c>
      <c r="E1589">
        <v>0.846286646993911</v>
      </c>
      <c r="F1589">
        <v>0.659248084284452</v>
      </c>
      <c r="G1589">
        <v>0.505495535905012</v>
      </c>
      <c r="H1589">
        <v>0.436635917034708</v>
      </c>
      <c r="I1589">
        <v>0.333484061882009</v>
      </c>
      <c r="J1589">
        <v>0.30528109086169</v>
      </c>
      <c r="K1589">
        <v>0.170072046356612</v>
      </c>
      <c r="L1589">
        <v>626.672016567524</v>
      </c>
      <c r="M1589">
        <v>12.0142671232364</v>
      </c>
      <c r="N1589">
        <v>54.3080761053983</v>
      </c>
      <c r="O1589">
        <v>50.7785913699902</v>
      </c>
      <c r="P1589">
        <v>-0.0479778314557854</v>
      </c>
      <c r="Q1589">
        <v>0.189076825706661</v>
      </c>
      <c r="R1589">
        <v>0.832340274050144</v>
      </c>
      <c r="S1589" t="s">
        <v>3782</v>
      </c>
      <c r="T1589" t="s">
        <v>4362</v>
      </c>
      <c r="U1589" t="s">
        <v>4362</v>
      </c>
      <c r="V1589" t="s">
        <v>4362</v>
      </c>
      <c r="W1589" t="s">
        <v>5947</v>
      </c>
      <c r="X1589">
        <v>17</v>
      </c>
      <c r="Y1589" t="s">
        <v>8110</v>
      </c>
      <c r="Z1589" t="s">
        <v>10277</v>
      </c>
      <c r="AA1589">
        <v>0.6178033258527765</v>
      </c>
      <c r="AB1589">
        <f>HYPERLINK("Melting_Curves/meltCurve_P39321_tamB.pdf", "Melting_Curves/meltCurve_P39321_tamB.pdf")</f>
        <v>0</v>
      </c>
    </row>
    <row r="1590" spans="1:28">
      <c r="A1590" t="s">
        <v>1616</v>
      </c>
      <c r="B1590">
        <v>0.999739202189716</v>
      </c>
      <c r="C1590">
        <v>1.05994017922307</v>
      </c>
      <c r="D1590">
        <v>0.74063988774386</v>
      </c>
      <c r="E1590">
        <v>1.06378882534441</v>
      </c>
      <c r="F1590">
        <v>0.822270536817897</v>
      </c>
      <c r="G1590">
        <v>0.721500322855628</v>
      </c>
      <c r="H1590">
        <v>0.699730829845763</v>
      </c>
      <c r="I1590">
        <v>0.617606303875163</v>
      </c>
      <c r="J1590">
        <v>0.568116249897767</v>
      </c>
      <c r="K1590">
        <v>0.63761711574275</v>
      </c>
      <c r="L1590">
        <v>614.299098903778</v>
      </c>
      <c r="M1590">
        <v>11.7112113400664</v>
      </c>
      <c r="O1590">
        <v>50.9945646462667</v>
      </c>
      <c r="P1590">
        <v>-0.0251900206720533</v>
      </c>
      <c r="Q1590">
        <v>0.561372803809194</v>
      </c>
      <c r="R1590">
        <v>0.7306579910669651</v>
      </c>
      <c r="S1590" t="s">
        <v>3783</v>
      </c>
      <c r="T1590" t="s">
        <v>4362</v>
      </c>
      <c r="U1590" t="s">
        <v>4362</v>
      </c>
      <c r="V1590" t="s">
        <v>4362</v>
      </c>
      <c r="W1590" t="s">
        <v>5948</v>
      </c>
      <c r="X1590">
        <v>17</v>
      </c>
      <c r="Y1590" t="s">
        <v>8111</v>
      </c>
      <c r="Z1590" t="s">
        <v>10278</v>
      </c>
      <c r="AA1590">
        <v>0.7973927750597417</v>
      </c>
      <c r="AB1590">
        <f>HYPERLINK("Melting_Curves/meltCurve_P39325_ytfQ.pdf", "Melting_Curves/meltCurve_P39325_ytfQ.pdf")</f>
        <v>0</v>
      </c>
    </row>
    <row r="1591" spans="1:28">
      <c r="A1591" t="s">
        <v>1617</v>
      </c>
      <c r="B1591">
        <v>0.999739202189716</v>
      </c>
      <c r="C1591">
        <v>1.05334118742282</v>
      </c>
      <c r="D1591">
        <v>0.925780527811513</v>
      </c>
      <c r="E1591">
        <v>1.02689500804565</v>
      </c>
      <c r="F1591">
        <v>1.00838102336531</v>
      </c>
      <c r="G1591">
        <v>0.863181795675663</v>
      </c>
      <c r="H1591">
        <v>0.8432355905690589</v>
      </c>
      <c r="I1591">
        <v>0.760242182657639</v>
      </c>
      <c r="J1591">
        <v>0.785701296095269</v>
      </c>
      <c r="K1591">
        <v>0.723230864620753</v>
      </c>
      <c r="L1591">
        <v>1230.67006577693</v>
      </c>
      <c r="M1591">
        <v>22.4272485184587</v>
      </c>
      <c r="O1591">
        <v>54.4431845458377</v>
      </c>
      <c r="P1591">
        <v>-0.026050110294482</v>
      </c>
      <c r="Q1591">
        <v>0.747053834019228</v>
      </c>
      <c r="R1591">
        <v>0.888345744401515</v>
      </c>
      <c r="S1591" t="s">
        <v>3784</v>
      </c>
      <c r="T1591" t="s">
        <v>4362</v>
      </c>
      <c r="U1591" t="s">
        <v>4362</v>
      </c>
      <c r="V1591" t="s">
        <v>4362</v>
      </c>
      <c r="W1591" t="s">
        <v>5949</v>
      </c>
      <c r="X1591">
        <v>2</v>
      </c>
      <c r="Y1591" t="s">
        <v>8112</v>
      </c>
      <c r="Z1591" t="s">
        <v>10279</v>
      </c>
      <c r="AA1591">
        <v>0.9002771299480987</v>
      </c>
      <c r="AB1591">
        <f>HYPERLINK("Melting_Curves/meltCurve_P39332_yjgH.pdf", "Melting_Curves/meltCurve_P39332_yjgH.pdf")</f>
        <v>0</v>
      </c>
    </row>
    <row r="1592" spans="1:28">
      <c r="A1592" t="s">
        <v>1618</v>
      </c>
      <c r="B1592">
        <v>0.999739202189716</v>
      </c>
      <c r="C1592">
        <v>0.820927460970743</v>
      </c>
      <c r="D1592">
        <v>1.00122632891413</v>
      </c>
      <c r="E1592">
        <v>0.7476921556312131</v>
      </c>
      <c r="F1592">
        <v>0.532356280183749</v>
      </c>
      <c r="G1592">
        <v>0.221953490891823</v>
      </c>
      <c r="H1592">
        <v>0.109962722841987</v>
      </c>
      <c r="I1592">
        <v>0.08191641462290999</v>
      </c>
      <c r="J1592">
        <v>0.0624098292052121</v>
      </c>
      <c r="K1592">
        <v>0.0678397911984216</v>
      </c>
      <c r="L1592">
        <v>863.324951879528</v>
      </c>
      <c r="M1592">
        <v>17.3192586956497</v>
      </c>
      <c r="N1592">
        <v>50.0866662556682</v>
      </c>
      <c r="O1592">
        <v>49.1973806319005</v>
      </c>
      <c r="P1592">
        <v>-0.0845240496456557</v>
      </c>
      <c r="Q1592">
        <v>0.0396537701352085</v>
      </c>
      <c r="R1592">
        <v>0.97543685840195</v>
      </c>
      <c r="S1592" t="s">
        <v>3785</v>
      </c>
      <c r="T1592" t="s">
        <v>4362</v>
      </c>
      <c r="U1592" t="s">
        <v>4362</v>
      </c>
      <c r="V1592" t="s">
        <v>4362</v>
      </c>
      <c r="W1592" t="s">
        <v>5950</v>
      </c>
      <c r="X1592">
        <v>5</v>
      </c>
      <c r="Y1592" t="s">
        <v>8113</v>
      </c>
      <c r="Z1592" t="s">
        <v>10280</v>
      </c>
      <c r="AA1592">
        <v>0.4670767389238045</v>
      </c>
      <c r="AB1592">
        <f>HYPERLINK("Melting_Curves/meltCurve_P39337_yjgM.pdf", "Melting_Curves/meltCurve_P39337_yjgM.pdf")</f>
        <v>0</v>
      </c>
    </row>
    <row r="1593" spans="1:28">
      <c r="A1593" t="s">
        <v>1619</v>
      </c>
      <c r="B1593">
        <v>0.999739202189716</v>
      </c>
      <c r="C1593">
        <v>0.964853598893157</v>
      </c>
      <c r="D1593">
        <v>1.08395198642072</v>
      </c>
      <c r="E1593">
        <v>0.866166163861495</v>
      </c>
      <c r="F1593">
        <v>0.247010604559027</v>
      </c>
      <c r="G1593">
        <v>0.142087547831391</v>
      </c>
      <c r="H1593">
        <v>0.11770167514189</v>
      </c>
      <c r="I1593">
        <v>0.0926965154433715</v>
      </c>
      <c r="J1593">
        <v>0.104263816426958</v>
      </c>
      <c r="K1593">
        <v>0.0879299893368486</v>
      </c>
      <c r="L1593">
        <v>2229.00985685582</v>
      </c>
      <c r="M1593">
        <v>46.0721160388819</v>
      </c>
      <c r="N1593">
        <v>48.6344723677966</v>
      </c>
      <c r="O1593">
        <v>48.2900029834102</v>
      </c>
      <c r="P1593">
        <v>-0.213049314659401</v>
      </c>
      <c r="Q1593">
        <v>0.106779502303612</v>
      </c>
      <c r="R1593">
        <v>0.99424223753407</v>
      </c>
      <c r="S1593" t="s">
        <v>3786</v>
      </c>
      <c r="T1593" t="s">
        <v>4362</v>
      </c>
      <c r="U1593" t="s">
        <v>4362</v>
      </c>
      <c r="V1593" t="s">
        <v>4362</v>
      </c>
      <c r="W1593" t="s">
        <v>5951</v>
      </c>
      <c r="X1593">
        <v>15</v>
      </c>
      <c r="Y1593" t="s">
        <v>8114</v>
      </c>
      <c r="Z1593" t="s">
        <v>10281</v>
      </c>
      <c r="AA1593">
        <v>0.4478814339887904</v>
      </c>
      <c r="AB1593">
        <f>HYPERLINK("Melting_Curves/meltCurve_P39342_yjgR.pdf", "Melting_Curves/meltCurve_P39342_yjgR.pdf")</f>
        <v>0</v>
      </c>
    </row>
    <row r="1594" spans="1:28">
      <c r="A1594" t="s">
        <v>1620</v>
      </c>
      <c r="B1594">
        <v>0.999739202189716</v>
      </c>
      <c r="C1594">
        <v>0.91900591918484</v>
      </c>
      <c r="D1594">
        <v>0.813327014253974</v>
      </c>
      <c r="E1594">
        <v>0.704210677906721</v>
      </c>
      <c r="F1594">
        <v>0.602769728097628</v>
      </c>
      <c r="G1594">
        <v>0.39962864431336</v>
      </c>
      <c r="H1594">
        <v>0.285995963784158</v>
      </c>
      <c r="I1594">
        <v>0.242624580588291</v>
      </c>
      <c r="J1594">
        <v>0.284986556404356</v>
      </c>
      <c r="K1594">
        <v>0.221409307650973</v>
      </c>
      <c r="L1594">
        <v>500.098054759937</v>
      </c>
      <c r="M1594">
        <v>10.1362372041361</v>
      </c>
      <c r="N1594">
        <v>51.3682006983932</v>
      </c>
      <c r="O1594">
        <v>47.5328609768126</v>
      </c>
      <c r="P1594">
        <v>-0.0445322813539136</v>
      </c>
      <c r="Q1594">
        <v>0.165067477512594</v>
      </c>
      <c r="R1594">
        <v>0.987398982814108</v>
      </c>
      <c r="S1594" t="s">
        <v>3787</v>
      </c>
      <c r="T1594" t="s">
        <v>4362</v>
      </c>
      <c r="U1594" t="s">
        <v>4362</v>
      </c>
      <c r="V1594" t="s">
        <v>4362</v>
      </c>
      <c r="W1594" t="s">
        <v>5952</v>
      </c>
      <c r="X1594">
        <v>1</v>
      </c>
      <c r="Y1594" t="s">
        <v>8115</v>
      </c>
      <c r="Z1594" t="s">
        <v>10282</v>
      </c>
      <c r="AA1594">
        <v>0.5381237128221393</v>
      </c>
      <c r="AB1594">
        <f>HYPERLINK("Melting_Curves/meltCurve_P39346_idnD.pdf", "Melting_Curves/meltCurve_P39346_idnD.pdf")</f>
        <v>0</v>
      </c>
    </row>
    <row r="1595" spans="1:28">
      <c r="A1595" t="s">
        <v>1621</v>
      </c>
      <c r="B1595">
        <v>0.999739202189716</v>
      </c>
      <c r="C1595">
        <v>1.04108954375229</v>
      </c>
      <c r="D1595">
        <v>1.09409420063407</v>
      </c>
      <c r="E1595">
        <v>0.940385074792817</v>
      </c>
      <c r="F1595">
        <v>0.914488442527613</v>
      </c>
      <c r="G1595">
        <v>0.7547104405097</v>
      </c>
      <c r="H1595">
        <v>0.36760306927361</v>
      </c>
      <c r="I1595">
        <v>0.12154677103288</v>
      </c>
      <c r="J1595">
        <v>0.102395190473316</v>
      </c>
      <c r="K1595">
        <v>0.105627318317961</v>
      </c>
      <c r="L1595">
        <v>1494.35685897025</v>
      </c>
      <c r="M1595">
        <v>26.8360668052753</v>
      </c>
      <c r="N1595">
        <v>56.0176743779462</v>
      </c>
      <c r="O1595">
        <v>55.3781862263983</v>
      </c>
      <c r="P1595">
        <v>-0.112217527131624</v>
      </c>
      <c r="Q1595">
        <v>0.0737329790473622</v>
      </c>
      <c r="R1595">
        <v>0.989332417271139</v>
      </c>
      <c r="S1595" t="s">
        <v>3788</v>
      </c>
      <c r="T1595" t="s">
        <v>4362</v>
      </c>
      <c r="U1595" t="s">
        <v>4362</v>
      </c>
      <c r="V1595" t="s">
        <v>4362</v>
      </c>
      <c r="W1595" t="s">
        <v>5953</v>
      </c>
      <c r="X1595">
        <v>5</v>
      </c>
      <c r="Y1595" t="s">
        <v>8116</v>
      </c>
      <c r="Z1595" t="s">
        <v>10283</v>
      </c>
      <c r="AA1595">
        <v>0.6575474387573</v>
      </c>
      <c r="AB1595">
        <f>HYPERLINK("Melting_Curves/meltCurve_P39356_yjhU.pdf", "Melting_Curves/meltCurve_P39356_yjhU.pdf")</f>
        <v>0</v>
      </c>
    </row>
    <row r="1596" spans="1:28">
      <c r="A1596" t="s">
        <v>1622</v>
      </c>
      <c r="B1596">
        <v>0.999739202189716</v>
      </c>
      <c r="C1596">
        <v>1.27131781515015</v>
      </c>
      <c r="D1596">
        <v>0.980710249369812</v>
      </c>
      <c r="E1596">
        <v>1.14185694343115</v>
      </c>
      <c r="F1596">
        <v>0.918002543538089</v>
      </c>
      <c r="G1596">
        <v>0.859601324992484</v>
      </c>
      <c r="H1596">
        <v>0.684971923320534</v>
      </c>
      <c r="I1596">
        <v>0.601539839646641</v>
      </c>
      <c r="J1596">
        <v>0.56835512175762</v>
      </c>
      <c r="K1596">
        <v>0.420919338818062</v>
      </c>
      <c r="L1596">
        <v>947.629040022846</v>
      </c>
      <c r="M1596">
        <v>16.4736510143807</v>
      </c>
      <c r="N1596">
        <v>64.7686866992411</v>
      </c>
      <c r="O1596">
        <v>56.6963112439178</v>
      </c>
      <c r="P1596">
        <v>-0.0420757036144562</v>
      </c>
      <c r="Q1596">
        <v>0.420803478536036</v>
      </c>
      <c r="R1596">
        <v>0.839013640578305</v>
      </c>
      <c r="S1596" t="s">
        <v>3789</v>
      </c>
      <c r="T1596" t="s">
        <v>4362</v>
      </c>
      <c r="U1596" t="s">
        <v>4362</v>
      </c>
      <c r="V1596" t="s">
        <v>4362</v>
      </c>
      <c r="W1596" t="s">
        <v>5954</v>
      </c>
      <c r="X1596">
        <v>9</v>
      </c>
      <c r="Y1596" t="s">
        <v>8117</v>
      </c>
      <c r="Z1596" t="s">
        <v>10284</v>
      </c>
      <c r="AA1596">
        <v>0.8211941290494642</v>
      </c>
      <c r="AB1596">
        <f>HYPERLINK("Melting_Curves/meltCurve_P39358_yjhG.pdf", "Melting_Curves/meltCurve_P39358_yjhG.pdf")</f>
        <v>0</v>
      </c>
    </row>
    <row r="1597" spans="1:28">
      <c r="A1597" t="s">
        <v>1623</v>
      </c>
      <c r="B1597">
        <v>0.999739202189716</v>
      </c>
      <c r="C1597">
        <v>0.817082605308778</v>
      </c>
      <c r="D1597">
        <v>0.868637605976344</v>
      </c>
      <c r="E1597">
        <v>0.822700369331777</v>
      </c>
      <c r="F1597">
        <v>0.654781115345675</v>
      </c>
      <c r="G1597">
        <v>0.417790068685263</v>
      </c>
      <c r="H1597">
        <v>0.259638052185449</v>
      </c>
      <c r="I1597">
        <v>0.139323609731111</v>
      </c>
      <c r="J1597">
        <v>0.113604099735179</v>
      </c>
      <c r="K1597">
        <v>0.100977322904112</v>
      </c>
      <c r="L1597">
        <v>560.217989858961</v>
      </c>
      <c r="M1597">
        <v>10.7245266300035</v>
      </c>
      <c r="N1597">
        <v>52.2370831938832</v>
      </c>
      <c r="O1597">
        <v>50.5191232038802</v>
      </c>
      <c r="P1597">
        <v>-0.0530913601329166</v>
      </c>
      <c r="Q1597">
        <v>0</v>
      </c>
      <c r="R1597">
        <v>0.973724373146486</v>
      </c>
      <c r="S1597" t="s">
        <v>3790</v>
      </c>
      <c r="T1597" t="s">
        <v>4362</v>
      </c>
      <c r="U1597" t="s">
        <v>4362</v>
      </c>
      <c r="V1597" t="s">
        <v>4362</v>
      </c>
      <c r="W1597" t="s">
        <v>5955</v>
      </c>
      <c r="X1597">
        <v>1</v>
      </c>
      <c r="Y1597" t="s">
        <v>8118</v>
      </c>
      <c r="Z1597" t="s">
        <v>10285</v>
      </c>
      <c r="AA1597">
        <v>0.5327623906058843</v>
      </c>
      <c r="AB1597">
        <f>HYPERLINK("Melting_Curves/meltCurve_P39363_sgcA.pdf", "Melting_Curves/meltCurve_P39363_sgcA.pdf")</f>
        <v>0</v>
      </c>
    </row>
    <row r="1598" spans="1:28">
      <c r="A1598" t="s">
        <v>1624</v>
      </c>
      <c r="B1598">
        <v>0.999739202189716</v>
      </c>
      <c r="C1598">
        <v>1.1841772331682</v>
      </c>
      <c r="D1598">
        <v>1.00042944129451</v>
      </c>
      <c r="E1598">
        <v>0.979620197045616</v>
      </c>
      <c r="F1598">
        <v>0.560979155962865</v>
      </c>
      <c r="G1598">
        <v>0.180173856283734</v>
      </c>
      <c r="H1598">
        <v>0.230745409600379</v>
      </c>
      <c r="I1598">
        <v>0.0803340116696728</v>
      </c>
      <c r="J1598">
        <v>0.0830404150427895</v>
      </c>
      <c r="K1598">
        <v>0</v>
      </c>
      <c r="L1598">
        <v>1654.39287151181</v>
      </c>
      <c r="M1598">
        <v>32.8247723504721</v>
      </c>
      <c r="N1598">
        <v>50.7053286500377</v>
      </c>
      <c r="O1598">
        <v>50.2147868939797</v>
      </c>
      <c r="P1598">
        <v>-0.14879977485529</v>
      </c>
      <c r="Q1598">
        <v>0.08947860984992401</v>
      </c>
      <c r="R1598">
        <v>0.96970220072269</v>
      </c>
      <c r="S1598" t="s">
        <v>3791</v>
      </c>
      <c r="T1598" t="s">
        <v>4362</v>
      </c>
      <c r="U1598" t="s">
        <v>4362</v>
      </c>
      <c r="V1598" t="s">
        <v>4362</v>
      </c>
      <c r="W1598" t="s">
        <v>5956</v>
      </c>
      <c r="X1598">
        <v>1</v>
      </c>
      <c r="Y1598" t="s">
        <v>8119</v>
      </c>
      <c r="Z1598" t="s">
        <v>10286</v>
      </c>
      <c r="AA1598">
        <v>0.5009068144715506</v>
      </c>
      <c r="AB1598">
        <f>HYPERLINK("Melting_Curves/meltCurve_P39365_sgcC.pdf", "Melting_Curves/meltCurve_P39365_sgcC.pdf")</f>
        <v>0</v>
      </c>
    </row>
    <row r="1599" spans="1:28">
      <c r="A1599" t="s">
        <v>1625</v>
      </c>
      <c r="B1599">
        <v>0.999739202189716</v>
      </c>
      <c r="C1599">
        <v>1.19919537501346</v>
      </c>
      <c r="D1599">
        <v>1.13339732160661</v>
      </c>
      <c r="E1599">
        <v>1.0634610249533</v>
      </c>
      <c r="F1599">
        <v>0.840868379822803</v>
      </c>
      <c r="G1599">
        <v>0.858014868610854</v>
      </c>
      <c r="H1599">
        <v>0.545947402234351</v>
      </c>
      <c r="I1599">
        <v>0.443321409091393</v>
      </c>
      <c r="J1599">
        <v>0.49886457982928</v>
      </c>
      <c r="K1599">
        <v>0.357798382401396</v>
      </c>
      <c r="L1599">
        <v>1219.30464222156</v>
      </c>
      <c r="M1599">
        <v>22.0115745069467</v>
      </c>
      <c r="N1599">
        <v>59.5266364115474</v>
      </c>
      <c r="O1599">
        <v>54.9426707456708</v>
      </c>
      <c r="P1599">
        <v>-0.0609427929024715</v>
      </c>
      <c r="Q1599">
        <v>0.391540989981448</v>
      </c>
      <c r="R1599">
        <v>0.897751496827636</v>
      </c>
      <c r="S1599" t="s">
        <v>3792</v>
      </c>
      <c r="T1599" t="s">
        <v>4362</v>
      </c>
      <c r="U1599" t="s">
        <v>4362</v>
      </c>
      <c r="V1599" t="s">
        <v>4362</v>
      </c>
      <c r="W1599" t="s">
        <v>5957</v>
      </c>
      <c r="X1599">
        <v>7</v>
      </c>
      <c r="Y1599" t="s">
        <v>8120</v>
      </c>
      <c r="Z1599" t="s">
        <v>10287</v>
      </c>
      <c r="AA1599">
        <v>0.7706156840672194</v>
      </c>
      <c r="AB1599">
        <f>HYPERLINK("Melting_Curves/meltCurve_P39366_sgcX.pdf", "Melting_Curves/meltCurve_P39366_sgcX.pdf")</f>
        <v>0</v>
      </c>
    </row>
    <row r="1600" spans="1:28">
      <c r="A1600" t="s">
        <v>1626</v>
      </c>
      <c r="B1600">
        <v>0.999739202189716</v>
      </c>
      <c r="C1600">
        <v>0.916152890913042</v>
      </c>
      <c r="D1600">
        <v>1.20003715107527</v>
      </c>
      <c r="E1600">
        <v>0.9808164217244359</v>
      </c>
      <c r="F1600">
        <v>1.08735748300592</v>
      </c>
      <c r="G1600">
        <v>0.413600962227209</v>
      </c>
      <c r="H1600">
        <v>0.203149638880178</v>
      </c>
      <c r="I1600">
        <v>0.146947649354102</v>
      </c>
      <c r="J1600">
        <v>0.153780981544369</v>
      </c>
      <c r="K1600">
        <v>0.0983372587652775</v>
      </c>
      <c r="L1600">
        <v>13406.8703038381</v>
      </c>
      <c r="M1600">
        <v>250</v>
      </c>
      <c r="N1600">
        <v>53.7044387262017</v>
      </c>
      <c r="O1600">
        <v>53.6240621627823</v>
      </c>
      <c r="P1600">
        <v>-0.9900480156282</v>
      </c>
      <c r="Q1600">
        <v>0.15055386087752</v>
      </c>
      <c r="R1600">
        <v>0.967204070256497</v>
      </c>
      <c r="S1600" t="s">
        <v>3793</v>
      </c>
      <c r="T1600" t="s">
        <v>4362</v>
      </c>
      <c r="U1600" t="s">
        <v>4362</v>
      </c>
      <c r="V1600" t="s">
        <v>4362</v>
      </c>
      <c r="W1600" t="s">
        <v>5958</v>
      </c>
      <c r="X1600">
        <v>6</v>
      </c>
      <c r="Y1600" t="s">
        <v>8121</v>
      </c>
      <c r="Z1600" t="s">
        <v>10288</v>
      </c>
      <c r="AA1600">
        <v>0.6214387975601086</v>
      </c>
      <c r="AB1600">
        <f>HYPERLINK("Melting_Curves/meltCurve_P39371_nanM.pdf", "Melting_Curves/meltCurve_P39371_nanM.pdf")</f>
        <v>0</v>
      </c>
    </row>
    <row r="1601" spans="1:28">
      <c r="A1601" t="s">
        <v>1627</v>
      </c>
      <c r="B1601">
        <v>0.999739202189716</v>
      </c>
      <c r="C1601">
        <v>1.11281971197058</v>
      </c>
      <c r="D1601">
        <v>0.913150211836717</v>
      </c>
      <c r="E1601">
        <v>1.05210707070296</v>
      </c>
      <c r="F1601">
        <v>0.727616687286057</v>
      </c>
      <c r="G1601">
        <v>0.777309101532804</v>
      </c>
      <c r="H1601">
        <v>0.465047259893409</v>
      </c>
      <c r="I1601">
        <v>0.40691182606284</v>
      </c>
      <c r="J1601">
        <v>0.406008454121491</v>
      </c>
      <c r="K1601">
        <v>0.359301066807012</v>
      </c>
      <c r="L1601">
        <v>865.1553432998739</v>
      </c>
      <c r="M1601">
        <v>16.0286659076044</v>
      </c>
      <c r="N1601">
        <v>57.911811415898</v>
      </c>
      <c r="O1601">
        <v>53.1563042203557</v>
      </c>
      <c r="P1601">
        <v>-0.0503755694864108</v>
      </c>
      <c r="Q1601">
        <v>0.331804234117482</v>
      </c>
      <c r="R1601">
        <v>0.925952930409056</v>
      </c>
      <c r="S1601" t="s">
        <v>3794</v>
      </c>
      <c r="T1601" t="s">
        <v>4362</v>
      </c>
      <c r="U1601" t="s">
        <v>4362</v>
      </c>
      <c r="V1601" t="s">
        <v>4362</v>
      </c>
      <c r="W1601" t="s">
        <v>5959</v>
      </c>
      <c r="X1601">
        <v>13</v>
      </c>
      <c r="Y1601" t="s">
        <v>8122</v>
      </c>
      <c r="Z1601" t="s">
        <v>10289</v>
      </c>
      <c r="AA1601">
        <v>0.7201965247010379</v>
      </c>
      <c r="AB1601">
        <f>HYPERLINK("Melting_Curves/meltCurve_P39377_iadA.pdf", "Melting_Curves/meltCurve_P39377_iadA.pdf")</f>
        <v>0</v>
      </c>
    </row>
    <row r="1602" spans="1:28">
      <c r="A1602" t="s">
        <v>1628</v>
      </c>
      <c r="B1602">
        <v>0.999739202189716</v>
      </c>
      <c r="C1602">
        <v>0.901175176377225</v>
      </c>
      <c r="D1602">
        <v>0.784176497855234</v>
      </c>
      <c r="E1602">
        <v>0.740171174952727</v>
      </c>
      <c r="F1602">
        <v>0.585510964041466</v>
      </c>
      <c r="G1602">
        <v>0.453326548297844</v>
      </c>
      <c r="H1602">
        <v>0.368396374653257</v>
      </c>
      <c r="I1602">
        <v>0.257582821493078</v>
      </c>
      <c r="J1602">
        <v>0.235927245331287</v>
      </c>
      <c r="K1602">
        <v>0.175642141542788</v>
      </c>
      <c r="L1602">
        <v>376.251154986786</v>
      </c>
      <c r="M1602">
        <v>7.1707295088774</v>
      </c>
      <c r="N1602">
        <v>52.6003342681432</v>
      </c>
      <c r="O1602">
        <v>48.8496558954175</v>
      </c>
      <c r="P1602">
        <v>-0.0364375631278097</v>
      </c>
      <c r="Q1602">
        <v>0.00877763221685003</v>
      </c>
      <c r="R1602">
        <v>0.992596382374173</v>
      </c>
      <c r="S1602" t="s">
        <v>3795</v>
      </c>
      <c r="T1602" t="s">
        <v>4362</v>
      </c>
      <c r="U1602" t="s">
        <v>4362</v>
      </c>
      <c r="V1602" t="s">
        <v>4362</v>
      </c>
      <c r="W1602" t="s">
        <v>5960</v>
      </c>
      <c r="X1602">
        <v>2</v>
      </c>
      <c r="Y1602" t="s">
        <v>8123</v>
      </c>
      <c r="Z1602" t="s">
        <v>10290</v>
      </c>
      <c r="AA1602">
        <v>0.5447132440234771</v>
      </c>
      <c r="AB1602">
        <f>HYPERLINK("Melting_Curves/meltCurve_P39383_yjiL.pdf", "Melting_Curves/meltCurve_P39383_yjiL.pdf")</f>
        <v>0</v>
      </c>
    </row>
    <row r="1603" spans="1:28">
      <c r="A1603" t="s">
        <v>1629</v>
      </c>
      <c r="B1603">
        <v>0.999739202189716</v>
      </c>
      <c r="C1603">
        <v>0.92467101770003</v>
      </c>
      <c r="D1603">
        <v>0.7585077655724211</v>
      </c>
      <c r="E1603">
        <v>0.613650191450278</v>
      </c>
      <c r="F1603">
        <v>0.509102827595813</v>
      </c>
      <c r="G1603">
        <v>0.376443700025134</v>
      </c>
      <c r="H1603">
        <v>0.310463747049229</v>
      </c>
      <c r="I1603">
        <v>0.218190823774263</v>
      </c>
      <c r="J1603">
        <v>0.195156773260128</v>
      </c>
      <c r="K1603">
        <v>0.194376806434433</v>
      </c>
      <c r="L1603">
        <v>460.16084350927</v>
      </c>
      <c r="M1603">
        <v>9.536665127994331</v>
      </c>
      <c r="N1603">
        <v>49.8677282610673</v>
      </c>
      <c r="O1603">
        <v>46.2731034451966</v>
      </c>
      <c r="P1603">
        <v>-0.0447011485510213</v>
      </c>
      <c r="Q1603">
        <v>0.132923099028466</v>
      </c>
      <c r="R1603">
        <v>0.99240023249459</v>
      </c>
      <c r="S1603" t="s">
        <v>3796</v>
      </c>
      <c r="T1603" t="s">
        <v>4362</v>
      </c>
      <c r="U1603" t="s">
        <v>4362</v>
      </c>
      <c r="V1603" t="s">
        <v>4362</v>
      </c>
      <c r="W1603" t="s">
        <v>5961</v>
      </c>
      <c r="X1603">
        <v>2</v>
      </c>
      <c r="Y1603" t="s">
        <v>8124</v>
      </c>
      <c r="Z1603" t="s">
        <v>10291</v>
      </c>
      <c r="AA1603">
        <v>0.4943101450347941</v>
      </c>
      <c r="AB1603">
        <f>HYPERLINK("Melting_Curves/meltCurve_P39384_yjiM.pdf", "Melting_Curves/meltCurve_P39384_yjiM.pdf")</f>
        <v>0</v>
      </c>
    </row>
    <row r="1604" spans="1:28">
      <c r="A1604" t="s">
        <v>1630</v>
      </c>
      <c r="B1604">
        <v>0.999739202189716</v>
      </c>
      <c r="C1604">
        <v>0.847734589385318</v>
      </c>
      <c r="D1604">
        <v>0.994649547080663</v>
      </c>
      <c r="E1604">
        <v>0.812478977433737</v>
      </c>
      <c r="F1604">
        <v>0.889491590233542</v>
      </c>
      <c r="G1604">
        <v>0.510291643240556</v>
      </c>
      <c r="H1604">
        <v>0.308044132519298</v>
      </c>
      <c r="I1604">
        <v>0.179711612490807</v>
      </c>
      <c r="J1604">
        <v>0.141343779609148</v>
      </c>
      <c r="K1604">
        <v>0.0943063380526316</v>
      </c>
      <c r="L1604">
        <v>866.960877170825</v>
      </c>
      <c r="M1604">
        <v>16.0488442246413</v>
      </c>
      <c r="N1604">
        <v>54.4159561465168</v>
      </c>
      <c r="O1604">
        <v>53.202296366986</v>
      </c>
      <c r="P1604">
        <v>-0.0712651855298987</v>
      </c>
      <c r="Q1604">
        <v>0.0550901617451794</v>
      </c>
      <c r="R1604">
        <v>0.960366139800377</v>
      </c>
      <c r="S1604" t="s">
        <v>3797</v>
      </c>
      <c r="T1604" t="s">
        <v>4362</v>
      </c>
      <c r="U1604" t="s">
        <v>4362</v>
      </c>
      <c r="V1604" t="s">
        <v>4362</v>
      </c>
      <c r="W1604" t="s">
        <v>5962</v>
      </c>
      <c r="X1604">
        <v>5</v>
      </c>
      <c r="Y1604" t="s">
        <v>8125</v>
      </c>
      <c r="Z1604" t="s">
        <v>10292</v>
      </c>
      <c r="AA1604">
        <v>0.605651224503048</v>
      </c>
      <c r="AB1604">
        <f>HYPERLINK("Melting_Curves/meltCurve_P39385_yjiN.pdf", "Melting_Curves/meltCurve_P39385_yjiN.pdf")</f>
        <v>0</v>
      </c>
    </row>
    <row r="1605" spans="1:28">
      <c r="A1605" t="s">
        <v>1631</v>
      </c>
      <c r="B1605">
        <v>0.999739202189716</v>
      </c>
      <c r="C1605">
        <v>1.20273461855108</v>
      </c>
      <c r="D1605">
        <v>0.880041018917383</v>
      </c>
      <c r="E1605">
        <v>0.835297657183015</v>
      </c>
      <c r="F1605">
        <v>0.767191784464171</v>
      </c>
      <c r="G1605">
        <v>0.5837850009932261</v>
      </c>
      <c r="H1605">
        <v>0.509997254023253</v>
      </c>
      <c r="I1605">
        <v>0.267937248358621</v>
      </c>
      <c r="J1605">
        <v>0.134933157057102</v>
      </c>
      <c r="K1605">
        <v>0.0927360608592592</v>
      </c>
      <c r="L1605">
        <v>622.964128884982</v>
      </c>
      <c r="M1605">
        <v>11.1923176593292</v>
      </c>
      <c r="N1605">
        <v>55.659975710446</v>
      </c>
      <c r="O1605">
        <v>53.9718156445873</v>
      </c>
      <c r="P1605">
        <v>-0.0518597099192821</v>
      </c>
      <c r="Q1605">
        <v>0</v>
      </c>
      <c r="R1605">
        <v>0.944689080600194</v>
      </c>
      <c r="S1605" t="s">
        <v>3798</v>
      </c>
      <c r="T1605" t="s">
        <v>4362</v>
      </c>
      <c r="U1605" t="s">
        <v>4362</v>
      </c>
      <c r="V1605" t="s">
        <v>4362</v>
      </c>
      <c r="W1605" t="s">
        <v>5963</v>
      </c>
      <c r="X1605">
        <v>3</v>
      </c>
      <c r="Y1605" t="s">
        <v>8126</v>
      </c>
      <c r="Z1605" t="s">
        <v>10293</v>
      </c>
      <c r="AA1605">
        <v>0.6324251366544014</v>
      </c>
      <c r="AB1605">
        <f>HYPERLINK("Melting_Curves/meltCurve_P39396_yjiY.pdf", "Melting_Curves/meltCurve_P39396_yjiY.pdf")</f>
        <v>0</v>
      </c>
    </row>
    <row r="1606" spans="1:28">
      <c r="A1606" t="s">
        <v>1632</v>
      </c>
      <c r="B1606">
        <v>0.999739202189716</v>
      </c>
      <c r="C1606">
        <v>1.18970474490074</v>
      </c>
      <c r="D1606">
        <v>0.783226943030501</v>
      </c>
      <c r="E1606">
        <v>0.346568830713022</v>
      </c>
      <c r="F1606">
        <v>0.280886088256062</v>
      </c>
      <c r="G1606">
        <v>0.178961189579953</v>
      </c>
      <c r="H1606">
        <v>0.179125089457334</v>
      </c>
      <c r="I1606">
        <v>0.163162092496027</v>
      </c>
      <c r="J1606">
        <v>0.103432558702818</v>
      </c>
      <c r="K1606">
        <v>0.0771896929458226</v>
      </c>
      <c r="L1606">
        <v>1367.0075374337</v>
      </c>
      <c r="M1606">
        <v>30.488148040358</v>
      </c>
      <c r="N1606">
        <v>45.3894930089146</v>
      </c>
      <c r="O1606">
        <v>44.6457679795185</v>
      </c>
      <c r="P1606">
        <v>-0.144272287302682</v>
      </c>
      <c r="Q1606">
        <v>0.154936176321475</v>
      </c>
      <c r="R1606">
        <v>0.957141236064065</v>
      </c>
      <c r="S1606" t="s">
        <v>3799</v>
      </c>
      <c r="T1606" t="s">
        <v>4362</v>
      </c>
      <c r="U1606" t="s">
        <v>4362</v>
      </c>
      <c r="V1606" t="s">
        <v>4362</v>
      </c>
      <c r="W1606" t="s">
        <v>5964</v>
      </c>
      <c r="X1606">
        <v>2</v>
      </c>
      <c r="Y1606" t="s">
        <v>8127</v>
      </c>
      <c r="Z1606" t="s">
        <v>10294</v>
      </c>
      <c r="AA1606">
        <v>0.3802813458215032</v>
      </c>
      <c r="AB1606">
        <f>HYPERLINK("Melting_Curves/meltCurve_P39401_mdoB.pdf", "Melting_Curves/meltCurve_P39401_mdoB.pdf")</f>
        <v>0</v>
      </c>
    </row>
    <row r="1607" spans="1:28">
      <c r="A1607" t="s">
        <v>1633</v>
      </c>
      <c r="B1607">
        <v>0.999739202189716</v>
      </c>
      <c r="C1607">
        <v>1.14488873285712</v>
      </c>
      <c r="D1607">
        <v>1.02452290075496</v>
      </c>
      <c r="E1607">
        <v>0.868959685462982</v>
      </c>
      <c r="F1607">
        <v>0.749810110392251</v>
      </c>
      <c r="G1607">
        <v>0.5324723805943971</v>
      </c>
      <c r="H1607">
        <v>0.368106199499857</v>
      </c>
      <c r="I1607">
        <v>0.230401486479579</v>
      </c>
      <c r="J1607">
        <v>0.228959287766639</v>
      </c>
      <c r="K1607">
        <v>0.210311106009542</v>
      </c>
      <c r="L1607">
        <v>850.243811238216</v>
      </c>
      <c r="M1607">
        <v>16.112772987116</v>
      </c>
      <c r="N1607">
        <v>54.2373700165218</v>
      </c>
      <c r="O1607">
        <v>51.9755860632966</v>
      </c>
      <c r="P1607">
        <v>-0.063801836418331</v>
      </c>
      <c r="Q1607">
        <v>0.17683076215412</v>
      </c>
      <c r="R1607">
        <v>0.977065966964795</v>
      </c>
      <c r="S1607" t="s">
        <v>3800</v>
      </c>
      <c r="T1607" t="s">
        <v>4362</v>
      </c>
      <c r="U1607" t="s">
        <v>4362</v>
      </c>
      <c r="V1607" t="s">
        <v>4362</v>
      </c>
      <c r="W1607" t="s">
        <v>5965</v>
      </c>
      <c r="X1607">
        <v>3</v>
      </c>
      <c r="Y1607" t="s">
        <v>8128</v>
      </c>
      <c r="Z1607" t="s">
        <v>10295</v>
      </c>
      <c r="AA1607">
        <v>0.6233540764085721</v>
      </c>
      <c r="AB1607">
        <f>HYPERLINK("Melting_Curves/meltCurve_P39405_fhuF.pdf", "Melting_Curves/meltCurve_P39405_fhuF.pdf")</f>
        <v>0</v>
      </c>
    </row>
    <row r="1608" spans="1:28">
      <c r="A1608" t="s">
        <v>1634</v>
      </c>
      <c r="B1608">
        <v>0.999739202189716</v>
      </c>
      <c r="C1608">
        <v>0.978134897411631</v>
      </c>
      <c r="D1608">
        <v>0.742674251837499</v>
      </c>
      <c r="E1608">
        <v>0.67582060267875</v>
      </c>
      <c r="F1608">
        <v>0.32672792972794</v>
      </c>
      <c r="G1608">
        <v>0.156892513421308</v>
      </c>
      <c r="H1608">
        <v>0.12266906446293</v>
      </c>
      <c r="I1608">
        <v>0.089455480813349</v>
      </c>
      <c r="J1608">
        <v>0.0918167709838851</v>
      </c>
      <c r="K1608">
        <v>0.0940289172171178</v>
      </c>
      <c r="L1608">
        <v>719.3261028540491</v>
      </c>
      <c r="M1608">
        <v>15.17075949673</v>
      </c>
      <c r="N1608">
        <v>47.8379651244696</v>
      </c>
      <c r="O1608">
        <v>46.6143313843805</v>
      </c>
      <c r="P1608">
        <v>-0.0762672768425454</v>
      </c>
      <c r="Q1608">
        <v>0.0627220649301094</v>
      </c>
      <c r="R1608">
        <v>0.985362207000271</v>
      </c>
      <c r="S1608" t="s">
        <v>3801</v>
      </c>
      <c r="T1608" t="s">
        <v>4362</v>
      </c>
      <c r="U1608" t="s">
        <v>4362</v>
      </c>
      <c r="V1608" t="s">
        <v>4362</v>
      </c>
      <c r="W1608" t="s">
        <v>5966</v>
      </c>
      <c r="X1608">
        <v>9</v>
      </c>
      <c r="Y1608" t="s">
        <v>8129</v>
      </c>
      <c r="Z1608" t="s">
        <v>10296</v>
      </c>
      <c r="AA1608">
        <v>0.4086210841576909</v>
      </c>
      <c r="AB1608">
        <f>HYPERLINK("Melting_Curves/meltCurve_P39406_rsmC.pdf", "Melting_Curves/meltCurve_P39406_rsmC.pdf")</f>
        <v>0</v>
      </c>
    </row>
    <row r="1609" spans="1:28">
      <c r="A1609" t="s">
        <v>1635</v>
      </c>
      <c r="B1609">
        <v>0.999739202189716</v>
      </c>
      <c r="C1609">
        <v>1.60783770734069</v>
      </c>
      <c r="D1609">
        <v>1.39836340080952</v>
      </c>
      <c r="E1609">
        <v>1.50521006264105</v>
      </c>
      <c r="F1609">
        <v>0.896266897309809</v>
      </c>
      <c r="G1609">
        <v>1.03925319201661</v>
      </c>
      <c r="H1609">
        <v>0.579754564205344</v>
      </c>
      <c r="I1609">
        <v>0.563777172969822</v>
      </c>
      <c r="J1609">
        <v>0.435110442458407</v>
      </c>
      <c r="K1609">
        <v>0.293275784312192</v>
      </c>
      <c r="L1609">
        <v>7121.35181797235</v>
      </c>
      <c r="M1609">
        <v>125.098455371265</v>
      </c>
      <c r="N1609">
        <v>57.8389951709316</v>
      </c>
      <c r="O1609">
        <v>56.9114332784286</v>
      </c>
      <c r="P1609">
        <v>-0.312902993430371</v>
      </c>
      <c r="Q1609">
        <v>0.43060024550919</v>
      </c>
      <c r="R1609">
        <v>0.569804500112804</v>
      </c>
      <c r="S1609" t="s">
        <v>3802</v>
      </c>
      <c r="T1609" t="s">
        <v>4362</v>
      </c>
      <c r="U1609" t="s">
        <v>4362</v>
      </c>
      <c r="V1609" t="s">
        <v>4362</v>
      </c>
      <c r="W1609" t="s">
        <v>5967</v>
      </c>
      <c r="X1609">
        <v>6</v>
      </c>
      <c r="Y1609" t="s">
        <v>8130</v>
      </c>
      <c r="Z1609" t="s">
        <v>10297</v>
      </c>
      <c r="AA1609">
        <v>0.8090224639784938</v>
      </c>
      <c r="AB1609">
        <f>HYPERLINK("Melting_Curves/meltCurve_P39407_yjjU.pdf", "Melting_Curves/meltCurve_P39407_yjjU.pdf")</f>
        <v>0</v>
      </c>
    </row>
    <row r="1610" spans="1:28">
      <c r="A1610" t="s">
        <v>1636</v>
      </c>
      <c r="B1610">
        <v>0.999739202189716</v>
      </c>
      <c r="C1610">
        <v>0.9570231888785</v>
      </c>
      <c r="D1610">
        <v>0.9712316795417</v>
      </c>
      <c r="E1610">
        <v>1.01542662484869</v>
      </c>
      <c r="F1610">
        <v>0.903664190834599</v>
      </c>
      <c r="G1610">
        <v>0.820350305339707</v>
      </c>
      <c r="H1610">
        <v>0.6955017908466991</v>
      </c>
      <c r="I1610">
        <v>0.545428214105717</v>
      </c>
      <c r="J1610">
        <v>0.374935628433987</v>
      </c>
      <c r="K1610">
        <v>0.232749176749869</v>
      </c>
      <c r="L1610">
        <v>731.41465543257</v>
      </c>
      <c r="M1610">
        <v>11.9384039190181</v>
      </c>
      <c r="N1610">
        <v>61.2657033408502</v>
      </c>
      <c r="O1610">
        <v>59.6225981745418</v>
      </c>
      <c r="P1610">
        <v>-0.050070529815893</v>
      </c>
      <c r="Q1610">
        <v>0</v>
      </c>
      <c r="R1610">
        <v>0.990065124274258</v>
      </c>
      <c r="S1610" t="s">
        <v>3803</v>
      </c>
      <c r="T1610" t="s">
        <v>4362</v>
      </c>
      <c r="U1610" t="s">
        <v>4362</v>
      </c>
      <c r="V1610" t="s">
        <v>4362</v>
      </c>
      <c r="W1610" t="s">
        <v>5968</v>
      </c>
      <c r="X1610">
        <v>5</v>
      </c>
      <c r="Y1610" t="s">
        <v>8131</v>
      </c>
      <c r="Z1610" t="s">
        <v>10298</v>
      </c>
      <c r="AA1610">
        <v>0.7804871894838106</v>
      </c>
      <c r="AB1610">
        <f>HYPERLINK("Melting_Curves/meltCurve_P39408_yjjV.pdf", "Melting_Curves/meltCurve_P39408_yjjV.pdf")</f>
        <v>0</v>
      </c>
    </row>
    <row r="1611" spans="1:28">
      <c r="A1611" t="s">
        <v>1637</v>
      </c>
      <c r="B1611">
        <v>0.999739202189716</v>
      </c>
      <c r="C1611">
        <v>0.9179076523402599</v>
      </c>
      <c r="D1611">
        <v>0.480848580803078</v>
      </c>
      <c r="E1611">
        <v>0.245114774859136</v>
      </c>
      <c r="F1611">
        <v>0.103611360180984</v>
      </c>
      <c r="G1611">
        <v>0.0659697149604197</v>
      </c>
      <c r="H1611">
        <v>0.0465387151605413</v>
      </c>
      <c r="I1611">
        <v>0.0385304216100469</v>
      </c>
      <c r="J1611">
        <v>0.0337527425933291</v>
      </c>
      <c r="K1611">
        <v>0.0293616169729765</v>
      </c>
      <c r="L1611">
        <v>963.175151446515</v>
      </c>
      <c r="M1611">
        <v>22.3413392459095</v>
      </c>
      <c r="N1611">
        <v>43.302851415584</v>
      </c>
      <c r="O1611">
        <v>42.7708210413795</v>
      </c>
      <c r="P1611">
        <v>-0.12446106589101</v>
      </c>
      <c r="Q1611">
        <v>0.0469339398530291</v>
      </c>
      <c r="R1611">
        <v>0.9923208543593131</v>
      </c>
      <c r="S1611" t="s">
        <v>3804</v>
      </c>
      <c r="T1611" t="s">
        <v>4362</v>
      </c>
      <c r="U1611" t="s">
        <v>4362</v>
      </c>
      <c r="V1611" t="s">
        <v>4362</v>
      </c>
      <c r="W1611" t="s">
        <v>5969</v>
      </c>
      <c r="X1611">
        <v>2</v>
      </c>
      <c r="Y1611" t="s">
        <v>8132</v>
      </c>
      <c r="Z1611" t="s">
        <v>10299</v>
      </c>
      <c r="AA1611">
        <v>0.2513688423707469</v>
      </c>
      <c r="AB1611">
        <f>HYPERLINK("Melting_Curves/meltCurve_P39411_yjjX.pdf", "Melting_Curves/meltCurve_P39411_yjjX.pdf")</f>
        <v>0</v>
      </c>
    </row>
    <row r="1612" spans="1:28">
      <c r="A1612" t="s">
        <v>1638</v>
      </c>
      <c r="B1612">
        <v>0.999739202189716</v>
      </c>
      <c r="C1612">
        <v>0.886366806893196</v>
      </c>
      <c r="D1612">
        <v>1.06255509146834</v>
      </c>
      <c r="E1612">
        <v>0.883925754564635</v>
      </c>
      <c r="F1612">
        <v>0.75391508355799</v>
      </c>
      <c r="G1612">
        <v>0.673626951034473</v>
      </c>
      <c r="H1612">
        <v>0.438478319904975</v>
      </c>
      <c r="I1612">
        <v>0.165659782223401</v>
      </c>
      <c r="J1612">
        <v>0.0886587698702089</v>
      </c>
      <c r="K1612">
        <v>0.07677601340080931</v>
      </c>
      <c r="L1612">
        <v>796.507038106138</v>
      </c>
      <c r="M1612">
        <v>14.3358335346345</v>
      </c>
      <c r="N1612">
        <v>55.5605672930095</v>
      </c>
      <c r="O1612">
        <v>54.5130036103917</v>
      </c>
      <c r="P1612">
        <v>-0.0657529535426238</v>
      </c>
      <c r="Q1612">
        <v>0</v>
      </c>
      <c r="R1612">
        <v>0.972358626901169</v>
      </c>
      <c r="S1612" t="s">
        <v>3805</v>
      </c>
      <c r="T1612" t="s">
        <v>4362</v>
      </c>
      <c r="U1612" t="s">
        <v>4362</v>
      </c>
      <c r="V1612" t="s">
        <v>4362</v>
      </c>
      <c r="W1612" t="s">
        <v>5970</v>
      </c>
      <c r="X1612">
        <v>4</v>
      </c>
      <c r="Y1612" t="s">
        <v>8133</v>
      </c>
      <c r="Z1612" t="s">
        <v>10300</v>
      </c>
      <c r="AA1612">
        <v>0.6314134671011593</v>
      </c>
      <c r="AB1612">
        <f>HYPERLINK("Melting_Curves/meltCurve_P39451_adhP.pdf", "Melting_Curves/meltCurve_P39451_adhP.pdf")</f>
        <v>0</v>
      </c>
    </row>
    <row r="1613" spans="1:28">
      <c r="A1613" t="s">
        <v>1639</v>
      </c>
      <c r="B1613">
        <v>0.999739202189716</v>
      </c>
      <c r="C1613">
        <v>0.891741620817792</v>
      </c>
      <c r="D1613">
        <v>0.5360301307127801</v>
      </c>
      <c r="E1613">
        <v>0.238320966227416</v>
      </c>
      <c r="F1613">
        <v>0.164144406364925</v>
      </c>
      <c r="G1613">
        <v>0.09963809706916781</v>
      </c>
      <c r="H1613">
        <v>0.0700089678053647</v>
      </c>
      <c r="I1613">
        <v>0.0545403177880469</v>
      </c>
      <c r="J1613">
        <v>0.0507776451571605</v>
      </c>
      <c r="K1613">
        <v>0.0406462995611681</v>
      </c>
      <c r="L1613">
        <v>901.88192213946</v>
      </c>
      <c r="M1613">
        <v>20.8397592786567</v>
      </c>
      <c r="N1613">
        <v>43.5713908132887</v>
      </c>
      <c r="O1613">
        <v>42.884405938597</v>
      </c>
      <c r="P1613">
        <v>-0.11351270864526</v>
      </c>
      <c r="Q1613">
        <v>0.06567252939587891</v>
      </c>
      <c r="R1613">
        <v>0.994935994050793</v>
      </c>
      <c r="S1613" t="s">
        <v>3806</v>
      </c>
      <c r="T1613" t="s">
        <v>4362</v>
      </c>
      <c r="U1613" t="s">
        <v>4362</v>
      </c>
      <c r="V1613" t="s">
        <v>4362</v>
      </c>
      <c r="W1613" t="s">
        <v>5971</v>
      </c>
      <c r="X1613">
        <v>8</v>
      </c>
      <c r="Y1613" t="s">
        <v>8134</v>
      </c>
      <c r="Z1613" t="s">
        <v>10301</v>
      </c>
      <c r="AA1613">
        <v>0.2728686438918667</v>
      </c>
      <c r="AB1613">
        <f>HYPERLINK("Melting_Curves/meltCurve_P39829_garD.pdf", "Melting_Curves/meltCurve_P39829_garD.pdf")</f>
        <v>0</v>
      </c>
    </row>
    <row r="1614" spans="1:28">
      <c r="A1614" t="s">
        <v>1640</v>
      </c>
      <c r="B1614">
        <v>0.999739202189716</v>
      </c>
      <c r="C1614">
        <v>1.63019579466211</v>
      </c>
      <c r="D1614">
        <v>0.519531145980457</v>
      </c>
      <c r="E1614">
        <v>0.370486214994967</v>
      </c>
      <c r="F1614">
        <v>0.224749401873922</v>
      </c>
      <c r="G1614">
        <v>0.141979805570705</v>
      </c>
      <c r="H1614">
        <v>0.0896574163680381</v>
      </c>
      <c r="I1614">
        <v>0.0758438079092871</v>
      </c>
      <c r="J1614">
        <v>0.07140217061983101</v>
      </c>
      <c r="K1614">
        <v>0.0537581504671383</v>
      </c>
      <c r="L1614">
        <v>10739.0775221125</v>
      </c>
      <c r="M1614">
        <v>250</v>
      </c>
      <c r="N1614">
        <v>43.0161484455192</v>
      </c>
      <c r="O1614">
        <v>42.9535617118882</v>
      </c>
      <c r="P1614">
        <v>-1.24139945067898</v>
      </c>
      <c r="Q1614">
        <v>0.146839565149045</v>
      </c>
      <c r="R1614">
        <v>0.802654042171705</v>
      </c>
      <c r="S1614" t="s">
        <v>3807</v>
      </c>
      <c r="T1614" t="s">
        <v>4362</v>
      </c>
      <c r="U1614" t="s">
        <v>4362</v>
      </c>
      <c r="V1614" t="s">
        <v>4362</v>
      </c>
      <c r="W1614" t="s">
        <v>5972</v>
      </c>
      <c r="X1614">
        <v>5</v>
      </c>
      <c r="Y1614" t="s">
        <v>8135</v>
      </c>
      <c r="Z1614" t="s">
        <v>10302</v>
      </c>
      <c r="AA1614">
        <v>0.3162934864197658</v>
      </c>
      <c r="AB1614">
        <f>HYPERLINK("Melting_Curves/meltCurve_P39830_ybaL.pdf", "Melting_Curves/meltCurve_P39830_ybaL.pdf")</f>
        <v>0</v>
      </c>
    </row>
    <row r="1615" spans="1:28">
      <c r="A1615" t="s">
        <v>1641</v>
      </c>
      <c r="B1615">
        <v>0.999739202189716</v>
      </c>
      <c r="C1615">
        <v>0.989107257821736</v>
      </c>
      <c r="D1615">
        <v>0.921876666974925</v>
      </c>
      <c r="E1615">
        <v>0.811437783709592</v>
      </c>
      <c r="F1615">
        <v>0.445220769394323</v>
      </c>
      <c r="G1615">
        <v>0.165987965181288</v>
      </c>
      <c r="H1615">
        <v>0.13314833433657</v>
      </c>
      <c r="I1615">
        <v>0.100961506841521</v>
      </c>
      <c r="J1615">
        <v>0.09771015542143111</v>
      </c>
      <c r="K1615">
        <v>0.08445897625697631</v>
      </c>
      <c r="L1615">
        <v>1145.54694517657</v>
      </c>
      <c r="M1615">
        <v>23.3044102019163</v>
      </c>
      <c r="N1615">
        <v>49.5651025287284</v>
      </c>
      <c r="O1615">
        <v>48.7981475337531</v>
      </c>
      <c r="P1615">
        <v>-0.108943719454858</v>
      </c>
      <c r="Q1615">
        <v>0.0875278070466855</v>
      </c>
      <c r="R1615">
        <v>0.9976145028794779</v>
      </c>
      <c r="S1615" t="s">
        <v>3808</v>
      </c>
      <c r="T1615" t="s">
        <v>4362</v>
      </c>
      <c r="U1615" t="s">
        <v>4362</v>
      </c>
      <c r="V1615" t="s">
        <v>4362</v>
      </c>
      <c r="W1615" t="s">
        <v>5973</v>
      </c>
      <c r="X1615">
        <v>5</v>
      </c>
      <c r="Y1615" t="s">
        <v>8136</v>
      </c>
      <c r="Z1615" t="s">
        <v>10303</v>
      </c>
      <c r="AA1615">
        <v>0.46629907601488</v>
      </c>
      <c r="AB1615">
        <f>HYPERLINK("Melting_Curves/meltCurve_P39831_ydfG.pdf", "Melting_Curves/meltCurve_P39831_ydfG.pdf")</f>
        <v>0</v>
      </c>
    </row>
    <row r="1616" spans="1:28">
      <c r="A1616" t="s">
        <v>1642</v>
      </c>
      <c r="B1616">
        <v>0.999739202189716</v>
      </c>
      <c r="C1616">
        <v>1.08877046660926</v>
      </c>
      <c r="D1616">
        <v>0.658853795449978</v>
      </c>
      <c r="E1616">
        <v>0.546332765222259</v>
      </c>
      <c r="F1616">
        <v>0.361381192388958</v>
      </c>
      <c r="G1616">
        <v>0.25577778456881</v>
      </c>
      <c r="H1616">
        <v>0.238546217647668</v>
      </c>
      <c r="I1616">
        <v>0.172664268777319</v>
      </c>
      <c r="J1616">
        <v>0.155967117947742</v>
      </c>
      <c r="K1616">
        <v>0.14793142612776</v>
      </c>
      <c r="L1616">
        <v>704.218646446025</v>
      </c>
      <c r="M1616">
        <v>15.3594251883304</v>
      </c>
      <c r="N1616">
        <v>47.0837161178547</v>
      </c>
      <c r="O1616">
        <v>45.0931647414902</v>
      </c>
      <c r="P1616">
        <v>-0.0710469522856034</v>
      </c>
      <c r="Q1616">
        <v>0.165740401743743</v>
      </c>
      <c r="R1616">
        <v>0.9589781381326981</v>
      </c>
      <c r="S1616" t="s">
        <v>3809</v>
      </c>
      <c r="T1616" t="s">
        <v>4362</v>
      </c>
      <c r="U1616" t="s">
        <v>4362</v>
      </c>
      <c r="V1616" t="s">
        <v>4362</v>
      </c>
      <c r="W1616" t="s">
        <v>5974</v>
      </c>
      <c r="X1616">
        <v>3</v>
      </c>
      <c r="Y1616" t="s">
        <v>8137</v>
      </c>
      <c r="Z1616" t="s">
        <v>10304</v>
      </c>
      <c r="AA1616">
        <v>0.4302879052362988</v>
      </c>
      <c r="AB1616">
        <f>HYPERLINK("Melting_Curves/meltCurve_P39835_gntT.pdf", "Melting_Curves/meltCurve_P39835_gntT.pdf")</f>
        <v>0</v>
      </c>
    </row>
    <row r="1617" spans="1:28">
      <c r="A1617" t="s">
        <v>1643</v>
      </c>
      <c r="B1617">
        <v>0.999739202189716</v>
      </c>
      <c r="C1617">
        <v>1.04954001869854</v>
      </c>
      <c r="D1617">
        <v>0.658551329899048</v>
      </c>
      <c r="E1617">
        <v>0.585620941991091</v>
      </c>
      <c r="F1617">
        <v>0.383694621941023</v>
      </c>
      <c r="G1617">
        <v>0.273816560217058</v>
      </c>
      <c r="H1617">
        <v>0.2244160394951</v>
      </c>
      <c r="I1617">
        <v>0.189580738562327</v>
      </c>
      <c r="J1617">
        <v>0.173591111776262</v>
      </c>
      <c r="K1617">
        <v>0.164594928031435</v>
      </c>
      <c r="L1617">
        <v>643.396633482367</v>
      </c>
      <c r="M1617">
        <v>13.9355872473979</v>
      </c>
      <c r="N1617">
        <v>47.5363415888796</v>
      </c>
      <c r="O1617">
        <v>45.2497683342226</v>
      </c>
      <c r="P1617">
        <v>-0.0642904580261881</v>
      </c>
      <c r="Q1617">
        <v>0.165091108879025</v>
      </c>
      <c r="R1617">
        <v>0.966458627936304</v>
      </c>
      <c r="S1617" t="s">
        <v>3810</v>
      </c>
      <c r="T1617" t="s">
        <v>4362</v>
      </c>
      <c r="U1617" t="s">
        <v>4362</v>
      </c>
      <c r="V1617" t="s">
        <v>4362</v>
      </c>
      <c r="W1617" t="s">
        <v>5975</v>
      </c>
      <c r="X1617">
        <v>9</v>
      </c>
      <c r="Y1617" t="s">
        <v>8138</v>
      </c>
      <c r="Z1617" t="s">
        <v>10305</v>
      </c>
      <c r="AA1617">
        <v>0.4422425420230737</v>
      </c>
      <c r="AB1617">
        <f>HYPERLINK("Melting_Curves/meltCurve_P39838_rcsD.pdf", "Melting_Curves/meltCurve_P39838_rcsD.pdf")</f>
        <v>0</v>
      </c>
    </row>
    <row r="1618" spans="1:28">
      <c r="A1618" t="s">
        <v>1644</v>
      </c>
      <c r="B1618">
        <v>0.999739202189716</v>
      </c>
      <c r="C1618">
        <v>1.24508235216779</v>
      </c>
      <c r="D1618">
        <v>1.19989234997032</v>
      </c>
      <c r="E1618">
        <v>1.1702653581072</v>
      </c>
      <c r="F1618">
        <v>0.842889334678663</v>
      </c>
      <c r="G1618">
        <v>0.153387165524536</v>
      </c>
      <c r="H1618">
        <v>0.106377896205981</v>
      </c>
      <c r="I1618">
        <v>0.0729963067811856</v>
      </c>
      <c r="J1618">
        <v>0.0667487971784971</v>
      </c>
      <c r="K1618">
        <v>0.0518930602762951</v>
      </c>
      <c r="L1618">
        <v>3029.57593154141</v>
      </c>
      <c r="M1618">
        <v>58.7273600747732</v>
      </c>
      <c r="N1618">
        <v>51.7291329707024</v>
      </c>
      <c r="O1618">
        <v>51.5274149322728</v>
      </c>
      <c r="P1618">
        <v>-0.26372087191816</v>
      </c>
      <c r="Q1618">
        <v>0.0744451206830388</v>
      </c>
      <c r="R1618">
        <v>0.95006217364608</v>
      </c>
      <c r="S1618" t="s">
        <v>3811</v>
      </c>
      <c r="T1618" t="s">
        <v>4362</v>
      </c>
      <c r="U1618" t="s">
        <v>4362</v>
      </c>
      <c r="V1618" t="s">
        <v>4362</v>
      </c>
      <c r="W1618" t="s">
        <v>5976</v>
      </c>
      <c r="X1618">
        <v>13</v>
      </c>
      <c r="Y1618" t="s">
        <v>8139</v>
      </c>
      <c r="Z1618" t="s">
        <v>10306</v>
      </c>
      <c r="AA1618">
        <v>0.5260089924946791</v>
      </c>
      <c r="AB1618">
        <f>HYPERLINK("Melting_Curves/meltCurve_P40120_mdoD.pdf", "Melting_Curves/meltCurve_P40120_mdoD.pdf")</f>
        <v>0</v>
      </c>
    </row>
    <row r="1619" spans="1:28">
      <c r="A1619" t="s">
        <v>1645</v>
      </c>
      <c r="B1619">
        <v>0.999739202189716</v>
      </c>
      <c r="C1619">
        <v>0.7760747185644929</v>
      </c>
      <c r="D1619">
        <v>1.19037631436835</v>
      </c>
      <c r="E1619">
        <v>0.85635106346151</v>
      </c>
      <c r="F1619">
        <v>1.15718043228877</v>
      </c>
      <c r="G1619">
        <v>1.08522628398625</v>
      </c>
      <c r="H1619">
        <v>1.08470797238023</v>
      </c>
      <c r="I1619">
        <v>1.03750274881599</v>
      </c>
      <c r="J1619">
        <v>0.889657846155524</v>
      </c>
      <c r="K1619">
        <v>0.291931531941178</v>
      </c>
      <c r="L1619">
        <v>15000</v>
      </c>
      <c r="M1619">
        <v>232.319553371899</v>
      </c>
      <c r="N1619">
        <v>64.8106199145393</v>
      </c>
      <c r="O1619">
        <v>64.561455295123</v>
      </c>
      <c r="P1619">
        <v>-0.637120588898404</v>
      </c>
      <c r="Q1619">
        <v>0.291778384716754</v>
      </c>
      <c r="R1619">
        <v>0.7624636147739829</v>
      </c>
      <c r="S1619" t="s">
        <v>3812</v>
      </c>
      <c r="T1619" t="s">
        <v>4362</v>
      </c>
      <c r="U1619" t="s">
        <v>4362</v>
      </c>
      <c r="V1619" t="s">
        <v>4362</v>
      </c>
      <c r="W1619" t="s">
        <v>5977</v>
      </c>
      <c r="X1619">
        <v>5</v>
      </c>
      <c r="Y1619" t="s">
        <v>8140</v>
      </c>
      <c r="Z1619" t="s">
        <v>10307</v>
      </c>
      <c r="AA1619">
        <v>0.9426366730688421</v>
      </c>
      <c r="AB1619">
        <f>HYPERLINK("Melting_Curves/meltCurve_P40191_pdxK.pdf", "Melting_Curves/meltCurve_P40191_pdxK.pdf")</f>
        <v>0</v>
      </c>
    </row>
    <row r="1620" spans="1:28">
      <c r="A1620" t="s">
        <v>1646</v>
      </c>
      <c r="B1620">
        <v>0.999739202189716</v>
      </c>
      <c r="C1620">
        <v>0.908074470871533</v>
      </c>
      <c r="D1620">
        <v>0.974122183078087</v>
      </c>
      <c r="E1620">
        <v>0.969546988477448</v>
      </c>
      <c r="F1620">
        <v>1.08511565307436</v>
      </c>
      <c r="G1620">
        <v>0.874352329477693</v>
      </c>
      <c r="H1620">
        <v>0.937860879527244</v>
      </c>
      <c r="I1620">
        <v>0.846217698237305</v>
      </c>
      <c r="J1620">
        <v>0.933486697859215</v>
      </c>
      <c r="K1620">
        <v>0.628887868077777</v>
      </c>
      <c r="L1620">
        <v>952.429544785311</v>
      </c>
      <c r="M1620">
        <v>13.4240319127059</v>
      </c>
      <c r="Q1620">
        <v>0</v>
      </c>
      <c r="R1620">
        <v>0.597016858812815</v>
      </c>
      <c r="S1620" t="s">
        <v>3813</v>
      </c>
      <c r="T1620" t="s">
        <v>4362</v>
      </c>
      <c r="U1620" t="s">
        <v>4362</v>
      </c>
      <c r="V1620" t="s">
        <v>4362</v>
      </c>
      <c r="W1620" t="s">
        <v>5978</v>
      </c>
      <c r="X1620">
        <v>6</v>
      </c>
      <c r="Y1620" t="s">
        <v>8141</v>
      </c>
      <c r="Z1620" t="s">
        <v>10308</v>
      </c>
      <c r="AA1620">
        <v>0.9487652488473277</v>
      </c>
      <c r="AB1620">
        <f>HYPERLINK("Melting_Curves/meltCurve_P40710_nlpE.pdf", "Melting_Curves/meltCurve_P40710_nlpE.pdf")</f>
        <v>0</v>
      </c>
    </row>
    <row r="1621" spans="1:28">
      <c r="A1621" t="s">
        <v>1647</v>
      </c>
      <c r="B1621">
        <v>0.999739202189716</v>
      </c>
      <c r="C1621">
        <v>0.996649776423513</v>
      </c>
      <c r="D1621">
        <v>1.09340746088849</v>
      </c>
      <c r="E1621">
        <v>0.951994931219904</v>
      </c>
      <c r="F1621">
        <v>1.10851022638351</v>
      </c>
      <c r="G1621">
        <v>0.768838189162085</v>
      </c>
      <c r="H1621">
        <v>0.147867632584083</v>
      </c>
      <c r="I1621">
        <v>0.0820101892283782</v>
      </c>
      <c r="J1621">
        <v>0.0737561357769904</v>
      </c>
      <c r="K1621">
        <v>0.0477600293409876</v>
      </c>
      <c r="L1621">
        <v>3122.13112205705</v>
      </c>
      <c r="M1621">
        <v>56.8876450720944</v>
      </c>
      <c r="N1621">
        <v>55.0257425399828</v>
      </c>
      <c r="O1621">
        <v>54.8147214377604</v>
      </c>
      <c r="P1621">
        <v>-0.241588005760699</v>
      </c>
      <c r="Q1621">
        <v>0.0688613718148799</v>
      </c>
      <c r="R1621">
        <v>0.9878625697479539</v>
      </c>
      <c r="S1621" t="s">
        <v>3814</v>
      </c>
      <c r="T1621" t="s">
        <v>4362</v>
      </c>
      <c r="U1621" t="s">
        <v>4362</v>
      </c>
      <c r="V1621" t="s">
        <v>4362</v>
      </c>
      <c r="W1621" t="s">
        <v>5979</v>
      </c>
      <c r="X1621">
        <v>9</v>
      </c>
      <c r="Y1621" t="s">
        <v>8142</v>
      </c>
      <c r="Z1621" t="s">
        <v>10309</v>
      </c>
      <c r="AA1621">
        <v>0.6256323924830045</v>
      </c>
      <c r="AB1621">
        <f>HYPERLINK("Melting_Curves/meltCurve_P40874_solA.pdf", "Melting_Curves/meltCurve_P40874_solA.pdf")</f>
        <v>0</v>
      </c>
    </row>
    <row r="1622" spans="1:28">
      <c r="A1622" t="s">
        <v>1648</v>
      </c>
      <c r="B1622">
        <v>0.999739202189716</v>
      </c>
      <c r="C1622">
        <v>1.03250152318543</v>
      </c>
      <c r="D1622">
        <v>0.734423634130311</v>
      </c>
      <c r="E1622">
        <v>0.948685580086543</v>
      </c>
      <c r="F1622">
        <v>0.840328051274854</v>
      </c>
      <c r="G1622">
        <v>0.694122189674961</v>
      </c>
      <c r="H1622">
        <v>0.527682923281483</v>
      </c>
      <c r="I1622">
        <v>0.533706260834494</v>
      </c>
      <c r="J1622">
        <v>0.410498774581776</v>
      </c>
      <c r="K1622">
        <v>0.5869343968930411</v>
      </c>
      <c r="L1622">
        <v>524.408026909044</v>
      </c>
      <c r="M1622">
        <v>9.973427608980259</v>
      </c>
      <c r="N1622">
        <v>64.3564039428327</v>
      </c>
      <c r="O1622">
        <v>50.5976853118467</v>
      </c>
      <c r="P1622">
        <v>-0.0286256281465908</v>
      </c>
      <c r="Q1622">
        <v>0.419385505685535</v>
      </c>
      <c r="R1622">
        <v>0.8104479701149579</v>
      </c>
      <c r="S1622" t="s">
        <v>3815</v>
      </c>
      <c r="T1622" t="s">
        <v>4362</v>
      </c>
      <c r="U1622" t="s">
        <v>4362</v>
      </c>
      <c r="V1622" t="s">
        <v>4362</v>
      </c>
      <c r="W1622" t="s">
        <v>5980</v>
      </c>
      <c r="X1622">
        <v>1</v>
      </c>
      <c r="Y1622" t="s">
        <v>8143</v>
      </c>
      <c r="Z1622" t="s">
        <v>10310</v>
      </c>
      <c r="AA1622">
        <v>0.7350152563507808</v>
      </c>
      <c r="AB1622">
        <f>HYPERLINK("Melting_Curves/meltCurve_P41039_ybiI.pdf", "Melting_Curves/meltCurve_P41039_ybiI.pdf")</f>
        <v>0</v>
      </c>
    </row>
    <row r="1623" spans="1:28">
      <c r="A1623" t="s">
        <v>1649</v>
      </c>
      <c r="B1623">
        <v>0.999739202189716</v>
      </c>
      <c r="C1623">
        <v>0.870121163056769</v>
      </c>
      <c r="D1623">
        <v>1.18269921633154</v>
      </c>
      <c r="E1623">
        <v>1.01234768943793</v>
      </c>
      <c r="F1623">
        <v>1.06177109859461</v>
      </c>
      <c r="G1623">
        <v>0.891971830694232</v>
      </c>
      <c r="H1623">
        <v>0.720522632091729</v>
      </c>
      <c r="I1623">
        <v>0.445466931842234</v>
      </c>
      <c r="J1623">
        <v>0.228035479969087</v>
      </c>
      <c r="K1623">
        <v>0.121581352782112</v>
      </c>
      <c r="L1623">
        <v>1228.98523310619</v>
      </c>
      <c r="M1623">
        <v>20.4486308506492</v>
      </c>
      <c r="N1623">
        <v>60.1979503358336</v>
      </c>
      <c r="O1623">
        <v>59.5351737197026</v>
      </c>
      <c r="P1623">
        <v>-0.08448107092979081</v>
      </c>
      <c r="Q1623">
        <v>0.0161795553760134</v>
      </c>
      <c r="R1623">
        <v>0.952398964743381</v>
      </c>
      <c r="S1623" t="s">
        <v>3816</v>
      </c>
      <c r="T1623" t="s">
        <v>4362</v>
      </c>
      <c r="U1623" t="s">
        <v>4362</v>
      </c>
      <c r="V1623" t="s">
        <v>4362</v>
      </c>
      <c r="W1623" t="s">
        <v>5981</v>
      </c>
      <c r="X1623">
        <v>7</v>
      </c>
      <c r="Y1623" t="s">
        <v>8144</v>
      </c>
      <c r="Z1623" t="s">
        <v>10311</v>
      </c>
      <c r="AA1623">
        <v>0.7741759929033492</v>
      </c>
      <c r="AB1623">
        <f>HYPERLINK("Melting_Curves/meltCurve_P41407_azoR.pdf", "Melting_Curves/meltCurve_P41407_azoR.pdf")</f>
        <v>0</v>
      </c>
    </row>
    <row r="1624" spans="1:28">
      <c r="A1624" t="s">
        <v>1650</v>
      </c>
      <c r="B1624">
        <v>0.999739202189716</v>
      </c>
      <c r="C1624">
        <v>0.893611362039108</v>
      </c>
      <c r="D1624">
        <v>0.6283579483128739</v>
      </c>
      <c r="E1624">
        <v>0.5959288132235681</v>
      </c>
      <c r="F1624">
        <v>0.338809299138535</v>
      </c>
      <c r="G1624">
        <v>0.216981867948483</v>
      </c>
      <c r="H1624">
        <v>0.149284815554842</v>
      </c>
      <c r="I1624">
        <v>0.112590077499467</v>
      </c>
      <c r="J1624">
        <v>0.0724893989655883</v>
      </c>
      <c r="K1624">
        <v>0.0727713665569716</v>
      </c>
      <c r="L1624">
        <v>494.06034095241</v>
      </c>
      <c r="M1624">
        <v>10.5511307347831</v>
      </c>
      <c r="N1624">
        <v>47.0898838194269</v>
      </c>
      <c r="O1624">
        <v>45.2371726286534</v>
      </c>
      <c r="P1624">
        <v>-0.0566545995721887</v>
      </c>
      <c r="Q1624">
        <v>0.0287754828469022</v>
      </c>
      <c r="R1624">
        <v>0.982869632100141</v>
      </c>
      <c r="S1624" t="s">
        <v>3817</v>
      </c>
      <c r="T1624" t="s">
        <v>4362</v>
      </c>
      <c r="U1624" t="s">
        <v>4362</v>
      </c>
      <c r="V1624" t="s">
        <v>4362</v>
      </c>
      <c r="W1624" t="s">
        <v>5982</v>
      </c>
      <c r="X1624">
        <v>4</v>
      </c>
      <c r="Y1624" t="s">
        <v>8145</v>
      </c>
      <c r="Z1624" t="s">
        <v>10312</v>
      </c>
      <c r="AA1624">
        <v>0.3861194841375109</v>
      </c>
      <c r="AB1624">
        <f>HYPERLINK("Melting_Curves/meltCurve_P41409_rihA.pdf", "Melting_Curves/meltCurve_P41409_rihA.pdf")</f>
        <v>0</v>
      </c>
    </row>
    <row r="1625" spans="1:28">
      <c r="A1625" t="s">
        <v>1651</v>
      </c>
      <c r="B1625">
        <v>0.999739202189716</v>
      </c>
      <c r="C1625">
        <v>0.888610166254202</v>
      </c>
      <c r="D1625">
        <v>0.359572900902696</v>
      </c>
      <c r="E1625">
        <v>0.48442564659552</v>
      </c>
      <c r="F1625">
        <v>0.456840538627292</v>
      </c>
      <c r="G1625">
        <v>0.307753707122511</v>
      </c>
      <c r="H1625">
        <v>0.327834798028084</v>
      </c>
      <c r="I1625">
        <v>0.23555234636233</v>
      </c>
      <c r="J1625">
        <v>0.321978134909821</v>
      </c>
      <c r="K1625">
        <v>0.271316847712516</v>
      </c>
      <c r="L1625">
        <v>2855.11264384079</v>
      </c>
      <c r="M1625">
        <v>69.97038002496301</v>
      </c>
      <c r="N1625">
        <v>41.4930652431954</v>
      </c>
      <c r="O1625">
        <v>40.7712725212802</v>
      </c>
      <c r="P1625">
        <v>-0.281704738541913</v>
      </c>
      <c r="Q1625">
        <v>0.343409883997413</v>
      </c>
      <c r="R1625">
        <v>0.918352598942206</v>
      </c>
      <c r="S1625" t="s">
        <v>3818</v>
      </c>
      <c r="T1625" t="s">
        <v>4362</v>
      </c>
      <c r="U1625" t="s">
        <v>4362</v>
      </c>
      <c r="V1625" t="s">
        <v>4362</v>
      </c>
      <c r="W1625" t="s">
        <v>5983</v>
      </c>
      <c r="X1625">
        <v>1</v>
      </c>
      <c r="Y1625" t="s">
        <v>8146</v>
      </c>
      <c r="Z1625" t="s">
        <v>10313</v>
      </c>
      <c r="AA1625">
        <v>0.4272879081504429</v>
      </c>
      <c r="AB1625">
        <f>HYPERLINK("Melting_Curves/meltCurve_P42588_patA.pdf", "Melting_Curves/meltCurve_P42588_patA.pdf")</f>
        <v>0</v>
      </c>
    </row>
    <row r="1626" spans="1:28">
      <c r="A1626" t="s">
        <v>1652</v>
      </c>
      <c r="B1626">
        <v>0.999739202189716</v>
      </c>
      <c r="C1626">
        <v>1.02801171039192</v>
      </c>
      <c r="D1626">
        <v>1.00018582002189</v>
      </c>
      <c r="E1626">
        <v>0.97408724789259</v>
      </c>
      <c r="F1626">
        <v>0.918414082617988</v>
      </c>
      <c r="G1626">
        <v>0.807023277184491</v>
      </c>
      <c r="H1626">
        <v>0.695708417207258</v>
      </c>
      <c r="I1626">
        <v>0.563240071078301</v>
      </c>
      <c r="J1626">
        <v>0.477987300795887</v>
      </c>
      <c r="K1626">
        <v>0.378275840761936</v>
      </c>
      <c r="L1626">
        <v>648.2788918775331</v>
      </c>
      <c r="M1626">
        <v>10.778682107812</v>
      </c>
      <c r="N1626">
        <v>62.8674255639095</v>
      </c>
      <c r="O1626">
        <v>58.1852801908024</v>
      </c>
      <c r="P1626">
        <v>-0.0376879719864084</v>
      </c>
      <c r="Q1626">
        <v>0.186510622873409</v>
      </c>
      <c r="R1626">
        <v>0.996618333161937</v>
      </c>
      <c r="S1626" t="s">
        <v>3819</v>
      </c>
      <c r="T1626" t="s">
        <v>4362</v>
      </c>
      <c r="U1626" t="s">
        <v>4362</v>
      </c>
      <c r="V1626" t="s">
        <v>4362</v>
      </c>
      <c r="W1626" t="s">
        <v>5984</v>
      </c>
      <c r="X1626">
        <v>2</v>
      </c>
      <c r="Y1626" t="s">
        <v>8147</v>
      </c>
      <c r="Z1626" t="s">
        <v>10314</v>
      </c>
      <c r="AA1626">
        <v>0.7949064875717828</v>
      </c>
      <c r="AB1626">
        <f>HYPERLINK("Melting_Curves/meltCurve_P42589_ygjH.pdf", "Melting_Curves/meltCurve_P42589_ygjH.pdf")</f>
        <v>0</v>
      </c>
    </row>
    <row r="1627" spans="1:28">
      <c r="A1627" t="s">
        <v>1653</v>
      </c>
      <c r="B1627">
        <v>0.999739202189716</v>
      </c>
      <c r="C1627">
        <v>1.69307152520673</v>
      </c>
      <c r="D1627">
        <v>0.967602226423136</v>
      </c>
      <c r="E1627">
        <v>1.21691579000576</v>
      </c>
      <c r="F1627">
        <v>0.733371402555465</v>
      </c>
      <c r="G1627">
        <v>0.442008223281014</v>
      </c>
      <c r="H1627">
        <v>0.348432787353533</v>
      </c>
      <c r="I1627">
        <v>0.208924239875792</v>
      </c>
      <c r="J1627">
        <v>0.265557063693182</v>
      </c>
      <c r="K1627">
        <v>0.207077433204761</v>
      </c>
      <c r="L1627">
        <v>1643.7592327008</v>
      </c>
      <c r="M1627">
        <v>31.7491051635346</v>
      </c>
      <c r="N1627">
        <v>52.9147664868607</v>
      </c>
      <c r="O1627">
        <v>51.569303702522</v>
      </c>
      <c r="P1627">
        <v>-0.115758307682391</v>
      </c>
      <c r="Q1627">
        <v>0.247910239495778</v>
      </c>
      <c r="R1627">
        <v>0.757986684654616</v>
      </c>
      <c r="S1627" t="s">
        <v>3820</v>
      </c>
      <c r="T1627" t="s">
        <v>4362</v>
      </c>
      <c r="U1627" t="s">
        <v>4362</v>
      </c>
      <c r="V1627" t="s">
        <v>4362</v>
      </c>
      <c r="W1627" t="s">
        <v>5985</v>
      </c>
      <c r="X1627">
        <v>2</v>
      </c>
      <c r="Y1627" t="s">
        <v>8148</v>
      </c>
      <c r="Z1627" t="s">
        <v>10315</v>
      </c>
      <c r="AA1627">
        <v>0.6225155831073135</v>
      </c>
      <c r="AB1627">
        <f>HYPERLINK("Melting_Curves/meltCurve_P42592_ygjK.pdf", "Melting_Curves/meltCurve_P42592_ygjK.pdf")</f>
        <v>0</v>
      </c>
    </row>
    <row r="1628" spans="1:28">
      <c r="A1628" t="s">
        <v>1654</v>
      </c>
      <c r="B1628">
        <v>0.999739202189716</v>
      </c>
      <c r="C1628">
        <v>1.24695852045297</v>
      </c>
      <c r="D1628">
        <v>0.850706482415387</v>
      </c>
      <c r="E1628">
        <v>0.794358134821556</v>
      </c>
      <c r="F1628">
        <v>0.270484452735736</v>
      </c>
      <c r="G1628">
        <v>0.163046628918474</v>
      </c>
      <c r="H1628">
        <v>0.122076618793908</v>
      </c>
      <c r="I1628">
        <v>0.0976637238601282</v>
      </c>
      <c r="J1628">
        <v>0.103512525429795</v>
      </c>
      <c r="K1628">
        <v>0.102056064677889</v>
      </c>
      <c r="L1628">
        <v>1526.3509715231</v>
      </c>
      <c r="M1628">
        <v>31.7262281509688</v>
      </c>
      <c r="N1628">
        <v>48.478955373295</v>
      </c>
      <c r="O1628">
        <v>47.9201379533991</v>
      </c>
      <c r="P1628">
        <v>-0.147766547433324</v>
      </c>
      <c r="Q1628">
        <v>0.107242601361131</v>
      </c>
      <c r="R1628">
        <v>0.955092797737727</v>
      </c>
      <c r="S1628" t="s">
        <v>3821</v>
      </c>
      <c r="T1628" t="s">
        <v>4362</v>
      </c>
      <c r="U1628" t="s">
        <v>4362</v>
      </c>
      <c r="V1628" t="s">
        <v>4362</v>
      </c>
      <c r="W1628" t="s">
        <v>5986</v>
      </c>
      <c r="X1628">
        <v>15</v>
      </c>
      <c r="Y1628" t="s">
        <v>8149</v>
      </c>
      <c r="Z1628" t="s">
        <v>10316</v>
      </c>
      <c r="AA1628">
        <v>0.4425974566954701</v>
      </c>
      <c r="AB1628">
        <f>HYPERLINK("Melting_Curves/meltCurve_P42593_fadH.pdf", "Melting_Curves/meltCurve_P42593_fadH.pdf")</f>
        <v>0</v>
      </c>
    </row>
    <row r="1629" spans="1:28">
      <c r="A1629" t="s">
        <v>1655</v>
      </c>
      <c r="B1629">
        <v>0.999739202189716</v>
      </c>
      <c r="C1629">
        <v>0.789281354953946</v>
      </c>
      <c r="D1629">
        <v>0.415688623580602</v>
      </c>
      <c r="E1629">
        <v>0.120563647838758</v>
      </c>
      <c r="F1629">
        <v>0.0730447847404372</v>
      </c>
      <c r="G1629">
        <v>0.067649914180281</v>
      </c>
      <c r="H1629">
        <v>0.0560201652699286</v>
      </c>
      <c r="I1629">
        <v>0.0405103848358171</v>
      </c>
      <c r="J1629">
        <v>0.0284341194855835</v>
      </c>
      <c r="K1629">
        <v>0.0260852880160671</v>
      </c>
      <c r="L1629">
        <v>1014.8525552734</v>
      </c>
      <c r="M1629">
        <v>24.0824863409423</v>
      </c>
      <c r="N1629">
        <v>42.2988000477407</v>
      </c>
      <c r="O1629">
        <v>41.853352477892</v>
      </c>
      <c r="P1629">
        <v>-0.137660792700109</v>
      </c>
      <c r="Q1629">
        <v>0.0430432336971102</v>
      </c>
      <c r="R1629">
        <v>0.997793449669987</v>
      </c>
      <c r="S1629" t="s">
        <v>3822</v>
      </c>
      <c r="T1629" t="s">
        <v>4362</v>
      </c>
      <c r="U1629" t="s">
        <v>4362</v>
      </c>
      <c r="V1629" t="s">
        <v>4362</v>
      </c>
      <c r="W1629" t="s">
        <v>5987</v>
      </c>
      <c r="X1629">
        <v>2</v>
      </c>
      <c r="Y1629" t="s">
        <v>8150</v>
      </c>
      <c r="Z1629" t="s">
        <v>10317</v>
      </c>
      <c r="AA1629">
        <v>0.2162105023182026</v>
      </c>
      <c r="AB1629">
        <f>HYPERLINK("Melting_Curves/meltCurve_P42596_rlmG.pdf", "Melting_Curves/meltCurve_P42596_rlmG.pdf")</f>
        <v>0</v>
      </c>
    </row>
    <row r="1630" spans="1:28">
      <c r="A1630" t="s">
        <v>1656</v>
      </c>
      <c r="B1630">
        <v>0.999739202189716</v>
      </c>
      <c r="C1630">
        <v>0.767222047258473</v>
      </c>
      <c r="D1630">
        <v>0.573696122793986</v>
      </c>
      <c r="E1630">
        <v>0.242428187725906</v>
      </c>
      <c r="F1630">
        <v>0.166101934771246</v>
      </c>
      <c r="G1630">
        <v>0.12293714297264</v>
      </c>
      <c r="H1630">
        <v>0.0990583063749568</v>
      </c>
      <c r="I1630">
        <v>0.0778452203132167</v>
      </c>
      <c r="J1630">
        <v>0.07559928982991169</v>
      </c>
      <c r="K1630">
        <v>0.0638222968113637</v>
      </c>
      <c r="L1630">
        <v>742.915457216533</v>
      </c>
      <c r="M1630">
        <v>17.2599562839107</v>
      </c>
      <c r="N1630">
        <v>43.4671460056988</v>
      </c>
      <c r="O1630">
        <v>42.477392425038</v>
      </c>
      <c r="P1630">
        <v>-0.09371108871472041</v>
      </c>
      <c r="Q1630">
        <v>0.0775478625860932</v>
      </c>
      <c r="R1630">
        <v>0.99277548095638</v>
      </c>
      <c r="S1630" t="s">
        <v>3823</v>
      </c>
      <c r="T1630" t="s">
        <v>4362</v>
      </c>
      <c r="U1630" t="s">
        <v>4362</v>
      </c>
      <c r="V1630" t="s">
        <v>4362</v>
      </c>
      <c r="W1630" t="s">
        <v>5988</v>
      </c>
      <c r="X1630">
        <v>5</v>
      </c>
      <c r="Y1630" t="s">
        <v>8151</v>
      </c>
      <c r="Z1630" t="s">
        <v>10318</v>
      </c>
      <c r="AA1630">
        <v>0.2812411674907693</v>
      </c>
      <c r="AB1630">
        <f>HYPERLINK("Melting_Curves/meltCurve_P42599_ygjR.pdf", "Melting_Curves/meltCurve_P42599_ygjR.pdf")</f>
        <v>0</v>
      </c>
    </row>
    <row r="1631" spans="1:28">
      <c r="A1631" t="s">
        <v>1657</v>
      </c>
      <c r="B1631">
        <v>0.999739202189716</v>
      </c>
      <c r="C1631">
        <v>1.0973830331412</v>
      </c>
      <c r="D1631">
        <v>0.7063273694068291</v>
      </c>
      <c r="E1631">
        <v>0.4335176919733</v>
      </c>
      <c r="F1631">
        <v>0.236663395660555</v>
      </c>
      <c r="G1631">
        <v>0.131875466681735</v>
      </c>
      <c r="H1631">
        <v>0.09099869371502189</v>
      </c>
      <c r="I1631">
        <v>0.0597752981174482</v>
      </c>
      <c r="J1631">
        <v>0.0595496944575165</v>
      </c>
      <c r="K1631">
        <v>0.0477875405351069</v>
      </c>
      <c r="L1631">
        <v>878.5064787479261</v>
      </c>
      <c r="M1631">
        <v>19.2676178997359</v>
      </c>
      <c r="N1631">
        <v>45.9338127963253</v>
      </c>
      <c r="O1631">
        <v>45.1123465499475</v>
      </c>
      <c r="P1631">
        <v>-0.0997059723324209</v>
      </c>
      <c r="Q1631">
        <v>0.06624670131274869</v>
      </c>
      <c r="R1631">
        <v>0.979150955883166</v>
      </c>
      <c r="S1631" t="s">
        <v>3824</v>
      </c>
      <c r="T1631" t="s">
        <v>4362</v>
      </c>
      <c r="U1631" t="s">
        <v>4362</v>
      </c>
      <c r="V1631" t="s">
        <v>4362</v>
      </c>
      <c r="W1631" t="s">
        <v>5989</v>
      </c>
      <c r="X1631">
        <v>4</v>
      </c>
      <c r="Y1631" t="s">
        <v>8152</v>
      </c>
      <c r="Z1631" t="s">
        <v>10319</v>
      </c>
      <c r="AA1631">
        <v>0.3469590534519382</v>
      </c>
      <c r="AB1631">
        <f>HYPERLINK("Melting_Curves/meltCurve_P42604_uxaA.pdf", "Melting_Curves/meltCurve_P42604_uxaA.pdf")</f>
        <v>0</v>
      </c>
    </row>
    <row r="1632" spans="1:28">
      <c r="A1632" t="s">
        <v>1658</v>
      </c>
      <c r="B1632">
        <v>0.999739202189716</v>
      </c>
      <c r="C1632">
        <v>1.08288461243973</v>
      </c>
      <c r="D1632">
        <v>0.828146816464739</v>
      </c>
      <c r="E1632">
        <v>0.881193098764822</v>
      </c>
      <c r="F1632">
        <v>1.18326674520771</v>
      </c>
      <c r="G1632">
        <v>0.980233331844876</v>
      </c>
      <c r="H1632">
        <v>0.88629648761489</v>
      </c>
      <c r="I1632">
        <v>0.887099408757149</v>
      </c>
      <c r="J1632">
        <v>0.882166325508156</v>
      </c>
      <c r="K1632">
        <v>0.84961797451141</v>
      </c>
      <c r="L1632">
        <v>3691.94060653388</v>
      </c>
      <c r="M1632">
        <v>66.7077551961474</v>
      </c>
      <c r="O1632">
        <v>55.2953067206218</v>
      </c>
      <c r="P1632">
        <v>-0.038167573872771</v>
      </c>
      <c r="Q1632">
        <v>0.8734487300286879</v>
      </c>
      <c r="R1632">
        <v>0.277129027035335</v>
      </c>
      <c r="S1632" t="s">
        <v>3825</v>
      </c>
      <c r="T1632" t="s">
        <v>4362</v>
      </c>
      <c r="U1632" t="s">
        <v>4362</v>
      </c>
      <c r="V1632" t="s">
        <v>4362</v>
      </c>
      <c r="W1632" t="s">
        <v>5990</v>
      </c>
      <c r="X1632">
        <v>7</v>
      </c>
      <c r="Y1632" t="s">
        <v>8153</v>
      </c>
      <c r="Z1632" t="s">
        <v>10320</v>
      </c>
      <c r="AA1632">
        <v>0.9510079195806057</v>
      </c>
      <c r="AB1632">
        <f>HYPERLINK("Melting_Curves/meltCurve_P42616_yqjC.pdf", "Melting_Curves/meltCurve_P42616_yqjC.pdf")</f>
        <v>0</v>
      </c>
    </row>
    <row r="1633" spans="1:28">
      <c r="A1633" t="s">
        <v>1659</v>
      </c>
      <c r="B1633">
        <v>0.999739202189716</v>
      </c>
      <c r="C1633">
        <v>1.18567575932047</v>
      </c>
      <c r="D1633">
        <v>1.22147719942676</v>
      </c>
      <c r="E1633">
        <v>1.17253483987391</v>
      </c>
      <c r="F1633">
        <v>1.10055555122593</v>
      </c>
      <c r="G1633">
        <v>0.868847979865769</v>
      </c>
      <c r="H1633">
        <v>0.564147799610842</v>
      </c>
      <c r="I1633">
        <v>0.428326689376062</v>
      </c>
      <c r="J1633">
        <v>0.192515011678768</v>
      </c>
      <c r="K1633">
        <v>0.102581376930981</v>
      </c>
      <c r="L1633">
        <v>1228.30682321654</v>
      </c>
      <c r="M1633">
        <v>20.9374891865824</v>
      </c>
      <c r="N1633">
        <v>59.0400558232594</v>
      </c>
      <c r="O1633">
        <v>58.1381388058449</v>
      </c>
      <c r="P1633">
        <v>-0.0844353349121014</v>
      </c>
      <c r="Q1633">
        <v>0.0622027931030279</v>
      </c>
      <c r="R1633">
        <v>0.91320105193541</v>
      </c>
      <c r="S1633" t="s">
        <v>3826</v>
      </c>
      <c r="T1633" t="s">
        <v>4362</v>
      </c>
      <c r="U1633" t="s">
        <v>4362</v>
      </c>
      <c r="V1633" t="s">
        <v>4362</v>
      </c>
      <c r="W1633" t="s">
        <v>5991</v>
      </c>
      <c r="X1633">
        <v>1</v>
      </c>
      <c r="Y1633" t="s">
        <v>8154</v>
      </c>
      <c r="Z1633" t="s">
        <v>10321</v>
      </c>
      <c r="AA1633">
        <v>0.7444444856154567</v>
      </c>
      <c r="AB1633">
        <f>HYPERLINK("Melting_Curves/meltCurve_P42619_yqjF.pdf", "Melting_Curves/meltCurve_P42619_yqjF.pdf")</f>
        <v>0</v>
      </c>
    </row>
    <row r="1634" spans="1:28">
      <c r="A1634" t="s">
        <v>1660</v>
      </c>
      <c r="B1634">
        <v>0.999739202189716</v>
      </c>
      <c r="C1634">
        <v>0.79832116703014</v>
      </c>
      <c r="D1634">
        <v>0.76772129061409</v>
      </c>
      <c r="E1634">
        <v>0.6465533643229811</v>
      </c>
      <c r="F1634">
        <v>0.646636318143432</v>
      </c>
      <c r="G1634">
        <v>0.511655721054713</v>
      </c>
      <c r="H1634">
        <v>0.46798552371568</v>
      </c>
      <c r="I1634">
        <v>0.384313724953943</v>
      </c>
      <c r="J1634">
        <v>0.39022062027704</v>
      </c>
      <c r="K1634">
        <v>0.228412127800953</v>
      </c>
      <c r="L1634">
        <v>258.650642784987</v>
      </c>
      <c r="M1634">
        <v>4.72433545827902</v>
      </c>
      <c r="N1634">
        <v>54.7485768241946</v>
      </c>
      <c r="O1634">
        <v>47.1279203270908</v>
      </c>
      <c r="P1634">
        <v>-0.0252474554303919</v>
      </c>
      <c r="Q1634">
        <v>0</v>
      </c>
      <c r="R1634">
        <v>0.9492499611452641</v>
      </c>
      <c r="S1634" t="s">
        <v>3827</v>
      </c>
      <c r="T1634" t="s">
        <v>4362</v>
      </c>
      <c r="U1634" t="s">
        <v>4362</v>
      </c>
      <c r="V1634" t="s">
        <v>4362</v>
      </c>
      <c r="W1634" t="s">
        <v>5992</v>
      </c>
      <c r="X1634">
        <v>11</v>
      </c>
      <c r="Y1634" t="s">
        <v>8155</v>
      </c>
      <c r="Z1634" t="s">
        <v>10322</v>
      </c>
      <c r="AA1634">
        <v>0.5789004480082111</v>
      </c>
      <c r="AB1634">
        <f>HYPERLINK("Melting_Curves/meltCurve_P42620_yqjG.pdf", "Melting_Curves/meltCurve_P42620_yqjG.pdf")</f>
        <v>0</v>
      </c>
    </row>
    <row r="1635" spans="1:28">
      <c r="A1635" t="s">
        <v>1661</v>
      </c>
      <c r="B1635">
        <v>0.999739202189716</v>
      </c>
      <c r="C1635">
        <v>0.730820030078746</v>
      </c>
      <c r="D1635">
        <v>0.913356866105371</v>
      </c>
      <c r="E1635">
        <v>0.875369184263364</v>
      </c>
      <c r="F1635">
        <v>0.5881381045027561</v>
      </c>
      <c r="G1635">
        <v>0.156599857574398</v>
      </c>
      <c r="H1635">
        <v>0.158763311107179</v>
      </c>
      <c r="I1635">
        <v>0.106968714588309</v>
      </c>
      <c r="J1635">
        <v>0.08302523994176771</v>
      </c>
      <c r="K1635">
        <v>0.0686386459416387</v>
      </c>
      <c r="L1635">
        <v>1285.52760623389</v>
      </c>
      <c r="M1635">
        <v>25.5786386215419</v>
      </c>
      <c r="N1635">
        <v>50.6066645576716</v>
      </c>
      <c r="O1635">
        <v>49.9537137030862</v>
      </c>
      <c r="P1635">
        <v>-0.117667675575915</v>
      </c>
      <c r="Q1635">
        <v>0.08081698459168141</v>
      </c>
      <c r="R1635">
        <v>0.936748309791035</v>
      </c>
      <c r="S1635" t="s">
        <v>3828</v>
      </c>
      <c r="T1635" t="s">
        <v>4362</v>
      </c>
      <c r="U1635" t="s">
        <v>4362</v>
      </c>
      <c r="V1635" t="s">
        <v>4362</v>
      </c>
      <c r="W1635" t="s">
        <v>5993</v>
      </c>
      <c r="X1635">
        <v>1</v>
      </c>
      <c r="Y1635" t="s">
        <v>8156</v>
      </c>
      <c r="Z1635" t="s">
        <v>10323</v>
      </c>
      <c r="AA1635">
        <v>0.4947470467627834</v>
      </c>
      <c r="AB1635">
        <f>HYPERLINK("Melting_Curves/meltCurve_P42624_yhaK.pdf", "Melting_Curves/meltCurve_P42624_yhaK.pdf")</f>
        <v>0</v>
      </c>
    </row>
    <row r="1636" spans="1:28">
      <c r="A1636" t="s">
        <v>1662</v>
      </c>
      <c r="B1636">
        <v>0.999739202189716</v>
      </c>
      <c r="C1636">
        <v>0.428121720351513</v>
      </c>
      <c r="D1636">
        <v>0.26409760311465</v>
      </c>
      <c r="E1636">
        <v>0.110693648889298</v>
      </c>
      <c r="F1636">
        <v>0.0351626263853626</v>
      </c>
      <c r="G1636">
        <v>0.0145275242775397</v>
      </c>
      <c r="H1636">
        <v>0.00862298584912532</v>
      </c>
      <c r="I1636">
        <v>0.00727169958840741</v>
      </c>
      <c r="J1636">
        <v>0.00531493196487382</v>
      </c>
      <c r="K1636">
        <v>0.00444035662564659</v>
      </c>
      <c r="L1636">
        <v>952.673786587387</v>
      </c>
      <c r="M1636">
        <v>23.7963610574396</v>
      </c>
      <c r="N1636">
        <v>40.1200118255135</v>
      </c>
      <c r="O1636">
        <v>39.754928034477</v>
      </c>
      <c r="P1636">
        <v>-0.145943316179229</v>
      </c>
      <c r="Q1636">
        <v>0.0247466706489941</v>
      </c>
      <c r="R1636">
        <v>0.960207520245863</v>
      </c>
      <c r="S1636" t="s">
        <v>3829</v>
      </c>
      <c r="T1636" t="s">
        <v>4362</v>
      </c>
      <c r="U1636" t="s">
        <v>4362</v>
      </c>
      <c r="V1636" t="s">
        <v>4362</v>
      </c>
      <c r="W1636" t="s">
        <v>5994</v>
      </c>
      <c r="X1636">
        <v>1</v>
      </c>
      <c r="Y1636" t="s">
        <v>8157</v>
      </c>
      <c r="Z1636" t="s">
        <v>10324</v>
      </c>
      <c r="AA1636">
        <v>0.1368937253612092</v>
      </c>
      <c r="AB1636">
        <f>HYPERLINK("Melting_Curves/meltCurve_P42628_dlsT.pdf", "Melting_Curves/meltCurve_P42628_dlsT.pdf")</f>
        <v>0</v>
      </c>
    </row>
    <row r="1637" spans="1:28">
      <c r="A1637" t="s">
        <v>1663</v>
      </c>
      <c r="B1637">
        <v>0.999739202189716</v>
      </c>
      <c r="C1637">
        <v>1.14879869244043</v>
      </c>
      <c r="D1637">
        <v>1.02779662428914</v>
      </c>
      <c r="E1637">
        <v>0.891400477175249</v>
      </c>
      <c r="F1637">
        <v>0.368141515571649</v>
      </c>
      <c r="G1637">
        <v>0.188445894878515</v>
      </c>
      <c r="H1637">
        <v>0.111262653761553</v>
      </c>
      <c r="I1637">
        <v>0.0953110531052193</v>
      </c>
      <c r="J1637">
        <v>0.115713163654647</v>
      </c>
      <c r="K1637">
        <v>0.08923085068019899</v>
      </c>
      <c r="L1637">
        <v>1773.3161700556</v>
      </c>
      <c r="M1637">
        <v>36.152741103103</v>
      </c>
      <c r="N1637">
        <v>49.3900972406728</v>
      </c>
      <c r="O1637">
        <v>48.9013359006869</v>
      </c>
      <c r="P1637">
        <v>-0.164495153606161</v>
      </c>
      <c r="Q1637">
        <v>0.109997812273175</v>
      </c>
      <c r="R1637">
        <v>0.985871978869037</v>
      </c>
      <c r="S1637" t="s">
        <v>3830</v>
      </c>
      <c r="T1637" t="s">
        <v>4362</v>
      </c>
      <c r="U1637" t="s">
        <v>4362</v>
      </c>
      <c r="V1637" t="s">
        <v>4362</v>
      </c>
      <c r="W1637" t="s">
        <v>5995</v>
      </c>
      <c r="X1637">
        <v>6</v>
      </c>
      <c r="Y1637" t="s">
        <v>8158</v>
      </c>
      <c r="Z1637" t="s">
        <v>10325</v>
      </c>
      <c r="AA1637">
        <v>0.4711994665781277</v>
      </c>
      <c r="AB1637">
        <f>HYPERLINK("Melting_Curves/meltCurve_P42632_tdcE.pdf", "Melting_Curves/meltCurve_P42632_tdcE.pdf")</f>
        <v>0</v>
      </c>
    </row>
    <row r="1638" spans="1:28">
      <c r="A1638" t="s">
        <v>1664</v>
      </c>
      <c r="B1638">
        <v>0.999739202189716</v>
      </c>
      <c r="C1638">
        <v>0.819956314418696</v>
      </c>
      <c r="D1638">
        <v>0.6406854283076709</v>
      </c>
      <c r="E1638">
        <v>0.215625172145817</v>
      </c>
      <c r="F1638">
        <v>0.09794586025869929</v>
      </c>
      <c r="G1638">
        <v>0.0594198885481322</v>
      </c>
      <c r="H1638">
        <v>0.0518916548635057</v>
      </c>
      <c r="I1638">
        <v>0.0455334180833254</v>
      </c>
      <c r="J1638">
        <v>0.0479184113239225</v>
      </c>
      <c r="K1638">
        <v>0.0391963559905663</v>
      </c>
      <c r="L1638">
        <v>895.292574345506</v>
      </c>
      <c r="M1638">
        <v>20.5062977390528</v>
      </c>
      <c r="N1638">
        <v>43.8352249427692</v>
      </c>
      <c r="O1638">
        <v>43.2505698387138</v>
      </c>
      <c r="P1638">
        <v>-0.113855603061761</v>
      </c>
      <c r="Q1638">
        <v>0.0394807355869395</v>
      </c>
      <c r="R1638">
        <v>0.994260078999792</v>
      </c>
      <c r="S1638" t="s">
        <v>3831</v>
      </c>
      <c r="T1638" t="s">
        <v>4362</v>
      </c>
      <c r="U1638" t="s">
        <v>4362</v>
      </c>
      <c r="V1638" t="s">
        <v>4362</v>
      </c>
      <c r="W1638" t="s">
        <v>5996</v>
      </c>
      <c r="X1638">
        <v>2</v>
      </c>
      <c r="Y1638" t="s">
        <v>8159</v>
      </c>
      <c r="Z1638" t="s">
        <v>10326</v>
      </c>
      <c r="AA1638">
        <v>0.2649885007236582</v>
      </c>
      <c r="AB1638">
        <f>HYPERLINK("Melting_Curves/meltCurve_P42641_obgE.pdf", "Melting_Curves/meltCurve_P42641_obgE.pdf")</f>
        <v>0</v>
      </c>
    </row>
    <row r="1639" spans="1:28">
      <c r="A1639" t="s">
        <v>1665</v>
      </c>
      <c r="B1639">
        <v>0.999739202189716</v>
      </c>
      <c r="C1639">
        <v>0.942561184434065</v>
      </c>
      <c r="D1639">
        <v>0.993796134808315</v>
      </c>
      <c r="E1639">
        <v>0.914797816606727</v>
      </c>
      <c r="F1639">
        <v>0.509856384572112</v>
      </c>
      <c r="G1639">
        <v>0.213853347056493</v>
      </c>
      <c r="H1639">
        <v>0.154691309892187</v>
      </c>
      <c r="I1639">
        <v>0.156406836948898</v>
      </c>
      <c r="J1639">
        <v>0.142720764398599</v>
      </c>
      <c r="K1639">
        <v>0.09803552909153559</v>
      </c>
      <c r="L1639">
        <v>1551.26788439217</v>
      </c>
      <c r="M1639">
        <v>31.1490346711696</v>
      </c>
      <c r="N1639">
        <v>50.3037342787051</v>
      </c>
      <c r="O1639">
        <v>49.5975443725942</v>
      </c>
      <c r="P1639">
        <v>-0.136026030529974</v>
      </c>
      <c r="Q1639">
        <v>0.133646107011579</v>
      </c>
      <c r="R1639">
        <v>0.996515174139717</v>
      </c>
      <c r="S1639" t="s">
        <v>3832</v>
      </c>
      <c r="T1639" t="s">
        <v>4362</v>
      </c>
      <c r="U1639" t="s">
        <v>4362</v>
      </c>
      <c r="V1639" t="s">
        <v>4362</v>
      </c>
      <c r="W1639" t="s">
        <v>5997</v>
      </c>
      <c r="X1639">
        <v>3</v>
      </c>
      <c r="Y1639" t="s">
        <v>8160</v>
      </c>
      <c r="Z1639" t="s">
        <v>10327</v>
      </c>
      <c r="AA1639">
        <v>0.5082508807762611</v>
      </c>
      <c r="AB1639">
        <f>HYPERLINK("Melting_Curves/meltCurve_P42904_agaV.pdf", "Melting_Curves/meltCurve_P42904_agaV.pdf")</f>
        <v>0</v>
      </c>
    </row>
    <row r="1640" spans="1:28">
      <c r="A1640" t="s">
        <v>1666</v>
      </c>
      <c r="B1640">
        <v>0.999739202189716</v>
      </c>
      <c r="C1640">
        <v>0.967462813162384</v>
      </c>
      <c r="D1640">
        <v>0.386781142510873</v>
      </c>
      <c r="E1640">
        <v>0.368461889088367</v>
      </c>
      <c r="F1640">
        <v>0.281616296656868</v>
      </c>
      <c r="G1640">
        <v>0.236077475748437</v>
      </c>
      <c r="H1640">
        <v>0.191210156739144</v>
      </c>
      <c r="I1640">
        <v>0.161605155498137</v>
      </c>
      <c r="J1640">
        <v>0.156176274507317</v>
      </c>
      <c r="K1640">
        <v>0.139910912438196</v>
      </c>
      <c r="L1640">
        <v>2187.22584064587</v>
      </c>
      <c r="M1640">
        <v>52.0812345362359</v>
      </c>
      <c r="N1640">
        <v>42.4620759919315</v>
      </c>
      <c r="O1640">
        <v>41.934657414945</v>
      </c>
      <c r="P1640">
        <v>-0.242941163832502</v>
      </c>
      <c r="Q1640">
        <v>0.217557328150577</v>
      </c>
      <c r="R1640">
        <v>0.958113173686814</v>
      </c>
      <c r="S1640" t="s">
        <v>3833</v>
      </c>
      <c r="T1640" t="s">
        <v>4362</v>
      </c>
      <c r="U1640" t="s">
        <v>4362</v>
      </c>
      <c r="V1640" t="s">
        <v>4362</v>
      </c>
      <c r="W1640" t="s">
        <v>5998</v>
      </c>
      <c r="X1640">
        <v>5</v>
      </c>
      <c r="Y1640" t="s">
        <v>8161</v>
      </c>
      <c r="Z1640" t="s">
        <v>10328</v>
      </c>
      <c r="AA1640">
        <v>0.3492205630168574</v>
      </c>
      <c r="AB1640">
        <f>HYPERLINK("Melting_Curves/meltCurve_P43329_hrpA.pdf", "Melting_Curves/meltCurve_P43329_hrpA.pdf")</f>
        <v>0</v>
      </c>
    </row>
    <row r="1641" spans="1:28">
      <c r="A1641" t="s">
        <v>1667</v>
      </c>
      <c r="B1641">
        <v>0.999739202189716</v>
      </c>
      <c r="C1641">
        <v>0.891883852541507</v>
      </c>
      <c r="D1641">
        <v>0.555302417726548</v>
      </c>
      <c r="E1641">
        <v>0.578181573872192</v>
      </c>
      <c r="F1641">
        <v>0.306419566005984</v>
      </c>
      <c r="G1641">
        <v>0.229119180221031</v>
      </c>
      <c r="H1641">
        <v>0.190145343129608</v>
      </c>
      <c r="I1641">
        <v>0.16217461896901</v>
      </c>
      <c r="J1641">
        <v>0.163698242354055</v>
      </c>
      <c r="K1641">
        <v>0.170618181034051</v>
      </c>
      <c r="L1641">
        <v>553.05223152138</v>
      </c>
      <c r="M1641">
        <v>12.3257770433921</v>
      </c>
      <c r="N1641">
        <v>46.1228939864683</v>
      </c>
      <c r="O1641">
        <v>43.7375540238811</v>
      </c>
      <c r="P1641">
        <v>-0.0604399719126353</v>
      </c>
      <c r="Q1641">
        <v>0.142310544020019</v>
      </c>
      <c r="R1641">
        <v>0.963006278505032</v>
      </c>
      <c r="S1641" t="s">
        <v>3834</v>
      </c>
      <c r="T1641" t="s">
        <v>4362</v>
      </c>
      <c r="U1641" t="s">
        <v>4362</v>
      </c>
      <c r="V1641" t="s">
        <v>4362</v>
      </c>
      <c r="W1641" t="s">
        <v>5999</v>
      </c>
      <c r="X1641">
        <v>2</v>
      </c>
      <c r="Y1641" t="s">
        <v>8162</v>
      </c>
      <c r="Z1641" t="s">
        <v>10329</v>
      </c>
      <c r="AA1641">
        <v>0.3972234707128765</v>
      </c>
      <c r="AB1641">
        <f>HYPERLINK("Melting_Curves/meltCurve_P43337_nudL.pdf", "Melting_Curves/meltCurve_P43337_nudL.pdf")</f>
        <v>0</v>
      </c>
    </row>
    <row r="1642" spans="1:28">
      <c r="A1642" t="s">
        <v>1668</v>
      </c>
      <c r="B1642">
        <v>0.999739202189716</v>
      </c>
      <c r="C1642">
        <v>0.632501233399195</v>
      </c>
      <c r="D1642">
        <v>1.14472188179732</v>
      </c>
      <c r="E1642">
        <v>0.798278619380781</v>
      </c>
      <c r="F1642">
        <v>1.10828988985999</v>
      </c>
      <c r="G1642">
        <v>0.768240008489014</v>
      </c>
      <c r="H1642">
        <v>0.672868547956945</v>
      </c>
      <c r="I1642">
        <v>0.403924315593952</v>
      </c>
      <c r="J1642">
        <v>0.308180939791988</v>
      </c>
      <c r="K1642">
        <v>0.157295547440739</v>
      </c>
      <c r="L1642">
        <v>888.85427436003</v>
      </c>
      <c r="M1642">
        <v>14.8811445323669</v>
      </c>
      <c r="N1642">
        <v>59.8114871184757</v>
      </c>
      <c r="O1642">
        <v>58.6827291098124</v>
      </c>
      <c r="P1642">
        <v>-0.06276879379246469</v>
      </c>
      <c r="Q1642">
        <v>0.01000619036192</v>
      </c>
      <c r="R1642">
        <v>0.776277790755238</v>
      </c>
      <c r="S1642" t="s">
        <v>3835</v>
      </c>
      <c r="T1642" t="s">
        <v>4362</v>
      </c>
      <c r="U1642" t="s">
        <v>4362</v>
      </c>
      <c r="V1642" t="s">
        <v>4362</v>
      </c>
      <c r="W1642" t="s">
        <v>6000</v>
      </c>
      <c r="X1642">
        <v>1</v>
      </c>
      <c r="Y1642" t="s">
        <v>8163</v>
      </c>
      <c r="Z1642" t="s">
        <v>10330</v>
      </c>
      <c r="AA1642">
        <v>0.7548649290112536</v>
      </c>
      <c r="AB1642">
        <f>HYPERLINK("Melting_Curves/meltCurve_P43340_ycaK.pdf", "Melting_Curves/meltCurve_P43340_ycaK.pdf")</f>
        <v>0</v>
      </c>
    </row>
    <row r="1643" spans="1:28">
      <c r="A1643" t="s">
        <v>1669</v>
      </c>
      <c r="B1643">
        <v>0.999739202189716</v>
      </c>
      <c r="C1643">
        <v>0.844092026237224</v>
      </c>
      <c r="D1643">
        <v>0.987091921428744</v>
      </c>
      <c r="E1643">
        <v>0.8890260236909781</v>
      </c>
      <c r="F1643">
        <v>0.912479309217913</v>
      </c>
      <c r="G1643">
        <v>0.6592337100728169</v>
      </c>
      <c r="H1643">
        <v>0.474469372820812</v>
      </c>
      <c r="I1643">
        <v>0.357838511431</v>
      </c>
      <c r="J1643">
        <v>0.359982813452984</v>
      </c>
      <c r="K1643">
        <v>0.261446658888641</v>
      </c>
      <c r="L1643">
        <v>856.172893011924</v>
      </c>
      <c r="M1643">
        <v>15.6533640649864</v>
      </c>
      <c r="N1643">
        <v>57.161116623088</v>
      </c>
      <c r="O1643">
        <v>53.8264417617811</v>
      </c>
      <c r="P1643">
        <v>-0.0548624466666941</v>
      </c>
      <c r="Q1643">
        <v>0.245453465872115</v>
      </c>
      <c r="R1643">
        <v>0.953370947530484</v>
      </c>
      <c r="S1643" t="s">
        <v>3836</v>
      </c>
      <c r="T1643" t="s">
        <v>4362</v>
      </c>
      <c r="U1643" t="s">
        <v>4362</v>
      </c>
      <c r="V1643" t="s">
        <v>4362</v>
      </c>
      <c r="W1643" t="s">
        <v>6001</v>
      </c>
      <c r="X1643">
        <v>4</v>
      </c>
      <c r="Y1643" t="s">
        <v>8164</v>
      </c>
      <c r="Z1643" t="s">
        <v>10331</v>
      </c>
      <c r="AA1643">
        <v>0.701428639238851</v>
      </c>
      <c r="AB1643">
        <f>HYPERLINK("Melting_Curves/meltCurve_P43341_lpxH.pdf", "Melting_Curves/meltCurve_P43341_lpxH.pdf")</f>
        <v>0</v>
      </c>
    </row>
    <row r="1644" spans="1:28">
      <c r="A1644" t="s">
        <v>1670</v>
      </c>
      <c r="B1644">
        <v>0.999739202189716</v>
      </c>
      <c r="C1644">
        <v>1.30734292281951</v>
      </c>
      <c r="D1644">
        <v>1.20663000750914</v>
      </c>
      <c r="E1644">
        <v>1.164327989615</v>
      </c>
      <c r="F1644">
        <v>0.837969405522947</v>
      </c>
      <c r="G1644">
        <v>0.870124966016752</v>
      </c>
      <c r="H1644">
        <v>0.499232625116107</v>
      </c>
      <c r="I1644">
        <v>0.418577631436561</v>
      </c>
      <c r="J1644">
        <v>0.369420045010368</v>
      </c>
      <c r="K1644">
        <v>0.305074781980771</v>
      </c>
      <c r="L1644">
        <v>1435.7273125824</v>
      </c>
      <c r="M1644">
        <v>25.7472681149212</v>
      </c>
      <c r="N1644">
        <v>58.1228898474262</v>
      </c>
      <c r="O1644">
        <v>55.4291968872301</v>
      </c>
      <c r="P1644">
        <v>-0.0784707719325909</v>
      </c>
      <c r="Q1644">
        <v>0.324274736633695</v>
      </c>
      <c r="R1644">
        <v>0.850954382941161</v>
      </c>
      <c r="S1644" t="s">
        <v>3837</v>
      </c>
      <c r="T1644" t="s">
        <v>4362</v>
      </c>
      <c r="U1644" t="s">
        <v>4362</v>
      </c>
      <c r="V1644" t="s">
        <v>4362</v>
      </c>
      <c r="W1644" t="s">
        <v>6002</v>
      </c>
      <c r="X1644">
        <v>12</v>
      </c>
      <c r="Y1644" t="s">
        <v>8165</v>
      </c>
      <c r="Z1644" t="s">
        <v>10332</v>
      </c>
      <c r="AA1644">
        <v>0.7522158608327876</v>
      </c>
      <c r="AB1644">
        <f>HYPERLINK("Melting_Curves/meltCurve_P43671_pqiB.pdf", "Melting_Curves/meltCurve_P43671_pqiB.pdf")</f>
        <v>0</v>
      </c>
    </row>
    <row r="1645" spans="1:28">
      <c r="A1645" t="s">
        <v>1671</v>
      </c>
      <c r="B1645">
        <v>0.999739202189716</v>
      </c>
      <c r="C1645">
        <v>1.20368258543746</v>
      </c>
      <c r="D1645">
        <v>0.719378502826979</v>
      </c>
      <c r="E1645">
        <v>0.288949888925375</v>
      </c>
      <c r="F1645">
        <v>0.230918121333764</v>
      </c>
      <c r="G1645">
        <v>0.106287551346846</v>
      </c>
      <c r="H1645">
        <v>0.118973618458576</v>
      </c>
      <c r="I1645">
        <v>0.101517952311259</v>
      </c>
      <c r="J1645">
        <v>0.140728112152068</v>
      </c>
      <c r="K1645">
        <v>0.122776749969988</v>
      </c>
      <c r="L1645">
        <v>1512.89226035034</v>
      </c>
      <c r="M1645">
        <v>34.1897724610601</v>
      </c>
      <c r="N1645">
        <v>44.6635454222905</v>
      </c>
      <c r="O1645">
        <v>44.0992880795221</v>
      </c>
      <c r="P1645">
        <v>-0.167518632366236</v>
      </c>
      <c r="Q1645">
        <v>0.135715356982838</v>
      </c>
      <c r="R1645">
        <v>0.9599103968902321</v>
      </c>
      <c r="S1645" t="s">
        <v>3838</v>
      </c>
      <c r="T1645" t="s">
        <v>4362</v>
      </c>
      <c r="U1645" t="s">
        <v>4362</v>
      </c>
      <c r="V1645" t="s">
        <v>4362</v>
      </c>
      <c r="W1645" t="s">
        <v>6003</v>
      </c>
      <c r="X1645">
        <v>13</v>
      </c>
      <c r="Y1645" t="s">
        <v>8166</v>
      </c>
      <c r="Z1645" t="s">
        <v>10333</v>
      </c>
      <c r="AA1645">
        <v>0.3482410069013341</v>
      </c>
      <c r="AB1645">
        <f>HYPERLINK("Melting_Curves/meltCurve_P43672_uup.pdf", "Melting_Curves/meltCurve_P43672_uup.pdf")</f>
        <v>0</v>
      </c>
    </row>
    <row r="1646" spans="1:28">
      <c r="A1646" t="s">
        <v>1672</v>
      </c>
      <c r="B1646">
        <v>0.999739202189716</v>
      </c>
      <c r="C1646">
        <v>0.866359225707038</v>
      </c>
      <c r="D1646">
        <v>1.04316245343054</v>
      </c>
      <c r="E1646">
        <v>0.810429513089768</v>
      </c>
      <c r="F1646">
        <v>0.77949596178419</v>
      </c>
      <c r="G1646">
        <v>0.438763048666095</v>
      </c>
      <c r="H1646">
        <v>0.112909295174902</v>
      </c>
      <c r="I1646">
        <v>0.0845834194078002</v>
      </c>
      <c r="J1646">
        <v>0.0915475616791199</v>
      </c>
      <c r="K1646">
        <v>0.0741810761088556</v>
      </c>
      <c r="L1646">
        <v>1074.57190804616</v>
      </c>
      <c r="M1646">
        <v>20.4514021851741</v>
      </c>
      <c r="N1646">
        <v>52.7648015320311</v>
      </c>
      <c r="O1646">
        <v>52.0480740367382</v>
      </c>
      <c r="P1646">
        <v>-0.094184699791611</v>
      </c>
      <c r="Q1646">
        <v>0.041241984006859</v>
      </c>
      <c r="R1646">
        <v>0.970211355893854</v>
      </c>
      <c r="S1646" t="s">
        <v>3839</v>
      </c>
      <c r="T1646" t="s">
        <v>4362</v>
      </c>
      <c r="U1646" t="s">
        <v>4362</v>
      </c>
      <c r="V1646" t="s">
        <v>4362</v>
      </c>
      <c r="W1646" t="s">
        <v>6004</v>
      </c>
      <c r="X1646">
        <v>10</v>
      </c>
      <c r="Y1646" t="s">
        <v>8167</v>
      </c>
      <c r="Z1646" t="s">
        <v>10334</v>
      </c>
      <c r="AA1646">
        <v>0.5497931688983465</v>
      </c>
      <c r="AB1646">
        <f>HYPERLINK("Melting_Curves/meltCurve_P45395_kdsD.pdf", "Melting_Curves/meltCurve_P45395_kdsD.pdf")</f>
        <v>0</v>
      </c>
    </row>
    <row r="1647" spans="1:28">
      <c r="A1647" t="s">
        <v>1673</v>
      </c>
      <c r="B1647">
        <v>0.999739202189716</v>
      </c>
      <c r="C1647">
        <v>1.1257514180153</v>
      </c>
      <c r="D1647">
        <v>1.03095982158971</v>
      </c>
      <c r="E1647">
        <v>1.02436958519339</v>
      </c>
      <c r="F1647">
        <v>0.882346086257592</v>
      </c>
      <c r="G1647">
        <v>0.635692248584251</v>
      </c>
      <c r="H1647">
        <v>0.618967884637442</v>
      </c>
      <c r="I1647">
        <v>0.564898608965294</v>
      </c>
      <c r="J1647">
        <v>0.474247736378072</v>
      </c>
      <c r="K1647">
        <v>0.440212949037448</v>
      </c>
      <c r="L1647">
        <v>1159.37585310216</v>
      </c>
      <c r="M1647">
        <v>21.9665666911288</v>
      </c>
      <c r="N1647">
        <v>63.0875452850038</v>
      </c>
      <c r="O1647">
        <v>52.3475435908584</v>
      </c>
      <c r="P1647">
        <v>-0.0539035151043178</v>
      </c>
      <c r="Q1647">
        <v>0.486191331113344</v>
      </c>
      <c r="R1647">
        <v>0.946897263818453</v>
      </c>
      <c r="S1647" t="s">
        <v>3840</v>
      </c>
      <c r="T1647" t="s">
        <v>4362</v>
      </c>
      <c r="U1647" t="s">
        <v>4362</v>
      </c>
      <c r="V1647" t="s">
        <v>4362</v>
      </c>
      <c r="W1647" t="s">
        <v>6005</v>
      </c>
      <c r="X1647">
        <v>1</v>
      </c>
      <c r="Y1647" t="s">
        <v>8168</v>
      </c>
      <c r="Z1647" t="s">
        <v>10335</v>
      </c>
      <c r="AA1647">
        <v>0.7620814516347933</v>
      </c>
      <c r="AB1647">
        <f>HYPERLINK("Melting_Curves/meltCurve_P45424_yhcH.pdf", "Melting_Curves/meltCurve_P45424_yhcH.pdf")</f>
        <v>0</v>
      </c>
    </row>
    <row r="1648" spans="1:28">
      <c r="A1648" t="s">
        <v>1674</v>
      </c>
      <c r="B1648">
        <v>0.999739202189716</v>
      </c>
      <c r="C1648">
        <v>0.820217816616707</v>
      </c>
      <c r="D1648">
        <v>0.8017555655940261</v>
      </c>
      <c r="E1648">
        <v>0.769769845338406</v>
      </c>
      <c r="F1648">
        <v>0.723696942934106</v>
      </c>
      <c r="G1648">
        <v>0.60286357966075</v>
      </c>
      <c r="H1648">
        <v>0.53553996442745</v>
      </c>
      <c r="I1648">
        <v>0.498733835571803</v>
      </c>
      <c r="J1648">
        <v>0.402224026467935</v>
      </c>
      <c r="K1648">
        <v>0.257406832465322</v>
      </c>
      <c r="L1648">
        <v>280.121318216961</v>
      </c>
      <c r="M1648">
        <v>4.81003646867753</v>
      </c>
      <c r="N1648">
        <v>58.236845550339</v>
      </c>
      <c r="O1648">
        <v>50.3567262396417</v>
      </c>
      <c r="P1648">
        <v>-0.0240467930076273</v>
      </c>
      <c r="Q1648">
        <v>0</v>
      </c>
      <c r="R1648">
        <v>0.943928486804259</v>
      </c>
      <c r="S1648" t="s">
        <v>3841</v>
      </c>
      <c r="T1648" t="s">
        <v>4362</v>
      </c>
      <c r="U1648" t="s">
        <v>4362</v>
      </c>
      <c r="V1648" t="s">
        <v>4362</v>
      </c>
      <c r="W1648" t="s">
        <v>6006</v>
      </c>
      <c r="X1648">
        <v>6</v>
      </c>
      <c r="Y1648" t="s">
        <v>8169</v>
      </c>
      <c r="Z1648" t="s">
        <v>10336</v>
      </c>
      <c r="AA1648">
        <v>0.6439913098908956</v>
      </c>
      <c r="AB1648">
        <f>HYPERLINK("Melting_Curves/meltCurve_P45425_nanK.pdf", "Melting_Curves/meltCurve_P45425_nanK.pdf")</f>
        <v>0</v>
      </c>
    </row>
    <row r="1649" spans="1:28">
      <c r="A1649" t="s">
        <v>1675</v>
      </c>
      <c r="B1649">
        <v>0.999739202189716</v>
      </c>
      <c r="C1649">
        <v>1.07295618831951</v>
      </c>
      <c r="D1649">
        <v>1.01543118719372</v>
      </c>
      <c r="E1649">
        <v>1.1579158985694</v>
      </c>
      <c r="F1649">
        <v>0.990511471070883</v>
      </c>
      <c r="G1649">
        <v>0.85456869545777</v>
      </c>
      <c r="H1649">
        <v>0.854963073968995</v>
      </c>
      <c r="I1649">
        <v>0.668050549726668</v>
      </c>
      <c r="J1649">
        <v>0.631450838592451</v>
      </c>
      <c r="K1649">
        <v>0.405548675958928</v>
      </c>
      <c r="L1649">
        <v>761.6341318834729</v>
      </c>
      <c r="M1649">
        <v>11.6180638926101</v>
      </c>
      <c r="N1649">
        <v>65.5560290313262</v>
      </c>
      <c r="O1649">
        <v>63.7041357069434</v>
      </c>
      <c r="P1649">
        <v>-0.0456062943784878</v>
      </c>
      <c r="Q1649">
        <v>0</v>
      </c>
      <c r="R1649">
        <v>0.906161535063458</v>
      </c>
      <c r="S1649" t="s">
        <v>3842</v>
      </c>
      <c r="T1649" t="s">
        <v>4362</v>
      </c>
      <c r="U1649" t="s">
        <v>4362</v>
      </c>
      <c r="V1649" t="s">
        <v>4362</v>
      </c>
      <c r="W1649" t="s">
        <v>6007</v>
      </c>
      <c r="X1649">
        <v>20</v>
      </c>
      <c r="Y1649" t="s">
        <v>8170</v>
      </c>
      <c r="Z1649" t="s">
        <v>10337</v>
      </c>
      <c r="AA1649">
        <v>0.865069879919678</v>
      </c>
      <c r="AB1649">
        <f>HYPERLINK("Melting_Curves/meltCurve_P45464_lpoA.pdf", "Melting_Curves/meltCurve_P45464_lpoA.pdf")</f>
        <v>0</v>
      </c>
    </row>
    <row r="1650" spans="1:28">
      <c r="A1650" t="s">
        <v>1676</v>
      </c>
      <c r="B1650">
        <v>0.999739202189716</v>
      </c>
      <c r="C1650">
        <v>1.22705227222868</v>
      </c>
      <c r="D1650">
        <v>0.858296506090647</v>
      </c>
      <c r="E1650">
        <v>0.835955352569159</v>
      </c>
      <c r="F1650">
        <v>0.518022012732541</v>
      </c>
      <c r="G1650">
        <v>0.491230348436223</v>
      </c>
      <c r="H1650">
        <v>0.367791986752212</v>
      </c>
      <c r="I1650">
        <v>0.290715462653323</v>
      </c>
      <c r="J1650">
        <v>0.25035757063322</v>
      </c>
      <c r="K1650">
        <v>0.22843759290012</v>
      </c>
      <c r="L1650">
        <v>743.124561005083</v>
      </c>
      <c r="M1650">
        <v>14.9086958578016</v>
      </c>
      <c r="N1650">
        <v>52.1364604431403</v>
      </c>
      <c r="O1650">
        <v>48.974037373358</v>
      </c>
      <c r="P1650">
        <v>-0.0578198264069219</v>
      </c>
      <c r="Q1650">
        <v>0.240342177054967</v>
      </c>
      <c r="R1650">
        <v>0.927619818757658</v>
      </c>
      <c r="S1650" t="s">
        <v>3843</v>
      </c>
      <c r="T1650" t="s">
        <v>4362</v>
      </c>
      <c r="U1650" t="s">
        <v>4362</v>
      </c>
      <c r="V1650" t="s">
        <v>4362</v>
      </c>
      <c r="W1650" t="s">
        <v>6008</v>
      </c>
      <c r="X1650">
        <v>1</v>
      </c>
      <c r="Y1650" t="s">
        <v>8171</v>
      </c>
      <c r="Z1650" t="s">
        <v>10338</v>
      </c>
      <c r="AA1650">
        <v>0.5817041496853128</v>
      </c>
      <c r="AB1650">
        <f>HYPERLINK("Melting_Curves/meltCurve_P45468_yraQ.pdf", "Melting_Curves/meltCurve_P45468_yraQ.pdf")</f>
        <v>0</v>
      </c>
    </row>
    <row r="1651" spans="1:28">
      <c r="A1651" t="s">
        <v>1677</v>
      </c>
      <c r="B1651">
        <v>0.999739202189716</v>
      </c>
      <c r="C1651">
        <v>0.389616107140128</v>
      </c>
      <c r="D1651">
        <v>0.267110217326693</v>
      </c>
      <c r="E1651">
        <v>0.192160079440709</v>
      </c>
      <c r="F1651">
        <v>0.153884800666343</v>
      </c>
      <c r="G1651">
        <v>0.0912928462565777</v>
      </c>
      <c r="H1651">
        <v>0.0721553728211196</v>
      </c>
      <c r="I1651">
        <v>0.0508221601159529</v>
      </c>
      <c r="J1651">
        <v>0.0688856426413372</v>
      </c>
      <c r="K1651">
        <v>0.0511504201345548</v>
      </c>
      <c r="L1651">
        <v>1795.42322566581</v>
      </c>
      <c r="M1651">
        <v>45.6754878868418</v>
      </c>
      <c r="N1651">
        <v>39.532843605676</v>
      </c>
      <c r="O1651">
        <v>39.2331177361557</v>
      </c>
      <c r="P1651">
        <v>-0.257792505388875</v>
      </c>
      <c r="Q1651">
        <v>0.114274037154093</v>
      </c>
      <c r="R1651">
        <v>0.94590886100781</v>
      </c>
      <c r="S1651" t="s">
        <v>3844</v>
      </c>
      <c r="T1651" t="s">
        <v>4362</v>
      </c>
      <c r="U1651" t="s">
        <v>4362</v>
      </c>
      <c r="V1651" t="s">
        <v>4362</v>
      </c>
      <c r="W1651" t="s">
        <v>6009</v>
      </c>
      <c r="X1651">
        <v>2</v>
      </c>
      <c r="Y1651" t="s">
        <v>8172</v>
      </c>
      <c r="Z1651" t="s">
        <v>10339</v>
      </c>
      <c r="AA1651">
        <v>0.1854821861127392</v>
      </c>
      <c r="AB1651">
        <f>HYPERLINK("Melting_Curves/meltCurve_P45469_yraR.pdf", "Melting_Curves/meltCurve_P45469_yraR.pdf")</f>
        <v>0</v>
      </c>
    </row>
    <row r="1652" spans="1:28">
      <c r="A1652" t="s">
        <v>1678</v>
      </c>
      <c r="B1652">
        <v>0.999739202189716</v>
      </c>
      <c r="C1652">
        <v>1.01992767651896</v>
      </c>
      <c r="D1652">
        <v>1.0474538212352</v>
      </c>
      <c r="E1652">
        <v>1.14810486898815</v>
      </c>
      <c r="F1652">
        <v>1.32168667588007</v>
      </c>
      <c r="G1652">
        <v>1.04936661840117</v>
      </c>
      <c r="H1652">
        <v>1.23290901204215</v>
      </c>
      <c r="I1652">
        <v>1.21893539618766</v>
      </c>
      <c r="J1652">
        <v>1.28674912671322</v>
      </c>
      <c r="K1652">
        <v>1.15808792706002</v>
      </c>
      <c r="L1652">
        <v>1567.74059703098</v>
      </c>
      <c r="M1652">
        <v>35.0613521780655</v>
      </c>
      <c r="O1652">
        <v>44.5694767426719</v>
      </c>
      <c r="P1652">
        <v>0.0411617607691981</v>
      </c>
      <c r="Q1652">
        <v>1.20929626980136</v>
      </c>
      <c r="R1652">
        <v>0.591071577301959</v>
      </c>
      <c r="S1652" t="s">
        <v>3845</v>
      </c>
      <c r="T1652" t="s">
        <v>4362</v>
      </c>
      <c r="U1652" t="s">
        <v>4362</v>
      </c>
      <c r="V1652" t="s">
        <v>4362</v>
      </c>
      <c r="W1652" t="s">
        <v>6010</v>
      </c>
      <c r="X1652">
        <v>5</v>
      </c>
      <c r="Y1652" t="s">
        <v>8173</v>
      </c>
      <c r="Z1652" t="s">
        <v>10340</v>
      </c>
      <c r="AA1652">
        <v>1.154629585294363</v>
      </c>
      <c r="AB1652">
        <f>HYPERLINK("Melting_Curves/meltCurve_P45470_yhbO.pdf", "Melting_Curves/meltCurve_P45470_yhbO.pdf")</f>
        <v>0</v>
      </c>
    </row>
    <row r="1653" spans="1:28">
      <c r="A1653" t="s">
        <v>1679</v>
      </c>
      <c r="B1653">
        <v>0.999739202189716</v>
      </c>
      <c r="C1653">
        <v>0.839912801535258</v>
      </c>
      <c r="D1653">
        <v>1.24757409247581</v>
      </c>
      <c r="E1653">
        <v>0.947627406315209</v>
      </c>
      <c r="F1653">
        <v>1.16582944872881</v>
      </c>
      <c r="G1653">
        <v>0.984455933647566</v>
      </c>
      <c r="H1653">
        <v>0.861899422903598</v>
      </c>
      <c r="I1653">
        <v>0.8385264987307109</v>
      </c>
      <c r="J1653">
        <v>0.756006426501332</v>
      </c>
      <c r="K1653">
        <v>0.655866890614805</v>
      </c>
      <c r="L1653">
        <v>1112.55258567244</v>
      </c>
      <c r="M1653">
        <v>17.9337433043199</v>
      </c>
      <c r="O1653">
        <v>61.2808944277389</v>
      </c>
      <c r="P1653">
        <v>-0.0304093138708788</v>
      </c>
      <c r="Q1653">
        <v>0.584377531995744</v>
      </c>
      <c r="R1653">
        <v>0.575251023126813</v>
      </c>
      <c r="S1653" t="s">
        <v>3846</v>
      </c>
      <c r="T1653" t="s">
        <v>4362</v>
      </c>
      <c r="U1653" t="s">
        <v>4362</v>
      </c>
      <c r="V1653" t="s">
        <v>4362</v>
      </c>
      <c r="W1653" t="s">
        <v>6011</v>
      </c>
      <c r="X1653">
        <v>21</v>
      </c>
      <c r="Y1653" t="s">
        <v>8174</v>
      </c>
      <c r="Z1653" t="s">
        <v>10341</v>
      </c>
      <c r="AA1653">
        <v>0.9252148788000629</v>
      </c>
      <c r="AB1653">
        <f>HYPERLINK("Melting_Curves/meltCurve_P45523_fkpA.pdf", "Melting_Curves/meltCurve_P45523_fkpA.pdf")</f>
        <v>0</v>
      </c>
    </row>
    <row r="1654" spans="1:28">
      <c r="A1654" t="s">
        <v>1680</v>
      </c>
      <c r="B1654">
        <v>0.999739202189716</v>
      </c>
      <c r="C1654">
        <v>1.46486671246049</v>
      </c>
      <c r="D1654">
        <v>1.7999631331144</v>
      </c>
      <c r="E1654">
        <v>0.8401226830024791</v>
      </c>
      <c r="F1654">
        <v>1.06401449782917</v>
      </c>
      <c r="G1654">
        <v>0.927818683897059</v>
      </c>
      <c r="H1654">
        <v>0.77541598518716</v>
      </c>
      <c r="I1654">
        <v>0.906123971132009</v>
      </c>
      <c r="J1654">
        <v>0.852677028714658</v>
      </c>
      <c r="K1654">
        <v>0.57744768010332</v>
      </c>
      <c r="L1654">
        <v>779.589237199562</v>
      </c>
      <c r="M1654">
        <v>11.0452478602626</v>
      </c>
      <c r="Q1654">
        <v>0</v>
      </c>
      <c r="R1654">
        <v>0.18884617239009</v>
      </c>
      <c r="S1654" t="s">
        <v>3847</v>
      </c>
      <c r="T1654" t="s">
        <v>4362</v>
      </c>
      <c r="U1654" t="s">
        <v>4362</v>
      </c>
      <c r="V1654" t="s">
        <v>4362</v>
      </c>
      <c r="W1654" t="s">
        <v>6012</v>
      </c>
      <c r="X1654">
        <v>2</v>
      </c>
      <c r="Y1654" t="s">
        <v>8175</v>
      </c>
      <c r="Z1654" t="s">
        <v>10342</v>
      </c>
      <c r="AA1654">
        <v>0.9282849739068818</v>
      </c>
      <c r="AB1654">
        <f>HYPERLINK("Melting_Curves/meltCurve_P45530_tusB.pdf", "Melting_Curves/meltCurve_P45530_tusB.pdf")</f>
        <v>0</v>
      </c>
    </row>
    <row r="1655" spans="1:28">
      <c r="A1655" t="s">
        <v>1681</v>
      </c>
      <c r="B1655">
        <v>0.999739202189716</v>
      </c>
      <c r="C1655">
        <v>0.953936716325072</v>
      </c>
      <c r="D1655">
        <v>1.18383180670999</v>
      </c>
      <c r="E1655">
        <v>1.09667039914999</v>
      </c>
      <c r="F1655">
        <v>0.973760920451103</v>
      </c>
      <c r="G1655">
        <v>0.879949095530055</v>
      </c>
      <c r="H1655">
        <v>0.444786728457568</v>
      </c>
      <c r="I1655">
        <v>0.158786775091308</v>
      </c>
      <c r="J1655">
        <v>0.09179459254185481</v>
      </c>
      <c r="K1655">
        <v>0.0732546231707191</v>
      </c>
      <c r="L1655">
        <v>1924.83261728628</v>
      </c>
      <c r="M1655">
        <v>33.9166455927639</v>
      </c>
      <c r="N1655">
        <v>57.0157774122542</v>
      </c>
      <c r="O1655">
        <v>56.5556573253652</v>
      </c>
      <c r="P1655">
        <v>-0.139034931268992</v>
      </c>
      <c r="Q1655">
        <v>0.0726465059534135</v>
      </c>
      <c r="R1655">
        <v>0.974201377874073</v>
      </c>
      <c r="S1655" t="s">
        <v>3848</v>
      </c>
      <c r="T1655" t="s">
        <v>4362</v>
      </c>
      <c r="U1655" t="s">
        <v>4362</v>
      </c>
      <c r="V1655" t="s">
        <v>4362</v>
      </c>
      <c r="W1655" t="s">
        <v>6013</v>
      </c>
      <c r="X1655">
        <v>1</v>
      </c>
      <c r="Y1655" t="s">
        <v>8176</v>
      </c>
      <c r="Z1655" t="s">
        <v>10343</v>
      </c>
      <c r="AA1655">
        <v>0.6878578924400608</v>
      </c>
      <c r="AB1655">
        <f>HYPERLINK("Melting_Curves/meltCurve_P45531_tusC.pdf", "Melting_Curves/meltCurve_P45531_tusC.pdf")</f>
        <v>0</v>
      </c>
    </row>
    <row r="1656" spans="1:28">
      <c r="A1656" t="s">
        <v>1682</v>
      </c>
      <c r="B1656">
        <v>0.999739202189716</v>
      </c>
      <c r="C1656">
        <v>0.868536669652222</v>
      </c>
      <c r="D1656">
        <v>0.483522656953658</v>
      </c>
      <c r="E1656">
        <v>0.456012100046198</v>
      </c>
      <c r="F1656">
        <v>0.345111004037573</v>
      </c>
      <c r="G1656">
        <v>0.202141745135106</v>
      </c>
      <c r="H1656">
        <v>0.209453796511506</v>
      </c>
      <c r="I1656">
        <v>0.155911610617736</v>
      </c>
      <c r="J1656">
        <v>0.107625952178642</v>
      </c>
      <c r="K1656">
        <v>0.0904596687063029</v>
      </c>
      <c r="L1656">
        <v>525.918199083532</v>
      </c>
      <c r="M1656">
        <v>11.9200822600757</v>
      </c>
      <c r="N1656">
        <v>45.1266239662537</v>
      </c>
      <c r="O1656">
        <v>42.9336065874021</v>
      </c>
      <c r="P1656">
        <v>-0.0613246272753506</v>
      </c>
      <c r="Q1656">
        <v>0.116705606859207</v>
      </c>
      <c r="R1656">
        <v>0.956015355506272</v>
      </c>
      <c r="S1656" t="s">
        <v>3849</v>
      </c>
      <c r="T1656" t="s">
        <v>4362</v>
      </c>
      <c r="U1656" t="s">
        <v>4362</v>
      </c>
      <c r="V1656" t="s">
        <v>4362</v>
      </c>
      <c r="W1656" t="s">
        <v>6014</v>
      </c>
      <c r="X1656">
        <v>2</v>
      </c>
      <c r="Y1656" t="s">
        <v>8177</v>
      </c>
      <c r="Z1656" t="s">
        <v>10344</v>
      </c>
      <c r="AA1656">
        <v>0.36064556392097</v>
      </c>
      <c r="AB1656">
        <f>HYPERLINK("Melting_Curves/meltCurve_P45537_yhfK.pdf", "Melting_Curves/meltCurve_P45537_yhfK.pdf")</f>
        <v>0</v>
      </c>
    </row>
    <row r="1657" spans="1:28">
      <c r="A1657" t="s">
        <v>1683</v>
      </c>
      <c r="B1657">
        <v>0.999739202189716</v>
      </c>
      <c r="C1657">
        <v>0.844738203752022</v>
      </c>
      <c r="D1657">
        <v>0.841359144970385</v>
      </c>
      <c r="E1657">
        <v>0.418672459409992</v>
      </c>
      <c r="F1657">
        <v>0.208337060676091</v>
      </c>
      <c r="G1657">
        <v>0.126382573568547</v>
      </c>
      <c r="H1657">
        <v>0.13456489181228</v>
      </c>
      <c r="I1657">
        <v>0.12695312028532</v>
      </c>
      <c r="J1657">
        <v>0.09438310950207469</v>
      </c>
      <c r="K1657">
        <v>0.0797887878691088</v>
      </c>
      <c r="L1657">
        <v>919.288872195012</v>
      </c>
      <c r="M1657">
        <v>20.2311543039048</v>
      </c>
      <c r="N1657">
        <v>45.9389114726741</v>
      </c>
      <c r="O1657">
        <v>45.0022972400564</v>
      </c>
      <c r="P1657">
        <v>-0.101293554548125</v>
      </c>
      <c r="Q1657">
        <v>0.0987560745448957</v>
      </c>
      <c r="R1657">
        <v>0.986435026637381</v>
      </c>
      <c r="S1657" t="s">
        <v>3850</v>
      </c>
      <c r="T1657" t="s">
        <v>4362</v>
      </c>
      <c r="U1657" t="s">
        <v>4362</v>
      </c>
      <c r="V1657" t="s">
        <v>4362</v>
      </c>
      <c r="W1657" t="s">
        <v>6015</v>
      </c>
      <c r="X1657">
        <v>2</v>
      </c>
      <c r="Y1657" t="s">
        <v>8178</v>
      </c>
      <c r="Z1657" t="s">
        <v>10345</v>
      </c>
      <c r="AA1657">
        <v>0.36380892590485</v>
      </c>
      <c r="AB1657">
        <f>HYPERLINK("Melting_Curves/meltCurve_P45544_frlR.pdf", "Melting_Curves/meltCurve_P45544_frlR.pdf")</f>
        <v>0</v>
      </c>
    </row>
    <row r="1658" spans="1:28">
      <c r="A1658" t="s">
        <v>1684</v>
      </c>
      <c r="B1658">
        <v>0.999739202189716</v>
      </c>
      <c r="C1658">
        <v>0.993240463538078</v>
      </c>
      <c r="D1658">
        <v>1.00048644266669</v>
      </c>
      <c r="E1658">
        <v>0.936249633529601</v>
      </c>
      <c r="F1658">
        <v>0.817703606682687</v>
      </c>
      <c r="G1658">
        <v>0.6391329879484779</v>
      </c>
      <c r="H1658">
        <v>0.440348321893319</v>
      </c>
      <c r="I1658">
        <v>0.258191163077941</v>
      </c>
      <c r="J1658">
        <v>0.195597286578832</v>
      </c>
      <c r="K1658">
        <v>0.178312249615674</v>
      </c>
      <c r="L1658">
        <v>803.662606733719</v>
      </c>
      <c r="M1658">
        <v>14.564125925553</v>
      </c>
      <c r="N1658">
        <v>56.0296442898584</v>
      </c>
      <c r="O1658">
        <v>54.1719440180459</v>
      </c>
      <c r="P1658">
        <v>-0.060566559942066</v>
      </c>
      <c r="Q1658">
        <v>0.0989816167831486</v>
      </c>
      <c r="R1658">
        <v>0.998773390718944</v>
      </c>
      <c r="S1658" t="s">
        <v>3851</v>
      </c>
      <c r="T1658" t="s">
        <v>4362</v>
      </c>
      <c r="U1658" t="s">
        <v>4362</v>
      </c>
      <c r="V1658" t="s">
        <v>4362</v>
      </c>
      <c r="W1658" t="s">
        <v>6016</v>
      </c>
      <c r="X1658">
        <v>1</v>
      </c>
      <c r="Y1658" t="s">
        <v>8179</v>
      </c>
      <c r="Z1658" t="s">
        <v>10346</v>
      </c>
      <c r="AA1658">
        <v>0.6574398663453257</v>
      </c>
      <c r="AB1658">
        <f>HYPERLINK("Melting_Curves/meltCurve_P45552_yhfZ.pdf", "Melting_Curves/meltCurve_P45552_yhfZ.pdf")</f>
        <v>0</v>
      </c>
    </row>
    <row r="1659" spans="1:28">
      <c r="A1659" t="s">
        <v>1685</v>
      </c>
      <c r="B1659">
        <v>0.999739202189716</v>
      </c>
      <c r="C1659">
        <v>0.916210345347265</v>
      </c>
      <c r="D1659">
        <v>0.995034773863759</v>
      </c>
      <c r="E1659">
        <v>0.822096058288226</v>
      </c>
      <c r="F1659">
        <v>0.82830187969567</v>
      </c>
      <c r="G1659">
        <v>0.570832179892919</v>
      </c>
      <c r="H1659">
        <v>0.142031637401115</v>
      </c>
      <c r="I1659">
        <v>0.104268470209156</v>
      </c>
      <c r="J1659">
        <v>0.0984354886043218</v>
      </c>
      <c r="K1659">
        <v>0.0893402854035058</v>
      </c>
      <c r="L1659">
        <v>1180.69825838611</v>
      </c>
      <c r="M1659">
        <v>22.0456595410107</v>
      </c>
      <c r="N1659">
        <v>53.8264351796489</v>
      </c>
      <c r="O1659">
        <v>53.1221126954414</v>
      </c>
      <c r="P1659">
        <v>-0.0983311412548605</v>
      </c>
      <c r="Q1659">
        <v>0.052250197208904</v>
      </c>
      <c r="R1659">
        <v>0.972038562253044</v>
      </c>
      <c r="S1659" t="s">
        <v>3852</v>
      </c>
      <c r="T1659" t="s">
        <v>4362</v>
      </c>
      <c r="U1659" t="s">
        <v>4362</v>
      </c>
      <c r="V1659" t="s">
        <v>4362</v>
      </c>
      <c r="W1659" t="s">
        <v>6017</v>
      </c>
      <c r="X1659">
        <v>10</v>
      </c>
      <c r="Y1659" t="s">
        <v>8180</v>
      </c>
      <c r="Z1659" t="s">
        <v>10347</v>
      </c>
      <c r="AA1659">
        <v>0.5854840107020481</v>
      </c>
      <c r="AB1659">
        <f>HYPERLINK("Melting_Curves/meltCurve_P45568_dxr.pdf", "Melting_Curves/meltCurve_P45568_dxr.pdf")</f>
        <v>0</v>
      </c>
    </row>
    <row r="1660" spans="1:28">
      <c r="A1660" t="s">
        <v>1686</v>
      </c>
      <c r="B1660">
        <v>0.999739202189716</v>
      </c>
      <c r="C1660">
        <v>0.913872598684108</v>
      </c>
      <c r="D1660">
        <v>1.08648801407301</v>
      </c>
      <c r="E1660">
        <v>0.800301786377477</v>
      </c>
      <c r="F1660">
        <v>0.517360767954215</v>
      </c>
      <c r="G1660">
        <v>0.234305491936252</v>
      </c>
      <c r="H1660">
        <v>0.14821858928775</v>
      </c>
      <c r="I1660">
        <v>0.101088705707458</v>
      </c>
      <c r="J1660">
        <v>0.09489670761730409</v>
      </c>
      <c r="K1660">
        <v>0.07736538701447911</v>
      </c>
      <c r="L1660">
        <v>1093.42023728044</v>
      </c>
      <c r="M1660">
        <v>21.9358706036907</v>
      </c>
      <c r="N1660">
        <v>50.2796134338665</v>
      </c>
      <c r="O1660">
        <v>49.4375066437088</v>
      </c>
      <c r="P1660">
        <v>-0.101374314518956</v>
      </c>
      <c r="Q1660">
        <v>0.0861397282596555</v>
      </c>
      <c r="R1660">
        <v>0.986177359178918</v>
      </c>
      <c r="S1660" t="s">
        <v>3853</v>
      </c>
      <c r="T1660" t="s">
        <v>4362</v>
      </c>
      <c r="U1660" t="s">
        <v>4362</v>
      </c>
      <c r="V1660" t="s">
        <v>4362</v>
      </c>
      <c r="W1660" t="s">
        <v>6018</v>
      </c>
      <c r="X1660">
        <v>10</v>
      </c>
      <c r="Y1660" t="s">
        <v>8181</v>
      </c>
      <c r="Z1660" t="s">
        <v>10348</v>
      </c>
      <c r="AA1660">
        <v>0.4876568565600932</v>
      </c>
      <c r="AB1660">
        <f>HYPERLINK("Melting_Curves/meltCurve_P45577_proQ.pdf", "Melting_Curves/meltCurve_P45577_proQ.pdf")</f>
        <v>0</v>
      </c>
    </row>
    <row r="1661" spans="1:28">
      <c r="A1661" t="s">
        <v>1687</v>
      </c>
      <c r="B1661">
        <v>0.999739202189716</v>
      </c>
      <c r="C1661">
        <v>1.16086589070597</v>
      </c>
      <c r="D1661">
        <v>0.855713697263492</v>
      </c>
      <c r="E1661">
        <v>1.07131859970211</v>
      </c>
      <c r="F1661">
        <v>0.754011818446485</v>
      </c>
      <c r="G1661">
        <v>0.64566711007758</v>
      </c>
      <c r="H1661">
        <v>0.516979115671417</v>
      </c>
      <c r="I1661">
        <v>0.465559287878764</v>
      </c>
      <c r="J1661">
        <v>0.335951667642286</v>
      </c>
      <c r="K1661">
        <v>0.455724258513977</v>
      </c>
      <c r="L1661">
        <v>1005.29344689952</v>
      </c>
      <c r="M1661">
        <v>19.1811668459905</v>
      </c>
      <c r="N1661">
        <v>57.3051220011182</v>
      </c>
      <c r="O1661">
        <v>51.850755542418</v>
      </c>
      <c r="P1661">
        <v>-0.0552281465658283</v>
      </c>
      <c r="Q1661">
        <v>0.402849495955972</v>
      </c>
      <c r="R1661">
        <v>0.900298948829138</v>
      </c>
      <c r="S1661" t="s">
        <v>3854</v>
      </c>
      <c r="T1661" t="s">
        <v>4362</v>
      </c>
      <c r="U1661" t="s">
        <v>4362</v>
      </c>
      <c r="V1661" t="s">
        <v>4362</v>
      </c>
      <c r="W1661" t="s">
        <v>6019</v>
      </c>
      <c r="X1661">
        <v>10</v>
      </c>
      <c r="Y1661" t="s">
        <v>8182</v>
      </c>
      <c r="Z1661" t="s">
        <v>10349</v>
      </c>
      <c r="AA1661">
        <v>0.7177312589967919</v>
      </c>
      <c r="AB1661">
        <f>HYPERLINK("Melting_Curves/meltCurve_P45578_luxS.pdf", "Melting_Curves/meltCurve_P45578_luxS.pdf")</f>
        <v>0</v>
      </c>
    </row>
    <row r="1662" spans="1:28">
      <c r="A1662" t="s">
        <v>1688</v>
      </c>
      <c r="B1662">
        <v>0.999739202189716</v>
      </c>
      <c r="C1662">
        <v>1.07321731053077</v>
      </c>
      <c r="D1662">
        <v>0.901977566123325</v>
      </c>
      <c r="E1662">
        <v>1.05645350961376</v>
      </c>
      <c r="F1662">
        <v>0.74208383638319</v>
      </c>
      <c r="G1662">
        <v>0.428176280689865</v>
      </c>
      <c r="H1662">
        <v>0.301017744287723</v>
      </c>
      <c r="I1662">
        <v>0.298482417945406</v>
      </c>
      <c r="J1662">
        <v>0.250021278986755</v>
      </c>
      <c r="K1662">
        <v>0.285222973401244</v>
      </c>
      <c r="L1662">
        <v>1680.77601741654</v>
      </c>
      <c r="M1662">
        <v>32.7473283241491</v>
      </c>
      <c r="N1662">
        <v>52.6400138284026</v>
      </c>
      <c r="O1662">
        <v>51.135329881456</v>
      </c>
      <c r="P1662">
        <v>-0.115389003773115</v>
      </c>
      <c r="Q1662">
        <v>0.279278289299027</v>
      </c>
      <c r="R1662">
        <v>0.979100210480284</v>
      </c>
      <c r="S1662" t="s">
        <v>3855</v>
      </c>
      <c r="T1662" t="s">
        <v>4362</v>
      </c>
      <c r="U1662" t="s">
        <v>4362</v>
      </c>
      <c r="V1662" t="s">
        <v>4362</v>
      </c>
      <c r="W1662" t="s">
        <v>6020</v>
      </c>
      <c r="X1662">
        <v>5</v>
      </c>
      <c r="Y1662" t="s">
        <v>8183</v>
      </c>
      <c r="Z1662" t="s">
        <v>10350</v>
      </c>
      <c r="AA1662">
        <v>0.6272372223407194</v>
      </c>
      <c r="AB1662">
        <f>HYPERLINK("Melting_Curves/meltCurve_P45748_tsaC.pdf", "Melting_Curves/meltCurve_P45748_tsaC.pdf")</f>
        <v>0</v>
      </c>
    </row>
    <row r="1663" spans="1:28">
      <c r="A1663" t="s">
        <v>1689</v>
      </c>
      <c r="B1663">
        <v>0.999739202189716</v>
      </c>
      <c r="C1663">
        <v>1.01889960946794</v>
      </c>
      <c r="D1663">
        <v>0.968994277444676</v>
      </c>
      <c r="E1663">
        <v>1.18229470215997</v>
      </c>
      <c r="F1663">
        <v>0.929175574253323</v>
      </c>
      <c r="G1663">
        <v>0.9192127437880649</v>
      </c>
      <c r="H1663">
        <v>0.81536006549305</v>
      </c>
      <c r="I1663">
        <v>0.708560310685168</v>
      </c>
      <c r="J1663">
        <v>0.721705205958814</v>
      </c>
      <c r="K1663">
        <v>0.724838977041112</v>
      </c>
      <c r="L1663">
        <v>1443.67033541609</v>
      </c>
      <c r="M1663">
        <v>25.9272426826128</v>
      </c>
      <c r="O1663">
        <v>55.3535122567762</v>
      </c>
      <c r="P1663">
        <v>-0.0341103198860664</v>
      </c>
      <c r="Q1663">
        <v>0.708707276841693</v>
      </c>
      <c r="R1663">
        <v>0.817769282069256</v>
      </c>
      <c r="S1663" t="s">
        <v>3856</v>
      </c>
      <c r="T1663" t="s">
        <v>4362</v>
      </c>
      <c r="U1663" t="s">
        <v>4362</v>
      </c>
      <c r="V1663" t="s">
        <v>4362</v>
      </c>
      <c r="W1663" t="s">
        <v>6021</v>
      </c>
      <c r="X1663">
        <v>5</v>
      </c>
      <c r="Y1663" t="s">
        <v>8184</v>
      </c>
      <c r="Z1663" t="s">
        <v>10351</v>
      </c>
      <c r="AA1663">
        <v>0.8923873055862047</v>
      </c>
      <c r="AB1663">
        <f>HYPERLINK("Melting_Curves/meltCurve_P45771_yrdD.pdf", "Melting_Curves/meltCurve_P45771_yrdD.pdf")</f>
        <v>0</v>
      </c>
    </row>
    <row r="1664" spans="1:28">
      <c r="A1664" t="s">
        <v>1690</v>
      </c>
      <c r="B1664">
        <v>0.999739202189716</v>
      </c>
      <c r="C1664">
        <v>0.614352043946597</v>
      </c>
      <c r="D1664">
        <v>1.64942085959101</v>
      </c>
      <c r="E1664">
        <v>0.749384699819277</v>
      </c>
      <c r="F1664">
        <v>0.759284879952526</v>
      </c>
      <c r="G1664">
        <v>0.317800753345001</v>
      </c>
      <c r="H1664">
        <v>0.160635302215987</v>
      </c>
      <c r="I1664">
        <v>0.200125659327232</v>
      </c>
      <c r="J1664">
        <v>0.102735914032803</v>
      </c>
      <c r="K1664">
        <v>0.0893924115472947</v>
      </c>
      <c r="L1664">
        <v>1312.3621786722</v>
      </c>
      <c r="M1664">
        <v>25.4516104766474</v>
      </c>
      <c r="N1664">
        <v>52.0941896103394</v>
      </c>
      <c r="O1664">
        <v>51.2478807143351</v>
      </c>
      <c r="P1664">
        <v>-0.109971245392477</v>
      </c>
      <c r="Q1664">
        <v>0.11428444080135</v>
      </c>
      <c r="R1664">
        <v>0.720513348518022</v>
      </c>
      <c r="S1664" t="s">
        <v>3857</v>
      </c>
      <c r="T1664" t="s">
        <v>4362</v>
      </c>
      <c r="U1664" t="s">
        <v>4362</v>
      </c>
      <c r="V1664" t="s">
        <v>4362</v>
      </c>
      <c r="W1664" t="s">
        <v>6022</v>
      </c>
      <c r="X1664">
        <v>1</v>
      </c>
      <c r="Y1664" t="s">
        <v>8185</v>
      </c>
      <c r="Z1664" t="s">
        <v>10352</v>
      </c>
      <c r="AA1664">
        <v>0.551826255918847</v>
      </c>
      <c r="AB1664">
        <f>HYPERLINK("Melting_Curves/meltCurve_P45799_nudE.pdf", "Melting_Curves/meltCurve_P45799_nudE.pdf")</f>
        <v>0</v>
      </c>
    </row>
    <row r="1665" spans="1:28">
      <c r="A1665" t="s">
        <v>1691</v>
      </c>
      <c r="B1665">
        <v>0.999739202189716</v>
      </c>
      <c r="C1665">
        <v>1.04126120149954</v>
      </c>
      <c r="D1665">
        <v>0.754348855684672</v>
      </c>
      <c r="E1665">
        <v>0.353014943847782</v>
      </c>
      <c r="F1665">
        <v>0.237243653743635</v>
      </c>
      <c r="G1665">
        <v>0.159687864026042</v>
      </c>
      <c r="H1665">
        <v>0.15105128651982</v>
      </c>
      <c r="I1665">
        <v>0.115042404825558</v>
      </c>
      <c r="J1665">
        <v>0.109375431047779</v>
      </c>
      <c r="K1665">
        <v>0.102028523089707</v>
      </c>
      <c r="L1665">
        <v>1128.96182066214</v>
      </c>
      <c r="M1665">
        <v>25.2110984894874</v>
      </c>
      <c r="N1665">
        <v>45.3278519398514</v>
      </c>
      <c r="O1665">
        <v>44.5014755748537</v>
      </c>
      <c r="P1665">
        <v>-0.123041173537959</v>
      </c>
      <c r="Q1665">
        <v>0.131265119045243</v>
      </c>
      <c r="R1665">
        <v>0.990899887544797</v>
      </c>
      <c r="S1665" t="s">
        <v>3858</v>
      </c>
      <c r="T1665" t="s">
        <v>4362</v>
      </c>
      <c r="U1665" t="s">
        <v>4362</v>
      </c>
      <c r="V1665" t="s">
        <v>4362</v>
      </c>
      <c r="W1665" t="s">
        <v>6023</v>
      </c>
      <c r="X1665">
        <v>2</v>
      </c>
      <c r="Y1665" t="s">
        <v>8186</v>
      </c>
      <c r="Z1665" t="s">
        <v>10353</v>
      </c>
      <c r="AA1665">
        <v>0.3635662124513273</v>
      </c>
      <c r="AB1665">
        <f>HYPERLINK("Melting_Curves/meltCurve_P45800_yrfF.pdf", "Melting_Curves/meltCurve_P45800_yrfF.pdf")</f>
        <v>0</v>
      </c>
    </row>
    <row r="1666" spans="1:28">
      <c r="A1666" t="s">
        <v>1692</v>
      </c>
      <c r="B1666">
        <v>0.999739202189716</v>
      </c>
      <c r="C1666">
        <v>0.923214389185662</v>
      </c>
      <c r="D1666">
        <v>1.23049896604929</v>
      </c>
      <c r="E1666">
        <v>0.975201598065623</v>
      </c>
      <c r="F1666">
        <v>1.10750858320941</v>
      </c>
      <c r="G1666">
        <v>0.964929228010582</v>
      </c>
      <c r="H1666">
        <v>0.764145469033045</v>
      </c>
      <c r="I1666">
        <v>0.660349111602837</v>
      </c>
      <c r="J1666">
        <v>0.366289359124469</v>
      </c>
      <c r="K1666">
        <v>0.250724212960351</v>
      </c>
      <c r="L1666">
        <v>1154.72296110239</v>
      </c>
      <c r="M1666">
        <v>18.5748194255054</v>
      </c>
      <c r="N1666">
        <v>62.4960815519082</v>
      </c>
      <c r="O1666">
        <v>61.458929571313</v>
      </c>
      <c r="P1666">
        <v>-0.072031065794079</v>
      </c>
      <c r="Q1666">
        <v>0.0467179449633555</v>
      </c>
      <c r="R1666">
        <v>0.908423664282087</v>
      </c>
      <c r="S1666" t="s">
        <v>3859</v>
      </c>
      <c r="T1666" t="s">
        <v>4362</v>
      </c>
      <c r="U1666" t="s">
        <v>4362</v>
      </c>
      <c r="V1666" t="s">
        <v>4362</v>
      </c>
      <c r="W1666" t="s">
        <v>6024</v>
      </c>
      <c r="X1666">
        <v>12</v>
      </c>
      <c r="Y1666" t="s">
        <v>8187</v>
      </c>
      <c r="Z1666" t="s">
        <v>10354</v>
      </c>
      <c r="AA1666">
        <v>0.8329571445241375</v>
      </c>
      <c r="AB1666">
        <f>HYPERLINK("Melting_Curves/meltCurve_P45955_cpoB.pdf", "Melting_Curves/meltCurve_P45955_cpoB.pdf")</f>
        <v>0</v>
      </c>
    </row>
    <row r="1667" spans="1:28">
      <c r="A1667" t="s">
        <v>1693</v>
      </c>
      <c r="B1667">
        <v>0.999739202189716</v>
      </c>
      <c r="C1667">
        <v>0.654523656218595</v>
      </c>
      <c r="D1667">
        <v>0.398593919398561</v>
      </c>
      <c r="E1667">
        <v>0.465999441019392</v>
      </c>
      <c r="F1667">
        <v>0.379601651218392</v>
      </c>
      <c r="G1667">
        <v>0.313078151552687</v>
      </c>
      <c r="H1667">
        <v>0.238478292800934</v>
      </c>
      <c r="I1667">
        <v>0.194168534670033</v>
      </c>
      <c r="J1667">
        <v>0.173055498335294</v>
      </c>
      <c r="K1667">
        <v>0.173749335662</v>
      </c>
      <c r="L1667">
        <v>499.815411277027</v>
      </c>
      <c r="M1667">
        <v>11.9848624009138</v>
      </c>
      <c r="N1667">
        <v>43.6534535410701</v>
      </c>
      <c r="O1667">
        <v>40.593699686081</v>
      </c>
      <c r="P1667">
        <v>-0.0585279001868687</v>
      </c>
      <c r="Q1667">
        <v>0.207237104169272</v>
      </c>
      <c r="R1667">
        <v>0.897548219359835</v>
      </c>
      <c r="S1667" t="s">
        <v>3860</v>
      </c>
      <c r="T1667" t="s">
        <v>4362</v>
      </c>
      <c r="U1667" t="s">
        <v>4362</v>
      </c>
      <c r="V1667" t="s">
        <v>4362</v>
      </c>
      <c r="W1667" t="s">
        <v>6025</v>
      </c>
      <c r="X1667">
        <v>2</v>
      </c>
      <c r="Y1667" t="s">
        <v>8188</v>
      </c>
      <c r="Z1667" t="s">
        <v>10355</v>
      </c>
      <c r="AA1667">
        <v>0.3686672018510089</v>
      </c>
      <c r="AB1667">
        <f>HYPERLINK("Melting_Curves/meltCurve_P46118_hexR.pdf", "Melting_Curves/meltCurve_P46118_hexR.pdf")</f>
        <v>0</v>
      </c>
    </row>
    <row r="1668" spans="1:28">
      <c r="A1668" t="s">
        <v>1694</v>
      </c>
      <c r="B1668">
        <v>0.999739202189716</v>
      </c>
      <c r="C1668">
        <v>1.13276150208945</v>
      </c>
      <c r="D1668">
        <v>0.884944017378095</v>
      </c>
      <c r="E1668">
        <v>0.75095640000714</v>
      </c>
      <c r="F1668">
        <v>0.65418868921034</v>
      </c>
      <c r="G1668">
        <v>0.5091631261441411</v>
      </c>
      <c r="H1668">
        <v>0.470127281088921</v>
      </c>
      <c r="I1668">
        <v>0.431054573715657</v>
      </c>
      <c r="J1668">
        <v>0.45431405330795</v>
      </c>
      <c r="K1668">
        <v>0.354418962318554</v>
      </c>
      <c r="L1668">
        <v>722.166401642682</v>
      </c>
      <c r="M1668">
        <v>14.883872827988</v>
      </c>
      <c r="N1668">
        <v>54.4255179973062</v>
      </c>
      <c r="O1668">
        <v>47.6694650396313</v>
      </c>
      <c r="P1668">
        <v>-0.04679640887658</v>
      </c>
      <c r="Q1668">
        <v>0.400552025339397</v>
      </c>
      <c r="R1668">
        <v>0.949117022934611</v>
      </c>
      <c r="S1668" t="s">
        <v>3861</v>
      </c>
      <c r="T1668" t="s">
        <v>4362</v>
      </c>
      <c r="U1668" t="s">
        <v>4362</v>
      </c>
      <c r="V1668" t="s">
        <v>4362</v>
      </c>
      <c r="W1668" t="s">
        <v>6026</v>
      </c>
      <c r="X1668">
        <v>4</v>
      </c>
      <c r="Y1668" t="s">
        <v>8189</v>
      </c>
      <c r="Z1668" t="s">
        <v>10356</v>
      </c>
      <c r="AA1668">
        <v>0.6439543244977322</v>
      </c>
      <c r="AB1668">
        <f>HYPERLINK("Melting_Curves/meltCurve_P46122_yajI.pdf", "Melting_Curves/meltCurve_P46122_yajI.pdf")</f>
        <v>0</v>
      </c>
    </row>
    <row r="1669" spans="1:28">
      <c r="A1669" t="s">
        <v>1695</v>
      </c>
      <c r="B1669">
        <v>0.999739202189716</v>
      </c>
      <c r="C1669">
        <v>1.12183023448881</v>
      </c>
      <c r="D1669">
        <v>0.785155315155088</v>
      </c>
      <c r="E1669">
        <v>0.691935287862371</v>
      </c>
      <c r="F1669">
        <v>0.497264378107649</v>
      </c>
      <c r="G1669">
        <v>0.302547416362156</v>
      </c>
      <c r="H1669">
        <v>0.261521473570418</v>
      </c>
      <c r="I1669">
        <v>0.174931469846836</v>
      </c>
      <c r="J1669">
        <v>0.131233117834344</v>
      </c>
      <c r="K1669">
        <v>0.0741099827979237</v>
      </c>
      <c r="L1669">
        <v>609.311153790868</v>
      </c>
      <c r="M1669">
        <v>12.3526209028017</v>
      </c>
      <c r="N1669">
        <v>50.0266738251983</v>
      </c>
      <c r="O1669">
        <v>48.0871949737783</v>
      </c>
      <c r="P1669">
        <v>-0.0591344101478722</v>
      </c>
      <c r="Q1669">
        <v>0.0793871597846308</v>
      </c>
      <c r="R1669">
        <v>0.968210918974038</v>
      </c>
      <c r="S1669" t="s">
        <v>3862</v>
      </c>
      <c r="T1669" t="s">
        <v>4362</v>
      </c>
      <c r="U1669" t="s">
        <v>4362</v>
      </c>
      <c r="V1669" t="s">
        <v>4362</v>
      </c>
      <c r="W1669" t="s">
        <v>6027</v>
      </c>
      <c r="X1669">
        <v>2</v>
      </c>
      <c r="Y1669" t="s">
        <v>8190</v>
      </c>
      <c r="Z1669" t="s">
        <v>10357</v>
      </c>
      <c r="AA1669">
        <v>0.483523481126909</v>
      </c>
      <c r="AB1669">
        <f>HYPERLINK("Melting_Curves/meltCurve_P46125_yedI.pdf", "Melting_Curves/meltCurve_P46125_yedI.pdf")</f>
        <v>0</v>
      </c>
    </row>
    <row r="1670" spans="1:28">
      <c r="A1670" t="s">
        <v>1696</v>
      </c>
      <c r="B1670">
        <v>0.999739202189716</v>
      </c>
      <c r="C1670">
        <v>1.0276554611636</v>
      </c>
      <c r="D1670">
        <v>1.0451563361433</v>
      </c>
      <c r="E1670">
        <v>1.02002305644825</v>
      </c>
      <c r="F1670">
        <v>0.938143469832757</v>
      </c>
      <c r="G1670">
        <v>0.574284969231685</v>
      </c>
      <c r="H1670">
        <v>0.178379862786955</v>
      </c>
      <c r="I1670">
        <v>0.0970899878767896</v>
      </c>
      <c r="J1670">
        <v>0.114963101714353</v>
      </c>
      <c r="K1670">
        <v>0.08990269955099491</v>
      </c>
      <c r="L1670">
        <v>2014.72253657746</v>
      </c>
      <c r="M1670">
        <v>37.3446105270347</v>
      </c>
      <c r="N1670">
        <v>54.2557607998164</v>
      </c>
      <c r="O1670">
        <v>53.7954857481977</v>
      </c>
      <c r="P1670">
        <v>-0.157055369715531</v>
      </c>
      <c r="Q1670">
        <v>0.09503976864442359</v>
      </c>
      <c r="R1670">
        <v>0.997800947544745</v>
      </c>
      <c r="S1670" t="s">
        <v>3863</v>
      </c>
      <c r="T1670" t="s">
        <v>4362</v>
      </c>
      <c r="U1670" t="s">
        <v>4362</v>
      </c>
      <c r="V1670" t="s">
        <v>4362</v>
      </c>
      <c r="W1670" t="s">
        <v>6028</v>
      </c>
      <c r="X1670">
        <v>7</v>
      </c>
      <c r="Y1670" t="s">
        <v>8191</v>
      </c>
      <c r="Z1670" t="s">
        <v>10358</v>
      </c>
      <c r="AA1670">
        <v>0.6101546794495896</v>
      </c>
      <c r="AB1670">
        <f>HYPERLINK("Melting_Curves/meltCurve_P46130_ybhC.pdf", "Melting_Curves/meltCurve_P46130_ybhC.pdf")</f>
        <v>0</v>
      </c>
    </row>
    <row r="1671" spans="1:28">
      <c r="A1671" t="s">
        <v>1697</v>
      </c>
      <c r="B1671">
        <v>0.999739202189716</v>
      </c>
      <c r="C1671">
        <v>1.0312788763808</v>
      </c>
      <c r="D1671">
        <v>0.960041278542716</v>
      </c>
      <c r="E1671">
        <v>1.07067917850009</v>
      </c>
      <c r="F1671">
        <v>0.999312023413098</v>
      </c>
      <c r="G1671">
        <v>0.848847644983723</v>
      </c>
      <c r="H1671">
        <v>0.856630759555598</v>
      </c>
      <c r="I1671">
        <v>0.782007049126295</v>
      </c>
      <c r="J1671">
        <v>0.731024267804117</v>
      </c>
      <c r="K1671">
        <v>0.725329680779451</v>
      </c>
      <c r="L1671">
        <v>1018.45780679611</v>
      </c>
      <c r="M1671">
        <v>18.2157191947665</v>
      </c>
      <c r="O1671">
        <v>55.2501544713352</v>
      </c>
      <c r="P1671">
        <v>-0.0232673981258467</v>
      </c>
      <c r="Q1671">
        <v>0.717723590784459</v>
      </c>
      <c r="R1671">
        <v>0.903477693023262</v>
      </c>
      <c r="S1671" t="s">
        <v>3864</v>
      </c>
      <c r="T1671" t="s">
        <v>4362</v>
      </c>
      <c r="U1671" t="s">
        <v>4362</v>
      </c>
      <c r="V1671" t="s">
        <v>4362</v>
      </c>
      <c r="W1671" t="s">
        <v>6029</v>
      </c>
      <c r="X1671">
        <v>2</v>
      </c>
      <c r="Y1671" t="s">
        <v>8192</v>
      </c>
      <c r="Z1671" t="s">
        <v>10359</v>
      </c>
      <c r="AA1671">
        <v>0.8987951892786169</v>
      </c>
      <c r="AB1671">
        <f>HYPERLINK("Melting_Curves/meltCurve_P46474_yhdP.pdf", "Melting_Curves/meltCurve_P46474_yhdP.pdf")</f>
        <v>0</v>
      </c>
    </row>
    <row r="1672" spans="1:28">
      <c r="A1672" t="s">
        <v>1698</v>
      </c>
      <c r="B1672">
        <v>0.999739202189716</v>
      </c>
      <c r="C1672">
        <v>1.16147253360819</v>
      </c>
      <c r="D1672">
        <v>0.712769940591282</v>
      </c>
      <c r="E1672">
        <v>0.26445873697339</v>
      </c>
      <c r="F1672">
        <v>0.186874095997807</v>
      </c>
      <c r="G1672">
        <v>0.132602829624068</v>
      </c>
      <c r="H1672">
        <v>0.105548437195106</v>
      </c>
      <c r="I1672">
        <v>0.09300539273717789</v>
      </c>
      <c r="J1672">
        <v>0.08490088686622239</v>
      </c>
      <c r="K1672">
        <v>0.0811028994979005</v>
      </c>
      <c r="L1672">
        <v>1503.66734787091</v>
      </c>
      <c r="M1672">
        <v>34.0176181911015</v>
      </c>
      <c r="N1672">
        <v>44.5370479600995</v>
      </c>
      <c r="O1672">
        <v>44.0506763310807</v>
      </c>
      <c r="P1672">
        <v>-0.171299397055389</v>
      </c>
      <c r="Q1672">
        <v>0.112715484782316</v>
      </c>
      <c r="R1672">
        <v>0.973087250923754</v>
      </c>
      <c r="S1672" t="s">
        <v>3865</v>
      </c>
      <c r="T1672" t="s">
        <v>4362</v>
      </c>
      <c r="U1672" t="s">
        <v>4362</v>
      </c>
      <c r="V1672" t="s">
        <v>4362</v>
      </c>
      <c r="W1672" t="s">
        <v>6030</v>
      </c>
      <c r="X1672">
        <v>23</v>
      </c>
      <c r="Y1672" t="s">
        <v>8193</v>
      </c>
      <c r="Z1672" t="s">
        <v>10360</v>
      </c>
      <c r="AA1672">
        <v>0.3295364331001531</v>
      </c>
      <c r="AB1672">
        <f>HYPERLINK("Melting_Curves/meltCurve_P46837_yhgF.pdf", "Melting_Curves/meltCurve_P46837_yhgF.pdf")</f>
        <v>0</v>
      </c>
    </row>
    <row r="1673" spans="1:28">
      <c r="A1673" t="s">
        <v>1699</v>
      </c>
      <c r="B1673">
        <v>0.999739202189716</v>
      </c>
      <c r="C1673">
        <v>0.464720768948304</v>
      </c>
      <c r="D1673">
        <v>0.293150413506178</v>
      </c>
      <c r="E1673">
        <v>0.151315914548238</v>
      </c>
      <c r="F1673">
        <v>0.15145070099396</v>
      </c>
      <c r="G1673">
        <v>0.105806010080155</v>
      </c>
      <c r="H1673">
        <v>0.0791428086528847</v>
      </c>
      <c r="I1673">
        <v>0.0572223381448967</v>
      </c>
      <c r="J1673">
        <v>0.0243085754872835</v>
      </c>
      <c r="K1673">
        <v>0.0355251757620171</v>
      </c>
      <c r="L1673">
        <v>997.961568550325</v>
      </c>
      <c r="M1673">
        <v>24.9695182319424</v>
      </c>
      <c r="N1673">
        <v>40.2717539601296</v>
      </c>
      <c r="O1673">
        <v>39.7134977854938</v>
      </c>
      <c r="P1673">
        <v>-0.14366331925186</v>
      </c>
      <c r="Q1673">
        <v>0.0860385482813862</v>
      </c>
      <c r="R1673">
        <v>0.953677641876763</v>
      </c>
      <c r="S1673" t="s">
        <v>3866</v>
      </c>
      <c r="T1673" t="s">
        <v>4362</v>
      </c>
      <c r="U1673" t="s">
        <v>4362</v>
      </c>
      <c r="V1673" t="s">
        <v>4362</v>
      </c>
      <c r="W1673" t="s">
        <v>6031</v>
      </c>
      <c r="X1673">
        <v>1</v>
      </c>
      <c r="Y1673" t="s">
        <v>8194</v>
      </c>
      <c r="Z1673" t="s">
        <v>10361</v>
      </c>
      <c r="AA1673">
        <v>0.1879312007475984</v>
      </c>
      <c r="AB1673">
        <f>HYPERLINK("Melting_Curves/meltCurve_P46849_rtcA.pdf", "Melting_Curves/meltCurve_P46849_rtcA.pdf")</f>
        <v>0</v>
      </c>
    </row>
    <row r="1674" spans="1:28">
      <c r="A1674" t="s">
        <v>1700</v>
      </c>
      <c r="B1674">
        <v>0.999739202189716</v>
      </c>
      <c r="C1674">
        <v>0.9111229058211699</v>
      </c>
      <c r="D1674">
        <v>0.773918665926267</v>
      </c>
      <c r="E1674">
        <v>0.89124308913949</v>
      </c>
      <c r="F1674">
        <v>0.783000556583371</v>
      </c>
      <c r="G1674">
        <v>0.550622845804094</v>
      </c>
      <c r="H1674">
        <v>0.3222710818221</v>
      </c>
      <c r="I1674">
        <v>0.155249305500256</v>
      </c>
      <c r="J1674">
        <v>0.110089373761144</v>
      </c>
      <c r="K1674">
        <v>0.0827435639551157</v>
      </c>
      <c r="L1674">
        <v>682.814194514492</v>
      </c>
      <c r="M1674">
        <v>12.599895453443</v>
      </c>
      <c r="N1674">
        <v>54.1920761296889</v>
      </c>
      <c r="O1674">
        <v>52.8813482291501</v>
      </c>
      <c r="P1674">
        <v>-0.059578707942803</v>
      </c>
      <c r="Q1674">
        <v>0</v>
      </c>
      <c r="R1674">
        <v>0.959410113728359</v>
      </c>
      <c r="S1674" t="s">
        <v>3867</v>
      </c>
      <c r="T1674" t="s">
        <v>4362</v>
      </c>
      <c r="U1674" t="s">
        <v>4362</v>
      </c>
      <c r="V1674" t="s">
        <v>4362</v>
      </c>
      <c r="W1674" t="s">
        <v>6032</v>
      </c>
      <c r="X1674">
        <v>10</v>
      </c>
      <c r="Y1674" t="s">
        <v>8195</v>
      </c>
      <c r="Z1674" t="s">
        <v>10362</v>
      </c>
      <c r="AA1674">
        <v>0.5901878071744825</v>
      </c>
      <c r="AB1674">
        <f>HYPERLINK("Melting_Curves/meltCurve_P46852_yhhW.pdf", "Melting_Curves/meltCurve_P46852_yhhW.pdf")</f>
        <v>0</v>
      </c>
    </row>
    <row r="1675" spans="1:28">
      <c r="A1675" t="s">
        <v>1701</v>
      </c>
      <c r="B1675">
        <v>0.999739202189716</v>
      </c>
      <c r="C1675">
        <v>0.794251625616235</v>
      </c>
      <c r="D1675">
        <v>1.02243113939598</v>
      </c>
      <c r="E1675">
        <v>0.643357461721402</v>
      </c>
      <c r="F1675">
        <v>0.834423394240186</v>
      </c>
      <c r="G1675">
        <v>0.6999019267971101</v>
      </c>
      <c r="H1675">
        <v>0.71193934249672</v>
      </c>
      <c r="I1675">
        <v>0.375638045555879</v>
      </c>
      <c r="J1675">
        <v>0.0813511108530318</v>
      </c>
      <c r="K1675">
        <v>0.06527282608762611</v>
      </c>
      <c r="L1675">
        <v>673.745626376971</v>
      </c>
      <c r="M1675">
        <v>11.6993774174942</v>
      </c>
      <c r="N1675">
        <v>57.5881607500624</v>
      </c>
      <c r="O1675">
        <v>55.98285423735</v>
      </c>
      <c r="P1675">
        <v>-0.0522592543184912</v>
      </c>
      <c r="Q1675">
        <v>0</v>
      </c>
      <c r="R1675">
        <v>0.805947922853153</v>
      </c>
      <c r="S1675" t="s">
        <v>3868</v>
      </c>
      <c r="T1675" t="s">
        <v>4362</v>
      </c>
      <c r="U1675" t="s">
        <v>4362</v>
      </c>
      <c r="V1675" t="s">
        <v>4362</v>
      </c>
      <c r="W1675" t="s">
        <v>6033</v>
      </c>
      <c r="X1675">
        <v>8</v>
      </c>
      <c r="Y1675" t="s">
        <v>8196</v>
      </c>
      <c r="Z1675" t="s">
        <v>10363</v>
      </c>
      <c r="AA1675">
        <v>0.686749673807859</v>
      </c>
      <c r="AB1675">
        <f>HYPERLINK("Melting_Curves/meltCurve_P46853_yhhX.pdf", "Melting_Curves/meltCurve_P46853_yhhX.pdf")</f>
        <v>0</v>
      </c>
    </row>
    <row r="1676" spans="1:28">
      <c r="A1676" t="s">
        <v>1702</v>
      </c>
      <c r="B1676">
        <v>0.999739202189716</v>
      </c>
      <c r="C1676">
        <v>0.817105726028689</v>
      </c>
      <c r="D1676">
        <v>0.843222447168902</v>
      </c>
      <c r="E1676">
        <v>0.710897341266912</v>
      </c>
      <c r="F1676">
        <v>0.611871111423792</v>
      </c>
      <c r="G1676">
        <v>0.326237331076492</v>
      </c>
      <c r="H1676">
        <v>0.218586721906997</v>
      </c>
      <c r="I1676">
        <v>0.165881781403588</v>
      </c>
      <c r="J1676">
        <v>0.149110766358601</v>
      </c>
      <c r="K1676">
        <v>0.0794135259247865</v>
      </c>
      <c r="L1676">
        <v>475.603188025221</v>
      </c>
      <c r="M1676">
        <v>9.36479230162213</v>
      </c>
      <c r="N1676">
        <v>50.7863033614139</v>
      </c>
      <c r="O1676">
        <v>48.6319006949323</v>
      </c>
      <c r="P1676">
        <v>-0.0481712692580587</v>
      </c>
      <c r="Q1676">
        <v>0</v>
      </c>
      <c r="R1676">
        <v>0.97649047473302</v>
      </c>
      <c r="S1676" t="s">
        <v>3869</v>
      </c>
      <c r="T1676" t="s">
        <v>4362</v>
      </c>
      <c r="U1676" t="s">
        <v>4362</v>
      </c>
      <c r="V1676" t="s">
        <v>4362</v>
      </c>
      <c r="W1676" t="s">
        <v>6034</v>
      </c>
      <c r="X1676">
        <v>1</v>
      </c>
      <c r="Y1676" t="s">
        <v>8197</v>
      </c>
      <c r="Z1676" t="s">
        <v>10364</v>
      </c>
      <c r="AA1676">
        <v>0.4923540038591879</v>
      </c>
      <c r="AB1676">
        <f>HYPERLINK("Melting_Curves/meltCurve_P46854_yhhY.pdf", "Melting_Curves/meltCurve_P46854_yhhY.pdf")</f>
        <v>0</v>
      </c>
    </row>
    <row r="1677" spans="1:28">
      <c r="A1677" t="s">
        <v>1703</v>
      </c>
      <c r="B1677">
        <v>0.999739202189716</v>
      </c>
      <c r="C1677">
        <v>0.5063234652241621</v>
      </c>
      <c r="D1677">
        <v>0.469637370010417</v>
      </c>
      <c r="E1677">
        <v>0.239969336812487</v>
      </c>
      <c r="F1677">
        <v>0.147823859571739</v>
      </c>
      <c r="G1677">
        <v>0.09264384402528671</v>
      </c>
      <c r="H1677">
        <v>0.0802788464180928</v>
      </c>
      <c r="I1677">
        <v>0.06441446679560971</v>
      </c>
      <c r="J1677">
        <v>0.0495426071728651</v>
      </c>
      <c r="K1677">
        <v>0.0446281427224124</v>
      </c>
      <c r="L1677">
        <v>584.427618837612</v>
      </c>
      <c r="M1677">
        <v>14.0837282429111</v>
      </c>
      <c r="N1677">
        <v>41.8559764191343</v>
      </c>
      <c r="O1677">
        <v>40.6869037595569</v>
      </c>
      <c r="P1677">
        <v>-0.0816202985385524</v>
      </c>
      <c r="Q1677">
        <v>0.0569406120904915</v>
      </c>
      <c r="R1677">
        <v>0.944015358823154</v>
      </c>
      <c r="S1677" t="s">
        <v>3870</v>
      </c>
      <c r="T1677" t="s">
        <v>4362</v>
      </c>
      <c r="U1677" t="s">
        <v>4362</v>
      </c>
      <c r="V1677" t="s">
        <v>4362</v>
      </c>
      <c r="W1677" t="s">
        <v>6035</v>
      </c>
      <c r="X1677">
        <v>1</v>
      </c>
      <c r="Y1677" t="s">
        <v>8198</v>
      </c>
      <c r="Z1677" t="s">
        <v>10365</v>
      </c>
      <c r="AA1677">
        <v>0.2310792411138121</v>
      </c>
      <c r="AB1677">
        <f>HYPERLINK("Melting_Curves/meltCurve_P46859_gntK.pdf", "Melting_Curves/meltCurve_P46859_gntK.pdf")</f>
        <v>0</v>
      </c>
    </row>
    <row r="1678" spans="1:28">
      <c r="A1678" t="s">
        <v>1704</v>
      </c>
      <c r="B1678">
        <v>0.999739202189716</v>
      </c>
      <c r="C1678">
        <v>0.988921953061747</v>
      </c>
      <c r="D1678">
        <v>0.72507846309839</v>
      </c>
      <c r="E1678">
        <v>0.8427398775577311</v>
      </c>
      <c r="F1678">
        <v>0.81282448225618</v>
      </c>
      <c r="G1678">
        <v>0.58039547453149</v>
      </c>
      <c r="H1678">
        <v>0.522373414387591</v>
      </c>
      <c r="I1678">
        <v>0.437448007423956</v>
      </c>
      <c r="J1678">
        <v>0.315623725367826</v>
      </c>
      <c r="K1678">
        <v>0.375062641843107</v>
      </c>
      <c r="L1678">
        <v>335.856673192639</v>
      </c>
      <c r="M1678">
        <v>5.77586972970499</v>
      </c>
      <c r="N1678">
        <v>58.3642688610816</v>
      </c>
      <c r="O1678">
        <v>52.3116240660931</v>
      </c>
      <c r="P1678">
        <v>-0.0274125170256897</v>
      </c>
      <c r="Q1678">
        <v>0.0105757589526818</v>
      </c>
      <c r="R1678">
        <v>0.9143793089225279</v>
      </c>
      <c r="S1678" t="s">
        <v>3871</v>
      </c>
      <c r="T1678" t="s">
        <v>4362</v>
      </c>
      <c r="U1678" t="s">
        <v>4362</v>
      </c>
      <c r="V1678" t="s">
        <v>4362</v>
      </c>
      <c r="W1678" t="s">
        <v>6036</v>
      </c>
      <c r="X1678">
        <v>2</v>
      </c>
      <c r="Y1678" t="s">
        <v>8199</v>
      </c>
      <c r="Z1678" t="s">
        <v>10366</v>
      </c>
      <c r="AA1678">
        <v>0.6617267332080359</v>
      </c>
      <c r="AB1678">
        <f>HYPERLINK("Melting_Curves/meltCurve_P46887_yecH.pdf", "Melting_Curves/meltCurve_P46887_yecH.pdf")</f>
        <v>0</v>
      </c>
    </row>
    <row r="1679" spans="1:28">
      <c r="A1679" t="s">
        <v>1705</v>
      </c>
      <c r="B1679">
        <v>0.999739202189716</v>
      </c>
      <c r="C1679">
        <v>0.831604571762397</v>
      </c>
      <c r="D1679">
        <v>0.911452614342926</v>
      </c>
      <c r="E1679">
        <v>0.7871540733419971</v>
      </c>
      <c r="F1679">
        <v>1.12423123116705</v>
      </c>
      <c r="G1679">
        <v>0.6053509623962851</v>
      </c>
      <c r="H1679">
        <v>0.565060474664053</v>
      </c>
      <c r="I1679">
        <v>0.30222209273344</v>
      </c>
      <c r="J1679">
        <v>0.285185924727668</v>
      </c>
      <c r="K1679">
        <v>0.252125537653757</v>
      </c>
      <c r="L1679">
        <v>1154.42489005307</v>
      </c>
      <c r="M1679">
        <v>20.8370766501327</v>
      </c>
      <c r="N1679">
        <v>57.1553533722798</v>
      </c>
      <c r="O1679">
        <v>54.8997355419807</v>
      </c>
      <c r="P1679">
        <v>-0.0724858184115806</v>
      </c>
      <c r="Q1679">
        <v>0.23610356912242</v>
      </c>
      <c r="R1679">
        <v>0.841889050498277</v>
      </c>
      <c r="S1679" t="s">
        <v>3872</v>
      </c>
      <c r="T1679" t="s">
        <v>4362</v>
      </c>
      <c r="U1679" t="s">
        <v>4362</v>
      </c>
      <c r="V1679" t="s">
        <v>4362</v>
      </c>
      <c r="W1679" t="s">
        <v>6037</v>
      </c>
      <c r="X1679">
        <v>1</v>
      </c>
      <c r="Y1679" t="s">
        <v>8200</v>
      </c>
      <c r="Z1679" t="s">
        <v>10367</v>
      </c>
      <c r="AA1679">
        <v>0.7127141684391212</v>
      </c>
      <c r="AB1679">
        <f>HYPERLINK("Melting_Curves/meltCurve_P46888_uspC.pdf", "Melting_Curves/meltCurve_P46888_uspC.pdf")</f>
        <v>0</v>
      </c>
    </row>
    <row r="1680" spans="1:28">
      <c r="A1680" t="s">
        <v>1706</v>
      </c>
      <c r="B1680">
        <v>0.999739202189716</v>
      </c>
      <c r="C1680">
        <v>0.995731775588197</v>
      </c>
      <c r="D1680">
        <v>0.818924272183733</v>
      </c>
      <c r="E1680">
        <v>0.799322489954274</v>
      </c>
      <c r="F1680">
        <v>0.498192408711653</v>
      </c>
      <c r="G1680">
        <v>0.450466904285956</v>
      </c>
      <c r="H1680">
        <v>0.437902491462829</v>
      </c>
      <c r="I1680">
        <v>0.37500724596669</v>
      </c>
      <c r="J1680">
        <v>0.279597824711535</v>
      </c>
      <c r="K1680">
        <v>0.296669337424495</v>
      </c>
      <c r="L1680">
        <v>598.523145137998</v>
      </c>
      <c r="M1680">
        <v>12.3540305287741</v>
      </c>
      <c r="N1680">
        <v>52.1071614825604</v>
      </c>
      <c r="O1680">
        <v>47.2306753310561</v>
      </c>
      <c r="P1680">
        <v>-0.0464363764181084</v>
      </c>
      <c r="Q1680">
        <v>0.290029540535076</v>
      </c>
      <c r="R1680">
        <v>0.969078987473191</v>
      </c>
      <c r="S1680" t="s">
        <v>3873</v>
      </c>
      <c r="T1680" t="s">
        <v>4362</v>
      </c>
      <c r="U1680" t="s">
        <v>4362</v>
      </c>
      <c r="V1680" t="s">
        <v>4362</v>
      </c>
      <c r="W1680" t="s">
        <v>6038</v>
      </c>
      <c r="X1680">
        <v>3</v>
      </c>
      <c r="Y1680" t="s">
        <v>8201</v>
      </c>
      <c r="Z1680" t="s">
        <v>10368</v>
      </c>
      <c r="AA1680">
        <v>0.5817974122891507</v>
      </c>
      <c r="AB1680">
        <f>HYPERLINK("Melting_Curves/meltCurve_P46889_ftsK.pdf", "Melting_Curves/meltCurve_P46889_ftsK.pdf")</f>
        <v>0</v>
      </c>
    </row>
    <row r="1681" spans="1:28">
      <c r="A1681" t="s">
        <v>1707</v>
      </c>
      <c r="B1681">
        <v>0.999739202189716</v>
      </c>
      <c r="C1681">
        <v>2.51206295652897</v>
      </c>
      <c r="D1681">
        <v>0.132675407849655</v>
      </c>
      <c r="E1681">
        <v>0.923877585104396</v>
      </c>
      <c r="F1681">
        <v>1.0968536352016</v>
      </c>
      <c r="G1681">
        <v>0.298364569240285</v>
      </c>
      <c r="H1681">
        <v>0.590619747264745</v>
      </c>
      <c r="I1681">
        <v>0.154791522471115</v>
      </c>
      <c r="J1681">
        <v>0.085552083837071</v>
      </c>
      <c r="K1681">
        <v>0.054716435165505</v>
      </c>
      <c r="L1681">
        <v>813.50329720672</v>
      </c>
      <c r="M1681">
        <v>14.7051383309778</v>
      </c>
      <c r="N1681">
        <v>55.3210235435612</v>
      </c>
      <c r="O1681">
        <v>54.3281703429107</v>
      </c>
      <c r="P1681">
        <v>-0.0676754977289436</v>
      </c>
      <c r="Q1681">
        <v>0</v>
      </c>
      <c r="R1681">
        <v>0.371387027586393</v>
      </c>
      <c r="S1681" t="s">
        <v>3874</v>
      </c>
      <c r="T1681" t="s">
        <v>4362</v>
      </c>
      <c r="U1681" t="s">
        <v>4362</v>
      </c>
      <c r="V1681" t="s">
        <v>4362</v>
      </c>
      <c r="W1681" t="s">
        <v>6039</v>
      </c>
      <c r="X1681">
        <v>2</v>
      </c>
      <c r="Y1681" t="s">
        <v>8202</v>
      </c>
      <c r="Z1681" t="s">
        <v>10369</v>
      </c>
      <c r="AA1681">
        <v>0.6240778865403592</v>
      </c>
      <c r="AB1681">
        <f>HYPERLINK("Melting_Curves/meltCurve_P46923_torZ.pdf", "Melting_Curves/meltCurve_P46923_torZ.pdf")</f>
        <v>0</v>
      </c>
    </row>
    <row r="1682" spans="1:28">
      <c r="A1682" t="s">
        <v>1708</v>
      </c>
      <c r="B1682">
        <v>0.999739202189716</v>
      </c>
      <c r="C1682">
        <v>0.871772804271771</v>
      </c>
      <c r="D1682">
        <v>0.646795304600335</v>
      </c>
      <c r="E1682">
        <v>0.447817209235176</v>
      </c>
      <c r="F1682">
        <v>0.343705188683912</v>
      </c>
      <c r="G1682">
        <v>0.211005217965247</v>
      </c>
      <c r="H1682">
        <v>0.143259333487874</v>
      </c>
      <c r="I1682">
        <v>0.110996709237685</v>
      </c>
      <c r="J1682">
        <v>0.0795420169318637</v>
      </c>
      <c r="K1682">
        <v>0.0816560892885823</v>
      </c>
      <c r="L1682">
        <v>533.544789696653</v>
      </c>
      <c r="M1682">
        <v>11.7148157234769</v>
      </c>
      <c r="N1682">
        <v>46.1015449516688</v>
      </c>
      <c r="O1682">
        <v>44.2780345469366</v>
      </c>
      <c r="P1682">
        <v>-0.0617943299324471</v>
      </c>
      <c r="Q1682">
        <v>0.0660001380727003</v>
      </c>
      <c r="R1682">
        <v>0.991903384312703</v>
      </c>
      <c r="S1682" t="s">
        <v>3875</v>
      </c>
      <c r="T1682" t="s">
        <v>4362</v>
      </c>
      <c r="U1682" t="s">
        <v>4362</v>
      </c>
      <c r="V1682" t="s">
        <v>4362</v>
      </c>
      <c r="W1682" t="s">
        <v>6040</v>
      </c>
      <c r="X1682">
        <v>1</v>
      </c>
      <c r="Y1682" t="s">
        <v>8203</v>
      </c>
      <c r="Z1682" t="s">
        <v>10370</v>
      </c>
      <c r="AA1682">
        <v>0.3664040997690359</v>
      </c>
      <c r="AB1682">
        <f>HYPERLINK("Melting_Curves/meltCurve_P50456_mlc.pdf", "Melting_Curves/meltCurve_P50456_mlc.pdf")</f>
        <v>0</v>
      </c>
    </row>
    <row r="1683" spans="1:28">
      <c r="A1683" t="s">
        <v>1709</v>
      </c>
      <c r="B1683">
        <v>0.999739202189716</v>
      </c>
      <c r="C1683">
        <v>1.08343907132914</v>
      </c>
      <c r="D1683">
        <v>0.971729517181681</v>
      </c>
      <c r="E1683">
        <v>1.00224767034021</v>
      </c>
      <c r="F1683">
        <v>0.919928248578722</v>
      </c>
      <c r="G1683">
        <v>0.892782222008213</v>
      </c>
      <c r="H1683">
        <v>0.649991999546895</v>
      </c>
      <c r="I1683">
        <v>0.564637443999047</v>
      </c>
      <c r="J1683">
        <v>0.6209268103960059</v>
      </c>
      <c r="K1683">
        <v>0.464663671534133</v>
      </c>
      <c r="L1683">
        <v>1242.36571718907</v>
      </c>
      <c r="M1683">
        <v>22.2659878810327</v>
      </c>
      <c r="O1683">
        <v>55.3523529715709</v>
      </c>
      <c r="P1683">
        <v>-0.0490761102499841</v>
      </c>
      <c r="Q1683">
        <v>0.512005423460946</v>
      </c>
      <c r="R1683">
        <v>0.947232447767589</v>
      </c>
      <c r="S1683" t="s">
        <v>3876</v>
      </c>
      <c r="T1683" t="s">
        <v>4362</v>
      </c>
      <c r="U1683" t="s">
        <v>4362</v>
      </c>
      <c r="V1683" t="s">
        <v>4362</v>
      </c>
      <c r="W1683" t="s">
        <v>6041</v>
      </c>
      <c r="X1683">
        <v>2</v>
      </c>
      <c r="Y1683" t="s">
        <v>8204</v>
      </c>
      <c r="Z1683" t="s">
        <v>10371</v>
      </c>
      <c r="AA1683">
        <v>0.822375049468917</v>
      </c>
      <c r="AB1683">
        <f>HYPERLINK("Melting_Curves/meltCurve_P50457_puuE.pdf", "Melting_Curves/meltCurve_P50457_puuE.pdf")</f>
        <v>0</v>
      </c>
    </row>
    <row r="1684" spans="1:28">
      <c r="A1684" t="s">
        <v>1710</v>
      </c>
      <c r="B1684">
        <v>0.999739202189716</v>
      </c>
      <c r="C1684">
        <v>0.839159676354057</v>
      </c>
      <c r="D1684">
        <v>1.09708556853208</v>
      </c>
      <c r="E1684">
        <v>0.6656082487989931</v>
      </c>
      <c r="F1684">
        <v>0.738261398482518</v>
      </c>
      <c r="G1684">
        <v>0.634751590374346</v>
      </c>
      <c r="H1684">
        <v>0.426206970847641</v>
      </c>
      <c r="I1684">
        <v>0.411236152153304</v>
      </c>
      <c r="J1684">
        <v>0.360044915610157</v>
      </c>
      <c r="K1684">
        <v>0.295781422093408</v>
      </c>
      <c r="L1684">
        <v>435.111719838268</v>
      </c>
      <c r="M1684">
        <v>8.072728582308921</v>
      </c>
      <c r="N1684">
        <v>56.6697217365737</v>
      </c>
      <c r="O1684">
        <v>50.8937050805014</v>
      </c>
      <c r="P1684">
        <v>-0.0332250596535927</v>
      </c>
      <c r="Q1684">
        <v>0.163059053793654</v>
      </c>
      <c r="R1684">
        <v>0.882153057960279</v>
      </c>
      <c r="S1684" t="s">
        <v>3877</v>
      </c>
      <c r="T1684" t="s">
        <v>4362</v>
      </c>
      <c r="U1684" t="s">
        <v>4362</v>
      </c>
      <c r="V1684" t="s">
        <v>4362</v>
      </c>
      <c r="W1684" t="s">
        <v>6042</v>
      </c>
      <c r="X1684">
        <v>4</v>
      </c>
      <c r="Y1684" t="s">
        <v>8205</v>
      </c>
      <c r="Z1684" t="s">
        <v>10372</v>
      </c>
      <c r="AA1684">
        <v>0.6475002763695227</v>
      </c>
      <c r="AB1684">
        <f>HYPERLINK("Melting_Curves/meltCurve_P50466_aer.pdf", "Melting_Curves/meltCurve_P50466_aer.pdf")</f>
        <v>0</v>
      </c>
    </row>
    <row r="1685" spans="1:28">
      <c r="A1685" t="s">
        <v>1711</v>
      </c>
      <c r="B1685">
        <v>0.999739202189716</v>
      </c>
      <c r="C1685">
        <v>0.983210774681236</v>
      </c>
      <c r="D1685">
        <v>0.934085745613734</v>
      </c>
      <c r="E1685">
        <v>0.94543369059246</v>
      </c>
      <c r="F1685">
        <v>0.853650194076788</v>
      </c>
      <c r="G1685">
        <v>0.747550680984143</v>
      </c>
      <c r="H1685">
        <v>0.6520331127160151</v>
      </c>
      <c r="I1685">
        <v>0.566539120935552</v>
      </c>
      <c r="J1685">
        <v>0.43636387087218</v>
      </c>
      <c r="K1685">
        <v>0.481722560566861</v>
      </c>
      <c r="L1685">
        <v>551.4477577169951</v>
      </c>
      <c r="M1685">
        <v>9.71136751001767</v>
      </c>
      <c r="N1685">
        <v>63.5727809926621</v>
      </c>
      <c r="O1685">
        <v>54.5328676512439</v>
      </c>
      <c r="P1685">
        <v>-0.0301677069313475</v>
      </c>
      <c r="Q1685">
        <v>0.322757839906544</v>
      </c>
      <c r="R1685">
        <v>0.985144095054506</v>
      </c>
      <c r="S1685" t="s">
        <v>3878</v>
      </c>
      <c r="T1685" t="s">
        <v>4362</v>
      </c>
      <c r="U1685" t="s">
        <v>4362</v>
      </c>
      <c r="V1685" t="s">
        <v>4362</v>
      </c>
      <c r="W1685" t="s">
        <v>6043</v>
      </c>
      <c r="X1685">
        <v>6</v>
      </c>
      <c r="Y1685" t="s">
        <v>8206</v>
      </c>
      <c r="Z1685" t="s">
        <v>10373</v>
      </c>
      <c r="AA1685">
        <v>0.7691491139757219</v>
      </c>
      <c r="AB1685">
        <f>HYPERLINK("Melting_Curves/meltCurve_P51024_yaiL.pdf", "Melting_Curves/meltCurve_P51024_yaiL.pdf")</f>
        <v>0</v>
      </c>
    </row>
    <row r="1686" spans="1:28">
      <c r="A1686" t="s">
        <v>1712</v>
      </c>
      <c r="B1686">
        <v>0.999739202189716</v>
      </c>
      <c r="C1686">
        <v>1.00487509260267</v>
      </c>
      <c r="D1686">
        <v>0.60032784170261</v>
      </c>
      <c r="E1686">
        <v>0.475674600757189</v>
      </c>
      <c r="F1686">
        <v>0.353832123543465</v>
      </c>
      <c r="G1686">
        <v>0.260044789051235</v>
      </c>
      <c r="H1686">
        <v>0.201107421005615</v>
      </c>
      <c r="I1686">
        <v>0.169861363767228</v>
      </c>
      <c r="J1686">
        <v>0.155259717249706</v>
      </c>
      <c r="K1686">
        <v>0.137522369050728</v>
      </c>
      <c r="L1686">
        <v>656.930740027733</v>
      </c>
      <c r="M1686">
        <v>14.6291223978085</v>
      </c>
      <c r="N1686">
        <v>46.1307660585164</v>
      </c>
      <c r="O1686">
        <v>44.0916343430744</v>
      </c>
      <c r="P1686">
        <v>-0.0696034680355286</v>
      </c>
      <c r="Q1686">
        <v>0.16096482303025</v>
      </c>
      <c r="R1686">
        <v>0.967633243181074</v>
      </c>
      <c r="S1686" t="s">
        <v>3879</v>
      </c>
      <c r="T1686" t="s">
        <v>4362</v>
      </c>
      <c r="U1686" t="s">
        <v>4362</v>
      </c>
      <c r="V1686" t="s">
        <v>4362</v>
      </c>
      <c r="W1686" t="s">
        <v>6044</v>
      </c>
      <c r="X1686">
        <v>1</v>
      </c>
      <c r="Y1686" t="s">
        <v>8207</v>
      </c>
      <c r="Z1686" t="s">
        <v>10374</v>
      </c>
      <c r="AA1686">
        <v>0.4031211511653768</v>
      </c>
      <c r="AB1686">
        <f>HYPERLINK("Melting_Curves/meltCurve_P51025_frmB.pdf", "Melting_Curves/meltCurve_P51025_frmB.pdf")</f>
        <v>0</v>
      </c>
    </row>
    <row r="1687" spans="1:28">
      <c r="A1687" t="s">
        <v>1713</v>
      </c>
      <c r="B1687">
        <v>0.999739202189716</v>
      </c>
      <c r="C1687">
        <v>0.775907342469575</v>
      </c>
      <c r="D1687">
        <v>0.841983663139694</v>
      </c>
      <c r="E1687">
        <v>0.651124650662178</v>
      </c>
      <c r="F1687">
        <v>0.332057459191973</v>
      </c>
      <c r="G1687">
        <v>0.154294852945744</v>
      </c>
      <c r="H1687">
        <v>0.107779336779658</v>
      </c>
      <c r="I1687">
        <v>0.0831756553932471</v>
      </c>
      <c r="J1687">
        <v>0.0814541373652761</v>
      </c>
      <c r="K1687">
        <v>0.0765767131891245</v>
      </c>
      <c r="L1687">
        <v>633.461979054471</v>
      </c>
      <c r="M1687">
        <v>13.3194115715175</v>
      </c>
      <c r="N1687">
        <v>47.8036434909235</v>
      </c>
      <c r="O1687">
        <v>46.5255937247587</v>
      </c>
      <c r="P1687">
        <v>-0.06922630321224391</v>
      </c>
      <c r="Q1687">
        <v>0.0329066514036928</v>
      </c>
      <c r="R1687">
        <v>0.9720403834051971</v>
      </c>
      <c r="S1687" t="s">
        <v>3880</v>
      </c>
      <c r="T1687" t="s">
        <v>4362</v>
      </c>
      <c r="U1687" t="s">
        <v>4362</v>
      </c>
      <c r="V1687" t="s">
        <v>4362</v>
      </c>
      <c r="W1687" t="s">
        <v>6045</v>
      </c>
      <c r="X1687">
        <v>4</v>
      </c>
      <c r="Y1687" t="s">
        <v>8208</v>
      </c>
      <c r="Z1687" t="s">
        <v>10375</v>
      </c>
      <c r="AA1687">
        <v>0.3995555897899385</v>
      </c>
      <c r="AB1687">
        <f>HYPERLINK("Melting_Curves/meltCurve_P51981_ycjG.pdf", "Melting_Curves/meltCurve_P51981_ycjG.pdf")</f>
        <v>0</v>
      </c>
    </row>
    <row r="1688" spans="1:28">
      <c r="A1688" t="s">
        <v>1714</v>
      </c>
      <c r="B1688">
        <v>0.999739202189716</v>
      </c>
      <c r="C1688">
        <v>0.696757306846047</v>
      </c>
      <c r="D1688">
        <v>1.01437913551465</v>
      </c>
      <c r="E1688">
        <v>0.746531941602132</v>
      </c>
      <c r="F1688">
        <v>0.646298223612106</v>
      </c>
      <c r="G1688">
        <v>0.309165482435538</v>
      </c>
      <c r="H1688">
        <v>0.218042764916098</v>
      </c>
      <c r="I1688">
        <v>0.157840392981385</v>
      </c>
      <c r="J1688">
        <v>0.2089799102687</v>
      </c>
      <c r="K1688">
        <v>0.131428043064089</v>
      </c>
      <c r="L1688">
        <v>678.506381672145</v>
      </c>
      <c r="M1688">
        <v>13.4646864363543</v>
      </c>
      <c r="N1688">
        <v>51.2619807871425</v>
      </c>
      <c r="O1688">
        <v>49.3189700995128</v>
      </c>
      <c r="P1688">
        <v>-0.0612877827943394</v>
      </c>
      <c r="Q1688">
        <v>0.102189239521337</v>
      </c>
      <c r="R1688">
        <v>0.905429618159839</v>
      </c>
      <c r="S1688" t="s">
        <v>3881</v>
      </c>
      <c r="T1688" t="s">
        <v>4362</v>
      </c>
      <c r="U1688" t="s">
        <v>4362</v>
      </c>
      <c r="V1688" t="s">
        <v>4362</v>
      </c>
      <c r="W1688" t="s">
        <v>6046</v>
      </c>
      <c r="X1688">
        <v>1</v>
      </c>
      <c r="Y1688" t="s">
        <v>8209</v>
      </c>
      <c r="Z1688" t="s">
        <v>10376</v>
      </c>
      <c r="AA1688">
        <v>0.5243232478246023</v>
      </c>
      <c r="AB1688">
        <f>HYPERLINK("Melting_Curves/meltCurve_P52006_nudI.pdf", "Melting_Curves/meltCurve_P52006_nudI.pdf")</f>
        <v>0</v>
      </c>
    </row>
    <row r="1689" spans="1:28">
      <c r="A1689" t="s">
        <v>1715</v>
      </c>
      <c r="B1689">
        <v>0.999739202189716</v>
      </c>
      <c r="C1689">
        <v>1.02194564587023</v>
      </c>
      <c r="D1689">
        <v>0.913890255425942</v>
      </c>
      <c r="E1689">
        <v>1.11336472653111</v>
      </c>
      <c r="F1689">
        <v>0.943420387785425</v>
      </c>
      <c r="G1689">
        <v>0.63015633387421</v>
      </c>
      <c r="H1689">
        <v>0.550112096712329</v>
      </c>
      <c r="I1689">
        <v>0.499004917390582</v>
      </c>
      <c r="J1689">
        <v>0.422048498872468</v>
      </c>
      <c r="K1689">
        <v>0.325174768798415</v>
      </c>
      <c r="L1689">
        <v>1370.11504550785</v>
      </c>
      <c r="M1689">
        <v>25.5501333844395</v>
      </c>
      <c r="N1689">
        <v>57.4165374312942</v>
      </c>
      <c r="O1689">
        <v>53.2993143693689</v>
      </c>
      <c r="P1689">
        <v>-0.0710074636410111</v>
      </c>
      <c r="Q1689">
        <v>0.407501731491725</v>
      </c>
      <c r="R1689">
        <v>0.942416331444881</v>
      </c>
      <c r="S1689" t="s">
        <v>3882</v>
      </c>
      <c r="T1689" t="s">
        <v>4362</v>
      </c>
      <c r="U1689" t="s">
        <v>4362</v>
      </c>
      <c r="V1689" t="s">
        <v>4362</v>
      </c>
      <c r="W1689" t="s">
        <v>6047</v>
      </c>
      <c r="X1689">
        <v>2</v>
      </c>
      <c r="Y1689" t="s">
        <v>8210</v>
      </c>
      <c r="Z1689" t="s">
        <v>10377</v>
      </c>
      <c r="AA1689">
        <v>0.7408538409547464</v>
      </c>
      <c r="AB1689">
        <f>HYPERLINK("Melting_Curves/meltCurve_P52007_yecM.pdf", "Melting_Curves/meltCurve_P52007_yecM.pdf")</f>
        <v>0</v>
      </c>
    </row>
    <row r="1690" spans="1:28">
      <c r="A1690" t="s">
        <v>1716</v>
      </c>
      <c r="B1690">
        <v>0.999739202189716</v>
      </c>
      <c r="C1690">
        <v>1.11163311563924</v>
      </c>
      <c r="D1690">
        <v>0.857733294627316</v>
      </c>
      <c r="E1690">
        <v>0.950601166483114</v>
      </c>
      <c r="F1690">
        <v>1.02980970724581</v>
      </c>
      <c r="G1690">
        <v>0.828504185858019</v>
      </c>
      <c r="H1690">
        <v>0.769745605409909</v>
      </c>
      <c r="I1690">
        <v>0.703835010074165</v>
      </c>
      <c r="J1690">
        <v>0.693339259194509</v>
      </c>
      <c r="K1690">
        <v>0.506759124047367</v>
      </c>
      <c r="L1690">
        <v>479.574171374297</v>
      </c>
      <c r="M1690">
        <v>6.97024531173246</v>
      </c>
      <c r="O1690">
        <v>63.8105175671141</v>
      </c>
      <c r="P1690">
        <v>-0.0273597967572146</v>
      </c>
      <c r="Q1690">
        <v>0</v>
      </c>
      <c r="R1690">
        <v>0.836518043694098</v>
      </c>
      <c r="S1690" t="s">
        <v>3883</v>
      </c>
      <c r="T1690" t="s">
        <v>4362</v>
      </c>
      <c r="U1690" t="s">
        <v>4362</v>
      </c>
      <c r="V1690" t="s">
        <v>4362</v>
      </c>
      <c r="W1690" t="s">
        <v>6048</v>
      </c>
      <c r="X1690">
        <v>5</v>
      </c>
      <c r="Y1690" t="s">
        <v>8211</v>
      </c>
      <c r="Z1690" t="s">
        <v>10378</v>
      </c>
      <c r="AA1690">
        <v>0.8549275896723809</v>
      </c>
      <c r="AB1690">
        <f>HYPERLINK("Melting_Curves/meltCurve_P52060_yggU.pdf", "Melting_Curves/meltCurve_P52060_yggU.pdf")</f>
        <v>0</v>
      </c>
    </row>
    <row r="1691" spans="1:28">
      <c r="A1691" t="s">
        <v>1717</v>
      </c>
      <c r="B1691">
        <v>0.999739202189716</v>
      </c>
      <c r="C1691">
        <v>0.937615469246832</v>
      </c>
      <c r="D1691">
        <v>0.811637019617183</v>
      </c>
      <c r="E1691">
        <v>0.857049836399674</v>
      </c>
      <c r="F1691">
        <v>0.445307346548884</v>
      </c>
      <c r="G1691">
        <v>0.263894439286596</v>
      </c>
      <c r="H1691">
        <v>0.140723680675967</v>
      </c>
      <c r="I1691">
        <v>0.109612243414728</v>
      </c>
      <c r="J1691">
        <v>0.0810284668480379</v>
      </c>
      <c r="K1691">
        <v>0.129790487062676</v>
      </c>
      <c r="L1691">
        <v>854.927008925573</v>
      </c>
      <c r="M1691">
        <v>17.2956681964219</v>
      </c>
      <c r="N1691">
        <v>49.9391321740522</v>
      </c>
      <c r="O1691">
        <v>48.7834998435747</v>
      </c>
      <c r="P1691">
        <v>-0.081476783510449</v>
      </c>
      <c r="Q1691">
        <v>0.08081145859383509</v>
      </c>
      <c r="R1691">
        <v>0.977118812191576</v>
      </c>
      <c r="S1691" t="s">
        <v>3884</v>
      </c>
      <c r="T1691" t="s">
        <v>4362</v>
      </c>
      <c r="U1691" t="s">
        <v>4362</v>
      </c>
      <c r="V1691" t="s">
        <v>4362</v>
      </c>
      <c r="W1691" t="s">
        <v>6049</v>
      </c>
      <c r="X1691">
        <v>5</v>
      </c>
      <c r="Y1691" t="s">
        <v>8212</v>
      </c>
      <c r="Z1691" t="s">
        <v>10379</v>
      </c>
      <c r="AA1691">
        <v>0.4772451088543986</v>
      </c>
      <c r="AB1691">
        <f>HYPERLINK("Melting_Curves/meltCurve_P52061_rdgB.pdf", "Melting_Curves/meltCurve_P52061_rdgB.pdf")</f>
        <v>0</v>
      </c>
    </row>
    <row r="1692" spans="1:28">
      <c r="A1692" t="s">
        <v>1718</v>
      </c>
      <c r="B1692">
        <v>0.999739202189716</v>
      </c>
      <c r="C1692">
        <v>0.82535116459521</v>
      </c>
      <c r="D1692">
        <v>0.821350634896265</v>
      </c>
      <c r="E1692">
        <v>0.857141644606542</v>
      </c>
      <c r="F1692">
        <v>0.851468762045319</v>
      </c>
      <c r="G1692">
        <v>0.720305729408364</v>
      </c>
      <c r="H1692">
        <v>0.575444500999283</v>
      </c>
      <c r="I1692">
        <v>0.458485598153628</v>
      </c>
      <c r="J1692">
        <v>0.3050357016536</v>
      </c>
      <c r="K1692">
        <v>0.37812723644751</v>
      </c>
      <c r="L1692">
        <v>367.517449244846</v>
      </c>
      <c r="M1692">
        <v>6.13811164598788</v>
      </c>
      <c r="N1692">
        <v>59.8746765150836</v>
      </c>
      <c r="O1692">
        <v>54.4542309104524</v>
      </c>
      <c r="P1692">
        <v>-0.028264264382172</v>
      </c>
      <c r="Q1692">
        <v>0</v>
      </c>
      <c r="R1692">
        <v>0.904255322221817</v>
      </c>
      <c r="S1692" t="s">
        <v>3885</v>
      </c>
      <c r="T1692" t="s">
        <v>4362</v>
      </c>
      <c r="U1692" t="s">
        <v>4362</v>
      </c>
      <c r="V1692" t="s">
        <v>4362</v>
      </c>
      <c r="W1692" t="s">
        <v>6050</v>
      </c>
      <c r="X1692">
        <v>3</v>
      </c>
      <c r="Y1692" t="s">
        <v>8213</v>
      </c>
      <c r="Z1692" t="s">
        <v>10380</v>
      </c>
      <c r="AA1692">
        <v>0.6969285737268882</v>
      </c>
      <c r="AB1692">
        <f>HYPERLINK("Melting_Curves/meltCurve_P52073_glcE.pdf", "Melting_Curves/meltCurve_P52073_glcE.pdf")</f>
        <v>0</v>
      </c>
    </row>
    <row r="1693" spans="1:28">
      <c r="A1693" t="s">
        <v>1719</v>
      </c>
      <c r="B1693">
        <v>0.999739202189716</v>
      </c>
      <c r="C1693">
        <v>0.7986083251464769</v>
      </c>
      <c r="D1693">
        <v>0.8213169127247451</v>
      </c>
      <c r="E1693">
        <v>0.9179751726412529</v>
      </c>
      <c r="F1693">
        <v>0.696940657901342</v>
      </c>
      <c r="G1693">
        <v>0.537712849507585</v>
      </c>
      <c r="H1693">
        <v>0.277963652000074</v>
      </c>
      <c r="I1693">
        <v>0.149532454843787</v>
      </c>
      <c r="J1693">
        <v>0.0944999084040026</v>
      </c>
      <c r="K1693">
        <v>0.0789702104382205</v>
      </c>
      <c r="L1693">
        <v>654.535132200586</v>
      </c>
      <c r="M1693">
        <v>12.2302693682777</v>
      </c>
      <c r="N1693">
        <v>53.517637827805</v>
      </c>
      <c r="O1693">
        <v>52.1471503083709</v>
      </c>
      <c r="P1693">
        <v>-0.0586465591351801</v>
      </c>
      <c r="Q1693">
        <v>0</v>
      </c>
      <c r="R1693">
        <v>0.947805099883518</v>
      </c>
      <c r="S1693" t="s">
        <v>3886</v>
      </c>
      <c r="T1693" t="s">
        <v>4362</v>
      </c>
      <c r="U1693" t="s">
        <v>4362</v>
      </c>
      <c r="V1693" t="s">
        <v>4362</v>
      </c>
      <c r="W1693" t="s">
        <v>6051</v>
      </c>
      <c r="X1693">
        <v>3</v>
      </c>
      <c r="Y1693" t="s">
        <v>8214</v>
      </c>
      <c r="Z1693" t="s">
        <v>10381</v>
      </c>
      <c r="AA1693">
        <v>0.5699559797406335</v>
      </c>
      <c r="AB1693">
        <f>HYPERLINK("Melting_Curves/meltCurve_P52076_qseB.pdf", "Melting_Curves/meltCurve_P52076_qseB.pdf")</f>
        <v>0</v>
      </c>
    </row>
    <row r="1694" spans="1:28">
      <c r="A1694" t="s">
        <v>1720</v>
      </c>
      <c r="B1694">
        <v>0.999739202189716</v>
      </c>
      <c r="C1694">
        <v>0.843633361664804</v>
      </c>
      <c r="D1694">
        <v>0.30496970324529</v>
      </c>
      <c r="E1694">
        <v>0.294234324560013</v>
      </c>
      <c r="F1694">
        <v>0.164412322127494</v>
      </c>
      <c r="G1694">
        <v>0.142723414337137</v>
      </c>
      <c r="H1694">
        <v>0.121631969326919</v>
      </c>
      <c r="I1694">
        <v>0.09337310400861989</v>
      </c>
      <c r="J1694">
        <v>0.0798842994302007</v>
      </c>
      <c r="K1694">
        <v>0.0648369235329966</v>
      </c>
      <c r="L1694">
        <v>1363.59490622598</v>
      </c>
      <c r="M1694">
        <v>32.8148078743403</v>
      </c>
      <c r="N1694">
        <v>41.9355857943435</v>
      </c>
      <c r="O1694">
        <v>41.4008448662772</v>
      </c>
      <c r="P1694">
        <v>-0.172593054006153</v>
      </c>
      <c r="Q1694">
        <v>0.128994990194941</v>
      </c>
      <c r="R1694">
        <v>0.968849398999343</v>
      </c>
      <c r="S1694" t="s">
        <v>3887</v>
      </c>
      <c r="T1694" t="s">
        <v>4362</v>
      </c>
      <c r="U1694" t="s">
        <v>4362</v>
      </c>
      <c r="V1694" t="s">
        <v>4362</v>
      </c>
      <c r="W1694" t="s">
        <v>6052</v>
      </c>
      <c r="X1694">
        <v>3</v>
      </c>
      <c r="Y1694" t="s">
        <v>8215</v>
      </c>
      <c r="Z1694" t="s">
        <v>10382</v>
      </c>
      <c r="AA1694">
        <v>0.2654385224411259</v>
      </c>
      <c r="AB1694">
        <f>HYPERLINK("Melting_Curves/meltCurve_P52095_ldcC.pdf", "Melting_Curves/meltCurve_P52095_ldcC.pdf")</f>
        <v>0</v>
      </c>
    </row>
    <row r="1695" spans="1:28">
      <c r="A1695" t="s">
        <v>1721</v>
      </c>
      <c r="B1695">
        <v>0.999739202189716</v>
      </c>
      <c r="C1695">
        <v>0.845487841135265</v>
      </c>
      <c r="D1695">
        <v>1.00468725029342</v>
      </c>
      <c r="E1695">
        <v>0.884613357707815</v>
      </c>
      <c r="F1695">
        <v>0.876283797186825</v>
      </c>
      <c r="G1695">
        <v>0.541796380406338</v>
      </c>
      <c r="H1695">
        <v>0.525097592446242</v>
      </c>
      <c r="I1695">
        <v>0.369320099660751</v>
      </c>
      <c r="J1695">
        <v>0.32870313495268</v>
      </c>
      <c r="K1695">
        <v>0.251876185561912</v>
      </c>
      <c r="L1695">
        <v>632.015278491685</v>
      </c>
      <c r="M1695">
        <v>11.5204370287101</v>
      </c>
      <c r="N1695">
        <v>57.0361555303503</v>
      </c>
      <c r="O1695">
        <v>53.2854719383372</v>
      </c>
      <c r="P1695">
        <v>-0.0444521396491223</v>
      </c>
      <c r="Q1695">
        <v>0.177814249095107</v>
      </c>
      <c r="R1695">
        <v>0.946078345476718</v>
      </c>
      <c r="S1695" t="s">
        <v>3888</v>
      </c>
      <c r="T1695" t="s">
        <v>4362</v>
      </c>
      <c r="U1695" t="s">
        <v>4362</v>
      </c>
      <c r="V1695" t="s">
        <v>4362</v>
      </c>
      <c r="W1695" t="s">
        <v>6053</v>
      </c>
      <c r="X1695">
        <v>3</v>
      </c>
      <c r="Y1695" t="s">
        <v>8216</v>
      </c>
      <c r="Z1695" t="s">
        <v>10383</v>
      </c>
      <c r="AA1695">
        <v>0.6792378634255978</v>
      </c>
      <c r="AB1695">
        <f>HYPERLINK("Melting_Curves/meltCurve_P52096_yaeR.pdf", "Melting_Curves/meltCurve_P52096_yaeR.pdf")</f>
        <v>0</v>
      </c>
    </row>
    <row r="1696" spans="1:28">
      <c r="A1696" t="s">
        <v>1722</v>
      </c>
      <c r="B1696">
        <v>0.999739202189716</v>
      </c>
      <c r="C1696">
        <v>0.824994693258436</v>
      </c>
      <c r="D1696">
        <v>0.739971632068615</v>
      </c>
      <c r="E1696">
        <v>0.461389955846622</v>
      </c>
      <c r="F1696">
        <v>0.242793115003045</v>
      </c>
      <c r="G1696">
        <v>0.17235496827428</v>
      </c>
      <c r="H1696">
        <v>0.116349735367068</v>
      </c>
      <c r="I1696">
        <v>0.0855897882174778</v>
      </c>
      <c r="J1696">
        <v>0.0756834021218115</v>
      </c>
      <c r="K1696">
        <v>0.0704826414977608</v>
      </c>
      <c r="L1696">
        <v>621.793374621019</v>
      </c>
      <c r="M1696">
        <v>13.6513114685098</v>
      </c>
      <c r="N1696">
        <v>45.9675467232152</v>
      </c>
      <c r="O1696">
        <v>44.6041954413586</v>
      </c>
      <c r="P1696">
        <v>-0.0720450084978691</v>
      </c>
      <c r="Q1696">
        <v>0.058540119515829</v>
      </c>
      <c r="R1696">
        <v>0.994507656090973</v>
      </c>
      <c r="S1696" t="s">
        <v>3889</v>
      </c>
      <c r="T1696" t="s">
        <v>4362</v>
      </c>
      <c r="U1696" t="s">
        <v>4362</v>
      </c>
      <c r="V1696" t="s">
        <v>4362</v>
      </c>
      <c r="W1696" t="s">
        <v>6054</v>
      </c>
      <c r="X1696">
        <v>5</v>
      </c>
      <c r="Y1696" t="s">
        <v>8217</v>
      </c>
      <c r="Z1696" t="s">
        <v>10384</v>
      </c>
      <c r="AA1696">
        <v>0.3531184116141467</v>
      </c>
      <c r="AB1696">
        <f>HYPERLINK("Melting_Curves/meltCurve_P52097_tilS.pdf", "Melting_Curves/meltCurve_P52097_tilS.pdf")</f>
        <v>0</v>
      </c>
    </row>
    <row r="1697" spans="1:28">
      <c r="A1697" t="s">
        <v>1723</v>
      </c>
      <c r="B1697">
        <v>0.999739202189716</v>
      </c>
      <c r="C1697">
        <v>1.16408815093346</v>
      </c>
      <c r="D1697">
        <v>0.975243413517382</v>
      </c>
      <c r="E1697">
        <v>0.71137743686544</v>
      </c>
      <c r="F1697">
        <v>0.546304816888284</v>
      </c>
      <c r="G1697">
        <v>0.497139969913609</v>
      </c>
      <c r="H1697">
        <v>0.42166911541307</v>
      </c>
      <c r="I1697">
        <v>0.300260772197738</v>
      </c>
      <c r="J1697">
        <v>0.11773159259686</v>
      </c>
      <c r="K1697">
        <v>0.155342481365071</v>
      </c>
      <c r="L1697">
        <v>548.740584124202</v>
      </c>
      <c r="M1697">
        <v>10.5397864217044</v>
      </c>
      <c r="N1697">
        <v>53.0394740995359</v>
      </c>
      <c r="O1697">
        <v>50.2942919036313</v>
      </c>
      <c r="P1697">
        <v>-0.0477924756473671</v>
      </c>
      <c r="Q1697">
        <v>0.0881282918358805</v>
      </c>
      <c r="R1697">
        <v>0.936580923606446</v>
      </c>
      <c r="S1697" t="s">
        <v>3890</v>
      </c>
      <c r="T1697" t="s">
        <v>4362</v>
      </c>
      <c r="U1697" t="s">
        <v>4362</v>
      </c>
      <c r="V1697" t="s">
        <v>4362</v>
      </c>
      <c r="W1697" t="s">
        <v>6055</v>
      </c>
      <c r="X1697">
        <v>4</v>
      </c>
      <c r="Y1697" t="s">
        <v>8218</v>
      </c>
      <c r="Z1697" t="s">
        <v>10385</v>
      </c>
      <c r="AA1697">
        <v>0.5694438361210651</v>
      </c>
      <c r="AB1697">
        <f>HYPERLINK("Melting_Curves/meltCurve_P52101_glrK.pdf", "Melting_Curves/meltCurve_P52101_glrK.pdf")</f>
        <v>0</v>
      </c>
    </row>
    <row r="1698" spans="1:28">
      <c r="A1698" t="s">
        <v>1724</v>
      </c>
      <c r="B1698">
        <v>0.999739202189716</v>
      </c>
      <c r="C1698">
        <v>0.9669564911895639</v>
      </c>
      <c r="D1698">
        <v>0.958451136361553</v>
      </c>
      <c r="E1698">
        <v>0.943822750273888</v>
      </c>
      <c r="F1698">
        <v>0.755405594507585</v>
      </c>
      <c r="G1698">
        <v>0.653511943421011</v>
      </c>
      <c r="H1698">
        <v>0.606029031288139</v>
      </c>
      <c r="I1698">
        <v>0.585658577921284</v>
      </c>
      <c r="J1698">
        <v>0.673803498723084</v>
      </c>
      <c r="K1698">
        <v>0.529122280002118</v>
      </c>
      <c r="L1698">
        <v>1171.12215999305</v>
      </c>
      <c r="M1698">
        <v>23.6365929127088</v>
      </c>
      <c r="O1698">
        <v>49.1964181875338</v>
      </c>
      <c r="P1698">
        <v>-0.0488484101886716</v>
      </c>
      <c r="Q1698">
        <v>0.593320883813939</v>
      </c>
      <c r="R1698">
        <v>0.956562707072401</v>
      </c>
      <c r="S1698" t="s">
        <v>3891</v>
      </c>
      <c r="T1698" t="s">
        <v>4362</v>
      </c>
      <c r="U1698" t="s">
        <v>4362</v>
      </c>
      <c r="V1698" t="s">
        <v>4362</v>
      </c>
      <c r="W1698" t="s">
        <v>6056</v>
      </c>
      <c r="X1698">
        <v>2</v>
      </c>
      <c r="Y1698" t="s">
        <v>8219</v>
      </c>
      <c r="Z1698" t="s">
        <v>10386</v>
      </c>
      <c r="AA1698">
        <v>0.7673461439344984</v>
      </c>
      <c r="AB1698">
        <f>HYPERLINK("Melting_Curves/meltCurve_P52107_csgC.pdf", "Melting_Curves/meltCurve_P52107_csgC.pdf")</f>
        <v>0</v>
      </c>
    </row>
    <row r="1699" spans="1:28">
      <c r="A1699" t="s">
        <v>1725</v>
      </c>
      <c r="B1699">
        <v>0.999739202189716</v>
      </c>
      <c r="C1699">
        <v>0.82949885465155</v>
      </c>
      <c r="D1699">
        <v>0.777425390272827</v>
      </c>
      <c r="E1699">
        <v>0.542096670064635</v>
      </c>
      <c r="F1699">
        <v>0.36563942919896</v>
      </c>
      <c r="G1699">
        <v>0.226125269195112</v>
      </c>
      <c r="H1699">
        <v>0.160717554461078</v>
      </c>
      <c r="I1699">
        <v>0.113242544594954</v>
      </c>
      <c r="J1699">
        <v>0.0936216796093905</v>
      </c>
      <c r="K1699">
        <v>0.0777580378281707</v>
      </c>
      <c r="L1699">
        <v>521.943987893507</v>
      </c>
      <c r="M1699">
        <v>11.095715422575</v>
      </c>
      <c r="N1699">
        <v>47.4349591661842</v>
      </c>
      <c r="O1699">
        <v>45.5897033837825</v>
      </c>
      <c r="P1699">
        <v>-0.058180633091054</v>
      </c>
      <c r="Q1699">
        <v>0.0441089470833593</v>
      </c>
      <c r="R1699">
        <v>0.994541685297727</v>
      </c>
      <c r="S1699" t="s">
        <v>3892</v>
      </c>
      <c r="T1699" t="s">
        <v>4362</v>
      </c>
      <c r="U1699" t="s">
        <v>4362</v>
      </c>
      <c r="V1699" t="s">
        <v>4362</v>
      </c>
      <c r="W1699" t="s">
        <v>6057</v>
      </c>
      <c r="X1699">
        <v>9</v>
      </c>
      <c r="Y1699" t="s">
        <v>8220</v>
      </c>
      <c r="Z1699" t="s">
        <v>10387</v>
      </c>
      <c r="AA1699">
        <v>0.3994018957083273</v>
      </c>
      <c r="AB1699">
        <f>HYPERLINK("Melting_Curves/meltCurve_P52108_rstA.pdf", "Melting_Curves/meltCurve_P52108_rstA.pdf")</f>
        <v>0</v>
      </c>
    </row>
    <row r="1700" spans="1:28">
      <c r="A1700" t="s">
        <v>1726</v>
      </c>
      <c r="B1700">
        <v>0.999739202189716</v>
      </c>
      <c r="C1700">
        <v>1.11245574740838</v>
      </c>
      <c r="D1700">
        <v>0.979351155289504</v>
      </c>
      <c r="E1700">
        <v>1.0741775125825</v>
      </c>
      <c r="F1700">
        <v>1.06930713011906</v>
      </c>
      <c r="G1700">
        <v>0.888533610753224</v>
      </c>
      <c r="H1700">
        <v>0.988190558970775</v>
      </c>
      <c r="I1700">
        <v>0.881417130964849</v>
      </c>
      <c r="J1700">
        <v>0.884325157848452</v>
      </c>
      <c r="K1700">
        <v>0.7701050261211591</v>
      </c>
      <c r="L1700">
        <v>730.859372157674</v>
      </c>
      <c r="M1700">
        <v>9.64095688147688</v>
      </c>
      <c r="Q1700">
        <v>0</v>
      </c>
      <c r="R1700">
        <v>0.649702789389859</v>
      </c>
      <c r="S1700" t="s">
        <v>3893</v>
      </c>
      <c r="T1700" t="s">
        <v>4362</v>
      </c>
      <c r="U1700" t="s">
        <v>4362</v>
      </c>
      <c r="V1700" t="s">
        <v>4362</v>
      </c>
      <c r="W1700" t="s">
        <v>6058</v>
      </c>
      <c r="X1700">
        <v>2</v>
      </c>
      <c r="Y1700" t="s">
        <v>8221</v>
      </c>
      <c r="Z1700" t="s">
        <v>10388</v>
      </c>
      <c r="AA1700">
        <v>0.9570346158875243</v>
      </c>
      <c r="AB1700">
        <f>HYPERLINK("Melting_Curves/meltCurve_P52119_ratB.pdf", "Melting_Curves/meltCurve_P52119_ratB.pdf")</f>
        <v>0</v>
      </c>
    </row>
    <row r="1701" spans="1:28">
      <c r="A1701" t="s">
        <v>1727</v>
      </c>
      <c r="B1701">
        <v>0.999739202189716</v>
      </c>
      <c r="C1701">
        <v>0.864194464685048</v>
      </c>
      <c r="D1701">
        <v>0.809598260385415</v>
      </c>
      <c r="E1701">
        <v>0.723051408573345</v>
      </c>
      <c r="F1701">
        <v>0.753020271125498</v>
      </c>
      <c r="G1701">
        <v>0.538718988158599</v>
      </c>
      <c r="H1701">
        <v>0.405497928370685</v>
      </c>
      <c r="I1701">
        <v>0.193990091286246</v>
      </c>
      <c r="J1701">
        <v>0.230680226579405</v>
      </c>
      <c r="K1701">
        <v>0.166090898458437</v>
      </c>
      <c r="L1701">
        <v>415.733161649745</v>
      </c>
      <c r="M1701">
        <v>7.7131106302174</v>
      </c>
      <c r="N1701">
        <v>53.8995460558478</v>
      </c>
      <c r="O1701">
        <v>50.635571891084</v>
      </c>
      <c r="P1701">
        <v>-0.0381308299758654</v>
      </c>
      <c r="Q1701">
        <v>0</v>
      </c>
      <c r="R1701">
        <v>0.955645703270541</v>
      </c>
      <c r="S1701" t="s">
        <v>3894</v>
      </c>
      <c r="T1701" t="s">
        <v>4362</v>
      </c>
      <c r="U1701" t="s">
        <v>4362</v>
      </c>
      <c r="V1701" t="s">
        <v>4362</v>
      </c>
      <c r="W1701" t="s">
        <v>6059</v>
      </c>
      <c r="X1701">
        <v>2</v>
      </c>
      <c r="Y1701" t="s">
        <v>8222</v>
      </c>
      <c r="Z1701" t="s">
        <v>10389</v>
      </c>
      <c r="AA1701">
        <v>0.5779526979610561</v>
      </c>
      <c r="AB1701">
        <f>HYPERLINK("Melting_Curves/meltCurve_P52598_ygbI.pdf", "Melting_Curves/meltCurve_P52598_ygbI.pdf")</f>
        <v>0</v>
      </c>
    </row>
    <row r="1702" spans="1:28">
      <c r="A1702" t="s">
        <v>1728</v>
      </c>
      <c r="B1702">
        <v>0.999739202189716</v>
      </c>
      <c r="C1702">
        <v>1.05643243895528</v>
      </c>
      <c r="D1702">
        <v>0.795635074271334</v>
      </c>
      <c r="E1702">
        <v>0.842063754233051</v>
      </c>
      <c r="F1702">
        <v>0.777159196674478</v>
      </c>
      <c r="G1702">
        <v>0.590317587135133</v>
      </c>
      <c r="H1702">
        <v>0.500590951034562</v>
      </c>
      <c r="I1702">
        <v>0.395437710730571</v>
      </c>
      <c r="J1702">
        <v>0.317326121450994</v>
      </c>
      <c r="K1702">
        <v>0.259007706807544</v>
      </c>
      <c r="L1702">
        <v>408.926020207689</v>
      </c>
      <c r="M1702">
        <v>7.13929662579548</v>
      </c>
      <c r="N1702">
        <v>57.2781944229005</v>
      </c>
      <c r="O1702">
        <v>53.2946850388838</v>
      </c>
      <c r="P1702">
        <v>-0.0335474754488963</v>
      </c>
      <c r="Q1702">
        <v>0</v>
      </c>
      <c r="R1702">
        <v>0.9623565473683789</v>
      </c>
      <c r="S1702" t="s">
        <v>3895</v>
      </c>
      <c r="T1702" t="s">
        <v>4362</v>
      </c>
      <c r="U1702" t="s">
        <v>4362</v>
      </c>
      <c r="V1702" t="s">
        <v>4362</v>
      </c>
      <c r="W1702" t="s">
        <v>6060</v>
      </c>
      <c r="X1702">
        <v>3</v>
      </c>
      <c r="Y1702" t="s">
        <v>8223</v>
      </c>
      <c r="Z1702" t="s">
        <v>10390</v>
      </c>
      <c r="AA1702">
        <v>0.6555026273711267</v>
      </c>
      <c r="AB1702">
        <f>HYPERLINK("Melting_Curves/meltCurve_P52612_fliI.pdf", "Melting_Curves/meltCurve_P52612_fliI.pdf")</f>
        <v>0</v>
      </c>
    </row>
    <row r="1703" spans="1:28">
      <c r="A1703" t="s">
        <v>1729</v>
      </c>
      <c r="B1703">
        <v>0.999739202189716</v>
      </c>
      <c r="C1703">
        <v>0.922171341926639</v>
      </c>
      <c r="D1703">
        <v>1.05683411874396</v>
      </c>
      <c r="E1703">
        <v>0.907295193464568</v>
      </c>
      <c r="F1703">
        <v>0.994814278149785</v>
      </c>
      <c r="G1703">
        <v>0.884597096493301</v>
      </c>
      <c r="H1703">
        <v>0.528819070984262</v>
      </c>
      <c r="I1703">
        <v>0.285323339039228</v>
      </c>
      <c r="J1703">
        <v>0.152039938086442</v>
      </c>
      <c r="K1703">
        <v>0.129408870864148</v>
      </c>
      <c r="L1703">
        <v>1536.45178396242</v>
      </c>
      <c r="M1703">
        <v>26.8070907660932</v>
      </c>
      <c r="N1703">
        <v>57.8745302908349</v>
      </c>
      <c r="O1703">
        <v>56.9990259625038</v>
      </c>
      <c r="P1703">
        <v>-0.104158767455349</v>
      </c>
      <c r="Q1703">
        <v>0.114131735699591</v>
      </c>
      <c r="R1703">
        <v>0.9847726892190261</v>
      </c>
      <c r="S1703" t="s">
        <v>3896</v>
      </c>
      <c r="T1703" t="s">
        <v>4362</v>
      </c>
      <c r="U1703" t="s">
        <v>4362</v>
      </c>
      <c r="V1703" t="s">
        <v>4362</v>
      </c>
      <c r="W1703" t="s">
        <v>4462</v>
      </c>
      <c r="X1703">
        <v>10</v>
      </c>
      <c r="Y1703" t="s">
        <v>8224</v>
      </c>
      <c r="Z1703" t="s">
        <v>10391</v>
      </c>
      <c r="AA1703">
        <v>0.7199674364288209</v>
      </c>
      <c r="AB1703">
        <f>HYPERLINK("Melting_Curves/meltCurve_P52643_ldhA.pdf", "Melting_Curves/meltCurve_P52643_ldhA.pdf")</f>
        <v>0</v>
      </c>
    </row>
    <row r="1704" spans="1:28">
      <c r="A1704" t="s">
        <v>1730</v>
      </c>
      <c r="B1704">
        <v>0.999739202189716</v>
      </c>
      <c r="C1704">
        <v>1.06548304621935</v>
      </c>
      <c r="D1704">
        <v>0.849994197842314</v>
      </c>
      <c r="E1704">
        <v>0.961469275771387</v>
      </c>
      <c r="F1704">
        <v>0.945169550631506</v>
      </c>
      <c r="G1704">
        <v>0.827594310791311</v>
      </c>
      <c r="H1704">
        <v>0.685980376161977</v>
      </c>
      <c r="I1704">
        <v>0.6405661014196971</v>
      </c>
      <c r="J1704">
        <v>0.585988971220622</v>
      </c>
      <c r="K1704">
        <v>0.603658210481728</v>
      </c>
      <c r="L1704">
        <v>915.7530047520791</v>
      </c>
      <c r="M1704">
        <v>16.7129640508367</v>
      </c>
      <c r="O1704">
        <v>54.026547846367</v>
      </c>
      <c r="P1704">
        <v>-0.0334771855752904</v>
      </c>
      <c r="Q1704">
        <v>0.567153438560046</v>
      </c>
      <c r="R1704">
        <v>0.902201164702029</v>
      </c>
      <c r="S1704" t="s">
        <v>3897</v>
      </c>
      <c r="T1704" t="s">
        <v>4362</v>
      </c>
      <c r="U1704" t="s">
        <v>4362</v>
      </c>
      <c r="V1704" t="s">
        <v>4362</v>
      </c>
      <c r="W1704" t="s">
        <v>6061</v>
      </c>
      <c r="X1704">
        <v>2</v>
      </c>
      <c r="Y1704" t="s">
        <v>8225</v>
      </c>
      <c r="Z1704" t="s">
        <v>10392</v>
      </c>
      <c r="AA1704">
        <v>0.829782727069814</v>
      </c>
      <c r="AB1704">
        <f>HYPERLINK("Melting_Curves/meltCurve_P52644_hslJ.pdf", "Melting_Curves/meltCurve_P52644_hslJ.pdf")</f>
        <v>0</v>
      </c>
    </row>
    <row r="1705" spans="1:28">
      <c r="A1705" t="s">
        <v>1731</v>
      </c>
      <c r="B1705">
        <v>0.999739202189716</v>
      </c>
      <c r="C1705">
        <v>1.08373557115997</v>
      </c>
      <c r="D1705">
        <v>0.5407668892151259</v>
      </c>
      <c r="E1705">
        <v>0.354220563737338</v>
      </c>
      <c r="F1705">
        <v>0.248694001973017</v>
      </c>
      <c r="G1705">
        <v>0.171181990838383</v>
      </c>
      <c r="H1705">
        <v>0.141351297767834</v>
      </c>
      <c r="I1705">
        <v>0.103797287072451</v>
      </c>
      <c r="J1705">
        <v>0.08784491692803199</v>
      </c>
      <c r="K1705">
        <v>0.07332534866000209</v>
      </c>
      <c r="L1705">
        <v>988.449304907599</v>
      </c>
      <c r="M1705">
        <v>22.563550274539</v>
      </c>
      <c r="N1705">
        <v>44.3864429476582</v>
      </c>
      <c r="O1705">
        <v>43.4676039513462</v>
      </c>
      <c r="P1705">
        <v>-0.11322861904211</v>
      </c>
      <c r="Q1705">
        <v>0.127499488046787</v>
      </c>
      <c r="R1705">
        <v>0.956102697764853</v>
      </c>
      <c r="S1705" t="s">
        <v>3898</v>
      </c>
      <c r="T1705" t="s">
        <v>4362</v>
      </c>
      <c r="U1705" t="s">
        <v>4362</v>
      </c>
      <c r="V1705" t="s">
        <v>4362</v>
      </c>
      <c r="W1705" t="s">
        <v>6062</v>
      </c>
      <c r="X1705">
        <v>16</v>
      </c>
      <c r="Y1705" t="s">
        <v>8226</v>
      </c>
      <c r="Z1705" t="s">
        <v>10393</v>
      </c>
      <c r="AA1705">
        <v>0.3344756419666136</v>
      </c>
      <c r="AB1705">
        <f>HYPERLINK("Melting_Curves/meltCurve_P52647_ydbK.pdf", "Melting_Curves/meltCurve_P52647_ydbK.pdf")</f>
        <v>0</v>
      </c>
    </row>
    <row r="1706" spans="1:28">
      <c r="A1706" t="s">
        <v>1732</v>
      </c>
      <c r="B1706">
        <v>0.999739202189716</v>
      </c>
      <c r="C1706">
        <v>0.972059413315742</v>
      </c>
      <c r="D1706">
        <v>0.991858750569291</v>
      </c>
      <c r="E1706">
        <v>0.941275440855572</v>
      </c>
      <c r="F1706">
        <v>0.916678571922009</v>
      </c>
      <c r="G1706">
        <v>0.744601655136937</v>
      </c>
      <c r="H1706">
        <v>0.504669906077392</v>
      </c>
      <c r="I1706">
        <v>0.383217374106411</v>
      </c>
      <c r="J1706">
        <v>0.34237310826261</v>
      </c>
      <c r="K1706">
        <v>0.316024485456654</v>
      </c>
      <c r="L1706">
        <v>1095.61827991325</v>
      </c>
      <c r="M1706">
        <v>19.8755339585527</v>
      </c>
      <c r="N1706">
        <v>57.7202990530646</v>
      </c>
      <c r="O1706">
        <v>54.575041874248</v>
      </c>
      <c r="P1706">
        <v>-0.0641448693778148</v>
      </c>
      <c r="Q1706">
        <v>0.295497237246307</v>
      </c>
      <c r="R1706">
        <v>0.996384775893507</v>
      </c>
      <c r="S1706" t="s">
        <v>3899</v>
      </c>
      <c r="T1706" t="s">
        <v>4362</v>
      </c>
      <c r="U1706" t="s">
        <v>4362</v>
      </c>
      <c r="V1706" t="s">
        <v>4362</v>
      </c>
      <c r="W1706" t="s">
        <v>6063</v>
      </c>
      <c r="X1706">
        <v>7</v>
      </c>
      <c r="Y1706" t="s">
        <v>8227</v>
      </c>
      <c r="Z1706" t="s">
        <v>10394</v>
      </c>
      <c r="AA1706">
        <v>0.7290747794423278</v>
      </c>
      <c r="AB1706">
        <f>HYPERLINK("Melting_Curves/meltCurve_P52697_pgl.pdf", "Melting_Curves/meltCurve_P52697_pgl.pdf")</f>
        <v>0</v>
      </c>
    </row>
    <row r="1707" spans="1:28">
      <c r="A1707" t="s">
        <v>1733</v>
      </c>
      <c r="B1707">
        <v>0.999739202189716</v>
      </c>
      <c r="C1707">
        <v>0.9424615400983219</v>
      </c>
      <c r="D1707">
        <v>0.676520112082758</v>
      </c>
      <c r="E1707">
        <v>0.62032942052129</v>
      </c>
      <c r="F1707">
        <v>0.435933316991349</v>
      </c>
      <c r="G1707">
        <v>0.350678527302783</v>
      </c>
      <c r="H1707">
        <v>0.23019135153551</v>
      </c>
      <c r="I1707">
        <v>0.213554355184559</v>
      </c>
      <c r="J1707">
        <v>0.16998268791478</v>
      </c>
      <c r="K1707">
        <v>0.138081546448275</v>
      </c>
      <c r="L1707">
        <v>471.131195038692</v>
      </c>
      <c r="M1707">
        <v>9.909051520620579</v>
      </c>
      <c r="N1707">
        <v>48.7365997669254</v>
      </c>
      <c r="O1707">
        <v>45.7306600297706</v>
      </c>
      <c r="P1707">
        <v>-0.0483697430327901</v>
      </c>
      <c r="Q1707">
        <v>0.107536505229829</v>
      </c>
      <c r="R1707">
        <v>0.981902418025845</v>
      </c>
      <c r="S1707" t="s">
        <v>3900</v>
      </c>
      <c r="T1707" t="s">
        <v>4362</v>
      </c>
      <c r="U1707" t="s">
        <v>4362</v>
      </c>
      <c r="V1707" t="s">
        <v>4362</v>
      </c>
      <c r="W1707" t="s">
        <v>6064</v>
      </c>
      <c r="X1707">
        <v>3</v>
      </c>
      <c r="Y1707" t="s">
        <v>8228</v>
      </c>
      <c r="Z1707" t="s">
        <v>10395</v>
      </c>
      <c r="AA1707">
        <v>0.4587593795553359</v>
      </c>
      <c r="AB1707">
        <f>HYPERLINK("Melting_Curves/meltCurve_P55135_rlmD.pdf", "Melting_Curves/meltCurve_P55135_rlmD.pdf")</f>
        <v>0</v>
      </c>
    </row>
    <row r="1708" spans="1:28">
      <c r="A1708" t="s">
        <v>1734</v>
      </c>
      <c r="B1708">
        <v>0.999739202189716</v>
      </c>
      <c r="C1708">
        <v>1.17277729787867</v>
      </c>
      <c r="D1708">
        <v>0.799086625420325</v>
      </c>
      <c r="E1708">
        <v>0.970826909488378</v>
      </c>
      <c r="F1708">
        <v>0.894307754937617</v>
      </c>
      <c r="G1708">
        <v>0.691247757413178</v>
      </c>
      <c r="H1708">
        <v>0.5323047775381951</v>
      </c>
      <c r="I1708">
        <v>0.366537955313345</v>
      </c>
      <c r="J1708">
        <v>0.301848827574496</v>
      </c>
      <c r="K1708">
        <v>0.230410918594852</v>
      </c>
      <c r="L1708">
        <v>731.976723187262</v>
      </c>
      <c r="M1708">
        <v>12.9245327838151</v>
      </c>
      <c r="N1708">
        <v>57.9973091005101</v>
      </c>
      <c r="O1708">
        <v>55.3302651396683</v>
      </c>
      <c r="P1708">
        <v>-0.0507596387892322</v>
      </c>
      <c r="Q1708">
        <v>0.130943694067686</v>
      </c>
      <c r="R1708">
        <v>0.928352061042902</v>
      </c>
      <c r="S1708" t="s">
        <v>3901</v>
      </c>
      <c r="T1708" t="s">
        <v>4362</v>
      </c>
      <c r="U1708" t="s">
        <v>4362</v>
      </c>
      <c r="V1708" t="s">
        <v>4362</v>
      </c>
      <c r="W1708" t="s">
        <v>6065</v>
      </c>
      <c r="X1708">
        <v>3</v>
      </c>
      <c r="Y1708" t="s">
        <v>8229</v>
      </c>
      <c r="Z1708" t="s">
        <v>10396</v>
      </c>
      <c r="AA1708">
        <v>0.7066137881420768</v>
      </c>
      <c r="AB1708">
        <f>HYPERLINK("Melting_Curves/meltCurve_P55734_ygaP.pdf", "Melting_Curves/meltCurve_P55734_ygaP.pdf")</f>
        <v>0</v>
      </c>
    </row>
    <row r="1709" spans="1:28">
      <c r="A1709" t="s">
        <v>1735</v>
      </c>
      <c r="B1709">
        <v>0.999739202189716</v>
      </c>
      <c r="C1709">
        <v>0.7900197519011199</v>
      </c>
      <c r="D1709">
        <v>0.506341043080862</v>
      </c>
      <c r="E1709">
        <v>0.323391523018028</v>
      </c>
      <c r="F1709">
        <v>0.246285751628945</v>
      </c>
      <c r="G1709">
        <v>0.159352274437433</v>
      </c>
      <c r="H1709">
        <v>0.125617112455359</v>
      </c>
      <c r="I1709">
        <v>0.108974801943752</v>
      </c>
      <c r="J1709">
        <v>0.08093290496527381</v>
      </c>
      <c r="K1709">
        <v>0.0724015716783047</v>
      </c>
      <c r="L1709">
        <v>643.441204851271</v>
      </c>
      <c r="M1709">
        <v>14.9417662768723</v>
      </c>
      <c r="N1709">
        <v>43.7050638954596</v>
      </c>
      <c r="O1709">
        <v>42.3139891965944</v>
      </c>
      <c r="P1709">
        <v>-0.0795911932343432</v>
      </c>
      <c r="Q1709">
        <v>0.098506724865595</v>
      </c>
      <c r="R1709">
        <v>0.987376380887894</v>
      </c>
      <c r="S1709" t="s">
        <v>3902</v>
      </c>
      <c r="T1709" t="s">
        <v>4362</v>
      </c>
      <c r="U1709" t="s">
        <v>4362</v>
      </c>
      <c r="V1709" t="s">
        <v>4362</v>
      </c>
      <c r="W1709" t="s">
        <v>6066</v>
      </c>
      <c r="X1709">
        <v>3</v>
      </c>
      <c r="Y1709" t="s">
        <v>8230</v>
      </c>
      <c r="Z1709" t="s">
        <v>10397</v>
      </c>
      <c r="AA1709">
        <v>0.3046162652871013</v>
      </c>
      <c r="AB1709">
        <f>HYPERLINK("Melting_Curves/meltCurve_P56258_wecF.pdf", "Melting_Curves/meltCurve_P56258_wecF.pdf")</f>
        <v>0</v>
      </c>
    </row>
    <row r="1710" spans="1:28">
      <c r="A1710" t="s">
        <v>1736</v>
      </c>
      <c r="B1710">
        <v>0.999739202189716</v>
      </c>
      <c r="C1710">
        <v>0.910143989813281</v>
      </c>
      <c r="D1710">
        <v>0.869229416883299</v>
      </c>
      <c r="E1710">
        <v>0.978668474887214</v>
      </c>
      <c r="F1710">
        <v>0.839429599006453</v>
      </c>
      <c r="G1710">
        <v>0.684279439048659</v>
      </c>
      <c r="H1710">
        <v>0.373337403064074</v>
      </c>
      <c r="I1710">
        <v>0.191311051368595</v>
      </c>
      <c r="J1710">
        <v>0.127232950965905</v>
      </c>
      <c r="K1710">
        <v>0.114569664238295</v>
      </c>
      <c r="L1710">
        <v>960.798326599259</v>
      </c>
      <c r="M1710">
        <v>17.33581062134</v>
      </c>
      <c r="N1710">
        <v>55.7552088922488</v>
      </c>
      <c r="O1710">
        <v>54.7010428992741</v>
      </c>
      <c r="P1710">
        <v>-0.0753437121303752</v>
      </c>
      <c r="Q1710">
        <v>0.0491027248070266</v>
      </c>
      <c r="R1710">
        <v>0.978018904275458</v>
      </c>
      <c r="S1710" t="s">
        <v>3903</v>
      </c>
      <c r="T1710" t="s">
        <v>4362</v>
      </c>
      <c r="U1710" t="s">
        <v>4362</v>
      </c>
      <c r="V1710" t="s">
        <v>4362</v>
      </c>
      <c r="W1710" t="s">
        <v>6067</v>
      </c>
      <c r="X1710">
        <v>2</v>
      </c>
      <c r="Y1710" t="s">
        <v>8231</v>
      </c>
      <c r="Z1710" t="s">
        <v>10398</v>
      </c>
      <c r="AA1710">
        <v>0.6447189021431444</v>
      </c>
      <c r="AB1710">
        <f>HYPERLINK("Melting_Curves/meltCurve_P56262_ysgA.pdf", "Melting_Curves/meltCurve_P56262_ysgA.pdf")</f>
        <v>0</v>
      </c>
    </row>
    <row r="1711" spans="1:28">
      <c r="A1711" t="s">
        <v>1737</v>
      </c>
      <c r="B1711">
        <v>0.999739202189716</v>
      </c>
      <c r="C1711">
        <v>0.914691496229827</v>
      </c>
      <c r="D1711">
        <v>0.912432839899721</v>
      </c>
      <c r="E1711">
        <v>0.694543233183898</v>
      </c>
      <c r="F1711">
        <v>0.567100962976068</v>
      </c>
      <c r="G1711">
        <v>0.377359793516619</v>
      </c>
      <c r="H1711">
        <v>0.209277727607208</v>
      </c>
      <c r="I1711">
        <v>0.148649402339054</v>
      </c>
      <c r="J1711">
        <v>0.105169795947678</v>
      </c>
      <c r="K1711">
        <v>0.0756671450087702</v>
      </c>
      <c r="L1711">
        <v>541.852415754904</v>
      </c>
      <c r="M1711">
        <v>10.6251838272893</v>
      </c>
      <c r="N1711">
        <v>50.996991696029</v>
      </c>
      <c r="O1711">
        <v>49.2900353499842</v>
      </c>
      <c r="P1711">
        <v>-0.0539119110549696</v>
      </c>
      <c r="Q1711">
        <v>0</v>
      </c>
      <c r="R1711">
        <v>0.995363353504061</v>
      </c>
      <c r="S1711" t="s">
        <v>3904</v>
      </c>
      <c r="T1711" t="s">
        <v>4362</v>
      </c>
      <c r="U1711" t="s">
        <v>4362</v>
      </c>
      <c r="V1711" t="s">
        <v>4362</v>
      </c>
      <c r="W1711" t="s">
        <v>6068</v>
      </c>
      <c r="X1711">
        <v>4</v>
      </c>
      <c r="Y1711" t="s">
        <v>8232</v>
      </c>
      <c r="Z1711" t="s">
        <v>10399</v>
      </c>
      <c r="AA1711">
        <v>0.4956457138556323</v>
      </c>
      <c r="AB1711">
        <f>HYPERLINK("Melting_Curves/meltCurve_P56580_srlE.pdf", "Melting_Curves/meltCurve_P56580_srlE.pdf")</f>
        <v>0</v>
      </c>
    </row>
    <row r="1712" spans="1:28">
      <c r="A1712" t="s">
        <v>1738</v>
      </c>
      <c r="B1712">
        <v>0.999739202189716</v>
      </c>
      <c r="C1712">
        <v>1.77547674670039</v>
      </c>
      <c r="D1712">
        <v>0.609304911403644</v>
      </c>
      <c r="E1712">
        <v>0.889641690371867</v>
      </c>
      <c r="F1712">
        <v>0.819797110386585</v>
      </c>
      <c r="G1712">
        <v>0.584803608688967</v>
      </c>
      <c r="H1712">
        <v>0.672106348150753</v>
      </c>
      <c r="I1712">
        <v>0.632551518795597</v>
      </c>
      <c r="J1712">
        <v>0.899305035740005</v>
      </c>
      <c r="K1712">
        <v>0.688471187176519</v>
      </c>
      <c r="L1712">
        <v>10389.0459305421</v>
      </c>
      <c r="M1712">
        <v>250</v>
      </c>
      <c r="O1712">
        <v>41.5535248117757</v>
      </c>
      <c r="P1712">
        <v>-0.414380921338791</v>
      </c>
      <c r="Q1712">
        <v>0.724496196697024</v>
      </c>
      <c r="R1712">
        <v>0.360943120929828</v>
      </c>
      <c r="S1712" t="s">
        <v>3905</v>
      </c>
      <c r="T1712" t="s">
        <v>4362</v>
      </c>
      <c r="U1712" t="s">
        <v>4362</v>
      </c>
      <c r="V1712" t="s">
        <v>4362</v>
      </c>
      <c r="W1712" t="s">
        <v>6069</v>
      </c>
      <c r="X1712">
        <v>1</v>
      </c>
      <c r="Y1712" t="s">
        <v>8233</v>
      </c>
      <c r="Z1712" t="s">
        <v>10400</v>
      </c>
      <c r="AA1712">
        <v>0.766357820781756</v>
      </c>
      <c r="AB1712">
        <f>HYPERLINK("Melting_Curves/meltCurve_P56614_ymdF.pdf", "Melting_Curves/meltCurve_P56614_ymdF.pdf")</f>
        <v>0</v>
      </c>
    </row>
    <row r="1713" spans="1:28">
      <c r="A1713" t="s">
        <v>1739</v>
      </c>
      <c r="B1713">
        <v>0.999739202189716</v>
      </c>
      <c r="C1713">
        <v>0.935089405072725</v>
      </c>
      <c r="D1713">
        <v>0.331397727948093</v>
      </c>
      <c r="E1713">
        <v>0.269787978475387</v>
      </c>
      <c r="F1713">
        <v>0.194520140262655</v>
      </c>
      <c r="G1713">
        <v>0.148213343562225</v>
      </c>
      <c r="H1713">
        <v>0.122120357905951</v>
      </c>
      <c r="I1713">
        <v>0.0942554270267639</v>
      </c>
      <c r="J1713">
        <v>0.08033941914338361</v>
      </c>
      <c r="K1713">
        <v>0.0693247331414487</v>
      </c>
      <c r="L1713">
        <v>1886.77917485995</v>
      </c>
      <c r="M1713">
        <v>45.0179632788894</v>
      </c>
      <c r="N1713">
        <v>42.2115182670961</v>
      </c>
      <c r="O1713">
        <v>41.8292465877397</v>
      </c>
      <c r="P1713">
        <v>-0.232243399340132</v>
      </c>
      <c r="Q1713">
        <v>0.136828713467126</v>
      </c>
      <c r="R1713">
        <v>0.973634834669877</v>
      </c>
      <c r="S1713" t="s">
        <v>3906</v>
      </c>
      <c r="T1713" t="s">
        <v>4362</v>
      </c>
      <c r="U1713" t="s">
        <v>4362</v>
      </c>
      <c r="V1713" t="s">
        <v>4362</v>
      </c>
      <c r="W1713" t="s">
        <v>6070</v>
      </c>
      <c r="X1713">
        <v>18</v>
      </c>
      <c r="Y1713" t="s">
        <v>8234</v>
      </c>
      <c r="Z1713" t="s">
        <v>10401</v>
      </c>
      <c r="AA1713">
        <v>0.2801719649163635</v>
      </c>
      <c r="AB1713">
        <f>HYPERLINK("Melting_Curves/meltCurve_P60240_rapA.pdf", "Melting_Curves/meltCurve_P60240_rapA.pdf")</f>
        <v>0</v>
      </c>
    </row>
    <row r="1714" spans="1:28">
      <c r="A1714" t="s">
        <v>1740</v>
      </c>
      <c r="B1714">
        <v>0.999739202189716</v>
      </c>
      <c r="C1714">
        <v>0.997453119554873</v>
      </c>
      <c r="D1714">
        <v>0.52591213840775</v>
      </c>
      <c r="E1714">
        <v>0.613519634358108</v>
      </c>
      <c r="F1714">
        <v>0.498922911194082</v>
      </c>
      <c r="G1714">
        <v>0.354743391555627</v>
      </c>
      <c r="H1714">
        <v>0.402064775375115</v>
      </c>
      <c r="I1714">
        <v>0.310168083160143</v>
      </c>
      <c r="J1714">
        <v>0.335588454220891</v>
      </c>
      <c r="K1714">
        <v>0.247352936166798</v>
      </c>
      <c r="L1714">
        <v>548.465611669047</v>
      </c>
      <c r="M1714">
        <v>12.3409438894822</v>
      </c>
      <c r="N1714">
        <v>48.1068274890575</v>
      </c>
      <c r="O1714">
        <v>43.3241597598891</v>
      </c>
      <c r="P1714">
        <v>-0.049526665760066</v>
      </c>
      <c r="Q1714">
        <v>0.304676450305168</v>
      </c>
      <c r="R1714">
        <v>0.885480712109787</v>
      </c>
      <c r="S1714" t="s">
        <v>3907</v>
      </c>
      <c r="T1714" t="s">
        <v>4362</v>
      </c>
      <c r="U1714" t="s">
        <v>4362</v>
      </c>
      <c r="V1714" t="s">
        <v>4362</v>
      </c>
      <c r="W1714" t="s">
        <v>6071</v>
      </c>
      <c r="X1714">
        <v>6</v>
      </c>
      <c r="Y1714" t="s">
        <v>8235</v>
      </c>
      <c r="Z1714" t="s">
        <v>10402</v>
      </c>
      <c r="AA1714">
        <v>0.5019820704293182</v>
      </c>
      <c r="AB1714">
        <f>HYPERLINK("Melting_Curves/meltCurve_P60293_mukF.pdf", "Melting_Curves/meltCurve_P60293_mukF.pdf")</f>
        <v>0</v>
      </c>
    </row>
    <row r="1715" spans="1:28">
      <c r="A1715" t="s">
        <v>1741</v>
      </c>
      <c r="B1715">
        <v>0.999739202189716</v>
      </c>
      <c r="C1715">
        <v>0.950609760238913</v>
      </c>
      <c r="D1715">
        <v>0.846205354330915</v>
      </c>
      <c r="E1715">
        <v>0.693907015922874</v>
      </c>
      <c r="F1715">
        <v>0.27447114409074</v>
      </c>
      <c r="G1715">
        <v>0.188329947021812</v>
      </c>
      <c r="H1715">
        <v>0.154427289726764</v>
      </c>
      <c r="I1715">
        <v>0.117059915564127</v>
      </c>
      <c r="J1715">
        <v>0.107304329890105</v>
      </c>
      <c r="K1715">
        <v>0.0886628099836435</v>
      </c>
      <c r="L1715">
        <v>932.995011564942</v>
      </c>
      <c r="M1715">
        <v>19.6545613259596</v>
      </c>
      <c r="N1715">
        <v>48.0171493082905</v>
      </c>
      <c r="O1715">
        <v>46.9864331420458</v>
      </c>
      <c r="P1715">
        <v>-0.0940812020862149</v>
      </c>
      <c r="Q1715">
        <v>0.100384742448477</v>
      </c>
      <c r="R1715">
        <v>0.991429631601864</v>
      </c>
      <c r="S1715" t="s">
        <v>3908</v>
      </c>
      <c r="T1715" t="s">
        <v>4362</v>
      </c>
      <c r="U1715" t="s">
        <v>4362</v>
      </c>
      <c r="V1715" t="s">
        <v>4362</v>
      </c>
      <c r="W1715" t="s">
        <v>6072</v>
      </c>
      <c r="X1715">
        <v>5</v>
      </c>
      <c r="Y1715" t="s">
        <v>8236</v>
      </c>
      <c r="Z1715" t="s">
        <v>10403</v>
      </c>
      <c r="AA1715">
        <v>0.4265380930941635</v>
      </c>
      <c r="AB1715">
        <f>HYPERLINK("Melting_Curves/meltCurve_P60340_truB.pdf", "Melting_Curves/meltCurve_P60340_truB.pdf")</f>
        <v>0</v>
      </c>
    </row>
    <row r="1716" spans="1:28">
      <c r="A1716" t="s">
        <v>1742</v>
      </c>
      <c r="B1716">
        <v>0.999739202189716</v>
      </c>
      <c r="C1716">
        <v>0.73519515490937</v>
      </c>
      <c r="D1716">
        <v>0.413588415457158</v>
      </c>
      <c r="E1716">
        <v>0.192949527224256</v>
      </c>
      <c r="F1716">
        <v>0.106344626723742</v>
      </c>
      <c r="G1716">
        <v>0.0576093199873223</v>
      </c>
      <c r="H1716">
        <v>0.0462684034606275</v>
      </c>
      <c r="I1716">
        <v>0.0394645997767349</v>
      </c>
      <c r="J1716">
        <v>0.0388498117940081</v>
      </c>
      <c r="K1716">
        <v>0.0319275624878945</v>
      </c>
      <c r="L1716">
        <v>816.1768871579681</v>
      </c>
      <c r="M1716">
        <v>19.3864915685851</v>
      </c>
      <c r="N1716">
        <v>42.3023487358498</v>
      </c>
      <c r="O1716">
        <v>41.660008173391</v>
      </c>
      <c r="P1716">
        <v>-0.111196866943351</v>
      </c>
      <c r="Q1716">
        <v>0.044222794706059</v>
      </c>
      <c r="R1716">
        <v>0.994734440396618</v>
      </c>
      <c r="S1716" t="s">
        <v>3909</v>
      </c>
      <c r="T1716" t="s">
        <v>4362</v>
      </c>
      <c r="U1716" t="s">
        <v>4362</v>
      </c>
      <c r="V1716" t="s">
        <v>4362</v>
      </c>
      <c r="W1716" t="s">
        <v>6073</v>
      </c>
      <c r="X1716">
        <v>6</v>
      </c>
      <c r="Y1716" t="s">
        <v>8237</v>
      </c>
      <c r="Z1716" t="s">
        <v>10404</v>
      </c>
      <c r="AA1716">
        <v>0.2220493268034247</v>
      </c>
      <c r="AB1716">
        <f>HYPERLINK("Melting_Curves/meltCurve_P60390_rsmH.pdf", "Melting_Curves/meltCurve_P60390_rsmH.pdf")</f>
        <v>0</v>
      </c>
    </row>
    <row r="1717" spans="1:28">
      <c r="A1717" t="s">
        <v>1743</v>
      </c>
      <c r="B1717">
        <v>0.999739202189716</v>
      </c>
      <c r="C1717">
        <v>0.887856133388506</v>
      </c>
      <c r="D1717">
        <v>0.600633889121127</v>
      </c>
      <c r="E1717">
        <v>0.459089716235766</v>
      </c>
      <c r="F1717">
        <v>0.269329888521693</v>
      </c>
      <c r="G1717">
        <v>0.19677202468784</v>
      </c>
      <c r="H1717">
        <v>0.134778985554048</v>
      </c>
      <c r="I1717">
        <v>0.0986762762432033</v>
      </c>
      <c r="J1717">
        <v>0.0892670761208129</v>
      </c>
      <c r="K1717">
        <v>0.108494182377249</v>
      </c>
      <c r="L1717">
        <v>600.455372028987</v>
      </c>
      <c r="M1717">
        <v>13.3995308966294</v>
      </c>
      <c r="N1717">
        <v>45.4804177028143</v>
      </c>
      <c r="O1717">
        <v>43.8488980224542</v>
      </c>
      <c r="P1717">
        <v>-0.0695758824977895</v>
      </c>
      <c r="Q1717">
        <v>0.0894168347305216</v>
      </c>
      <c r="R1717">
        <v>0.990013357759544</v>
      </c>
      <c r="S1717" t="s">
        <v>3910</v>
      </c>
      <c r="T1717" t="s">
        <v>4362</v>
      </c>
      <c r="U1717" t="s">
        <v>4362</v>
      </c>
      <c r="V1717" t="s">
        <v>4362</v>
      </c>
      <c r="W1717" t="s">
        <v>6074</v>
      </c>
      <c r="X1717">
        <v>12</v>
      </c>
      <c r="Y1717" t="s">
        <v>8238</v>
      </c>
      <c r="Z1717" t="s">
        <v>10405</v>
      </c>
      <c r="AA1717">
        <v>0.3537568119285535</v>
      </c>
      <c r="AB1717">
        <f>HYPERLINK("Melting_Curves/meltCurve_P60422_rplB.pdf", "Melting_Curves/meltCurve_P60422_rplB.pdf")</f>
        <v>0</v>
      </c>
    </row>
    <row r="1718" spans="1:28">
      <c r="A1718" t="s">
        <v>1744</v>
      </c>
      <c r="B1718">
        <v>0.999739202189716</v>
      </c>
      <c r="C1718">
        <v>0.579643609660503</v>
      </c>
      <c r="D1718">
        <v>0.335106032273028</v>
      </c>
      <c r="E1718">
        <v>0.172649736105531</v>
      </c>
      <c r="F1718">
        <v>0.106373962923486</v>
      </c>
      <c r="G1718">
        <v>0.07293052869592739</v>
      </c>
      <c r="H1718">
        <v>0.0613001112295969</v>
      </c>
      <c r="I1718">
        <v>0.0505818353248555</v>
      </c>
      <c r="J1718">
        <v>0.0487584567357255</v>
      </c>
      <c r="K1718">
        <v>0.044423151710523</v>
      </c>
      <c r="L1718">
        <v>831.573573928211</v>
      </c>
      <c r="M1718">
        <v>20.3354846004517</v>
      </c>
      <c r="N1718">
        <v>41.1697473098749</v>
      </c>
      <c r="O1718">
        <v>40.5034632539613</v>
      </c>
      <c r="P1718">
        <v>-0.117495015636038</v>
      </c>
      <c r="Q1718">
        <v>0.06394001799624401</v>
      </c>
      <c r="R1718">
        <v>0.9805410394173</v>
      </c>
      <c r="S1718" t="s">
        <v>3911</v>
      </c>
      <c r="T1718" t="s">
        <v>4362</v>
      </c>
      <c r="U1718" t="s">
        <v>4362</v>
      </c>
      <c r="V1718" t="s">
        <v>4362</v>
      </c>
      <c r="W1718" t="s">
        <v>6075</v>
      </c>
      <c r="X1718">
        <v>14</v>
      </c>
      <c r="Y1718" t="s">
        <v>8239</v>
      </c>
      <c r="Z1718" t="s">
        <v>10406</v>
      </c>
      <c r="AA1718">
        <v>0.2011006264430204</v>
      </c>
      <c r="AB1718">
        <f>HYPERLINK("Melting_Curves/meltCurve_P60438_rplC.pdf", "Melting_Curves/meltCurve_P60438_rplC.pdf")</f>
        <v>0</v>
      </c>
    </row>
    <row r="1719" spans="1:28">
      <c r="A1719" t="s">
        <v>1745</v>
      </c>
      <c r="B1719">
        <v>0.999739202189716</v>
      </c>
      <c r="C1719">
        <v>1.1075307054058</v>
      </c>
      <c r="D1719">
        <v>0.604528596024214</v>
      </c>
      <c r="E1719">
        <v>0.8673973232969699</v>
      </c>
      <c r="F1719">
        <v>0.386675333750768</v>
      </c>
      <c r="G1719">
        <v>0.261083369289001</v>
      </c>
      <c r="H1719">
        <v>0.171551733070804</v>
      </c>
      <c r="I1719">
        <v>0.125613253682111</v>
      </c>
      <c r="J1719">
        <v>0.115465676879653</v>
      </c>
      <c r="K1719">
        <v>0.127139617646507</v>
      </c>
      <c r="L1719">
        <v>662.506400075339</v>
      </c>
      <c r="M1719">
        <v>13.5998713613519</v>
      </c>
      <c r="N1719">
        <v>49.3286221317686</v>
      </c>
      <c r="O1719">
        <v>47.6970829897422</v>
      </c>
      <c r="P1719">
        <v>-0.06573814955326469</v>
      </c>
      <c r="Q1719">
        <v>0.0779163522374885</v>
      </c>
      <c r="R1719">
        <v>0.901284136978053</v>
      </c>
      <c r="S1719" t="s">
        <v>3912</v>
      </c>
      <c r="T1719" t="s">
        <v>4362</v>
      </c>
      <c r="U1719" t="s">
        <v>4362</v>
      </c>
      <c r="V1719" t="s">
        <v>4362</v>
      </c>
      <c r="W1719" t="s">
        <v>6076</v>
      </c>
      <c r="X1719">
        <v>2</v>
      </c>
      <c r="Y1719" t="s">
        <v>8240</v>
      </c>
      <c r="Z1719" t="s">
        <v>10407</v>
      </c>
      <c r="AA1719">
        <v>0.4612243008442199</v>
      </c>
      <c r="AB1719">
        <f>HYPERLINK("Melting_Curves/meltCurve_P60472_ispU.pdf", "Melting_Curves/meltCurve_P60472_ispU.pdf")</f>
        <v>0</v>
      </c>
    </row>
    <row r="1720" spans="1:28">
      <c r="A1720" t="s">
        <v>1746</v>
      </c>
      <c r="B1720">
        <v>0.999739202189716</v>
      </c>
      <c r="C1720">
        <v>0.9037064901312</v>
      </c>
      <c r="D1720">
        <v>0.89167631975163</v>
      </c>
      <c r="E1720">
        <v>1.0574877272026</v>
      </c>
      <c r="F1720">
        <v>0.775760649798213</v>
      </c>
      <c r="G1720">
        <v>0.18777272082616</v>
      </c>
      <c r="H1720">
        <v>0.0586717536512512</v>
      </c>
      <c r="I1720">
        <v>0.0410620793273212</v>
      </c>
      <c r="J1720">
        <v>0.0378800075609247</v>
      </c>
      <c r="K1720">
        <v>0.0339073187778458</v>
      </c>
      <c r="L1720">
        <v>2225.23644601856</v>
      </c>
      <c r="M1720">
        <v>43.0987153914181</v>
      </c>
      <c r="N1720">
        <v>51.7312094732873</v>
      </c>
      <c r="O1720">
        <v>51.5203831480786</v>
      </c>
      <c r="P1720">
        <v>-0.200769724687647</v>
      </c>
      <c r="Q1720">
        <v>0.0399979123032648</v>
      </c>
      <c r="R1720">
        <v>0.986459974427607</v>
      </c>
      <c r="S1720" t="s">
        <v>3913</v>
      </c>
      <c r="T1720" t="s">
        <v>4362</v>
      </c>
      <c r="U1720" t="s">
        <v>4362</v>
      </c>
      <c r="V1720" t="s">
        <v>4362</v>
      </c>
      <c r="W1720" t="s">
        <v>6077</v>
      </c>
      <c r="X1720">
        <v>6</v>
      </c>
      <c r="Y1720" t="s">
        <v>8241</v>
      </c>
      <c r="Z1720" t="s">
        <v>10408</v>
      </c>
      <c r="AA1720">
        <v>0.511140786012131</v>
      </c>
      <c r="AB1720">
        <f>HYPERLINK("Melting_Curves/meltCurve_P60546_gmk.pdf", "Melting_Curves/meltCurve_P60546_gmk.pdf")</f>
        <v>0</v>
      </c>
    </row>
    <row r="1721" spans="1:28">
      <c r="A1721" t="s">
        <v>1747</v>
      </c>
      <c r="B1721">
        <v>0.999739202189716</v>
      </c>
      <c r="C1721">
        <v>1.21417951748576</v>
      </c>
      <c r="D1721">
        <v>0.8328999831167641</v>
      </c>
      <c r="E1721">
        <v>0.895814981794866</v>
      </c>
      <c r="F1721">
        <v>0.505535354340972</v>
      </c>
      <c r="G1721">
        <v>0.4696162159717</v>
      </c>
      <c r="H1721">
        <v>0.291975716313846</v>
      </c>
      <c r="I1721">
        <v>0.198914708943571</v>
      </c>
      <c r="J1721">
        <v>0.09328434665212119</v>
      </c>
      <c r="K1721">
        <v>0.0638702641040424</v>
      </c>
      <c r="L1721">
        <v>634.828352021538</v>
      </c>
      <c r="M1721">
        <v>12.1748052595653</v>
      </c>
      <c r="N1721">
        <v>52.3664996130106</v>
      </c>
      <c r="O1721">
        <v>50.7958584519615</v>
      </c>
      <c r="P1721">
        <v>-0.0584151806976007</v>
      </c>
      <c r="Q1721">
        <v>0.0253403268494659</v>
      </c>
      <c r="R1721">
        <v>0.938151162152036</v>
      </c>
      <c r="S1721" t="s">
        <v>3914</v>
      </c>
      <c r="T1721" t="s">
        <v>4362</v>
      </c>
      <c r="U1721" t="s">
        <v>4362</v>
      </c>
      <c r="V1721" t="s">
        <v>4362</v>
      </c>
      <c r="W1721" t="s">
        <v>6078</v>
      </c>
      <c r="X1721">
        <v>8</v>
      </c>
      <c r="Y1721" t="s">
        <v>8242</v>
      </c>
      <c r="Z1721" t="s">
        <v>10409</v>
      </c>
      <c r="AA1721">
        <v>0.5398661668183384</v>
      </c>
      <c r="AB1721">
        <f>HYPERLINK("Melting_Curves/meltCurve_P60560_guaC.pdf", "Melting_Curves/meltCurve_P60560_guaC.pdf")</f>
        <v>0</v>
      </c>
    </row>
    <row r="1722" spans="1:28">
      <c r="A1722" t="s">
        <v>1748</v>
      </c>
      <c r="B1722">
        <v>0.999739202189716</v>
      </c>
      <c r="C1722">
        <v>1.10642838739921</v>
      </c>
      <c r="D1722">
        <v>0.99367798527675</v>
      </c>
      <c r="E1722">
        <v>1.04630298399574</v>
      </c>
      <c r="F1722">
        <v>0.945572837305893</v>
      </c>
      <c r="G1722">
        <v>0.851425712899518</v>
      </c>
      <c r="H1722">
        <v>0.800663512489514</v>
      </c>
      <c r="I1722">
        <v>0.800419922918072</v>
      </c>
      <c r="J1722">
        <v>0.597823114143082</v>
      </c>
      <c r="K1722">
        <v>0.546846866170811</v>
      </c>
      <c r="L1722">
        <v>570.3014047576009</v>
      </c>
      <c r="M1722">
        <v>8.432481074473129</v>
      </c>
      <c r="O1722">
        <v>64.1491424719419</v>
      </c>
      <c r="P1722">
        <v>-0.0312739932551401</v>
      </c>
      <c r="Q1722">
        <v>0.0492293599881064</v>
      </c>
      <c r="R1722">
        <v>0.91649196466844</v>
      </c>
      <c r="S1722" t="s">
        <v>3915</v>
      </c>
      <c r="T1722" t="s">
        <v>4362</v>
      </c>
      <c r="U1722" t="s">
        <v>4362</v>
      </c>
      <c r="V1722" t="s">
        <v>4362</v>
      </c>
      <c r="W1722" t="s">
        <v>6079</v>
      </c>
      <c r="X1722">
        <v>1</v>
      </c>
      <c r="Y1722" t="s">
        <v>8243</v>
      </c>
      <c r="Z1722" t="s">
        <v>10410</v>
      </c>
      <c r="AA1722">
        <v>0.8700706496049035</v>
      </c>
      <c r="AB1722">
        <f>HYPERLINK("Melting_Curves/meltCurve_P60566_fixA.pdf", "Melting_Curves/meltCurve_P60566_fixA.pdf")</f>
        <v>0</v>
      </c>
    </row>
    <row r="1723" spans="1:28">
      <c r="A1723" t="s">
        <v>1749</v>
      </c>
      <c r="B1723">
        <v>0.999739202189716</v>
      </c>
      <c r="C1723">
        <v>0.711572292719674</v>
      </c>
      <c r="D1723">
        <v>0.600686738781423</v>
      </c>
      <c r="E1723">
        <v>0.379192612575972</v>
      </c>
      <c r="F1723">
        <v>0.241419546177769</v>
      </c>
      <c r="G1723">
        <v>0.139590977972079</v>
      </c>
      <c r="H1723">
        <v>0.082369062808492</v>
      </c>
      <c r="I1723">
        <v>0.0577287628929984</v>
      </c>
      <c r="J1723">
        <v>0.043546647884811</v>
      </c>
      <c r="K1723">
        <v>0.035066458571046</v>
      </c>
      <c r="L1723">
        <v>502.252645284197</v>
      </c>
      <c r="M1723">
        <v>11.3244447735604</v>
      </c>
      <c r="N1723">
        <v>44.4908121445453</v>
      </c>
      <c r="O1723">
        <v>43.0357157153095</v>
      </c>
      <c r="P1723">
        <v>-0.0646563299908494</v>
      </c>
      <c r="Q1723">
        <v>0.0174557201382002</v>
      </c>
      <c r="R1723">
        <v>0.985988739502201</v>
      </c>
      <c r="S1723" t="s">
        <v>3916</v>
      </c>
      <c r="T1723" t="s">
        <v>4362</v>
      </c>
      <c r="U1723" t="s">
        <v>4362</v>
      </c>
      <c r="V1723" t="s">
        <v>4362</v>
      </c>
      <c r="W1723" t="s">
        <v>6080</v>
      </c>
      <c r="X1723">
        <v>4</v>
      </c>
      <c r="Y1723" t="s">
        <v>8244</v>
      </c>
      <c r="Z1723" t="s">
        <v>10411</v>
      </c>
      <c r="AA1723">
        <v>0.2994718458434809</v>
      </c>
      <c r="AB1723">
        <f>HYPERLINK("Melting_Curves/meltCurve_P60595_hisH.pdf", "Melting_Curves/meltCurve_P60595_hisH.pdf")</f>
        <v>0</v>
      </c>
    </row>
    <row r="1724" spans="1:28">
      <c r="A1724" t="s">
        <v>1750</v>
      </c>
      <c r="B1724">
        <v>0.999739202189716</v>
      </c>
      <c r="C1724">
        <v>0.839247370335652</v>
      </c>
      <c r="D1724">
        <v>0.717062789437511</v>
      </c>
      <c r="E1724">
        <v>0.879320876321929</v>
      </c>
      <c r="F1724">
        <v>0.677510250377941</v>
      </c>
      <c r="G1724">
        <v>0.512380764627021</v>
      </c>
      <c r="H1724">
        <v>0.477721126138953</v>
      </c>
      <c r="I1724">
        <v>0.358954662104132</v>
      </c>
      <c r="J1724">
        <v>0.399304808259017</v>
      </c>
      <c r="K1724">
        <v>0.502596121953314</v>
      </c>
      <c r="L1724">
        <v>368.255377470951</v>
      </c>
      <c r="M1724">
        <v>7.46040880574846</v>
      </c>
      <c r="N1724">
        <v>57.072466219135</v>
      </c>
      <c r="O1724">
        <v>46.1875848136015</v>
      </c>
      <c r="P1724">
        <v>-0.0275994716805354</v>
      </c>
      <c r="Q1724">
        <v>0.317524501688692</v>
      </c>
      <c r="R1724">
        <v>0.85295529351641</v>
      </c>
      <c r="S1724" t="s">
        <v>3917</v>
      </c>
      <c r="T1724" t="s">
        <v>4362</v>
      </c>
      <c r="U1724" t="s">
        <v>4362</v>
      </c>
      <c r="V1724" t="s">
        <v>4362</v>
      </c>
      <c r="W1724" t="s">
        <v>6081</v>
      </c>
      <c r="X1724">
        <v>9</v>
      </c>
      <c r="Y1724" t="s">
        <v>8245</v>
      </c>
      <c r="Z1724" t="s">
        <v>10412</v>
      </c>
      <c r="AA1724">
        <v>0.6307402156783722</v>
      </c>
      <c r="AB1724">
        <f>HYPERLINK("Melting_Curves/meltCurve_P60624_rplX.pdf", "Melting_Curves/meltCurve_P60624_rplX.pdf")</f>
        <v>0</v>
      </c>
    </row>
    <row r="1725" spans="1:28">
      <c r="A1725" t="s">
        <v>1751</v>
      </c>
      <c r="B1725">
        <v>0.999739202189716</v>
      </c>
      <c r="C1725">
        <v>1.21090045726516</v>
      </c>
      <c r="D1725">
        <v>0.599653172731778</v>
      </c>
      <c r="E1725">
        <v>1.1151939280242</v>
      </c>
      <c r="F1725">
        <v>0.5609135004299119</v>
      </c>
      <c r="G1725">
        <v>0.684339537963717</v>
      </c>
      <c r="H1725">
        <v>0.342444941784388</v>
      </c>
      <c r="I1725">
        <v>0.395288843165641</v>
      </c>
      <c r="J1725">
        <v>0.284130946700329</v>
      </c>
      <c r="K1725">
        <v>0.409416553450371</v>
      </c>
      <c r="L1725">
        <v>751.142175116995</v>
      </c>
      <c r="M1725">
        <v>14.6181197664154</v>
      </c>
      <c r="N1725">
        <v>55.1230660245524</v>
      </c>
      <c r="O1725">
        <v>50.4514406515222</v>
      </c>
      <c r="P1725">
        <v>-0.0496618143795284</v>
      </c>
      <c r="Q1725">
        <v>0.314486368701969</v>
      </c>
      <c r="R1725">
        <v>0.705044117788766</v>
      </c>
      <c r="S1725" t="s">
        <v>3918</v>
      </c>
      <c r="T1725" t="s">
        <v>4362</v>
      </c>
      <c r="U1725" t="s">
        <v>4362</v>
      </c>
      <c r="V1725" t="s">
        <v>4362</v>
      </c>
      <c r="W1725" t="s">
        <v>6082</v>
      </c>
      <c r="X1725">
        <v>5</v>
      </c>
      <c r="Y1725" t="s">
        <v>8246</v>
      </c>
      <c r="Z1725" t="s">
        <v>10413</v>
      </c>
      <c r="AA1725">
        <v>0.6571714392656713</v>
      </c>
      <c r="AB1725">
        <f>HYPERLINK("Melting_Curves/meltCurve_P60651_speB.pdf", "Melting_Curves/meltCurve_P60651_speB.pdf")</f>
        <v>0</v>
      </c>
    </row>
    <row r="1726" spans="1:28">
      <c r="A1726" t="s">
        <v>1752</v>
      </c>
      <c r="B1726">
        <v>0.999739202189716</v>
      </c>
      <c r="C1726">
        <v>0.824641159225056</v>
      </c>
      <c r="D1726">
        <v>0.9565256791469851</v>
      </c>
      <c r="E1726">
        <v>0.808907381038321</v>
      </c>
      <c r="F1726">
        <v>0.652433926889403</v>
      </c>
      <c r="G1726">
        <v>0.31390661332807</v>
      </c>
      <c r="H1726">
        <v>0.259672415164659</v>
      </c>
      <c r="I1726">
        <v>0.19272586188327</v>
      </c>
      <c r="J1726">
        <v>0.204521982681168</v>
      </c>
      <c r="K1726">
        <v>0.181958757487061</v>
      </c>
      <c r="L1726">
        <v>831.178719349737</v>
      </c>
      <c r="M1726">
        <v>16.5119786482699</v>
      </c>
      <c r="N1726">
        <v>51.5403807543107</v>
      </c>
      <c r="O1726">
        <v>49.6169754637436</v>
      </c>
      <c r="P1726">
        <v>-0.0699028296263951</v>
      </c>
      <c r="Q1726">
        <v>0.159851939085778</v>
      </c>
      <c r="R1726">
        <v>0.965766906055249</v>
      </c>
      <c r="S1726" t="s">
        <v>3919</v>
      </c>
      <c r="T1726" t="s">
        <v>4362</v>
      </c>
      <c r="U1726" t="s">
        <v>4362</v>
      </c>
      <c r="V1726" t="s">
        <v>4362</v>
      </c>
      <c r="W1726" t="s">
        <v>6083</v>
      </c>
      <c r="X1726">
        <v>9</v>
      </c>
      <c r="Y1726" t="s">
        <v>8247</v>
      </c>
      <c r="Z1726" t="s">
        <v>10414</v>
      </c>
      <c r="AA1726">
        <v>0.548467248912363</v>
      </c>
      <c r="AB1726">
        <f>HYPERLINK("Melting_Curves/meltCurve_P60664_hisF.pdf", "Melting_Curves/meltCurve_P60664_hisF.pdf")</f>
        <v>0</v>
      </c>
    </row>
    <row r="1727" spans="1:28">
      <c r="A1727" t="s">
        <v>1753</v>
      </c>
      <c r="B1727">
        <v>0.999739202189716</v>
      </c>
      <c r="C1727">
        <v>1.23315249406346</v>
      </c>
      <c r="D1727">
        <v>0.706968202407901</v>
      </c>
      <c r="E1727">
        <v>0.8467459300874099</v>
      </c>
      <c r="F1727">
        <v>0.5449841786155371</v>
      </c>
      <c r="G1727">
        <v>0.389981214195653</v>
      </c>
      <c r="H1727">
        <v>0.303103859988585</v>
      </c>
      <c r="I1727">
        <v>0.253913612541845</v>
      </c>
      <c r="J1727">
        <v>0.336446993293578</v>
      </c>
      <c r="K1727">
        <v>0.197449710213888</v>
      </c>
      <c r="L1727">
        <v>738.147664554702</v>
      </c>
      <c r="M1727">
        <v>15.0179208512535</v>
      </c>
      <c r="N1727">
        <v>51.2986756945242</v>
      </c>
      <c r="O1727">
        <v>48.3043317361153</v>
      </c>
      <c r="P1727">
        <v>-0.059593556271194</v>
      </c>
      <c r="Q1727">
        <v>0.233359306635164</v>
      </c>
      <c r="R1727">
        <v>0.886143355595155</v>
      </c>
      <c r="S1727" t="s">
        <v>3920</v>
      </c>
      <c r="T1727" t="s">
        <v>4362</v>
      </c>
      <c r="U1727" t="s">
        <v>4362</v>
      </c>
      <c r="V1727" t="s">
        <v>4362</v>
      </c>
      <c r="W1727" t="s">
        <v>6084</v>
      </c>
      <c r="X1727">
        <v>5</v>
      </c>
      <c r="Y1727" t="s">
        <v>8248</v>
      </c>
      <c r="Z1727" t="s">
        <v>10415</v>
      </c>
      <c r="AA1727">
        <v>0.5602747164531853</v>
      </c>
      <c r="AB1727">
        <f>HYPERLINK("Melting_Curves/meltCurve_P60716_lipA.pdf", "Melting_Curves/meltCurve_P60716_lipA.pdf")</f>
        <v>0</v>
      </c>
    </row>
    <row r="1728" spans="1:28">
      <c r="A1728" t="s">
        <v>1754</v>
      </c>
      <c r="B1728">
        <v>0.999739202189716</v>
      </c>
      <c r="C1728">
        <v>0.847593095089862</v>
      </c>
      <c r="D1728">
        <v>0.529104287418554</v>
      </c>
      <c r="E1728">
        <v>0.503210422564195</v>
      </c>
      <c r="F1728">
        <v>0.323035780224905</v>
      </c>
      <c r="G1728">
        <v>0.241585483051491</v>
      </c>
      <c r="H1728">
        <v>0.212759166321842</v>
      </c>
      <c r="I1728">
        <v>0.139639745296837</v>
      </c>
      <c r="J1728">
        <v>0.115195282304895</v>
      </c>
      <c r="K1728">
        <v>0.107903752535069</v>
      </c>
      <c r="L1728">
        <v>489.471503986597</v>
      </c>
      <c r="M1728">
        <v>10.9428405044608</v>
      </c>
      <c r="N1728">
        <v>45.7093922435784</v>
      </c>
      <c r="O1728">
        <v>43.31387201545</v>
      </c>
      <c r="P1728">
        <v>-0.0565781061812816</v>
      </c>
      <c r="Q1728">
        <v>0.104520061719865</v>
      </c>
      <c r="R1728">
        <v>0.969307715311359</v>
      </c>
      <c r="S1728" t="s">
        <v>3921</v>
      </c>
      <c r="T1728" t="s">
        <v>4362</v>
      </c>
      <c r="U1728" t="s">
        <v>4362</v>
      </c>
      <c r="V1728" t="s">
        <v>4362</v>
      </c>
      <c r="W1728" t="s">
        <v>6085</v>
      </c>
      <c r="X1728">
        <v>1</v>
      </c>
      <c r="Y1728" t="s">
        <v>8249</v>
      </c>
      <c r="Z1728" t="s">
        <v>10416</v>
      </c>
      <c r="AA1728">
        <v>0.3741963871022026</v>
      </c>
      <c r="AB1728">
        <f>HYPERLINK("Melting_Curves/meltCurve_P60720_lipB.pdf", "Melting_Curves/meltCurve_P60720_lipB.pdf")</f>
        <v>0</v>
      </c>
    </row>
    <row r="1729" spans="1:28">
      <c r="A1729" t="s">
        <v>1755</v>
      </c>
      <c r="B1729">
        <v>0.999739202189716</v>
      </c>
      <c r="C1729">
        <v>0.6843104862196721</v>
      </c>
      <c r="D1729">
        <v>0.481809288165763</v>
      </c>
      <c r="E1729">
        <v>0.460456003979764</v>
      </c>
      <c r="F1729">
        <v>0.362169274926713</v>
      </c>
      <c r="G1729">
        <v>0.27185577378977</v>
      </c>
      <c r="H1729">
        <v>0.248307309884939</v>
      </c>
      <c r="I1729">
        <v>0.223301366734371</v>
      </c>
      <c r="J1729">
        <v>0.2341721791046</v>
      </c>
      <c r="K1729">
        <v>0.244064772050052</v>
      </c>
      <c r="L1729">
        <v>580.134526372373</v>
      </c>
      <c r="M1729">
        <v>13.8977998822749</v>
      </c>
      <c r="N1729">
        <v>43.8530632012042</v>
      </c>
      <c r="O1729">
        <v>40.9071311133189</v>
      </c>
      <c r="P1729">
        <v>-0.0642345486696298</v>
      </c>
      <c r="Q1729">
        <v>0.243824648480468</v>
      </c>
      <c r="R1729">
        <v>0.950401331044385</v>
      </c>
      <c r="S1729" t="s">
        <v>3922</v>
      </c>
      <c r="T1729" t="s">
        <v>4362</v>
      </c>
      <c r="U1729" t="s">
        <v>4362</v>
      </c>
      <c r="V1729" t="s">
        <v>4362</v>
      </c>
      <c r="W1729" t="s">
        <v>6086</v>
      </c>
      <c r="X1729">
        <v>4</v>
      </c>
      <c r="Y1729" t="s">
        <v>8250</v>
      </c>
      <c r="Z1729" t="s">
        <v>10417</v>
      </c>
      <c r="AA1729">
        <v>0.3896693598761212</v>
      </c>
      <c r="AB1729">
        <f>HYPERLINK("Melting_Curves/meltCurve_P60723_rplD.pdf", "Melting_Curves/meltCurve_P60723_rplD.pdf")</f>
        <v>0</v>
      </c>
    </row>
    <row r="1730" spans="1:28">
      <c r="A1730" t="s">
        <v>1756</v>
      </c>
      <c r="B1730">
        <v>0.999739202189716</v>
      </c>
      <c r="C1730">
        <v>1.2226678534223</v>
      </c>
      <c r="D1730">
        <v>0.582627986710984</v>
      </c>
      <c r="E1730">
        <v>0.230393237465974</v>
      </c>
      <c r="F1730">
        <v>0.160868951059537</v>
      </c>
      <c r="G1730">
        <v>0.104329003382467</v>
      </c>
      <c r="H1730">
        <v>0.0787973849453302</v>
      </c>
      <c r="I1730">
        <v>0.0600119974159114</v>
      </c>
      <c r="J1730">
        <v>0.0533132022638088</v>
      </c>
      <c r="K1730">
        <v>0.0418392437186986</v>
      </c>
      <c r="L1730">
        <v>10755.8687299643</v>
      </c>
      <c r="M1730">
        <v>250</v>
      </c>
      <c r="N1730">
        <v>43.0637399525051</v>
      </c>
      <c r="O1730">
        <v>43.0207212237919</v>
      </c>
      <c r="P1730">
        <v>-1.30137598013397</v>
      </c>
      <c r="Q1730">
        <v>0.104221859094706</v>
      </c>
      <c r="R1730">
        <v>0.95393481571309</v>
      </c>
      <c r="S1730" t="s">
        <v>3923</v>
      </c>
      <c r="T1730" t="s">
        <v>4362</v>
      </c>
      <c r="U1730" t="s">
        <v>4362</v>
      </c>
      <c r="V1730" t="s">
        <v>4362</v>
      </c>
      <c r="W1730" t="s">
        <v>6087</v>
      </c>
      <c r="X1730">
        <v>10</v>
      </c>
      <c r="Y1730" t="s">
        <v>8251</v>
      </c>
      <c r="Z1730" t="s">
        <v>10418</v>
      </c>
      <c r="AA1730">
        <v>0.2841460674803158</v>
      </c>
      <c r="AB1730">
        <f>HYPERLINK("Melting_Curves/meltCurve_P60752_msbA.pdf", "Melting_Curves/meltCurve_P60752_msbA.pdf")</f>
        <v>0</v>
      </c>
    </row>
    <row r="1731" spans="1:28">
      <c r="A1731" t="s">
        <v>1757</v>
      </c>
      <c r="B1731">
        <v>0.999739202189716</v>
      </c>
      <c r="C1731">
        <v>0.429289224461564</v>
      </c>
      <c r="D1731">
        <v>0.247967533832085</v>
      </c>
      <c r="E1731">
        <v>0.144450555593041</v>
      </c>
      <c r="F1731">
        <v>0.110549110387485</v>
      </c>
      <c r="G1731">
        <v>0.0770543797441112</v>
      </c>
      <c r="H1731">
        <v>0.0645261756332898</v>
      </c>
      <c r="I1731">
        <v>0.0736427368587141</v>
      </c>
      <c r="J1731">
        <v>0.0493336569140443</v>
      </c>
      <c r="K1731">
        <v>0.0416719850738393</v>
      </c>
      <c r="L1731">
        <v>1372.45413415098</v>
      </c>
      <c r="M1731">
        <v>34.6968723349389</v>
      </c>
      <c r="N1731">
        <v>39.7840698287474</v>
      </c>
      <c r="O1731">
        <v>39.4248534141802</v>
      </c>
      <c r="P1731">
        <v>-0.200141916772505</v>
      </c>
      <c r="Q1731">
        <v>0.0903460347918808</v>
      </c>
      <c r="R1731">
        <v>0.966178672180578</v>
      </c>
      <c r="S1731" t="s">
        <v>3924</v>
      </c>
      <c r="T1731" t="s">
        <v>4362</v>
      </c>
      <c r="U1731" t="s">
        <v>4362</v>
      </c>
      <c r="V1731" t="s">
        <v>4362</v>
      </c>
      <c r="W1731" t="s">
        <v>6088</v>
      </c>
      <c r="X1731">
        <v>8</v>
      </c>
      <c r="Y1731" t="s">
        <v>8252</v>
      </c>
      <c r="Z1731" t="s">
        <v>10419</v>
      </c>
      <c r="AA1731">
        <v>0.1736521305896613</v>
      </c>
      <c r="AB1731">
        <f>HYPERLINK("Melting_Curves/meltCurve_P60757_hisG.pdf", "Melting_Curves/meltCurve_P60757_hisG.pdf")</f>
        <v>0</v>
      </c>
    </row>
    <row r="1732" spans="1:28">
      <c r="A1732" t="s">
        <v>1758</v>
      </c>
      <c r="B1732">
        <v>0.999739202189716</v>
      </c>
      <c r="C1732">
        <v>0.934506301829906</v>
      </c>
      <c r="D1732">
        <v>0.637157505284731</v>
      </c>
      <c r="E1732">
        <v>0.328783763696976</v>
      </c>
      <c r="F1732">
        <v>0.144753364776387</v>
      </c>
      <c r="G1732">
        <v>0.0718689611514654</v>
      </c>
      <c r="H1732">
        <v>0.0617099895552582</v>
      </c>
      <c r="I1732">
        <v>0.0416897284840536</v>
      </c>
      <c r="J1732">
        <v>0.0532994748217343</v>
      </c>
      <c r="K1732">
        <v>0.0328551093293889</v>
      </c>
      <c r="L1732">
        <v>858.9391226738149</v>
      </c>
      <c r="M1732">
        <v>19.3531376736327</v>
      </c>
      <c r="N1732">
        <v>44.5950628573753</v>
      </c>
      <c r="O1732">
        <v>43.9167004547484</v>
      </c>
      <c r="P1732">
        <v>-0.105317727326026</v>
      </c>
      <c r="Q1732">
        <v>0.044075286009266</v>
      </c>
      <c r="R1732">
        <v>0.997903442140578</v>
      </c>
      <c r="S1732" t="s">
        <v>3925</v>
      </c>
      <c r="T1732" t="s">
        <v>4362</v>
      </c>
      <c r="U1732" t="s">
        <v>4362</v>
      </c>
      <c r="V1732" t="s">
        <v>4362</v>
      </c>
      <c r="W1732" t="s">
        <v>6089</v>
      </c>
      <c r="X1732">
        <v>1</v>
      </c>
      <c r="Y1732" t="s">
        <v>8253</v>
      </c>
      <c r="Z1732" t="s">
        <v>10420</v>
      </c>
      <c r="AA1732">
        <v>0.292918663783013</v>
      </c>
      <c r="AB1732">
        <f>HYPERLINK("Melting_Curves/meltCurve_P60782_plsY.pdf", "Melting_Curves/meltCurve_P60782_plsY.pdf")</f>
        <v>0</v>
      </c>
    </row>
    <row r="1733" spans="1:28">
      <c r="A1733" t="s">
        <v>1759</v>
      </c>
      <c r="B1733">
        <v>0.999739202189716</v>
      </c>
      <c r="C1733">
        <v>0.932423803232837</v>
      </c>
      <c r="D1733">
        <v>0.404029163998172</v>
      </c>
      <c r="E1733">
        <v>0.244155025523666</v>
      </c>
      <c r="F1733">
        <v>0.118282176180423</v>
      </c>
      <c r="G1733">
        <v>0.0671238815398419</v>
      </c>
      <c r="H1733">
        <v>0.0611701746310325</v>
      </c>
      <c r="I1733">
        <v>0.0483123889048124</v>
      </c>
      <c r="J1733">
        <v>0.0519974633396074</v>
      </c>
      <c r="K1733">
        <v>0.0432705063062106</v>
      </c>
      <c r="L1733">
        <v>1172.80291706406</v>
      </c>
      <c r="M1733">
        <v>27.5754048672059</v>
      </c>
      <c r="N1733">
        <v>42.7722931545855</v>
      </c>
      <c r="O1733">
        <v>42.3089758889122</v>
      </c>
      <c r="P1733">
        <v>-0.151193119248067</v>
      </c>
      <c r="Q1733">
        <v>0.0721053742962757</v>
      </c>
      <c r="R1733">
        <v>0.983704330731267</v>
      </c>
      <c r="S1733" t="s">
        <v>3926</v>
      </c>
      <c r="T1733" t="s">
        <v>4362</v>
      </c>
      <c r="U1733" t="s">
        <v>4362</v>
      </c>
      <c r="V1733" t="s">
        <v>4362</v>
      </c>
      <c r="W1733" t="s">
        <v>6090</v>
      </c>
      <c r="X1733">
        <v>11</v>
      </c>
      <c r="Y1733" t="s">
        <v>8254</v>
      </c>
      <c r="Z1733" t="s">
        <v>10421</v>
      </c>
      <c r="AA1733">
        <v>0.2495114125317559</v>
      </c>
      <c r="AB1733">
        <f>HYPERLINK("Melting_Curves/meltCurve_P60785_lepA.pdf", "Melting_Curves/meltCurve_P60785_lepA.pdf")</f>
        <v>0</v>
      </c>
    </row>
    <row r="1734" spans="1:28">
      <c r="A1734" t="s">
        <v>1760</v>
      </c>
      <c r="B1734">
        <v>0.999739202189716</v>
      </c>
      <c r="C1734">
        <v>0.955290309392886</v>
      </c>
      <c r="D1734">
        <v>0.69890468168076</v>
      </c>
      <c r="E1734">
        <v>0.651435856550673</v>
      </c>
      <c r="F1734">
        <v>0.493774721237425</v>
      </c>
      <c r="G1734">
        <v>0.39068727494593</v>
      </c>
      <c r="H1734">
        <v>0.32379125724683</v>
      </c>
      <c r="I1734">
        <v>0.332293591870276</v>
      </c>
      <c r="J1734">
        <v>0.217239697438064</v>
      </c>
      <c r="K1734">
        <v>0.235166654805508</v>
      </c>
      <c r="L1734">
        <v>478.156478963535</v>
      </c>
      <c r="M1734">
        <v>10.116885191948</v>
      </c>
      <c r="N1734">
        <v>49.9101251516622</v>
      </c>
      <c r="O1734">
        <v>45.5280681177582</v>
      </c>
      <c r="P1734">
        <v>-0.0440399183533619</v>
      </c>
      <c r="Q1734">
        <v>0.207613848718727</v>
      </c>
      <c r="R1734">
        <v>0.974693774042695</v>
      </c>
      <c r="S1734" t="s">
        <v>3927</v>
      </c>
      <c r="T1734" t="s">
        <v>4362</v>
      </c>
      <c r="U1734" t="s">
        <v>4362</v>
      </c>
      <c r="V1734" t="s">
        <v>4362</v>
      </c>
      <c r="W1734" t="s">
        <v>6091</v>
      </c>
      <c r="X1734">
        <v>4</v>
      </c>
      <c r="Y1734" t="s">
        <v>8255</v>
      </c>
      <c r="Z1734" t="s">
        <v>10422</v>
      </c>
      <c r="AA1734">
        <v>0.5117326171266591</v>
      </c>
      <c r="AB1734">
        <f>HYPERLINK("Melting_Curves/meltCurve_P60872_yidE.pdf", "Melting_Curves/meltCurve_P60872_yidE.pdf")</f>
        <v>0</v>
      </c>
    </row>
    <row r="1735" spans="1:28">
      <c r="A1735" t="s">
        <v>1761</v>
      </c>
      <c r="B1735">
        <v>0.999739202189716</v>
      </c>
      <c r="C1735">
        <v>0.978846368366977</v>
      </c>
      <c r="D1735">
        <v>0.725869639472968</v>
      </c>
      <c r="E1735">
        <v>0.207707477630889</v>
      </c>
      <c r="F1735">
        <v>0.130825755960756</v>
      </c>
      <c r="G1735">
        <v>0.0843484565704255</v>
      </c>
      <c r="H1735">
        <v>0.0693921973841312</v>
      </c>
      <c r="I1735">
        <v>0.0571960492998342</v>
      </c>
      <c r="J1735">
        <v>0.0536623184305537</v>
      </c>
      <c r="K1735">
        <v>0.0437114954179149</v>
      </c>
      <c r="L1735">
        <v>1396.7030473805</v>
      </c>
      <c r="M1735">
        <v>31.6119397294434</v>
      </c>
      <c r="N1735">
        <v>44.3862045054005</v>
      </c>
      <c r="O1735">
        <v>44.007088126693</v>
      </c>
      <c r="P1735">
        <v>-0.167474125597234</v>
      </c>
      <c r="Q1735">
        <v>0.0674397490469197</v>
      </c>
      <c r="R1735">
        <v>0.997852748191826</v>
      </c>
      <c r="S1735" t="s">
        <v>3928</v>
      </c>
      <c r="T1735" t="s">
        <v>4362</v>
      </c>
      <c r="U1735" t="s">
        <v>4362</v>
      </c>
      <c r="V1735" t="s">
        <v>4362</v>
      </c>
      <c r="W1735" t="s">
        <v>6092</v>
      </c>
      <c r="X1735">
        <v>14</v>
      </c>
      <c r="Y1735" t="s">
        <v>8256</v>
      </c>
      <c r="Z1735" t="s">
        <v>10423</v>
      </c>
      <c r="AA1735">
        <v>0.2953649244686933</v>
      </c>
      <c r="AB1735">
        <f>HYPERLINK("Melting_Curves/meltCurve_P60906_hisS.pdf", "Melting_Curves/meltCurve_P60906_hisS.pdf")</f>
        <v>0</v>
      </c>
    </row>
    <row r="1736" spans="1:28">
      <c r="A1736" t="s">
        <v>1762</v>
      </c>
      <c r="B1736">
        <v>0.999739202189716</v>
      </c>
      <c r="C1736">
        <v>0.833600999479794</v>
      </c>
      <c r="D1736">
        <v>0.494998007161639</v>
      </c>
      <c r="E1736">
        <v>0.343487962378716</v>
      </c>
      <c r="F1736">
        <v>0.246878550035469</v>
      </c>
      <c r="G1736">
        <v>0.164530374234811</v>
      </c>
      <c r="H1736">
        <v>0.142828707242949</v>
      </c>
      <c r="I1736">
        <v>0.119131152331835</v>
      </c>
      <c r="J1736">
        <v>0.131432866982793</v>
      </c>
      <c r="K1736">
        <v>0.126964970639805</v>
      </c>
      <c r="L1736">
        <v>735.832858628631</v>
      </c>
      <c r="M1736">
        <v>17.1699611055286</v>
      </c>
      <c r="N1736">
        <v>43.6687753372169</v>
      </c>
      <c r="O1736">
        <v>42.2871664713643</v>
      </c>
      <c r="P1736">
        <v>-0.0876274011967139</v>
      </c>
      <c r="Q1736">
        <v>0.13679611165727</v>
      </c>
      <c r="R1736">
        <v>0.988012343393724</v>
      </c>
      <c r="S1736" t="s">
        <v>3929</v>
      </c>
      <c r="T1736" t="s">
        <v>4362</v>
      </c>
      <c r="U1736" t="s">
        <v>4362</v>
      </c>
      <c r="V1736" t="s">
        <v>4362</v>
      </c>
      <c r="W1736" t="s">
        <v>6093</v>
      </c>
      <c r="X1736">
        <v>7</v>
      </c>
      <c r="Y1736" t="s">
        <v>8257</v>
      </c>
      <c r="Z1736" t="s">
        <v>10424</v>
      </c>
      <c r="AA1736">
        <v>0.3224436460345173</v>
      </c>
      <c r="AB1736">
        <f>HYPERLINK("Melting_Curves/meltCurve_P61175_rplV.pdf", "Melting_Curves/meltCurve_P61175_rplV.pdf")</f>
        <v>0</v>
      </c>
    </row>
    <row r="1737" spans="1:28">
      <c r="A1737" t="s">
        <v>1763</v>
      </c>
      <c r="B1737">
        <v>0.999739202189716</v>
      </c>
      <c r="C1737">
        <v>0.9022920639425051</v>
      </c>
      <c r="D1737">
        <v>1.05760299852669</v>
      </c>
      <c r="E1737">
        <v>1.06488815670008</v>
      </c>
      <c r="F1737">
        <v>1.07626472596433</v>
      </c>
      <c r="G1737">
        <v>0.909842506084473</v>
      </c>
      <c r="H1737">
        <v>0.875291429375473</v>
      </c>
      <c r="I1737">
        <v>0.849409203312147</v>
      </c>
      <c r="J1737">
        <v>0.6909121347509271</v>
      </c>
      <c r="K1737">
        <v>0.722826209613205</v>
      </c>
      <c r="L1737">
        <v>1097.69906302239</v>
      </c>
      <c r="M1737">
        <v>18.4098493551474</v>
      </c>
      <c r="O1737">
        <v>58.9354735903558</v>
      </c>
      <c r="P1737">
        <v>-0.0260318337068091</v>
      </c>
      <c r="Q1737">
        <v>0.666672112737059</v>
      </c>
      <c r="R1737">
        <v>0.8067713988258149</v>
      </c>
      <c r="S1737" t="s">
        <v>3930</v>
      </c>
      <c r="T1737" t="s">
        <v>4362</v>
      </c>
      <c r="U1737" t="s">
        <v>4362</v>
      </c>
      <c r="V1737" t="s">
        <v>4362</v>
      </c>
      <c r="W1737" t="s">
        <v>6094</v>
      </c>
      <c r="X1737">
        <v>8</v>
      </c>
      <c r="Y1737" t="s">
        <v>8258</v>
      </c>
      <c r="Z1737" t="s">
        <v>10425</v>
      </c>
      <c r="AA1737">
        <v>0.9182708442933835</v>
      </c>
      <c r="AB1737">
        <f>HYPERLINK("Melting_Curves/meltCurve_P61316_lolA.pdf", "Melting_Curves/meltCurve_P61316_lolA.pdf")</f>
        <v>0</v>
      </c>
    </row>
    <row r="1738" spans="1:28">
      <c r="A1738" t="s">
        <v>1764</v>
      </c>
      <c r="B1738">
        <v>0.999739202189716</v>
      </c>
      <c r="C1738">
        <v>0.822622718072795</v>
      </c>
      <c r="D1738">
        <v>1.07028130467356</v>
      </c>
      <c r="E1738">
        <v>0.970950572592389</v>
      </c>
      <c r="F1738">
        <v>0.987489240409864</v>
      </c>
      <c r="G1738">
        <v>0.856088869788235</v>
      </c>
      <c r="H1738">
        <v>0.810238653004235</v>
      </c>
      <c r="I1738">
        <v>0.585046081676255</v>
      </c>
      <c r="J1738">
        <v>0.364769473305862</v>
      </c>
      <c r="K1738">
        <v>0.185781601629469</v>
      </c>
      <c r="L1738">
        <v>1043.824075978</v>
      </c>
      <c r="M1738">
        <v>16.8608587774295</v>
      </c>
      <c r="N1738">
        <v>61.9081205674494</v>
      </c>
      <c r="O1738">
        <v>61.0569562943179</v>
      </c>
      <c r="P1738">
        <v>-0.0690418326358964</v>
      </c>
      <c r="Q1738">
        <v>0</v>
      </c>
      <c r="R1738">
        <v>0.943599933789828</v>
      </c>
      <c r="S1738" t="s">
        <v>3931</v>
      </c>
      <c r="T1738" t="s">
        <v>4362</v>
      </c>
      <c r="U1738" t="s">
        <v>4362</v>
      </c>
      <c r="V1738" t="s">
        <v>4362</v>
      </c>
      <c r="W1738" t="s">
        <v>6095</v>
      </c>
      <c r="X1738">
        <v>11</v>
      </c>
      <c r="Y1738" t="s">
        <v>8259</v>
      </c>
      <c r="Z1738" t="s">
        <v>10426</v>
      </c>
      <c r="AA1738">
        <v>0.8142174723687565</v>
      </c>
      <c r="AB1738">
        <f>HYPERLINK("Melting_Curves/meltCurve_P61320_lolB.pdf", "Melting_Curves/meltCurve_P61320_lolB.pdf")</f>
        <v>0</v>
      </c>
    </row>
    <row r="1739" spans="1:28">
      <c r="A1739" t="s">
        <v>1765</v>
      </c>
      <c r="B1739">
        <v>0.999739202189716</v>
      </c>
      <c r="C1739">
        <v>0.978178165935599</v>
      </c>
      <c r="D1739">
        <v>0.87888343738331</v>
      </c>
      <c r="E1739">
        <v>0.965591125542575</v>
      </c>
      <c r="F1739">
        <v>1.03659145363041</v>
      </c>
      <c r="G1739">
        <v>0.984227113639505</v>
      </c>
      <c r="H1739">
        <v>0.943679463097696</v>
      </c>
      <c r="I1739">
        <v>0.981834254116732</v>
      </c>
      <c r="J1739">
        <v>0.686919630546852</v>
      </c>
      <c r="K1739">
        <v>0.275006232186718</v>
      </c>
      <c r="L1739">
        <v>4040.78642808509</v>
      </c>
      <c r="M1739">
        <v>62.5995060789206</v>
      </c>
      <c r="N1739">
        <v>65.08617009816631</v>
      </c>
      <c r="O1739">
        <v>64.4840273050123</v>
      </c>
      <c r="P1739">
        <v>-0.193789324643792</v>
      </c>
      <c r="Q1739">
        <v>0.20150721560244</v>
      </c>
      <c r="R1739">
        <v>0.95648719422413</v>
      </c>
      <c r="S1739" t="s">
        <v>3932</v>
      </c>
      <c r="T1739" t="s">
        <v>4362</v>
      </c>
      <c r="U1739" t="s">
        <v>4362</v>
      </c>
      <c r="V1739" t="s">
        <v>4362</v>
      </c>
      <c r="W1739" t="s">
        <v>6096</v>
      </c>
      <c r="X1739">
        <v>6</v>
      </c>
      <c r="Y1739" t="s">
        <v>8260</v>
      </c>
      <c r="Z1739" t="s">
        <v>10427</v>
      </c>
      <c r="AA1739">
        <v>0.9332758596702952</v>
      </c>
      <c r="AB1739">
        <f>HYPERLINK("Melting_Curves/meltCurve_P61517_can.pdf", "Melting_Curves/meltCurve_P61517_can.pdf")</f>
        <v>0</v>
      </c>
    </row>
    <row r="1740" spans="1:28">
      <c r="A1740" t="s">
        <v>1766</v>
      </c>
      <c r="B1740">
        <v>0.999739202189716</v>
      </c>
      <c r="C1740">
        <v>0.857212503243018</v>
      </c>
      <c r="D1740">
        <v>1.45529819764008</v>
      </c>
      <c r="E1740">
        <v>1.07332546568955</v>
      </c>
      <c r="F1740">
        <v>1.0875433023304</v>
      </c>
      <c r="G1740">
        <v>0.987133039044374</v>
      </c>
      <c r="H1740">
        <v>0.602230896324902</v>
      </c>
      <c r="I1740">
        <v>0.41889503186621</v>
      </c>
      <c r="J1740">
        <v>0.214141237047249</v>
      </c>
      <c r="K1740">
        <v>0.145981390402474</v>
      </c>
      <c r="L1740">
        <v>1554.8770503813</v>
      </c>
      <c r="M1740">
        <v>26.5889415952111</v>
      </c>
      <c r="N1740">
        <v>59.2205376534373</v>
      </c>
      <c r="O1740">
        <v>58.1505661550025</v>
      </c>
      <c r="P1740">
        <v>-0.09811378611843299</v>
      </c>
      <c r="Q1740">
        <v>0.141701659924004</v>
      </c>
      <c r="R1740">
        <v>0.841153988411201</v>
      </c>
      <c r="S1740" t="s">
        <v>3933</v>
      </c>
      <c r="T1740" t="s">
        <v>4362</v>
      </c>
      <c r="U1740" t="s">
        <v>4362</v>
      </c>
      <c r="V1740" t="s">
        <v>4362</v>
      </c>
      <c r="W1740" t="s">
        <v>6097</v>
      </c>
      <c r="X1740">
        <v>3</v>
      </c>
      <c r="Y1740" t="s">
        <v>8261</v>
      </c>
      <c r="Z1740" t="s">
        <v>10428</v>
      </c>
      <c r="AA1740">
        <v>0.7611021868951725</v>
      </c>
      <c r="AB1740">
        <f>HYPERLINK("Melting_Curves/meltCurve_P61714_ribE.pdf", "Melting_Curves/meltCurve_P61714_ribE.pdf")</f>
        <v>0</v>
      </c>
    </row>
    <row r="1741" spans="1:28">
      <c r="A1741" t="s">
        <v>1767</v>
      </c>
      <c r="B1741">
        <v>0.999739202189716</v>
      </c>
      <c r="C1741">
        <v>0.8343700745696619</v>
      </c>
      <c r="D1741">
        <v>0.978198065688624</v>
      </c>
      <c r="E1741">
        <v>0.942087468399351</v>
      </c>
      <c r="F1741">
        <v>0.869879028534675</v>
      </c>
      <c r="G1741">
        <v>0.34581030373041</v>
      </c>
      <c r="H1741">
        <v>0.111627757157437</v>
      </c>
      <c r="I1741">
        <v>0.0535507380501686</v>
      </c>
      <c r="J1741">
        <v>0.0381814455303053</v>
      </c>
      <c r="K1741">
        <v>0.0323902105564277</v>
      </c>
      <c r="L1741">
        <v>1829.07517852244</v>
      </c>
      <c r="M1741">
        <v>34.7121860467008</v>
      </c>
      <c r="N1741">
        <v>52.8243459188589</v>
      </c>
      <c r="O1741">
        <v>52.518635039781</v>
      </c>
      <c r="P1741">
        <v>-0.158387207015019</v>
      </c>
      <c r="Q1741">
        <v>0.041460593651017</v>
      </c>
      <c r="R1741">
        <v>0.98204736818966</v>
      </c>
      <c r="S1741" t="s">
        <v>3934</v>
      </c>
      <c r="T1741" t="s">
        <v>4362</v>
      </c>
      <c r="U1741" t="s">
        <v>4362</v>
      </c>
      <c r="V1741" t="s">
        <v>4362</v>
      </c>
      <c r="W1741" t="s">
        <v>6098</v>
      </c>
      <c r="X1741">
        <v>15</v>
      </c>
      <c r="Y1741" t="s">
        <v>8262</v>
      </c>
      <c r="Z1741" t="s">
        <v>10429</v>
      </c>
      <c r="AA1741">
        <v>0.5474593243395561</v>
      </c>
      <c r="AB1741">
        <f>HYPERLINK("Melting_Curves/meltCurve_P61889_mdh.pdf", "Melting_Curves/meltCurve_P61889_mdh.pdf")</f>
        <v>0</v>
      </c>
    </row>
    <row r="1742" spans="1:28">
      <c r="A1742" t="s">
        <v>1768</v>
      </c>
      <c r="B1742">
        <v>0.999739202189716</v>
      </c>
      <c r="C1742">
        <v>1.07410796708254</v>
      </c>
      <c r="D1742">
        <v>1.0035072980659</v>
      </c>
      <c r="E1742">
        <v>1.25975053429909</v>
      </c>
      <c r="F1742">
        <v>1.0391233326853</v>
      </c>
      <c r="G1742">
        <v>0.8875133090684</v>
      </c>
      <c r="H1742">
        <v>0.839481417782478</v>
      </c>
      <c r="I1742">
        <v>0.722695237706886</v>
      </c>
      <c r="J1742">
        <v>0.625822590840463</v>
      </c>
      <c r="K1742">
        <v>0.666838549352323</v>
      </c>
      <c r="L1742">
        <v>1374.30165953974</v>
      </c>
      <c r="M1742">
        <v>23.8959926496795</v>
      </c>
      <c r="O1742">
        <v>57.1135836513879</v>
      </c>
      <c r="P1742">
        <v>-0.0382779088140589</v>
      </c>
      <c r="Q1742">
        <v>0.63405529240043</v>
      </c>
      <c r="R1742">
        <v>0.775863181269713</v>
      </c>
      <c r="S1742" t="s">
        <v>3935</v>
      </c>
      <c r="T1742" t="s">
        <v>4362</v>
      </c>
      <c r="U1742" t="s">
        <v>4362</v>
      </c>
      <c r="V1742" t="s">
        <v>4362</v>
      </c>
      <c r="W1742" t="s">
        <v>6099</v>
      </c>
      <c r="X1742">
        <v>4</v>
      </c>
      <c r="Y1742" t="s">
        <v>8263</v>
      </c>
      <c r="Z1742" t="s">
        <v>10430</v>
      </c>
      <c r="AA1742">
        <v>0.8869235161852003</v>
      </c>
      <c r="AB1742">
        <f>HYPERLINK("Melting_Curves/meltCurve_P61949_fldA.pdf", "Melting_Curves/meltCurve_P61949_fldA.pdf")</f>
        <v>0</v>
      </c>
    </row>
    <row r="1743" spans="1:28">
      <c r="A1743" t="s">
        <v>1769</v>
      </c>
      <c r="B1743">
        <v>0.999739202189716</v>
      </c>
      <c r="C1743">
        <v>0.766689184317956</v>
      </c>
      <c r="D1743">
        <v>0.404925940525135</v>
      </c>
      <c r="E1743">
        <v>0.473506445069127</v>
      </c>
      <c r="F1743">
        <v>0.317595588690415</v>
      </c>
      <c r="G1743">
        <v>0.242843901830749</v>
      </c>
      <c r="H1743">
        <v>0.239600998087443</v>
      </c>
      <c r="I1743">
        <v>0.206491749219463</v>
      </c>
      <c r="J1743">
        <v>0.202591064131116</v>
      </c>
      <c r="K1743">
        <v>0.19930937597269</v>
      </c>
      <c r="L1743">
        <v>673.720203470048</v>
      </c>
      <c r="M1743">
        <v>16.1137068314654</v>
      </c>
      <c r="N1743">
        <v>43.4353874358242</v>
      </c>
      <c r="O1743">
        <v>41.1823458081757</v>
      </c>
      <c r="P1743">
        <v>-0.0756812952735247</v>
      </c>
      <c r="Q1743">
        <v>0.226374069468879</v>
      </c>
      <c r="R1743">
        <v>0.938151951680386</v>
      </c>
      <c r="S1743" t="s">
        <v>3936</v>
      </c>
      <c r="T1743" t="s">
        <v>4362</v>
      </c>
      <c r="U1743" t="s">
        <v>4362</v>
      </c>
      <c r="V1743" t="s">
        <v>4362</v>
      </c>
      <c r="W1743" t="s">
        <v>6100</v>
      </c>
      <c r="X1743">
        <v>8</v>
      </c>
      <c r="Y1743" t="s">
        <v>8264</v>
      </c>
      <c r="Z1743" t="s">
        <v>10431</v>
      </c>
      <c r="AA1743">
        <v>0.3698917000610197</v>
      </c>
      <c r="AB1743">
        <f>HYPERLINK("Melting_Curves/meltCurve_P62399_rplE.pdf", "Melting_Curves/meltCurve_P62399_rplE.pdf")</f>
        <v>0</v>
      </c>
    </row>
    <row r="1744" spans="1:28">
      <c r="A1744" t="s">
        <v>1770</v>
      </c>
      <c r="B1744">
        <v>0.999739202189716</v>
      </c>
      <c r="C1744">
        <v>0.967312881710113</v>
      </c>
      <c r="D1744">
        <v>0.349245983547698</v>
      </c>
      <c r="E1744">
        <v>0.315213858931169</v>
      </c>
      <c r="F1744">
        <v>0.209147568986759</v>
      </c>
      <c r="G1744">
        <v>0.156768424829489</v>
      </c>
      <c r="H1744">
        <v>0.138202116509179</v>
      </c>
      <c r="I1744">
        <v>0.114789140409281</v>
      </c>
      <c r="J1744">
        <v>0.09145584344382029</v>
      </c>
      <c r="K1744">
        <v>0.08891874318564261</v>
      </c>
      <c r="L1744">
        <v>2159.03970092017</v>
      </c>
      <c r="M1744">
        <v>51.3582615008718</v>
      </c>
      <c r="N1744">
        <v>42.350102580141</v>
      </c>
      <c r="O1744">
        <v>41.9752096198492</v>
      </c>
      <c r="P1744">
        <v>-0.257793645976147</v>
      </c>
      <c r="Q1744">
        <v>0.157219598629507</v>
      </c>
      <c r="R1744">
        <v>0.965774643137566</v>
      </c>
      <c r="S1744" t="s">
        <v>3937</v>
      </c>
      <c r="T1744" t="s">
        <v>4362</v>
      </c>
      <c r="U1744" t="s">
        <v>4362</v>
      </c>
      <c r="V1744" t="s">
        <v>4362</v>
      </c>
      <c r="W1744" t="s">
        <v>6101</v>
      </c>
      <c r="X1744">
        <v>9</v>
      </c>
      <c r="Y1744" t="s">
        <v>8265</v>
      </c>
      <c r="Z1744" t="s">
        <v>10432</v>
      </c>
      <c r="AA1744">
        <v>0.3002696069541906</v>
      </c>
      <c r="AB1744">
        <f>HYPERLINK("Melting_Curves/meltCurve_P62517_mdoH.pdf", "Melting_Curves/meltCurve_P62517_mdoH.pdf")</f>
        <v>0</v>
      </c>
    </row>
    <row r="1745" spans="1:28">
      <c r="A1745" t="s">
        <v>1771</v>
      </c>
      <c r="B1745">
        <v>0.999739202189716</v>
      </c>
      <c r="C1745">
        <v>1.06074579642178</v>
      </c>
      <c r="D1745">
        <v>0.7552302925348729</v>
      </c>
      <c r="E1745">
        <v>0.6461421522181851</v>
      </c>
      <c r="F1745">
        <v>0.536214425160519</v>
      </c>
      <c r="G1745">
        <v>0.386003798078432</v>
      </c>
      <c r="H1745">
        <v>0.253776300680025</v>
      </c>
      <c r="I1745">
        <v>0.141863420246963</v>
      </c>
      <c r="J1745">
        <v>0.124836527375078</v>
      </c>
      <c r="K1745">
        <v>0.125909827030726</v>
      </c>
      <c r="L1745">
        <v>499.51412471847</v>
      </c>
      <c r="M1745">
        <v>9.99648858329514</v>
      </c>
      <c r="N1745">
        <v>50.3875157429155</v>
      </c>
      <c r="O1745">
        <v>48.0927549630557</v>
      </c>
      <c r="P1745">
        <v>-0.0499185012085211</v>
      </c>
      <c r="Q1745">
        <v>0.0398430171744258</v>
      </c>
      <c r="R1745">
        <v>0.973183820212285</v>
      </c>
      <c r="S1745" t="s">
        <v>3938</v>
      </c>
      <c r="T1745" t="s">
        <v>4362</v>
      </c>
      <c r="U1745" t="s">
        <v>4362</v>
      </c>
      <c r="V1745" t="s">
        <v>4362</v>
      </c>
      <c r="W1745" t="s">
        <v>6102</v>
      </c>
      <c r="X1745">
        <v>3</v>
      </c>
      <c r="Y1745" t="s">
        <v>8266</v>
      </c>
      <c r="Z1745" t="s">
        <v>10433</v>
      </c>
      <c r="AA1745">
        <v>0.4876110656002579</v>
      </c>
      <c r="AB1745">
        <f>HYPERLINK("Melting_Curves/meltCurve_P62601_treF.pdf", "Melting_Curves/meltCurve_P62601_treF.pdf")</f>
        <v>0</v>
      </c>
    </row>
    <row r="1746" spans="1:28">
      <c r="A1746" t="s">
        <v>1772</v>
      </c>
      <c r="B1746">
        <v>0.999739202189716</v>
      </c>
      <c r="C1746">
        <v>0.57743915441382</v>
      </c>
      <c r="D1746">
        <v>0.520035810401559</v>
      </c>
      <c r="E1746">
        <v>0.117223897595317</v>
      </c>
      <c r="F1746">
        <v>0.0744075860069289</v>
      </c>
      <c r="G1746">
        <v>0.0375237114590008</v>
      </c>
      <c r="H1746">
        <v>0.0278139360227957</v>
      </c>
      <c r="I1746">
        <v>0.0179298040268218</v>
      </c>
      <c r="J1746">
        <v>0.0226830005792196</v>
      </c>
      <c r="K1746">
        <v>0.0161075083091988</v>
      </c>
      <c r="L1746">
        <v>682.983725350811</v>
      </c>
      <c r="M1746">
        <v>16.2642958551057</v>
      </c>
      <c r="N1746">
        <v>42.0511240312461</v>
      </c>
      <c r="O1746">
        <v>41.3733906022568</v>
      </c>
      <c r="P1746">
        <v>-0.0971887055625016</v>
      </c>
      <c r="Q1746">
        <v>0.0111516389807298</v>
      </c>
      <c r="R1746">
        <v>0.960704439399909</v>
      </c>
      <c r="S1746" t="s">
        <v>3939</v>
      </c>
      <c r="T1746" t="s">
        <v>4362</v>
      </c>
      <c r="U1746" t="s">
        <v>4362</v>
      </c>
      <c r="V1746" t="s">
        <v>4362</v>
      </c>
      <c r="W1746" t="s">
        <v>6103</v>
      </c>
      <c r="X1746">
        <v>1</v>
      </c>
      <c r="Y1746" t="s">
        <v>8267</v>
      </c>
      <c r="Z1746" t="s">
        <v>10434</v>
      </c>
      <c r="AA1746">
        <v>0.1996351540042686</v>
      </c>
      <c r="AB1746">
        <f>HYPERLINK("Melting_Curves/meltCurve_P62615_ispE.pdf", "Melting_Curves/meltCurve_P62615_ispE.pdf")</f>
        <v>0</v>
      </c>
    </row>
    <row r="1747" spans="1:28">
      <c r="A1747" t="s">
        <v>1773</v>
      </c>
      <c r="B1747">
        <v>0.999739202189716</v>
      </c>
      <c r="C1747">
        <v>0.625748862936399</v>
      </c>
      <c r="D1747">
        <v>1.09281165392114</v>
      </c>
      <c r="E1747">
        <v>0.863134399697744</v>
      </c>
      <c r="F1747">
        <v>1.06812389940228</v>
      </c>
      <c r="G1747">
        <v>0.877622499824821</v>
      </c>
      <c r="H1747">
        <v>0.698381773185805</v>
      </c>
      <c r="I1747">
        <v>0.755691846768428</v>
      </c>
      <c r="J1747">
        <v>0.533723742762688</v>
      </c>
      <c r="K1747">
        <v>0.527940370448075</v>
      </c>
      <c r="L1747">
        <v>500.644543474443</v>
      </c>
      <c r="M1747">
        <v>7.44320453934467</v>
      </c>
      <c r="O1747">
        <v>62.9193996388128</v>
      </c>
      <c r="P1747">
        <v>-0.0296180983749794</v>
      </c>
      <c r="Q1747">
        <v>0</v>
      </c>
      <c r="R1747">
        <v>0.50921577026521</v>
      </c>
      <c r="S1747" t="s">
        <v>3940</v>
      </c>
      <c r="T1747" t="s">
        <v>4362</v>
      </c>
      <c r="U1747" t="s">
        <v>4362</v>
      </c>
      <c r="V1747" t="s">
        <v>4362</v>
      </c>
      <c r="W1747" t="s">
        <v>6104</v>
      </c>
      <c r="X1747">
        <v>2</v>
      </c>
      <c r="Y1747" t="s">
        <v>8268</v>
      </c>
      <c r="Z1747" t="s">
        <v>10435</v>
      </c>
      <c r="AA1747">
        <v>0.8429936488389685</v>
      </c>
      <c r="AB1747">
        <f>HYPERLINK("Melting_Curves/meltCurve_P62617_ispF.pdf", "Melting_Curves/meltCurve_P62617_ispF.pdf")</f>
        <v>0</v>
      </c>
    </row>
    <row r="1748" spans="1:28">
      <c r="A1748" t="s">
        <v>1774</v>
      </c>
      <c r="B1748">
        <v>0.999739202189716</v>
      </c>
      <c r="C1748">
        <v>0.864234944135311</v>
      </c>
      <c r="D1748">
        <v>0.5973706950907181</v>
      </c>
      <c r="E1748">
        <v>0.502676076191745</v>
      </c>
      <c r="F1748">
        <v>0.416472183414716</v>
      </c>
      <c r="G1748">
        <v>0.253652385056583</v>
      </c>
      <c r="H1748">
        <v>0.191108886934699</v>
      </c>
      <c r="I1748">
        <v>0.177765140448924</v>
      </c>
      <c r="J1748">
        <v>0.151528683294151</v>
      </c>
      <c r="K1748">
        <v>0.128771563156561</v>
      </c>
      <c r="L1748">
        <v>477.228036099115</v>
      </c>
      <c r="M1748">
        <v>10.4911400485266</v>
      </c>
      <c r="N1748">
        <v>46.631850767336</v>
      </c>
      <c r="O1748">
        <v>43.9291318105794</v>
      </c>
      <c r="P1748">
        <v>-0.0529564411335261</v>
      </c>
      <c r="Q1748">
        <v>0.113389311236903</v>
      </c>
      <c r="R1748">
        <v>0.978533537117121</v>
      </c>
      <c r="S1748" t="s">
        <v>3941</v>
      </c>
      <c r="T1748" t="s">
        <v>4362</v>
      </c>
      <c r="U1748" t="s">
        <v>4362</v>
      </c>
      <c r="V1748" t="s">
        <v>4362</v>
      </c>
      <c r="W1748" t="s">
        <v>6105</v>
      </c>
      <c r="X1748">
        <v>14</v>
      </c>
      <c r="Y1748" t="s">
        <v>8269</v>
      </c>
      <c r="Z1748" t="s">
        <v>10436</v>
      </c>
      <c r="AA1748">
        <v>0.4036313448584968</v>
      </c>
      <c r="AB1748">
        <f>HYPERLINK("Melting_Curves/meltCurve_P62620_ispG.pdf", "Melting_Curves/meltCurve_P62620_ispG.pdf")</f>
        <v>0</v>
      </c>
    </row>
    <row r="1749" spans="1:28">
      <c r="A1749" t="s">
        <v>1775</v>
      </c>
      <c r="B1749">
        <v>0.999739202189716</v>
      </c>
      <c r="C1749">
        <v>0.945518779269964</v>
      </c>
      <c r="D1749">
        <v>1.0646416429096</v>
      </c>
      <c r="E1749">
        <v>0.772025823471552</v>
      </c>
      <c r="F1749">
        <v>0.6800147571660899</v>
      </c>
      <c r="G1749">
        <v>0.426092386379529</v>
      </c>
      <c r="H1749">
        <v>0.279399622802555</v>
      </c>
      <c r="I1749">
        <v>0.182329330153605</v>
      </c>
      <c r="J1749">
        <v>0.143208785584061</v>
      </c>
      <c r="K1749">
        <v>0.120712881813031</v>
      </c>
      <c r="L1749">
        <v>731.004560240804</v>
      </c>
      <c r="M1749">
        <v>14.0746479660498</v>
      </c>
      <c r="N1749">
        <v>52.6274969421464</v>
      </c>
      <c r="O1749">
        <v>50.9229214789958</v>
      </c>
      <c r="P1749">
        <v>-0.0632856778319887</v>
      </c>
      <c r="Q1749">
        <v>0.0842331742984072</v>
      </c>
      <c r="R1749">
        <v>0.983570998617791</v>
      </c>
      <c r="S1749" t="s">
        <v>3942</v>
      </c>
      <c r="T1749" t="s">
        <v>4362</v>
      </c>
      <c r="U1749" t="s">
        <v>4362</v>
      </c>
      <c r="V1749" t="s">
        <v>4362</v>
      </c>
      <c r="W1749" t="s">
        <v>6106</v>
      </c>
      <c r="X1749">
        <v>7</v>
      </c>
      <c r="Y1749" t="s">
        <v>8270</v>
      </c>
      <c r="Z1749" t="s">
        <v>10437</v>
      </c>
      <c r="AA1749">
        <v>0.5590916397857959</v>
      </c>
      <c r="AB1749">
        <f>HYPERLINK("Melting_Curves/meltCurve_P62623_ispH.pdf", "Melting_Curves/meltCurve_P62623_ispH.pdf")</f>
        <v>0</v>
      </c>
    </row>
    <row r="1750" spans="1:28">
      <c r="A1750" t="s">
        <v>1776</v>
      </c>
      <c r="B1750">
        <v>0.999739202189716</v>
      </c>
      <c r="C1750">
        <v>0.949395023911929</v>
      </c>
      <c r="D1750">
        <v>0.911237566671584</v>
      </c>
      <c r="E1750">
        <v>0.6132272672796359</v>
      </c>
      <c r="F1750">
        <v>0.501239734774901</v>
      </c>
      <c r="G1750">
        <v>0.345715255623074</v>
      </c>
      <c r="H1750">
        <v>0.269896909477188</v>
      </c>
      <c r="I1750">
        <v>0.183102793690385</v>
      </c>
      <c r="J1750">
        <v>0.139674477928927</v>
      </c>
      <c r="K1750">
        <v>0.121870675514855</v>
      </c>
      <c r="L1750">
        <v>569.990571349569</v>
      </c>
      <c r="M1750">
        <v>11.6137480099058</v>
      </c>
      <c r="N1750">
        <v>50.0102225830372</v>
      </c>
      <c r="O1750">
        <v>47.6915358843663</v>
      </c>
      <c r="P1750">
        <v>-0.0549746343552857</v>
      </c>
      <c r="Q1750">
        <v>0.09723972416416669</v>
      </c>
      <c r="R1750">
        <v>0.990490238810365</v>
      </c>
      <c r="S1750" t="s">
        <v>3943</v>
      </c>
      <c r="T1750" t="s">
        <v>4362</v>
      </c>
      <c r="U1750" t="s">
        <v>4362</v>
      </c>
      <c r="V1750" t="s">
        <v>4362</v>
      </c>
      <c r="W1750" t="s">
        <v>6107</v>
      </c>
      <c r="X1750">
        <v>3</v>
      </c>
      <c r="Y1750" t="s">
        <v>8271</v>
      </c>
      <c r="Z1750" t="s">
        <v>10438</v>
      </c>
      <c r="AA1750">
        <v>0.488586820430453</v>
      </c>
      <c r="AB1750">
        <f>HYPERLINK("Melting_Curves/meltCurve_P62672_apaG.pdf", "Melting_Curves/meltCurve_P62672_apaG.pdf")</f>
        <v>0</v>
      </c>
    </row>
    <row r="1751" spans="1:28">
      <c r="A1751" t="s">
        <v>1777</v>
      </c>
      <c r="B1751">
        <v>0.999739202189716</v>
      </c>
      <c r="C1751">
        <v>0.847290899189289</v>
      </c>
      <c r="D1751">
        <v>0.984554021740433</v>
      </c>
      <c r="E1751">
        <v>1.05041409758171</v>
      </c>
      <c r="F1751">
        <v>0.8914532047175781</v>
      </c>
      <c r="G1751">
        <v>0.559286349689647</v>
      </c>
      <c r="H1751">
        <v>0.139525465851337</v>
      </c>
      <c r="I1751">
        <v>0.08054726465799369</v>
      </c>
      <c r="J1751">
        <v>0.0655778365579234</v>
      </c>
      <c r="K1751">
        <v>0.0571506263063742</v>
      </c>
      <c r="L1751">
        <v>1797.43689430403</v>
      </c>
      <c r="M1751">
        <v>33.3491811145304</v>
      </c>
      <c r="N1751">
        <v>54.083951849525</v>
      </c>
      <c r="O1751">
        <v>53.7047917570412</v>
      </c>
      <c r="P1751">
        <v>-0.146812066488625</v>
      </c>
      <c r="Q1751">
        <v>0.0543123191209376</v>
      </c>
      <c r="R1751">
        <v>0.983173954893821</v>
      </c>
      <c r="S1751" t="s">
        <v>3944</v>
      </c>
      <c r="T1751" t="s">
        <v>4362</v>
      </c>
      <c r="U1751" t="s">
        <v>4362</v>
      </c>
      <c r="V1751" t="s">
        <v>4362</v>
      </c>
      <c r="W1751" t="s">
        <v>6108</v>
      </c>
      <c r="X1751">
        <v>9</v>
      </c>
      <c r="Y1751" t="s">
        <v>8272</v>
      </c>
      <c r="Z1751" t="s">
        <v>10439</v>
      </c>
      <c r="AA1751">
        <v>0.5919349116490713</v>
      </c>
      <c r="AB1751">
        <f>HYPERLINK("Melting_Curves/meltCurve_P62707_gpmA.pdf", "Melting_Curves/meltCurve_P62707_gpmA.pdf")</f>
        <v>0</v>
      </c>
    </row>
    <row r="1752" spans="1:28">
      <c r="A1752" t="s">
        <v>1778</v>
      </c>
      <c r="B1752">
        <v>0.999739202189716</v>
      </c>
      <c r="C1752">
        <v>0.939632502746819</v>
      </c>
      <c r="D1752">
        <v>1.03268187789219</v>
      </c>
      <c r="E1752">
        <v>1.09336442163087</v>
      </c>
      <c r="F1752">
        <v>1.12493565227645</v>
      </c>
      <c r="G1752">
        <v>0.856217852357579</v>
      </c>
      <c r="H1752">
        <v>0.737104605753811</v>
      </c>
      <c r="I1752">
        <v>0.633854476802863</v>
      </c>
      <c r="J1752">
        <v>0.604278094156452</v>
      </c>
      <c r="K1752">
        <v>0.457551488582918</v>
      </c>
      <c r="L1752">
        <v>1240.78430092638</v>
      </c>
      <c r="M1752">
        <v>21.5359909465755</v>
      </c>
      <c r="O1752">
        <v>57.1245913620703</v>
      </c>
      <c r="P1752">
        <v>-0.0476938802599478</v>
      </c>
      <c r="Q1752">
        <v>0.493976946344103</v>
      </c>
      <c r="R1752">
        <v>0.9028016269074129</v>
      </c>
      <c r="S1752" t="s">
        <v>3945</v>
      </c>
      <c r="T1752" t="s">
        <v>4362</v>
      </c>
      <c r="U1752" t="s">
        <v>4362</v>
      </c>
      <c r="V1752" t="s">
        <v>4362</v>
      </c>
      <c r="W1752" t="s">
        <v>6109</v>
      </c>
      <c r="X1752">
        <v>12</v>
      </c>
      <c r="Y1752" t="s">
        <v>8273</v>
      </c>
      <c r="Z1752" t="s">
        <v>10440</v>
      </c>
      <c r="AA1752">
        <v>0.8455012245224561</v>
      </c>
      <c r="AB1752">
        <f>HYPERLINK("Melting_Curves/meltCurve_P62768_yaeH.pdf", "Melting_Curves/meltCurve_P62768_yaeH.pdf")</f>
        <v>0</v>
      </c>
    </row>
    <row r="1753" spans="1:28">
      <c r="A1753" t="s">
        <v>1779</v>
      </c>
      <c r="B1753">
        <v>0.999739202189716</v>
      </c>
      <c r="C1753">
        <v>0.942147858980086</v>
      </c>
      <c r="D1753">
        <v>0.765130804088019</v>
      </c>
      <c r="E1753">
        <v>0.917839620537298</v>
      </c>
      <c r="F1753">
        <v>0.864378436190236</v>
      </c>
      <c r="G1753">
        <v>0.734471234799625</v>
      </c>
      <c r="H1753">
        <v>0.65606956875681</v>
      </c>
      <c r="I1753">
        <v>0.609603386828203</v>
      </c>
      <c r="J1753">
        <v>0.473307040462744</v>
      </c>
      <c r="K1753">
        <v>0.524444948303603</v>
      </c>
      <c r="L1753">
        <v>283.53293821944</v>
      </c>
      <c r="M1753">
        <v>4.26278962485868</v>
      </c>
      <c r="N1753">
        <v>66.51348474941339</v>
      </c>
      <c r="O1753">
        <v>55.6733562315022</v>
      </c>
      <c r="P1753">
        <v>-0.0193421543063344</v>
      </c>
      <c r="Q1753">
        <v>0</v>
      </c>
      <c r="R1753">
        <v>0.880100847701672</v>
      </c>
      <c r="S1753" t="s">
        <v>3946</v>
      </c>
      <c r="T1753" t="s">
        <v>4362</v>
      </c>
      <c r="U1753" t="s">
        <v>4362</v>
      </c>
      <c r="V1753" t="s">
        <v>4362</v>
      </c>
      <c r="W1753" t="s">
        <v>6110</v>
      </c>
      <c r="X1753">
        <v>7</v>
      </c>
      <c r="Y1753" t="s">
        <v>8274</v>
      </c>
      <c r="Z1753" t="s">
        <v>10441</v>
      </c>
      <c r="AA1753">
        <v>0.7543334953845235</v>
      </c>
      <c r="AB1753">
        <f>HYPERLINK("Melting_Curves/meltCurve_P63020_nfuA.pdf", "Melting_Curves/meltCurve_P63020_nfuA.pdf")</f>
        <v>0</v>
      </c>
    </row>
    <row r="1754" spans="1:28">
      <c r="A1754" t="s">
        <v>1780</v>
      </c>
      <c r="B1754">
        <v>0.999739202189716</v>
      </c>
      <c r="C1754">
        <v>0.921967722698697</v>
      </c>
      <c r="D1754">
        <v>0.627546455301355</v>
      </c>
      <c r="E1754">
        <v>0.255425971369313</v>
      </c>
      <c r="F1754">
        <v>0.135929060611786</v>
      </c>
      <c r="G1754">
        <v>0.0908000412392832</v>
      </c>
      <c r="H1754">
        <v>0.0647516653979686</v>
      </c>
      <c r="I1754">
        <v>0.0519679021622187</v>
      </c>
      <c r="J1754">
        <v>0.0548501430573788</v>
      </c>
      <c r="K1754">
        <v>0.0537289809231645</v>
      </c>
      <c r="L1754">
        <v>981.40357007896</v>
      </c>
      <c r="M1754">
        <v>22.3708093079229</v>
      </c>
      <c r="N1754">
        <v>44.1291218627719</v>
      </c>
      <c r="O1754">
        <v>43.5237899402968</v>
      </c>
      <c r="P1754">
        <v>-0.120586382929424</v>
      </c>
      <c r="Q1754">
        <v>0.0615866485732788</v>
      </c>
      <c r="R1754">
        <v>0.998911732310808</v>
      </c>
      <c r="S1754" t="s">
        <v>3947</v>
      </c>
      <c r="T1754" t="s">
        <v>4362</v>
      </c>
      <c r="U1754" t="s">
        <v>4362</v>
      </c>
      <c r="V1754" t="s">
        <v>4362</v>
      </c>
      <c r="W1754" t="s">
        <v>6111</v>
      </c>
      <c r="X1754">
        <v>8</v>
      </c>
      <c r="Y1754" t="s">
        <v>8275</v>
      </c>
      <c r="Z1754" t="s">
        <v>10442</v>
      </c>
      <c r="AA1754">
        <v>0.2863249129980147</v>
      </c>
      <c r="AB1754">
        <f>HYPERLINK("Melting_Curves/meltCurve_P63177_rlmB.pdf", "Melting_Curves/meltCurve_P63177_rlmB.pdf")</f>
        <v>0</v>
      </c>
    </row>
    <row r="1755" spans="1:28">
      <c r="A1755" t="s">
        <v>1781</v>
      </c>
      <c r="B1755">
        <v>0.999739202189716</v>
      </c>
      <c r="C1755">
        <v>1.6032306181065</v>
      </c>
      <c r="D1755">
        <v>0.284795585037179</v>
      </c>
      <c r="E1755">
        <v>0.451607367348187</v>
      </c>
      <c r="F1755">
        <v>0.542242605405187</v>
      </c>
      <c r="G1755">
        <v>0.236838758411346</v>
      </c>
      <c r="H1755">
        <v>0.202912989179493</v>
      </c>
      <c r="I1755">
        <v>0.153721323344049</v>
      </c>
      <c r="J1755">
        <v>0.216315897393955</v>
      </c>
      <c r="K1755">
        <v>0.163319634899628</v>
      </c>
      <c r="L1755">
        <v>10526.3200704188</v>
      </c>
      <c r="M1755">
        <v>250</v>
      </c>
      <c r="N1755">
        <v>42.2447538982027</v>
      </c>
      <c r="O1755">
        <v>42.1025907637759</v>
      </c>
      <c r="P1755">
        <v>-1.06736728128365</v>
      </c>
      <c r="Q1755">
        <v>0.280977239649797</v>
      </c>
      <c r="R1755">
        <v>0.746519819765765</v>
      </c>
      <c r="S1755" t="s">
        <v>3948</v>
      </c>
      <c r="T1755" t="s">
        <v>4362</v>
      </c>
      <c r="U1755" t="s">
        <v>4362</v>
      </c>
      <c r="V1755" t="s">
        <v>4362</v>
      </c>
      <c r="W1755" t="s">
        <v>6112</v>
      </c>
      <c r="X1755">
        <v>4</v>
      </c>
      <c r="Y1755" t="s">
        <v>8276</v>
      </c>
      <c r="Z1755" t="s">
        <v>10443</v>
      </c>
      <c r="AA1755">
        <v>0.4033907952142725</v>
      </c>
      <c r="AB1755">
        <f>HYPERLINK("Melting_Curves/meltCurve_P63204_gadE.pdf", "Melting_Curves/meltCurve_P63204_gadE.pdf")</f>
        <v>0</v>
      </c>
    </row>
    <row r="1756" spans="1:28">
      <c r="A1756" t="s">
        <v>1782</v>
      </c>
      <c r="B1756">
        <v>0.999739202189716</v>
      </c>
      <c r="C1756">
        <v>0.921135551268656</v>
      </c>
      <c r="D1756">
        <v>0.889524532385533</v>
      </c>
      <c r="E1756">
        <v>0.757766265171648</v>
      </c>
      <c r="F1756">
        <v>0.563008142639724</v>
      </c>
      <c r="G1756">
        <v>0.36614494690934</v>
      </c>
      <c r="H1756">
        <v>0.252564196282723</v>
      </c>
      <c r="I1756">
        <v>0.18984511794951</v>
      </c>
      <c r="J1756">
        <v>0.179781568886826</v>
      </c>
      <c r="K1756">
        <v>0.131349853674012</v>
      </c>
      <c r="L1756">
        <v>596.6411430195139</v>
      </c>
      <c r="M1756">
        <v>11.8649046452723</v>
      </c>
      <c r="N1756">
        <v>51.1775891759535</v>
      </c>
      <c r="O1756">
        <v>48.9215613614613</v>
      </c>
      <c r="P1756">
        <v>-0.0549861309903983</v>
      </c>
      <c r="Q1756">
        <v>0.0933496449896966</v>
      </c>
      <c r="R1756">
        <v>0.997352629855224</v>
      </c>
      <c r="S1756" t="s">
        <v>3949</v>
      </c>
      <c r="T1756" t="s">
        <v>4362</v>
      </c>
      <c r="U1756" t="s">
        <v>4362</v>
      </c>
      <c r="V1756" t="s">
        <v>4362</v>
      </c>
      <c r="W1756" t="s">
        <v>6113</v>
      </c>
      <c r="X1756">
        <v>12</v>
      </c>
      <c r="Y1756" t="s">
        <v>8277</v>
      </c>
      <c r="Z1756" t="s">
        <v>10444</v>
      </c>
      <c r="AA1756">
        <v>0.5200930218125972</v>
      </c>
      <c r="AB1756">
        <f>HYPERLINK("Melting_Curves/meltCurve_P63224_gmhA.pdf", "Melting_Curves/meltCurve_P63224_gmhA.pdf")</f>
        <v>0</v>
      </c>
    </row>
    <row r="1757" spans="1:28">
      <c r="A1757" t="s">
        <v>1783</v>
      </c>
      <c r="B1757">
        <v>0.999739202189716</v>
      </c>
      <c r="C1757">
        <v>0.970666167367913</v>
      </c>
      <c r="D1757">
        <v>0.95853819575215</v>
      </c>
      <c r="E1757">
        <v>0.735269087422905</v>
      </c>
      <c r="F1757">
        <v>0.400252304543716</v>
      </c>
      <c r="G1757">
        <v>0.140197577696799</v>
      </c>
      <c r="H1757">
        <v>0.06674097651943089</v>
      </c>
      <c r="I1757">
        <v>0.0336717588199579</v>
      </c>
      <c r="J1757">
        <v>0.0263364536830014</v>
      </c>
      <c r="K1757">
        <v>0.0305572242466559</v>
      </c>
      <c r="L1757">
        <v>1008.84663834064</v>
      </c>
      <c r="M1757">
        <v>20.6040128285442</v>
      </c>
      <c r="N1757">
        <v>49.0594565209056</v>
      </c>
      <c r="O1757">
        <v>48.5093664481076</v>
      </c>
      <c r="P1757">
        <v>-0.104094283903676</v>
      </c>
      <c r="Q1757">
        <v>0.0197246049656288</v>
      </c>
      <c r="R1757">
        <v>0.999401248614097</v>
      </c>
      <c r="S1757" t="s">
        <v>3950</v>
      </c>
      <c r="T1757" t="s">
        <v>4362</v>
      </c>
      <c r="U1757" t="s">
        <v>4362</v>
      </c>
      <c r="V1757" t="s">
        <v>4362</v>
      </c>
      <c r="W1757" t="s">
        <v>6114</v>
      </c>
      <c r="X1757">
        <v>1</v>
      </c>
      <c r="Y1757" t="s">
        <v>8278</v>
      </c>
      <c r="Z1757" t="s">
        <v>10445</v>
      </c>
      <c r="AA1757">
        <v>0.4228726923756916</v>
      </c>
      <c r="AB1757">
        <f>HYPERLINK("Melting_Curves/meltCurve_P63229_gmhB.pdf", "Melting_Curves/meltCurve_P63229_gmhB.pdf")</f>
        <v>0</v>
      </c>
    </row>
    <row r="1758" spans="1:28">
      <c r="A1758" t="s">
        <v>1784</v>
      </c>
      <c r="B1758">
        <v>0.999739202189716</v>
      </c>
      <c r="C1758">
        <v>1.22350625703313</v>
      </c>
      <c r="D1758">
        <v>0.87733222743807</v>
      </c>
      <c r="E1758">
        <v>0.672964193234008</v>
      </c>
      <c r="F1758">
        <v>0.335225511819422</v>
      </c>
      <c r="G1758">
        <v>0.172426438644777</v>
      </c>
      <c r="H1758">
        <v>0.0843170786867183</v>
      </c>
      <c r="I1758">
        <v>0.0489756724048481</v>
      </c>
      <c r="J1758">
        <v>0.0409379052021812</v>
      </c>
      <c r="K1758">
        <v>0.0331413904905987</v>
      </c>
      <c r="L1758">
        <v>974.1640493604</v>
      </c>
      <c r="M1758">
        <v>20.2057589958555</v>
      </c>
      <c r="N1758">
        <v>48.4193546851636</v>
      </c>
      <c r="O1758">
        <v>47.7474083570815</v>
      </c>
      <c r="P1758">
        <v>-0.101417486473745</v>
      </c>
      <c r="Q1758">
        <v>0.0414076468676711</v>
      </c>
      <c r="R1758">
        <v>0.967919553386277</v>
      </c>
      <c r="S1758" t="s">
        <v>3951</v>
      </c>
      <c r="T1758" t="s">
        <v>4362</v>
      </c>
      <c r="U1758" t="s">
        <v>4362</v>
      </c>
      <c r="V1758" t="s">
        <v>4362</v>
      </c>
      <c r="W1758" t="s">
        <v>6115</v>
      </c>
      <c r="X1758">
        <v>8</v>
      </c>
      <c r="Y1758" t="s">
        <v>8279</v>
      </c>
      <c r="Z1758" t="s">
        <v>10446</v>
      </c>
      <c r="AA1758">
        <v>0.4120354175496831</v>
      </c>
      <c r="AB1758">
        <f>HYPERLINK("Melting_Curves/meltCurve_P63235_gadC.pdf", "Melting_Curves/meltCurve_P63235_gadC.pdf")</f>
        <v>0</v>
      </c>
    </row>
    <row r="1759" spans="1:28">
      <c r="A1759" t="s">
        <v>1785</v>
      </c>
      <c r="B1759">
        <v>0.999739202189716</v>
      </c>
      <c r="C1759">
        <v>1.16901390933042</v>
      </c>
      <c r="D1759">
        <v>1.21630001877187</v>
      </c>
      <c r="E1759">
        <v>1.4176991132312</v>
      </c>
      <c r="F1759">
        <v>1.06162081848384</v>
      </c>
      <c r="G1759">
        <v>0.817667059587878</v>
      </c>
      <c r="H1759">
        <v>0.439578864523365</v>
      </c>
      <c r="I1759">
        <v>0.126750019868008</v>
      </c>
      <c r="J1759">
        <v>0.0750537032272045</v>
      </c>
      <c r="K1759">
        <v>0.0597457140017562</v>
      </c>
      <c r="L1759">
        <v>1829.47264568715</v>
      </c>
      <c r="M1759">
        <v>32.310509646217</v>
      </c>
      <c r="N1759">
        <v>56.8141942135788</v>
      </c>
      <c r="O1759">
        <v>56.406024675777</v>
      </c>
      <c r="P1759">
        <v>-0.135777771986849</v>
      </c>
      <c r="Q1759">
        <v>0.0518692168428282</v>
      </c>
      <c r="R1759">
        <v>0.893289087283605</v>
      </c>
      <c r="S1759" t="s">
        <v>3952</v>
      </c>
      <c r="T1759" t="s">
        <v>4362</v>
      </c>
      <c r="U1759" t="s">
        <v>4362</v>
      </c>
      <c r="V1759" t="s">
        <v>4362</v>
      </c>
      <c r="W1759" t="s">
        <v>6116</v>
      </c>
      <c r="X1759">
        <v>40</v>
      </c>
      <c r="Y1759" t="s">
        <v>8280</v>
      </c>
      <c r="Z1759" t="s">
        <v>10447</v>
      </c>
      <c r="AA1759">
        <v>0.6771522886535328</v>
      </c>
      <c r="AB1759">
        <f>HYPERLINK("Melting_Curves/meltCurve_P63284_clpB.pdf", "Melting_Curves/meltCurve_P63284_clpB.pdf")</f>
        <v>0</v>
      </c>
    </row>
    <row r="1760" spans="1:28">
      <c r="A1760" t="s">
        <v>1786</v>
      </c>
      <c r="B1760">
        <v>0.999739202189716</v>
      </c>
      <c r="C1760">
        <v>1.08394226275564</v>
      </c>
      <c r="D1760">
        <v>0.770259726249172</v>
      </c>
      <c r="E1760">
        <v>0.713623728309815</v>
      </c>
      <c r="F1760">
        <v>0.547554159291091</v>
      </c>
      <c r="G1760">
        <v>0.423186497116744</v>
      </c>
      <c r="H1760">
        <v>0.353772162823056</v>
      </c>
      <c r="I1760">
        <v>0.294515348399039</v>
      </c>
      <c r="J1760">
        <v>0.212196099183594</v>
      </c>
      <c r="K1760">
        <v>0.167445006897242</v>
      </c>
      <c r="L1760">
        <v>506.869665921361</v>
      </c>
      <c r="M1760">
        <v>10.1516787342129</v>
      </c>
      <c r="N1760">
        <v>51.6351069992071</v>
      </c>
      <c r="O1760">
        <v>48.1083994301111</v>
      </c>
      <c r="P1760">
        <v>-0.0452607181427847</v>
      </c>
      <c r="Q1760">
        <v>0.142438830548403</v>
      </c>
      <c r="R1760">
        <v>0.964265506051978</v>
      </c>
      <c r="S1760" t="s">
        <v>3953</v>
      </c>
      <c r="T1760" t="s">
        <v>4362</v>
      </c>
      <c r="U1760" t="s">
        <v>4362</v>
      </c>
      <c r="V1760" t="s">
        <v>4362</v>
      </c>
      <c r="W1760" t="s">
        <v>6117</v>
      </c>
      <c r="X1760">
        <v>3</v>
      </c>
      <c r="Y1760" t="s">
        <v>8281</v>
      </c>
      <c r="Z1760" t="s">
        <v>10448</v>
      </c>
      <c r="AA1760">
        <v>0.5409152529392652</v>
      </c>
      <c r="AB1760">
        <f>HYPERLINK("Melting_Curves/meltCurve_P63340_yqeG.pdf", "Melting_Curves/meltCurve_P63340_yqeG.pdf")</f>
        <v>0</v>
      </c>
    </row>
    <row r="1761" spans="1:28">
      <c r="A1761" t="s">
        <v>1787</v>
      </c>
      <c r="B1761">
        <v>0.999739202189716</v>
      </c>
      <c r="C1761">
        <v>1.01346717045452</v>
      </c>
      <c r="D1761">
        <v>0.701698086238878</v>
      </c>
      <c r="E1761">
        <v>0.404414338262332</v>
      </c>
      <c r="F1761">
        <v>0.157777195516488</v>
      </c>
      <c r="G1761">
        <v>0.106582604454022</v>
      </c>
      <c r="H1761">
        <v>0.08791005610628699</v>
      </c>
      <c r="I1761">
        <v>0.0670087503355446</v>
      </c>
      <c r="J1761">
        <v>0.0670811520325018</v>
      </c>
      <c r="K1761">
        <v>0.0620533803506813</v>
      </c>
      <c r="L1761">
        <v>937.54277858843</v>
      </c>
      <c r="M1761">
        <v>20.807090787151</v>
      </c>
      <c r="N1761">
        <v>45.3796342906403</v>
      </c>
      <c r="O1761">
        <v>44.6488000473358</v>
      </c>
      <c r="P1761">
        <v>-0.108538352331775</v>
      </c>
      <c r="Q1761">
        <v>0.0683998319196269</v>
      </c>
      <c r="R1761">
        <v>0.993896292324805</v>
      </c>
      <c r="S1761" t="s">
        <v>3954</v>
      </c>
      <c r="T1761" t="s">
        <v>4362</v>
      </c>
      <c r="U1761" t="s">
        <v>4362</v>
      </c>
      <c r="V1761" t="s">
        <v>4362</v>
      </c>
      <c r="W1761" t="s">
        <v>6118</v>
      </c>
      <c r="X1761">
        <v>7</v>
      </c>
      <c r="Y1761" t="s">
        <v>8282</v>
      </c>
      <c r="Z1761" t="s">
        <v>10449</v>
      </c>
      <c r="AA1761">
        <v>0.3299104391748671</v>
      </c>
      <c r="AB1761">
        <f>HYPERLINK("Melting_Curves/meltCurve_P63386_mlaF.pdf", "Melting_Curves/meltCurve_P63386_mlaF.pdf")</f>
        <v>0</v>
      </c>
    </row>
    <row r="1762" spans="1:28">
      <c r="A1762" t="s">
        <v>1788</v>
      </c>
      <c r="B1762">
        <v>0.999739202189716</v>
      </c>
      <c r="C1762">
        <v>0.996932869415764</v>
      </c>
      <c r="D1762">
        <v>0.65607579386688</v>
      </c>
      <c r="E1762">
        <v>0.349054889034573</v>
      </c>
      <c r="F1762">
        <v>0.239150597426282</v>
      </c>
      <c r="G1762">
        <v>0.147979149585569</v>
      </c>
      <c r="H1762">
        <v>0.133023151893667</v>
      </c>
      <c r="I1762">
        <v>0.101588007702951</v>
      </c>
      <c r="J1762">
        <v>0.108286495215568</v>
      </c>
      <c r="K1762">
        <v>0.0848526862475784</v>
      </c>
      <c r="L1762">
        <v>919.306852666737</v>
      </c>
      <c r="M1762">
        <v>20.7199428540191</v>
      </c>
      <c r="N1762">
        <v>44.9349321471248</v>
      </c>
      <c r="O1762">
        <v>43.9611351921527</v>
      </c>
      <c r="P1762">
        <v>-0.104285527992223</v>
      </c>
      <c r="Q1762">
        <v>0.114982029071163</v>
      </c>
      <c r="R1762">
        <v>0.990206191096726</v>
      </c>
      <c r="S1762" t="s">
        <v>3955</v>
      </c>
      <c r="T1762" t="s">
        <v>4362</v>
      </c>
      <c r="U1762" t="s">
        <v>4362</v>
      </c>
      <c r="V1762" t="s">
        <v>4362</v>
      </c>
      <c r="W1762" t="s">
        <v>6119</v>
      </c>
      <c r="X1762">
        <v>8</v>
      </c>
      <c r="Y1762" t="s">
        <v>8283</v>
      </c>
      <c r="Z1762" t="s">
        <v>10450</v>
      </c>
      <c r="AA1762">
        <v>0.3432249806130789</v>
      </c>
      <c r="AB1762">
        <f>HYPERLINK("Melting_Curves/meltCurve_P63389_yheS.pdf", "Melting_Curves/meltCurve_P63389_yheS.pdf")</f>
        <v>0</v>
      </c>
    </row>
    <row r="1763" spans="1:28">
      <c r="A1763" t="s">
        <v>1789</v>
      </c>
      <c r="B1763">
        <v>0.999739202189716</v>
      </c>
      <c r="C1763">
        <v>1.01390737915721</v>
      </c>
      <c r="D1763">
        <v>0.6596263728376101</v>
      </c>
      <c r="E1763">
        <v>0.715404665555647</v>
      </c>
      <c r="F1763">
        <v>0.403262410574975</v>
      </c>
      <c r="G1763">
        <v>0.235486494939143</v>
      </c>
      <c r="H1763">
        <v>0.195255784996292</v>
      </c>
      <c r="I1763">
        <v>0.210416216133783</v>
      </c>
      <c r="J1763">
        <v>0.209653315515617</v>
      </c>
      <c r="K1763">
        <v>0.255212649532568</v>
      </c>
      <c r="L1763">
        <v>665.309649379077</v>
      </c>
      <c r="M1763">
        <v>14.2545884859396</v>
      </c>
      <c r="N1763">
        <v>48.2474362652351</v>
      </c>
      <c r="O1763">
        <v>45.7836210399765</v>
      </c>
      <c r="P1763">
        <v>-0.0633709112929241</v>
      </c>
      <c r="Q1763">
        <v>0.185948592411776</v>
      </c>
      <c r="R1763">
        <v>0.94589151232395</v>
      </c>
      <c r="S1763" t="s">
        <v>3956</v>
      </c>
      <c r="T1763" t="s">
        <v>4362</v>
      </c>
      <c r="U1763" t="s">
        <v>4362</v>
      </c>
      <c r="V1763" t="s">
        <v>4362</v>
      </c>
      <c r="W1763" t="s">
        <v>6120</v>
      </c>
      <c r="X1763">
        <v>2</v>
      </c>
      <c r="Y1763" t="s">
        <v>8284</v>
      </c>
      <c r="Z1763" t="s">
        <v>10451</v>
      </c>
      <c r="AA1763">
        <v>0.4686788556412613</v>
      </c>
      <c r="AB1763">
        <f>HYPERLINK("Melting_Curves/meltCurve_P63417_yhbS.pdf", "Melting_Curves/meltCurve_P63417_yhbS.pdf")</f>
        <v>0</v>
      </c>
    </row>
    <row r="1764" spans="1:28">
      <c r="A1764" t="s">
        <v>1790</v>
      </c>
      <c r="B1764">
        <v>0.999739202189716</v>
      </c>
      <c r="C1764">
        <v>1.1207063503073</v>
      </c>
      <c r="D1764">
        <v>0.99392104346403</v>
      </c>
      <c r="E1764">
        <v>0.911592759464833</v>
      </c>
      <c r="F1764">
        <v>0.514637544779226</v>
      </c>
      <c r="G1764">
        <v>0.139160438745576</v>
      </c>
      <c r="H1764">
        <v>0.0950269761857408</v>
      </c>
      <c r="I1764">
        <v>0.0729298786496</v>
      </c>
      <c r="J1764">
        <v>0.0647572205282738</v>
      </c>
      <c r="K1764">
        <v>0.0621217080089943</v>
      </c>
      <c r="L1764">
        <v>1625.47062701385</v>
      </c>
      <c r="M1764">
        <v>32.4901244121297</v>
      </c>
      <c r="N1764">
        <v>50.2509537028567</v>
      </c>
      <c r="O1764">
        <v>49.8412976965118</v>
      </c>
      <c r="P1764">
        <v>-0.152106603617496</v>
      </c>
      <c r="Q1764">
        <v>0.0666512637677457</v>
      </c>
      <c r="R1764">
        <v>0.9920089548658541</v>
      </c>
      <c r="S1764" t="s">
        <v>3957</v>
      </c>
      <c r="T1764" t="s">
        <v>4362</v>
      </c>
      <c r="U1764" t="s">
        <v>4362</v>
      </c>
      <c r="V1764" t="s">
        <v>4362</v>
      </c>
      <c r="W1764" t="s">
        <v>6121</v>
      </c>
      <c r="X1764">
        <v>10</v>
      </c>
      <c r="Y1764" t="s">
        <v>8285</v>
      </c>
      <c r="Z1764" t="s">
        <v>10452</v>
      </c>
      <c r="AA1764">
        <v>0.4769174849666085</v>
      </c>
      <c r="AB1764">
        <f>HYPERLINK("Melting_Curves/meltCurve_P63883_amiC.pdf", "Melting_Curves/meltCurve_P63883_amiC.pdf")</f>
        <v>0</v>
      </c>
    </row>
    <row r="1765" spans="1:28">
      <c r="A1765" t="s">
        <v>1791</v>
      </c>
      <c r="B1765">
        <v>0.999739202189716</v>
      </c>
      <c r="C1765">
        <v>0.795640769596396</v>
      </c>
      <c r="D1765">
        <v>0.582729487943681</v>
      </c>
      <c r="E1765">
        <v>0.326565550789261</v>
      </c>
      <c r="F1765">
        <v>0.205719083740096</v>
      </c>
      <c r="G1765">
        <v>0.155229885247333</v>
      </c>
      <c r="H1765">
        <v>0.117973912792557</v>
      </c>
      <c r="I1765">
        <v>0.0952351645619344</v>
      </c>
      <c r="J1765">
        <v>0.08030825505320049</v>
      </c>
      <c r="K1765">
        <v>0.086555841437611</v>
      </c>
      <c r="L1765">
        <v>669.003432383048</v>
      </c>
      <c r="M1765">
        <v>15.3769010754011</v>
      </c>
      <c r="N1765">
        <v>44.07640081592</v>
      </c>
      <c r="O1765">
        <v>42.7911308281449</v>
      </c>
      <c r="P1765">
        <v>-0.0817524261333019</v>
      </c>
      <c r="Q1765">
        <v>0.09007459463498139</v>
      </c>
      <c r="R1765">
        <v>0.995270154591415</v>
      </c>
      <c r="S1765" t="s">
        <v>3958</v>
      </c>
      <c r="T1765" t="s">
        <v>4362</v>
      </c>
      <c r="U1765" t="s">
        <v>4362</v>
      </c>
      <c r="V1765" t="s">
        <v>4362</v>
      </c>
      <c r="W1765" t="s">
        <v>6122</v>
      </c>
      <c r="X1765">
        <v>4</v>
      </c>
      <c r="Y1765" t="s">
        <v>8286</v>
      </c>
      <c r="Z1765" t="s">
        <v>10453</v>
      </c>
      <c r="AA1765">
        <v>0.3094860722309319</v>
      </c>
      <c r="AB1765">
        <f>HYPERLINK("Melting_Curves/meltCurve_P64423_zntB.pdf", "Melting_Curves/meltCurve_P64423_zntB.pdf")</f>
        <v>0</v>
      </c>
    </row>
    <row r="1766" spans="1:28">
      <c r="A1766" t="s">
        <v>1792</v>
      </c>
      <c r="B1766">
        <v>0.999739202189716</v>
      </c>
      <c r="C1766">
        <v>0.895573349009823</v>
      </c>
      <c r="D1766">
        <v>0.934012351272437</v>
      </c>
      <c r="E1766">
        <v>1.06364383335133</v>
      </c>
      <c r="F1766">
        <v>0.946498957689384</v>
      </c>
      <c r="G1766">
        <v>0.822273289881956</v>
      </c>
      <c r="H1766">
        <v>0.751980690481092</v>
      </c>
      <c r="I1766">
        <v>0.641606985830544</v>
      </c>
      <c r="J1766">
        <v>0.464200781273356</v>
      </c>
      <c r="K1766">
        <v>0.412860345913389</v>
      </c>
      <c r="L1766">
        <v>665.767868059282</v>
      </c>
      <c r="M1766">
        <v>10.68920196201</v>
      </c>
      <c r="N1766">
        <v>63.9548967735003</v>
      </c>
      <c r="O1766">
        <v>60.2229399622241</v>
      </c>
      <c r="P1766">
        <v>-0.0389824711842184</v>
      </c>
      <c r="Q1766">
        <v>0.121822203427024</v>
      </c>
      <c r="R1766">
        <v>0.943648170931937</v>
      </c>
      <c r="S1766" t="s">
        <v>3959</v>
      </c>
      <c r="T1766" t="s">
        <v>4362</v>
      </c>
      <c r="U1766" t="s">
        <v>4362</v>
      </c>
      <c r="V1766" t="s">
        <v>4362</v>
      </c>
      <c r="W1766" t="s">
        <v>6123</v>
      </c>
      <c r="X1766">
        <v>6</v>
      </c>
      <c r="Y1766" t="s">
        <v>8287</v>
      </c>
      <c r="Z1766" t="s">
        <v>10454</v>
      </c>
      <c r="AA1766">
        <v>0.8201528477815571</v>
      </c>
      <c r="AB1766">
        <f>HYPERLINK("Melting_Curves/meltCurve_P64429_ypfJ.pdf", "Melting_Curves/meltCurve_P64429_ypfJ.pdf")</f>
        <v>0</v>
      </c>
    </row>
    <row r="1767" spans="1:28">
      <c r="A1767" t="s">
        <v>1793</v>
      </c>
      <c r="B1767">
        <v>0.999739202189716</v>
      </c>
      <c r="C1767">
        <v>1.19044971615962</v>
      </c>
      <c r="D1767">
        <v>0.643944901782437</v>
      </c>
      <c r="E1767">
        <v>0.943643437572977</v>
      </c>
      <c r="F1767">
        <v>0.725600441883154</v>
      </c>
      <c r="G1767">
        <v>0.469752848303006</v>
      </c>
      <c r="H1767">
        <v>0.546458629472048</v>
      </c>
      <c r="I1767">
        <v>0.508871789820269</v>
      </c>
      <c r="J1767">
        <v>0.491374399779844</v>
      </c>
      <c r="K1767">
        <v>0.303076034338647</v>
      </c>
      <c r="L1767">
        <v>509.047245025097</v>
      </c>
      <c r="M1767">
        <v>9.97146554667227</v>
      </c>
      <c r="N1767">
        <v>57.8122189850523</v>
      </c>
      <c r="O1767">
        <v>49.12454706041</v>
      </c>
      <c r="P1767">
        <v>-0.0332935382714932</v>
      </c>
      <c r="Q1767">
        <v>0.344238359381395</v>
      </c>
      <c r="R1767">
        <v>0.752030247699611</v>
      </c>
      <c r="S1767" t="s">
        <v>3960</v>
      </c>
      <c r="T1767" t="s">
        <v>4362</v>
      </c>
      <c r="U1767" t="s">
        <v>4362</v>
      </c>
      <c r="V1767" t="s">
        <v>4362</v>
      </c>
      <c r="W1767" t="s">
        <v>6124</v>
      </c>
      <c r="X1767">
        <v>1</v>
      </c>
      <c r="Y1767" t="s">
        <v>8288</v>
      </c>
      <c r="Z1767" t="s">
        <v>10455</v>
      </c>
      <c r="AA1767">
        <v>0.6712702102436233</v>
      </c>
      <c r="AB1767">
        <f>HYPERLINK("Melting_Curves/meltCurve_P64432_ypjD.pdf", "Melting_Curves/meltCurve_P64432_ypjD.pdf")</f>
        <v>0</v>
      </c>
    </row>
    <row r="1768" spans="1:28">
      <c r="A1768" t="s">
        <v>1794</v>
      </c>
      <c r="B1768">
        <v>0.999739202189716</v>
      </c>
      <c r="C1768">
        <v>0.812547040578079</v>
      </c>
      <c r="D1768">
        <v>0.969272100161141</v>
      </c>
      <c r="E1768">
        <v>0.95894548730618</v>
      </c>
      <c r="F1768">
        <v>1.09930594745113</v>
      </c>
      <c r="G1768">
        <v>0.867850944084233</v>
      </c>
      <c r="H1768">
        <v>0.711985937312471</v>
      </c>
      <c r="I1768">
        <v>0.574447586008081</v>
      </c>
      <c r="J1768">
        <v>0.585109032479336</v>
      </c>
      <c r="K1768">
        <v>0.387821595454643</v>
      </c>
      <c r="L1768">
        <v>1125.51053228615</v>
      </c>
      <c r="M1768">
        <v>19.3949429119403</v>
      </c>
      <c r="N1768">
        <v>63.8619133185226</v>
      </c>
      <c r="O1768">
        <v>57.4247681750261</v>
      </c>
      <c r="P1768">
        <v>-0.0494052589478412</v>
      </c>
      <c r="Q1768">
        <v>0.414902885401385</v>
      </c>
      <c r="R1768">
        <v>0.854331028318874</v>
      </c>
      <c r="S1768" t="s">
        <v>3961</v>
      </c>
      <c r="T1768" t="s">
        <v>4362</v>
      </c>
      <c r="U1768" t="s">
        <v>4362</v>
      </c>
      <c r="V1768" t="s">
        <v>4362</v>
      </c>
      <c r="W1768" t="s">
        <v>6125</v>
      </c>
      <c r="X1768">
        <v>7</v>
      </c>
      <c r="Y1768" t="s">
        <v>8289</v>
      </c>
      <c r="Z1768" t="s">
        <v>10456</v>
      </c>
      <c r="AA1768">
        <v>0.8289399610312116</v>
      </c>
      <c r="AB1768">
        <f>HYPERLINK("Melting_Curves/meltCurve_P64451_ydcL.pdf", "Melting_Curves/meltCurve_P64451_ydcL.pdf")</f>
        <v>0</v>
      </c>
    </row>
    <row r="1769" spans="1:28">
      <c r="A1769" t="s">
        <v>1795</v>
      </c>
      <c r="B1769">
        <v>0.999739202189716</v>
      </c>
      <c r="C1769">
        <v>0.957657269304873</v>
      </c>
      <c r="D1769">
        <v>0.727207672831094</v>
      </c>
      <c r="E1769">
        <v>0.852154442734145</v>
      </c>
      <c r="F1769">
        <v>0.922474758507857</v>
      </c>
      <c r="G1769">
        <v>0.744244600559001</v>
      </c>
      <c r="H1769">
        <v>0.651060560599214</v>
      </c>
      <c r="I1769">
        <v>0.595879153892151</v>
      </c>
      <c r="J1769">
        <v>0.531675368032355</v>
      </c>
      <c r="K1769">
        <v>0.609229621617898</v>
      </c>
      <c r="L1769">
        <v>234.895344887203</v>
      </c>
      <c r="M1769">
        <v>3.42751277769043</v>
      </c>
      <c r="O1769">
        <v>53.3051036928395</v>
      </c>
      <c r="P1769">
        <v>-0.0153925420711578</v>
      </c>
      <c r="Q1769">
        <v>0.0619888498859027</v>
      </c>
      <c r="R1769">
        <v>0.772012501191256</v>
      </c>
      <c r="S1769" t="s">
        <v>3962</v>
      </c>
      <c r="T1769" t="s">
        <v>4362</v>
      </c>
      <c r="U1769" t="s">
        <v>4362</v>
      </c>
      <c r="V1769" t="s">
        <v>4362</v>
      </c>
      <c r="W1769" t="s">
        <v>6126</v>
      </c>
      <c r="X1769">
        <v>3</v>
      </c>
      <c r="Y1769" t="s">
        <v>8290</v>
      </c>
      <c r="Z1769" t="s">
        <v>10457</v>
      </c>
      <c r="AA1769">
        <v>0.7601012467390701</v>
      </c>
      <c r="AB1769">
        <f>HYPERLINK("Melting_Curves/meltCurve_P64455_ydcY.pdf", "Melting_Curves/meltCurve_P64455_ydcY.pdf")</f>
        <v>0</v>
      </c>
    </row>
    <row r="1770" spans="1:28">
      <c r="A1770" t="s">
        <v>1796</v>
      </c>
      <c r="B1770">
        <v>0.999739202189716</v>
      </c>
      <c r="C1770">
        <v>1.35557953292186</v>
      </c>
      <c r="D1770">
        <v>0.535444654861998</v>
      </c>
      <c r="E1770">
        <v>0.868042241543764</v>
      </c>
      <c r="F1770">
        <v>0.523791492070026</v>
      </c>
      <c r="G1770">
        <v>0.349054822863376</v>
      </c>
      <c r="H1770">
        <v>0.345805179881955</v>
      </c>
      <c r="I1770">
        <v>0.304582223108372</v>
      </c>
      <c r="J1770">
        <v>0.285215392748463</v>
      </c>
      <c r="K1770">
        <v>0.298435657454229</v>
      </c>
      <c r="L1770">
        <v>703.019620392763</v>
      </c>
      <c r="M1770">
        <v>14.6118402669612</v>
      </c>
      <c r="N1770">
        <v>50.8355090487977</v>
      </c>
      <c r="O1770">
        <v>47.2387910871013</v>
      </c>
      <c r="P1770">
        <v>-0.0563503973466499</v>
      </c>
      <c r="Q1770">
        <v>0.271378109068968</v>
      </c>
      <c r="R1770">
        <v>0.75056482188576</v>
      </c>
      <c r="S1770" t="s">
        <v>3963</v>
      </c>
      <c r="T1770" t="s">
        <v>4362</v>
      </c>
      <c r="U1770" t="s">
        <v>4362</v>
      </c>
      <c r="V1770" t="s">
        <v>4362</v>
      </c>
      <c r="W1770" t="s">
        <v>6127</v>
      </c>
      <c r="X1770">
        <v>2</v>
      </c>
      <c r="Y1770" t="s">
        <v>8291</v>
      </c>
      <c r="Z1770" t="s">
        <v>10458</v>
      </c>
      <c r="AA1770">
        <v>0.5580029779466346</v>
      </c>
      <c r="AB1770">
        <f>HYPERLINK("Melting_Curves/meltCurve_P64461_lsrG.pdf", "Melting_Curves/meltCurve_P64461_lsrG.pdf")</f>
        <v>0</v>
      </c>
    </row>
    <row r="1771" spans="1:28">
      <c r="A1771" t="s">
        <v>1797</v>
      </c>
      <c r="B1771">
        <v>0.999739202189716</v>
      </c>
      <c r="C1771">
        <v>0.992064853722936</v>
      </c>
      <c r="D1771">
        <v>1.06760149304821</v>
      </c>
      <c r="E1771">
        <v>1.01942575017593</v>
      </c>
      <c r="F1771">
        <v>1.09562834923809</v>
      </c>
      <c r="G1771">
        <v>0.929304140872564</v>
      </c>
      <c r="H1771">
        <v>0.9816510637683979</v>
      </c>
      <c r="I1771">
        <v>0.867522946199612</v>
      </c>
      <c r="J1771">
        <v>0.863042786190355</v>
      </c>
      <c r="K1771">
        <v>0.656525107853277</v>
      </c>
      <c r="L1771">
        <v>1088.57730101733</v>
      </c>
      <c r="M1771">
        <v>15.5144370109343</v>
      </c>
      <c r="Q1771">
        <v>0</v>
      </c>
      <c r="R1771">
        <v>0.839840394962713</v>
      </c>
      <c r="S1771" t="s">
        <v>3964</v>
      </c>
      <c r="T1771" t="s">
        <v>4362</v>
      </c>
      <c r="U1771" t="s">
        <v>4362</v>
      </c>
      <c r="V1771" t="s">
        <v>4362</v>
      </c>
      <c r="W1771" t="s">
        <v>6128</v>
      </c>
      <c r="X1771">
        <v>3</v>
      </c>
      <c r="Y1771" t="s">
        <v>8292</v>
      </c>
      <c r="Z1771" t="s">
        <v>10459</v>
      </c>
      <c r="AA1771">
        <v>0.9522405152636334</v>
      </c>
      <c r="AB1771">
        <f>HYPERLINK("Melting_Curves/meltCurve_P64463_ydfZ.pdf", "Melting_Curves/meltCurve_P64463_ydfZ.pdf")</f>
        <v>0</v>
      </c>
    </row>
    <row r="1772" spans="1:28">
      <c r="A1772" t="s">
        <v>1798</v>
      </c>
      <c r="B1772">
        <v>0.999739202189716</v>
      </c>
      <c r="C1772">
        <v>1.11665838122069</v>
      </c>
      <c r="D1772">
        <v>0.881841328278766</v>
      </c>
      <c r="E1772">
        <v>1.00527275656261</v>
      </c>
      <c r="F1772">
        <v>1.05871035541878</v>
      </c>
      <c r="G1772">
        <v>0.733617674345868</v>
      </c>
      <c r="H1772">
        <v>0.615064076463539</v>
      </c>
      <c r="I1772">
        <v>0.5606930931998551</v>
      </c>
      <c r="J1772">
        <v>0.483365367393292</v>
      </c>
      <c r="K1772">
        <v>0.360147942863284</v>
      </c>
      <c r="L1772">
        <v>1101.71257938805</v>
      </c>
      <c r="M1772">
        <v>19.7339952434853</v>
      </c>
      <c r="N1772">
        <v>60.9888510712524</v>
      </c>
      <c r="O1772">
        <v>55.2643503189543</v>
      </c>
      <c r="P1772">
        <v>-0.0530411218606184</v>
      </c>
      <c r="Q1772">
        <v>0.405861309071014</v>
      </c>
      <c r="R1772">
        <v>0.9121818254884509</v>
      </c>
      <c r="S1772" t="s">
        <v>3965</v>
      </c>
      <c r="T1772" t="s">
        <v>4362</v>
      </c>
      <c r="U1772" t="s">
        <v>4362</v>
      </c>
      <c r="V1772" t="s">
        <v>4362</v>
      </c>
      <c r="W1772" t="s">
        <v>6129</v>
      </c>
      <c r="X1772">
        <v>3</v>
      </c>
      <c r="Y1772" t="s">
        <v>8293</v>
      </c>
      <c r="Z1772" t="s">
        <v>10460</v>
      </c>
      <c r="AA1772">
        <v>0.7850474942954555</v>
      </c>
      <c r="AB1772">
        <f>HYPERLINK("Melting_Curves/meltCurve_P64467_cnu.pdf", "Melting_Curves/meltCurve_P64467_cnu.pdf")</f>
        <v>0</v>
      </c>
    </row>
    <row r="1773" spans="1:28">
      <c r="A1773" t="s">
        <v>1799</v>
      </c>
      <c r="B1773">
        <v>0.999739202189716</v>
      </c>
      <c r="C1773">
        <v>1.04587761735942</v>
      </c>
      <c r="D1773">
        <v>0.78721007958278</v>
      </c>
      <c r="E1773">
        <v>1.0071677363723</v>
      </c>
      <c r="F1773">
        <v>0.848001724029831</v>
      </c>
      <c r="G1773">
        <v>0.622787726181434</v>
      </c>
      <c r="H1773">
        <v>0.561555511473623</v>
      </c>
      <c r="I1773">
        <v>0.497795764558774</v>
      </c>
      <c r="J1773">
        <v>0.444536821356805</v>
      </c>
      <c r="K1773">
        <v>0.40557248486956</v>
      </c>
      <c r="L1773">
        <v>730.600413580665</v>
      </c>
      <c r="M1773">
        <v>13.6901277828191</v>
      </c>
      <c r="N1773">
        <v>59.70784929506</v>
      </c>
      <c r="O1773">
        <v>52.2668879251966</v>
      </c>
      <c r="P1773">
        <v>-0.0403971042775012</v>
      </c>
      <c r="Q1773">
        <v>0.383168272505066</v>
      </c>
      <c r="R1773">
        <v>0.9083471771012031</v>
      </c>
      <c r="S1773" t="s">
        <v>3966</v>
      </c>
      <c r="T1773" t="s">
        <v>4362</v>
      </c>
      <c r="U1773" t="s">
        <v>4362</v>
      </c>
      <c r="V1773" t="s">
        <v>4362</v>
      </c>
      <c r="W1773" t="s">
        <v>6130</v>
      </c>
      <c r="X1773">
        <v>1</v>
      </c>
      <c r="Y1773" t="s">
        <v>8294</v>
      </c>
      <c r="Z1773" t="s">
        <v>10461</v>
      </c>
      <c r="AA1773">
        <v>0.731149682746691</v>
      </c>
      <c r="AB1773">
        <f>HYPERLINK("Melting_Curves/meltCurve_P64476_ydiH.pdf", "Melting_Curves/meltCurve_P64476_ydiH.pdf")</f>
        <v>0</v>
      </c>
    </row>
    <row r="1774" spans="1:28">
      <c r="A1774" t="s">
        <v>1800</v>
      </c>
      <c r="B1774">
        <v>0.999739202189716</v>
      </c>
      <c r="C1774">
        <v>1.03264768768199</v>
      </c>
      <c r="D1774">
        <v>0.943301431249351</v>
      </c>
      <c r="E1774">
        <v>0.942044594196691</v>
      </c>
      <c r="F1774">
        <v>1.83589702892465</v>
      </c>
      <c r="G1774">
        <v>1.02005170131607</v>
      </c>
      <c r="H1774">
        <v>1.4439342628618</v>
      </c>
      <c r="I1774">
        <v>1.30501189285951</v>
      </c>
      <c r="J1774">
        <v>1.13293364281463</v>
      </c>
      <c r="K1774">
        <v>0.863078381430163</v>
      </c>
      <c r="L1774">
        <v>4595.29202055431</v>
      </c>
      <c r="M1774">
        <v>96.1278213180277</v>
      </c>
      <c r="O1774">
        <v>47.7832760964832</v>
      </c>
      <c r="P1774">
        <v>0.133424444478852</v>
      </c>
      <c r="Q1774">
        <v>1.26529091883955</v>
      </c>
      <c r="R1774">
        <v>0.237546272306612</v>
      </c>
      <c r="S1774" t="s">
        <v>3967</v>
      </c>
      <c r="T1774" t="s">
        <v>4362</v>
      </c>
      <c r="U1774" t="s">
        <v>4362</v>
      </c>
      <c r="V1774" t="s">
        <v>4362</v>
      </c>
      <c r="W1774" t="s">
        <v>6131</v>
      </c>
      <c r="X1774">
        <v>1</v>
      </c>
      <c r="Y1774" t="s">
        <v>8295</v>
      </c>
      <c r="Z1774" t="s">
        <v>10462</v>
      </c>
      <c r="AA1774">
        <v>1.169600303182428</v>
      </c>
      <c r="AB1774">
        <f>HYPERLINK("Melting_Curves/meltCurve_P64479_ydiZ.pdf", "Melting_Curves/meltCurve_P64479_ydiZ.pdf")</f>
        <v>0</v>
      </c>
    </row>
    <row r="1775" spans="1:28">
      <c r="A1775" t="s">
        <v>1801</v>
      </c>
      <c r="B1775">
        <v>0.999739202189716</v>
      </c>
      <c r="C1775">
        <v>0.959225793085199</v>
      </c>
      <c r="D1775">
        <v>1.05978712696232</v>
      </c>
      <c r="E1775">
        <v>1.11517452998555</v>
      </c>
      <c r="F1775">
        <v>1.00510556202522</v>
      </c>
      <c r="G1775">
        <v>0.722722845570387</v>
      </c>
      <c r="H1775">
        <v>0.634270365473154</v>
      </c>
      <c r="I1775">
        <v>0.523578605805632</v>
      </c>
      <c r="J1775">
        <v>0.436295356024869</v>
      </c>
      <c r="K1775">
        <v>0.345500752635902</v>
      </c>
      <c r="L1775">
        <v>1059.19862682754</v>
      </c>
      <c r="M1775">
        <v>18.8445598882114</v>
      </c>
      <c r="N1775">
        <v>60.3247102785481</v>
      </c>
      <c r="O1775">
        <v>55.5856518704607</v>
      </c>
      <c r="P1775">
        <v>-0.0540883295989478</v>
      </c>
      <c r="Q1775">
        <v>0.361850552030405</v>
      </c>
      <c r="R1775">
        <v>0.94724963161178</v>
      </c>
      <c r="S1775" t="s">
        <v>3968</v>
      </c>
      <c r="T1775" t="s">
        <v>4362</v>
      </c>
      <c r="U1775" t="s">
        <v>4362</v>
      </c>
      <c r="V1775" t="s">
        <v>4362</v>
      </c>
      <c r="W1775" t="s">
        <v>6132</v>
      </c>
      <c r="X1775">
        <v>5</v>
      </c>
      <c r="Y1775" t="s">
        <v>8296</v>
      </c>
      <c r="Z1775" t="s">
        <v>10463</v>
      </c>
      <c r="AA1775">
        <v>0.7770569481693589</v>
      </c>
      <c r="AB1775">
        <f>HYPERLINK("Melting_Curves/meltCurve_P64483_yeaK.pdf", "Melting_Curves/meltCurve_P64483_yeaK.pdf")</f>
        <v>0</v>
      </c>
    </row>
    <row r="1776" spans="1:28">
      <c r="A1776" t="s">
        <v>1802</v>
      </c>
      <c r="B1776">
        <v>0.999739202189716</v>
      </c>
      <c r="C1776">
        <v>1.21280901235098</v>
      </c>
      <c r="D1776">
        <v>0.677784738651788</v>
      </c>
      <c r="E1776">
        <v>1.04589935435737</v>
      </c>
      <c r="F1776">
        <v>0.930611094935981</v>
      </c>
      <c r="G1776">
        <v>0.626021303353257</v>
      </c>
      <c r="H1776">
        <v>0.661172463760567</v>
      </c>
      <c r="I1776">
        <v>0.545704219778345</v>
      </c>
      <c r="J1776">
        <v>0.423510754277678</v>
      </c>
      <c r="K1776">
        <v>0.571387235279987</v>
      </c>
      <c r="L1776">
        <v>1943.33328042181</v>
      </c>
      <c r="M1776">
        <v>37.1980306543179</v>
      </c>
      <c r="O1776">
        <v>52.0925932598789</v>
      </c>
      <c r="P1776">
        <v>-0.0821337443124491</v>
      </c>
      <c r="Q1776">
        <v>0.539916610245905</v>
      </c>
      <c r="R1776">
        <v>0.703260446476801</v>
      </c>
      <c r="S1776" t="s">
        <v>3969</v>
      </c>
      <c r="T1776" t="s">
        <v>4362</v>
      </c>
      <c r="U1776" t="s">
        <v>4362</v>
      </c>
      <c r="V1776" t="s">
        <v>4362</v>
      </c>
      <c r="W1776" t="s">
        <v>6133</v>
      </c>
      <c r="X1776">
        <v>1</v>
      </c>
      <c r="Y1776" t="s">
        <v>8297</v>
      </c>
      <c r="Z1776" t="s">
        <v>10464</v>
      </c>
      <c r="AA1776">
        <v>0.7755974235995379</v>
      </c>
      <c r="AB1776">
        <f>HYPERLINK("Melting_Curves/meltCurve_P64490_yoaC.pdf", "Melting_Curves/meltCurve_P64490_yoaC.pdf")</f>
        <v>0</v>
      </c>
    </row>
    <row r="1777" spans="1:28">
      <c r="A1777" t="s">
        <v>1803</v>
      </c>
      <c r="B1777">
        <v>0.999739202189716</v>
      </c>
      <c r="C1777">
        <v>0.780272679092981</v>
      </c>
      <c r="D1777">
        <v>0.864726542611894</v>
      </c>
      <c r="E1777">
        <v>1.35396406994981</v>
      </c>
      <c r="F1777">
        <v>1.02685211972006</v>
      </c>
      <c r="G1777">
        <v>0.855441152799686</v>
      </c>
      <c r="H1777">
        <v>0.71734015525439</v>
      </c>
      <c r="I1777">
        <v>0.936445297028992</v>
      </c>
      <c r="J1777">
        <v>0.643636174219356</v>
      </c>
      <c r="K1777">
        <v>0.68864179905302</v>
      </c>
      <c r="L1777">
        <v>13434.7732793752</v>
      </c>
      <c r="M1777">
        <v>250</v>
      </c>
      <c r="O1777">
        <v>53.7356542219724</v>
      </c>
      <c r="P1777">
        <v>-0.294827695311836</v>
      </c>
      <c r="Q1777">
        <v>0.7465158550875129</v>
      </c>
      <c r="R1777">
        <v>0.38054916725065</v>
      </c>
      <c r="S1777" t="s">
        <v>3970</v>
      </c>
      <c r="T1777" t="s">
        <v>4362</v>
      </c>
      <c r="U1777" t="s">
        <v>4362</v>
      </c>
      <c r="V1777" t="s">
        <v>4362</v>
      </c>
      <c r="W1777" t="s">
        <v>6134</v>
      </c>
      <c r="X1777">
        <v>1</v>
      </c>
      <c r="Y1777" t="s">
        <v>8298</v>
      </c>
      <c r="Z1777" t="s">
        <v>10465</v>
      </c>
      <c r="AA1777">
        <v>0.8879762516830054</v>
      </c>
      <c r="AB1777">
        <f>HYPERLINK("Melting_Curves/meltCurve_P64493_yoaF.pdf", "Melting_Curves/meltCurve_P64493_yoaF.pdf")</f>
        <v>0</v>
      </c>
    </row>
    <row r="1778" spans="1:28">
      <c r="A1778" t="s">
        <v>1804</v>
      </c>
      <c r="B1778">
        <v>0.999739202189716</v>
      </c>
      <c r="C1778">
        <v>0.887629084916373</v>
      </c>
      <c r="D1778">
        <v>1.37673672583963</v>
      </c>
      <c r="E1778">
        <v>1.16591172094113</v>
      </c>
      <c r="F1778">
        <v>1.72659854743681</v>
      </c>
      <c r="G1778">
        <v>1.38492241339987</v>
      </c>
      <c r="H1778">
        <v>1.04135611910118</v>
      </c>
      <c r="I1778">
        <v>1.11117162849978</v>
      </c>
      <c r="J1778">
        <v>0.949363356973552</v>
      </c>
      <c r="K1778">
        <v>0.8439169468678051</v>
      </c>
      <c r="L1778">
        <v>15000</v>
      </c>
      <c r="M1778">
        <v>233.275659565765</v>
      </c>
      <c r="O1778">
        <v>64.2968821914464</v>
      </c>
      <c r="P1778">
        <v>-0.141583246303828</v>
      </c>
      <c r="Q1778">
        <v>0.843903795588714</v>
      </c>
      <c r="R1778">
        <v>-0.286581385931699</v>
      </c>
      <c r="S1778" t="s">
        <v>3971</v>
      </c>
      <c r="T1778" t="s">
        <v>4362</v>
      </c>
      <c r="U1778" t="s">
        <v>4362</v>
      </c>
      <c r="V1778" t="s">
        <v>4362</v>
      </c>
      <c r="W1778" t="s">
        <v>6135</v>
      </c>
      <c r="X1778">
        <v>2</v>
      </c>
      <c r="Y1778" t="s">
        <v>8299</v>
      </c>
      <c r="Z1778" t="s">
        <v>10466</v>
      </c>
      <c r="AA1778">
        <v>0.9859798095443874</v>
      </c>
      <c r="AB1778">
        <f>HYPERLINK("Melting_Curves/meltCurve_P64503_yebV.pdf", "Melting_Curves/meltCurve_P64503_yebV.pdf")</f>
        <v>0</v>
      </c>
    </row>
    <row r="1779" spans="1:28">
      <c r="A1779" t="s">
        <v>1805</v>
      </c>
      <c r="B1779">
        <v>0.999739202189716</v>
      </c>
      <c r="C1779">
        <v>1.01024401241582</v>
      </c>
      <c r="D1779">
        <v>1.05209295275797</v>
      </c>
      <c r="E1779">
        <v>1.03196345371439</v>
      </c>
      <c r="F1779">
        <v>1.08455222751104</v>
      </c>
      <c r="G1779">
        <v>0.899481698586052</v>
      </c>
      <c r="H1779">
        <v>0.8045462300702509</v>
      </c>
      <c r="I1779">
        <v>0.8033461852516</v>
      </c>
      <c r="J1779">
        <v>0.67087101182887</v>
      </c>
      <c r="K1779">
        <v>0.604881389549577</v>
      </c>
      <c r="L1779">
        <v>911.150463106202</v>
      </c>
      <c r="M1779">
        <v>15.0402735592062</v>
      </c>
      <c r="O1779">
        <v>59.5400167493485</v>
      </c>
      <c r="P1779">
        <v>-0.0298260875691331</v>
      </c>
      <c r="Q1779">
        <v>0.527756401553331</v>
      </c>
      <c r="R1779">
        <v>0.912145525533777</v>
      </c>
      <c r="S1779" t="s">
        <v>3972</v>
      </c>
      <c r="T1779" t="s">
        <v>4362</v>
      </c>
      <c r="U1779" t="s">
        <v>4362</v>
      </c>
      <c r="V1779" t="s">
        <v>4362</v>
      </c>
      <c r="W1779" t="s">
        <v>6136</v>
      </c>
      <c r="X1779">
        <v>3</v>
      </c>
      <c r="Y1779" t="s">
        <v>8300</v>
      </c>
      <c r="Z1779" t="s">
        <v>10467</v>
      </c>
      <c r="AA1779">
        <v>0.8939225693778241</v>
      </c>
      <c r="AB1779">
        <f>HYPERLINK("Melting_Curves/meltCurve_P64506_yebY.pdf", "Melting_Curves/meltCurve_P64506_yebY.pdf")</f>
        <v>0</v>
      </c>
    </row>
    <row r="1780" spans="1:28">
      <c r="A1780" t="s">
        <v>1806</v>
      </c>
      <c r="B1780">
        <v>0.999739202189716</v>
      </c>
      <c r="C1780">
        <v>1.12996196067837</v>
      </c>
      <c r="D1780">
        <v>1.08151550241912</v>
      </c>
      <c r="E1780">
        <v>1.03740481889299</v>
      </c>
      <c r="F1780">
        <v>0.85791526388578</v>
      </c>
      <c r="G1780">
        <v>0.6827690145147119</v>
      </c>
      <c r="H1780">
        <v>0.5253547034912061</v>
      </c>
      <c r="I1780">
        <v>0.386344778276691</v>
      </c>
      <c r="J1780">
        <v>0.317833997497417</v>
      </c>
      <c r="K1780">
        <v>0.132249014198389</v>
      </c>
      <c r="L1780">
        <v>762.748942448959</v>
      </c>
      <c r="M1780">
        <v>13.3083436202368</v>
      </c>
      <c r="N1780">
        <v>58.0193721568916</v>
      </c>
      <c r="O1780">
        <v>56.065888683962</v>
      </c>
      <c r="P1780">
        <v>-0.054916450582721</v>
      </c>
      <c r="Q1780">
        <v>0.0747328655036726</v>
      </c>
      <c r="R1780">
        <v>0.962893879676616</v>
      </c>
      <c r="S1780" t="s">
        <v>3973</v>
      </c>
      <c r="T1780" t="s">
        <v>4362</v>
      </c>
      <c r="U1780" t="s">
        <v>4362</v>
      </c>
      <c r="V1780" t="s">
        <v>4362</v>
      </c>
      <c r="W1780" t="s">
        <v>6137</v>
      </c>
      <c r="X1780">
        <v>2</v>
      </c>
      <c r="Y1780" t="s">
        <v>8301</v>
      </c>
      <c r="Z1780" t="s">
        <v>10468</v>
      </c>
      <c r="AA1780">
        <v>0.7060635091284873</v>
      </c>
      <c r="AB1780">
        <f>HYPERLINK("Melting_Curves/meltCurve_P64515_yecN.pdf", "Melting_Curves/meltCurve_P64515_yecN.pdf")</f>
        <v>0</v>
      </c>
    </row>
    <row r="1781" spans="1:28">
      <c r="A1781" t="s">
        <v>1807</v>
      </c>
      <c r="B1781">
        <v>0.999739202189716</v>
      </c>
      <c r="C1781">
        <v>1.14422750031621</v>
      </c>
      <c r="D1781">
        <v>0.651178074487429</v>
      </c>
      <c r="E1781">
        <v>1.0503179982063</v>
      </c>
      <c r="F1781">
        <v>1.04146746366377</v>
      </c>
      <c r="G1781">
        <v>0.8128234549476701</v>
      </c>
      <c r="H1781">
        <v>0.828758544075326</v>
      </c>
      <c r="I1781">
        <v>0.7265554340996681</v>
      </c>
      <c r="J1781">
        <v>0.590122052980078</v>
      </c>
      <c r="K1781">
        <v>0.632896802917747</v>
      </c>
      <c r="L1781">
        <v>808.693885781406</v>
      </c>
      <c r="M1781">
        <v>13.8543881101426</v>
      </c>
      <c r="O1781">
        <v>57.1951920407769</v>
      </c>
      <c r="P1781">
        <v>-0.0278625611511529</v>
      </c>
      <c r="Q1781">
        <v>0.539962582119778</v>
      </c>
      <c r="R1781">
        <v>0.543149041821526</v>
      </c>
      <c r="S1781" t="s">
        <v>3974</v>
      </c>
      <c r="T1781" t="s">
        <v>4362</v>
      </c>
      <c r="U1781" t="s">
        <v>4362</v>
      </c>
      <c r="V1781" t="s">
        <v>4362</v>
      </c>
      <c r="W1781" t="s">
        <v>6138</v>
      </c>
      <c r="X1781">
        <v>3</v>
      </c>
      <c r="Y1781" t="s">
        <v>8302</v>
      </c>
      <c r="Z1781" t="s">
        <v>10469</v>
      </c>
      <c r="AA1781">
        <v>0.8679617480223442</v>
      </c>
      <c r="AB1781">
        <f>HYPERLINK("Melting_Curves/meltCurve_P64519_yodD.pdf", "Melting_Curves/meltCurve_P64519_yodD.pdf")</f>
        <v>0</v>
      </c>
    </row>
    <row r="1782" spans="1:28">
      <c r="A1782" t="s">
        <v>1808</v>
      </c>
      <c r="B1782">
        <v>0.999739202189716</v>
      </c>
      <c r="C1782">
        <v>1.11479517659542</v>
      </c>
      <c r="D1782">
        <v>0.815756931785795</v>
      </c>
      <c r="E1782">
        <v>0.955531169064287</v>
      </c>
      <c r="F1782">
        <v>0.741133896371923</v>
      </c>
      <c r="G1782">
        <v>0.585838319168893</v>
      </c>
      <c r="H1782">
        <v>0.520832416239329</v>
      </c>
      <c r="I1782">
        <v>0.447951644330576</v>
      </c>
      <c r="J1782">
        <v>0.380667542246789</v>
      </c>
      <c r="K1782">
        <v>0.326838601596071</v>
      </c>
      <c r="L1782">
        <v>592.311201113052</v>
      </c>
      <c r="M1782">
        <v>11.1308199236462</v>
      </c>
      <c r="N1782">
        <v>57.5249673144005</v>
      </c>
      <c r="O1782">
        <v>51.5826722646235</v>
      </c>
      <c r="P1782">
        <v>-0.0386978051940314</v>
      </c>
      <c r="Q1782">
        <v>0.282894613699087</v>
      </c>
      <c r="R1782">
        <v>0.934828996958016</v>
      </c>
      <c r="S1782" t="s">
        <v>3975</v>
      </c>
      <c r="T1782" t="s">
        <v>4362</v>
      </c>
      <c r="U1782" t="s">
        <v>4362</v>
      </c>
      <c r="V1782" t="s">
        <v>4362</v>
      </c>
      <c r="W1782" t="s">
        <v>6139</v>
      </c>
      <c r="X1782">
        <v>2</v>
      </c>
      <c r="Y1782" t="s">
        <v>8303</v>
      </c>
      <c r="Z1782" t="s">
        <v>10470</v>
      </c>
      <c r="AA1782">
        <v>0.6855379094904314</v>
      </c>
      <c r="AB1782">
        <f>HYPERLINK("Melting_Curves/meltCurve_P64530_rcnR.pdf", "Melting_Curves/meltCurve_P64530_rcnR.pdf")</f>
        <v>0</v>
      </c>
    </row>
    <row r="1783" spans="1:28">
      <c r="A1783" t="s">
        <v>1809</v>
      </c>
      <c r="B1783">
        <v>0.999739202189716</v>
      </c>
      <c r="C1783">
        <v>1.00250525924927</v>
      </c>
      <c r="D1783">
        <v>0.898359108682057</v>
      </c>
      <c r="E1783">
        <v>1.00856591418422</v>
      </c>
      <c r="F1783">
        <v>0.992654841230412</v>
      </c>
      <c r="G1783">
        <v>0.742921801788447</v>
      </c>
      <c r="H1783">
        <v>0.787852407866613</v>
      </c>
      <c r="I1783">
        <v>0.60665603768898</v>
      </c>
      <c r="J1783">
        <v>0.613735385229632</v>
      </c>
      <c r="K1783">
        <v>0.562077733801605</v>
      </c>
      <c r="L1783">
        <v>851.538038953365</v>
      </c>
      <c r="M1783">
        <v>15.2680634654226</v>
      </c>
      <c r="O1783">
        <v>54.8419950775195</v>
      </c>
      <c r="P1783">
        <v>-0.0320341007057896</v>
      </c>
      <c r="Q1783">
        <v>0.539784877836853</v>
      </c>
      <c r="R1783">
        <v>0.905067807417953</v>
      </c>
      <c r="S1783" t="s">
        <v>3976</v>
      </c>
      <c r="T1783" t="s">
        <v>4362</v>
      </c>
      <c r="U1783" t="s">
        <v>4362</v>
      </c>
      <c r="V1783" t="s">
        <v>4362</v>
      </c>
      <c r="W1783" t="s">
        <v>6140</v>
      </c>
      <c r="X1783">
        <v>3</v>
      </c>
      <c r="Y1783" t="s">
        <v>8304</v>
      </c>
      <c r="Z1783" t="s">
        <v>10471</v>
      </c>
      <c r="AA1783">
        <v>0.8333369528014846</v>
      </c>
      <c r="AB1783">
        <f>HYPERLINK("Melting_Curves/meltCurve_P64534_rcnB.pdf", "Melting_Curves/meltCurve_P64534_rcnB.pdf")</f>
        <v>0</v>
      </c>
    </row>
    <row r="1784" spans="1:28">
      <c r="A1784" t="s">
        <v>1810</v>
      </c>
      <c r="B1784">
        <v>0.999739202189716</v>
      </c>
      <c r="C1784">
        <v>1.07996990710005</v>
      </c>
      <c r="D1784">
        <v>0.778849776640186</v>
      </c>
      <c r="E1784">
        <v>0.909262606961182</v>
      </c>
      <c r="F1784">
        <v>0.561866493822359</v>
      </c>
      <c r="G1784">
        <v>0.426671731165261</v>
      </c>
      <c r="H1784">
        <v>0.347821974695886</v>
      </c>
      <c r="I1784">
        <v>0.288576975479524</v>
      </c>
      <c r="J1784">
        <v>0.249682723584789</v>
      </c>
      <c r="K1784">
        <v>0.263885855758432</v>
      </c>
      <c r="L1784">
        <v>744.900130780527</v>
      </c>
      <c r="M1784">
        <v>14.9176711497921</v>
      </c>
      <c r="N1784">
        <v>52.1916267490529</v>
      </c>
      <c r="O1784">
        <v>49.0625287331784</v>
      </c>
      <c r="P1784">
        <v>-0.0579482319028367</v>
      </c>
      <c r="Q1784">
        <v>0.237738058214837</v>
      </c>
      <c r="R1784">
        <v>0.949491921365928</v>
      </c>
      <c r="S1784" t="s">
        <v>3977</v>
      </c>
      <c r="T1784" t="s">
        <v>4362</v>
      </c>
      <c r="U1784" t="s">
        <v>4362</v>
      </c>
      <c r="V1784" t="s">
        <v>4362</v>
      </c>
      <c r="W1784" t="s">
        <v>6141</v>
      </c>
      <c r="X1784">
        <v>1</v>
      </c>
      <c r="Y1784" t="s">
        <v>8305</v>
      </c>
      <c r="Z1784" t="s">
        <v>10472</v>
      </c>
      <c r="AA1784">
        <v>0.5824719895192568</v>
      </c>
      <c r="AB1784">
        <f>HYPERLINK("Melting_Curves/meltCurve_P64540_yfcL.pdf", "Melting_Curves/meltCurve_P64540_yfcL.pdf")</f>
        <v>0</v>
      </c>
    </row>
    <row r="1785" spans="1:28">
      <c r="A1785" t="s">
        <v>1811</v>
      </c>
      <c r="B1785">
        <v>0.999739202189716</v>
      </c>
      <c r="C1785">
        <v>0.792478377593304</v>
      </c>
      <c r="D1785">
        <v>0.749347103818091</v>
      </c>
      <c r="E1785">
        <v>0.783541545134752</v>
      </c>
      <c r="F1785">
        <v>0.629851774090023</v>
      </c>
      <c r="G1785">
        <v>0.527118405965162</v>
      </c>
      <c r="H1785">
        <v>0.391777686403431</v>
      </c>
      <c r="I1785">
        <v>0.220664106118894</v>
      </c>
      <c r="J1785">
        <v>0.0432376790049771</v>
      </c>
      <c r="K1785">
        <v>0.0418865342848153</v>
      </c>
      <c r="L1785">
        <v>449.92077245813</v>
      </c>
      <c r="M1785">
        <v>8.58594431124417</v>
      </c>
      <c r="N1785">
        <v>52.4020138067402</v>
      </c>
      <c r="O1785">
        <v>49.7916770039082</v>
      </c>
      <c r="P1785">
        <v>-0.0431467353155013</v>
      </c>
      <c r="Q1785">
        <v>0</v>
      </c>
      <c r="R1785">
        <v>0.92476727501287</v>
      </c>
      <c r="S1785" t="s">
        <v>3978</v>
      </c>
      <c r="T1785" t="s">
        <v>4362</v>
      </c>
      <c r="U1785" t="s">
        <v>4362</v>
      </c>
      <c r="V1785" t="s">
        <v>4362</v>
      </c>
      <c r="W1785" t="s">
        <v>6142</v>
      </c>
      <c r="X1785">
        <v>1</v>
      </c>
      <c r="Y1785" t="s">
        <v>8306</v>
      </c>
      <c r="Z1785" t="s">
        <v>10473</v>
      </c>
      <c r="AA1785">
        <v>0.5392649223996664</v>
      </c>
      <c r="AB1785">
        <f>HYPERLINK("Melting_Curves/meltCurve_P64548_yfiR.pdf", "Melting_Curves/meltCurve_P64548_yfiR.pdf")</f>
        <v>0</v>
      </c>
    </row>
    <row r="1786" spans="1:28">
      <c r="A1786" t="s">
        <v>1812</v>
      </c>
      <c r="B1786">
        <v>0.999739202189716</v>
      </c>
      <c r="C1786">
        <v>1.10561077519811</v>
      </c>
      <c r="D1786">
        <v>0.591492277873556</v>
      </c>
      <c r="E1786">
        <v>0.789327455502806</v>
      </c>
      <c r="F1786">
        <v>0.68065786897322</v>
      </c>
      <c r="G1786">
        <v>0.587851449756748</v>
      </c>
      <c r="H1786">
        <v>0.65162227847903</v>
      </c>
      <c r="I1786">
        <v>0.418224392835061</v>
      </c>
      <c r="J1786">
        <v>0.361369865561182</v>
      </c>
      <c r="K1786">
        <v>0.343320562571599</v>
      </c>
      <c r="L1786">
        <v>282.379324642857</v>
      </c>
      <c r="M1786">
        <v>4.83162130258968</v>
      </c>
      <c r="N1786">
        <v>58.4440154373608</v>
      </c>
      <c r="O1786">
        <v>50.591625258123</v>
      </c>
      <c r="P1786">
        <v>-0.024040034835767</v>
      </c>
      <c r="Q1786">
        <v>0</v>
      </c>
      <c r="R1786">
        <v>0.778799788261732</v>
      </c>
      <c r="S1786" t="s">
        <v>3979</v>
      </c>
      <c r="T1786" t="s">
        <v>4362</v>
      </c>
      <c r="U1786" t="s">
        <v>4362</v>
      </c>
      <c r="V1786" t="s">
        <v>4362</v>
      </c>
      <c r="W1786" t="s">
        <v>6143</v>
      </c>
      <c r="X1786">
        <v>1</v>
      </c>
      <c r="Y1786" t="s">
        <v>8307</v>
      </c>
      <c r="Z1786" t="s">
        <v>10474</v>
      </c>
      <c r="AA1786">
        <v>0.6480423052253289</v>
      </c>
      <c r="AB1786">
        <f>HYPERLINK("Melting_Curves/meltCurve_P64554_queE.pdf", "Melting_Curves/meltCurve_P64554_queE.pdf")</f>
        <v>0</v>
      </c>
    </row>
    <row r="1787" spans="1:28">
      <c r="A1787" t="s">
        <v>1813</v>
      </c>
      <c r="B1787">
        <v>0.999739202189716</v>
      </c>
      <c r="C1787">
        <v>0.544426326607457</v>
      </c>
      <c r="D1787">
        <v>0.290527725252585</v>
      </c>
      <c r="E1787">
        <v>0.269444427172816</v>
      </c>
      <c r="F1787">
        <v>0.202326668388386</v>
      </c>
      <c r="G1787">
        <v>0.173788771473146</v>
      </c>
      <c r="H1787">
        <v>0.100917343594744</v>
      </c>
      <c r="I1787">
        <v>0.0864023183465667</v>
      </c>
      <c r="J1787">
        <v>0.0667416037750778</v>
      </c>
      <c r="K1787">
        <v>0.0686103693422804</v>
      </c>
      <c r="L1787">
        <v>963.497441844966</v>
      </c>
      <c r="M1787">
        <v>23.9622037606831</v>
      </c>
      <c r="N1787">
        <v>40.7221691834264</v>
      </c>
      <c r="O1787">
        <v>39.9321494392488</v>
      </c>
      <c r="P1787">
        <v>-0.130472090244249</v>
      </c>
      <c r="Q1787">
        <v>0.130305713854548</v>
      </c>
      <c r="R1787">
        <v>0.945972328443543</v>
      </c>
      <c r="S1787" t="s">
        <v>3980</v>
      </c>
      <c r="T1787" t="s">
        <v>4362</v>
      </c>
      <c r="U1787" t="s">
        <v>4362</v>
      </c>
      <c r="V1787" t="s">
        <v>4362</v>
      </c>
      <c r="W1787" t="s">
        <v>6144</v>
      </c>
      <c r="X1787">
        <v>3</v>
      </c>
      <c r="Y1787" t="s">
        <v>8308</v>
      </c>
      <c r="Z1787" t="s">
        <v>10475</v>
      </c>
      <c r="AA1787">
        <v>0.234685509235567</v>
      </c>
      <c r="AB1787">
        <f>HYPERLINK("Melting_Curves/meltCurve_P64557_ygfM.pdf", "Melting_Curves/meltCurve_P64557_ygfM.pdf")</f>
        <v>0</v>
      </c>
    </row>
    <row r="1788" spans="1:28">
      <c r="A1788" t="s">
        <v>1814</v>
      </c>
      <c r="B1788">
        <v>0.999739202189716</v>
      </c>
      <c r="C1788">
        <v>1.08904079969504</v>
      </c>
      <c r="D1788">
        <v>1.08086725106408</v>
      </c>
      <c r="E1788">
        <v>1.07384151868147</v>
      </c>
      <c r="F1788">
        <v>0.732675495671015</v>
      </c>
      <c r="G1788">
        <v>0.625846495773652</v>
      </c>
      <c r="H1788">
        <v>0.378430669105977</v>
      </c>
      <c r="I1788">
        <v>0.397020923989087</v>
      </c>
      <c r="J1788">
        <v>0.293871130789355</v>
      </c>
      <c r="K1788">
        <v>0.240172010248105</v>
      </c>
      <c r="L1788">
        <v>1050.19035382582</v>
      </c>
      <c r="M1788">
        <v>19.7981026587789</v>
      </c>
      <c r="N1788">
        <v>55.2777501103868</v>
      </c>
      <c r="O1788">
        <v>52.5127083530402</v>
      </c>
      <c r="P1788">
        <v>-0.0683116345005068</v>
      </c>
      <c r="Q1788">
        <v>0.275262420231481</v>
      </c>
      <c r="R1788">
        <v>0.957209002559759</v>
      </c>
      <c r="S1788" t="s">
        <v>3981</v>
      </c>
      <c r="T1788" t="s">
        <v>4362</v>
      </c>
      <c r="U1788" t="s">
        <v>4362</v>
      </c>
      <c r="V1788" t="s">
        <v>4362</v>
      </c>
      <c r="W1788" t="s">
        <v>6145</v>
      </c>
      <c r="X1788">
        <v>1</v>
      </c>
      <c r="Y1788" t="s">
        <v>8309</v>
      </c>
      <c r="Z1788" t="s">
        <v>10476</v>
      </c>
      <c r="AA1788">
        <v>0.6721252392040571</v>
      </c>
      <c r="AB1788">
        <f>HYPERLINK("Melting_Curves/meltCurve_P64564_yggT.pdf", "Melting_Curves/meltCurve_P64564_yggT.pdf")</f>
        <v>0</v>
      </c>
    </row>
    <row r="1789" spans="1:28">
      <c r="A1789" t="s">
        <v>1815</v>
      </c>
      <c r="B1789">
        <v>0.999739202189716</v>
      </c>
      <c r="C1789">
        <v>1.11265941714272</v>
      </c>
      <c r="D1789">
        <v>0.829151748597929</v>
      </c>
      <c r="E1789">
        <v>0.82557204792765</v>
      </c>
      <c r="F1789">
        <v>0.743474777693757</v>
      </c>
      <c r="G1789">
        <v>0.649688048196623</v>
      </c>
      <c r="H1789">
        <v>0.505821643988531</v>
      </c>
      <c r="I1789">
        <v>0.428734710320778</v>
      </c>
      <c r="J1789">
        <v>0.398389931381388</v>
      </c>
      <c r="K1789">
        <v>0.295051961404662</v>
      </c>
      <c r="L1789">
        <v>435.449164260182</v>
      </c>
      <c r="M1789">
        <v>7.82400438923975</v>
      </c>
      <c r="N1789">
        <v>58.1058823944559</v>
      </c>
      <c r="O1789">
        <v>52.3710297793477</v>
      </c>
      <c r="P1789">
        <v>-0.0321401731869985</v>
      </c>
      <c r="Q1789">
        <v>0.140517681044505</v>
      </c>
      <c r="R1789">
        <v>0.948173613969683</v>
      </c>
      <c r="S1789" t="s">
        <v>3982</v>
      </c>
      <c r="T1789" t="s">
        <v>4362</v>
      </c>
      <c r="U1789" t="s">
        <v>4362</v>
      </c>
      <c r="V1789" t="s">
        <v>4362</v>
      </c>
      <c r="W1789" t="s">
        <v>6146</v>
      </c>
      <c r="X1789">
        <v>3</v>
      </c>
      <c r="Y1789" t="s">
        <v>8310</v>
      </c>
      <c r="Z1789" t="s">
        <v>10477</v>
      </c>
      <c r="AA1789">
        <v>0.6753389913995314</v>
      </c>
      <c r="AB1789">
        <f>HYPERLINK("Melting_Curves/meltCurve_P64578_higB.pdf", "Melting_Curves/meltCurve_P64578_higB.pdf")</f>
        <v>0</v>
      </c>
    </row>
    <row r="1790" spans="1:28">
      <c r="A1790" t="s">
        <v>1816</v>
      </c>
      <c r="B1790">
        <v>0.999739202189716</v>
      </c>
      <c r="C1790">
        <v>1.23056258950048</v>
      </c>
      <c r="D1790">
        <v>0.925032182463807</v>
      </c>
      <c r="E1790">
        <v>1.072918237657</v>
      </c>
      <c r="F1790">
        <v>0.959871462625405</v>
      </c>
      <c r="G1790">
        <v>0.725972966525023</v>
      </c>
      <c r="H1790">
        <v>0.76800691123135</v>
      </c>
      <c r="I1790">
        <v>0.5127518865242781</v>
      </c>
      <c r="J1790">
        <v>0.446610585523164</v>
      </c>
      <c r="K1790">
        <v>0.309785290260739</v>
      </c>
      <c r="L1790">
        <v>713.510750568234</v>
      </c>
      <c r="M1790">
        <v>11.7403192866035</v>
      </c>
      <c r="N1790">
        <v>61.9559761578192</v>
      </c>
      <c r="O1790">
        <v>59.0915077141846</v>
      </c>
      <c r="P1790">
        <v>-0.044699680323087</v>
      </c>
      <c r="Q1790">
        <v>0.100304062350051</v>
      </c>
      <c r="R1790">
        <v>0.8887841323415659</v>
      </c>
      <c r="S1790" t="s">
        <v>3983</v>
      </c>
      <c r="T1790" t="s">
        <v>4362</v>
      </c>
      <c r="U1790" t="s">
        <v>4362</v>
      </c>
      <c r="V1790" t="s">
        <v>4362</v>
      </c>
      <c r="W1790" t="s">
        <v>6147</v>
      </c>
      <c r="X1790">
        <v>3</v>
      </c>
      <c r="Y1790" t="s">
        <v>8311</v>
      </c>
      <c r="Z1790" t="s">
        <v>10478</v>
      </c>
      <c r="AA1790">
        <v>0.7912204374882962</v>
      </c>
      <c r="AB1790">
        <f>HYPERLINK("Melting_Curves/meltCurve_P64581_yqjD.pdf", "Melting_Curves/meltCurve_P64581_yqjD.pdf")</f>
        <v>0</v>
      </c>
    </row>
    <row r="1791" spans="1:28">
      <c r="A1791" t="s">
        <v>1817</v>
      </c>
      <c r="B1791">
        <v>0.999739202189716</v>
      </c>
      <c r="C1791">
        <v>0.762011587895469</v>
      </c>
      <c r="D1791">
        <v>1.159195587921</v>
      </c>
      <c r="E1791">
        <v>1.12553998752985</v>
      </c>
      <c r="F1791">
        <v>1.0808800830147</v>
      </c>
      <c r="G1791">
        <v>0.839186429494483</v>
      </c>
      <c r="H1791">
        <v>0.647673985541989</v>
      </c>
      <c r="I1791">
        <v>0.496045047439822</v>
      </c>
      <c r="J1791">
        <v>0.388552816040382</v>
      </c>
      <c r="K1791">
        <v>0.235331862662242</v>
      </c>
      <c r="L1791">
        <v>1117.39635186246</v>
      </c>
      <c r="M1791">
        <v>19.0639259788139</v>
      </c>
      <c r="N1791">
        <v>60.3903569494473</v>
      </c>
      <c r="O1791">
        <v>57.9796119972213</v>
      </c>
      <c r="P1791">
        <v>-0.06455574559372219</v>
      </c>
      <c r="Q1791">
        <v>0.214690629054781</v>
      </c>
      <c r="R1791">
        <v>0.874253467141258</v>
      </c>
      <c r="S1791" t="s">
        <v>3984</v>
      </c>
      <c r="T1791" t="s">
        <v>4362</v>
      </c>
      <c r="U1791" t="s">
        <v>4362</v>
      </c>
      <c r="V1791" t="s">
        <v>4362</v>
      </c>
      <c r="W1791" t="s">
        <v>6148</v>
      </c>
      <c r="X1791">
        <v>1</v>
      </c>
      <c r="Y1791" t="s">
        <v>8312</v>
      </c>
      <c r="Z1791" t="s">
        <v>10479</v>
      </c>
      <c r="AA1791">
        <v>0.7842624121984583</v>
      </c>
      <c r="AB1791">
        <f>HYPERLINK("Melting_Curves/meltCurve_P64585_yqjE.pdf", "Melting_Curves/meltCurve_P64585_yqjE.pdf")</f>
        <v>0</v>
      </c>
    </row>
    <row r="1792" spans="1:28">
      <c r="A1792" t="s">
        <v>1818</v>
      </c>
      <c r="B1792">
        <v>0.999739202189716</v>
      </c>
      <c r="C1792">
        <v>0.98097136667982</v>
      </c>
      <c r="D1792">
        <v>1.00300912561474</v>
      </c>
      <c r="E1792">
        <v>0.988379772878331</v>
      </c>
      <c r="F1792">
        <v>0.9444874117452861</v>
      </c>
      <c r="G1792">
        <v>0.788319856386667</v>
      </c>
      <c r="H1792">
        <v>0.724133461327763</v>
      </c>
      <c r="I1792">
        <v>0.556162846740938</v>
      </c>
      <c r="J1792">
        <v>0.563494514641125</v>
      </c>
      <c r="K1792">
        <v>0.440908155609698</v>
      </c>
      <c r="L1792">
        <v>751.069026042683</v>
      </c>
      <c r="M1792">
        <v>13.0253340277411</v>
      </c>
      <c r="N1792">
        <v>64.8657277273124</v>
      </c>
      <c r="O1792">
        <v>56.3538019970482</v>
      </c>
      <c r="P1792">
        <v>-0.0356990225092336</v>
      </c>
      <c r="Q1792">
        <v>0.382304368983409</v>
      </c>
      <c r="R1792">
        <v>0.9828272233295851</v>
      </c>
      <c r="S1792" t="s">
        <v>3985</v>
      </c>
      <c r="T1792" t="s">
        <v>4362</v>
      </c>
      <c r="U1792" t="s">
        <v>4362</v>
      </c>
      <c r="V1792" t="s">
        <v>4362</v>
      </c>
      <c r="W1792" t="s">
        <v>6149</v>
      </c>
      <c r="X1792">
        <v>5</v>
      </c>
      <c r="Y1792" t="s">
        <v>8313</v>
      </c>
      <c r="Z1792" t="s">
        <v>10480</v>
      </c>
      <c r="AA1792">
        <v>0.8095610687596089</v>
      </c>
      <c r="AB1792">
        <f>HYPERLINK("Melting_Curves/meltCurve_P64588_yqjI.pdf", "Melting_Curves/meltCurve_P64588_yqjI.pdf")</f>
        <v>0</v>
      </c>
    </row>
    <row r="1793" spans="1:28">
      <c r="A1793" t="s">
        <v>1819</v>
      </c>
      <c r="B1793">
        <v>0.999739202189716</v>
      </c>
      <c r="C1793">
        <v>1.12456601280607</v>
      </c>
      <c r="D1793">
        <v>0.966457941531479</v>
      </c>
      <c r="E1793">
        <v>1.06251964406665</v>
      </c>
      <c r="F1793">
        <v>0.999434656306839</v>
      </c>
      <c r="G1793">
        <v>0.866208774635419</v>
      </c>
      <c r="H1793">
        <v>0.817298538932679</v>
      </c>
      <c r="I1793">
        <v>0.64999433820084</v>
      </c>
      <c r="J1793">
        <v>0.611004066335976</v>
      </c>
      <c r="K1793">
        <v>0.487800066307062</v>
      </c>
      <c r="L1793">
        <v>875.455745675975</v>
      </c>
      <c r="M1793">
        <v>14.5306654276433</v>
      </c>
      <c r="O1793">
        <v>59.1422222287165</v>
      </c>
      <c r="P1793">
        <v>-0.0371813052723834</v>
      </c>
      <c r="Q1793">
        <v>0.394732935240617</v>
      </c>
      <c r="R1793">
        <v>0.933761016753615</v>
      </c>
      <c r="S1793" t="s">
        <v>3986</v>
      </c>
      <c r="T1793" t="s">
        <v>4362</v>
      </c>
      <c r="U1793" t="s">
        <v>4362</v>
      </c>
      <c r="V1793" t="s">
        <v>4362</v>
      </c>
      <c r="W1793" t="s">
        <v>6150</v>
      </c>
      <c r="X1793">
        <v>5</v>
      </c>
      <c r="Y1793" t="s">
        <v>8314</v>
      </c>
      <c r="Z1793" t="s">
        <v>10481</v>
      </c>
      <c r="AA1793">
        <v>0.8579692149529656</v>
      </c>
      <c r="AB1793">
        <f>HYPERLINK("Melting_Curves/meltCurve_P64594_yhaV.pdf", "Melting_Curves/meltCurve_P64594_yhaV.pdf")</f>
        <v>0</v>
      </c>
    </row>
    <row r="1794" spans="1:28">
      <c r="A1794" t="s">
        <v>1820</v>
      </c>
      <c r="B1794">
        <v>0.999739202189716</v>
      </c>
      <c r="C1794">
        <v>0.9495639495304939</v>
      </c>
      <c r="D1794">
        <v>0.991537899444814</v>
      </c>
      <c r="E1794">
        <v>0.97644072216889</v>
      </c>
      <c r="F1794">
        <v>0.980662469838353</v>
      </c>
      <c r="G1794">
        <v>0.858744678563058</v>
      </c>
      <c r="H1794">
        <v>0.712569502055743</v>
      </c>
      <c r="I1794">
        <v>0.439227634852795</v>
      </c>
      <c r="J1794">
        <v>0.344808915605149</v>
      </c>
      <c r="K1794">
        <v>0.263348236082874</v>
      </c>
      <c r="L1794">
        <v>1104.31871920054</v>
      </c>
      <c r="M1794">
        <v>18.7801710225157</v>
      </c>
      <c r="N1794">
        <v>60.3482028067774</v>
      </c>
      <c r="O1794">
        <v>58.1478297452883</v>
      </c>
      <c r="P1794">
        <v>-0.0653291889130008</v>
      </c>
      <c r="Q1794">
        <v>0.190935678132336</v>
      </c>
      <c r="R1794">
        <v>0.9936709888801</v>
      </c>
      <c r="S1794" t="s">
        <v>3987</v>
      </c>
      <c r="T1794" t="s">
        <v>4362</v>
      </c>
      <c r="U1794" t="s">
        <v>4362</v>
      </c>
      <c r="V1794" t="s">
        <v>4362</v>
      </c>
      <c r="W1794" t="s">
        <v>6151</v>
      </c>
      <c r="X1794">
        <v>8</v>
      </c>
      <c r="Y1794" t="s">
        <v>8315</v>
      </c>
      <c r="Z1794" t="s">
        <v>10482</v>
      </c>
      <c r="AA1794">
        <v>0.7822250322940766</v>
      </c>
      <c r="AB1794">
        <f>HYPERLINK("Melting_Curves/meltCurve_P64596_yraP.pdf", "Melting_Curves/meltCurve_P64596_yraP.pdf")</f>
        <v>0</v>
      </c>
    </row>
    <row r="1795" spans="1:28">
      <c r="A1795" t="s">
        <v>1821</v>
      </c>
      <c r="B1795">
        <v>0.999739202189716</v>
      </c>
      <c r="C1795">
        <v>1.08838219115923</v>
      </c>
      <c r="D1795">
        <v>1.00610439372485</v>
      </c>
      <c r="E1795">
        <v>1.241817088441</v>
      </c>
      <c r="F1795">
        <v>1.14743730936697</v>
      </c>
      <c r="G1795">
        <v>0.976518167698071</v>
      </c>
      <c r="H1795">
        <v>0.837509696494104</v>
      </c>
      <c r="I1795">
        <v>0.81158904288103</v>
      </c>
      <c r="J1795">
        <v>0.6139504547919949</v>
      </c>
      <c r="K1795">
        <v>0.7222360327392801</v>
      </c>
      <c r="L1795">
        <v>1705.86962035427</v>
      </c>
      <c r="M1795">
        <v>29.2769623367988</v>
      </c>
      <c r="O1795">
        <v>57.9967946778816</v>
      </c>
      <c r="P1795">
        <v>-0.0408364396475524</v>
      </c>
      <c r="Q1795">
        <v>0.676419165355711</v>
      </c>
      <c r="R1795">
        <v>0.701569577768054</v>
      </c>
      <c r="S1795" t="s">
        <v>3988</v>
      </c>
      <c r="T1795" t="s">
        <v>4362</v>
      </c>
      <c r="U1795" t="s">
        <v>4362</v>
      </c>
      <c r="V1795" t="s">
        <v>4362</v>
      </c>
      <c r="W1795" t="s">
        <v>6152</v>
      </c>
      <c r="X1795">
        <v>3</v>
      </c>
      <c r="Y1795" t="s">
        <v>8316</v>
      </c>
      <c r="Z1795" t="s">
        <v>10483</v>
      </c>
      <c r="AA1795">
        <v>0.9075804045007646</v>
      </c>
      <c r="AB1795">
        <f>HYPERLINK("Melting_Curves/meltCurve_P64602_mlaB.pdf", "Melting_Curves/meltCurve_P64602_mlaB.pdf")</f>
        <v>0</v>
      </c>
    </row>
    <row r="1796" spans="1:28">
      <c r="A1796" t="s">
        <v>1822</v>
      </c>
      <c r="B1796">
        <v>0.999739202189716</v>
      </c>
      <c r="C1796">
        <v>0.987078398467969</v>
      </c>
      <c r="D1796">
        <v>0.88457709925837</v>
      </c>
      <c r="E1796">
        <v>0.992758460646742</v>
      </c>
      <c r="F1796">
        <v>0.833417790776535</v>
      </c>
      <c r="G1796">
        <v>0.711722401697008</v>
      </c>
      <c r="H1796">
        <v>0.396571034913819</v>
      </c>
      <c r="I1796">
        <v>0.384952621809072</v>
      </c>
      <c r="J1796">
        <v>0.274354380249252</v>
      </c>
      <c r="K1796">
        <v>0.217834668566362</v>
      </c>
      <c r="L1796">
        <v>861.045496293872</v>
      </c>
      <c r="M1796">
        <v>15.6495205409251</v>
      </c>
      <c r="N1796">
        <v>56.7461318039372</v>
      </c>
      <c r="O1796">
        <v>54.1456575133916</v>
      </c>
      <c r="P1796">
        <v>-0.0585812245808159</v>
      </c>
      <c r="Q1796">
        <v>0.189330493866437</v>
      </c>
      <c r="R1796">
        <v>0.974352336403203</v>
      </c>
      <c r="S1796" t="s">
        <v>3989</v>
      </c>
      <c r="T1796" t="s">
        <v>4362</v>
      </c>
      <c r="U1796" t="s">
        <v>4362</v>
      </c>
      <c r="V1796" t="s">
        <v>4362</v>
      </c>
      <c r="W1796" t="s">
        <v>6153</v>
      </c>
      <c r="X1796">
        <v>5</v>
      </c>
      <c r="Y1796" t="s">
        <v>8317</v>
      </c>
      <c r="Z1796" t="s">
        <v>10484</v>
      </c>
      <c r="AA1796">
        <v>0.6874700102397374</v>
      </c>
      <c r="AB1796">
        <f>HYPERLINK("Melting_Curves/meltCurve_P64604_mlaD.pdf", "Melting_Curves/meltCurve_P64604_mlaD.pdf")</f>
        <v>0</v>
      </c>
    </row>
    <row r="1797" spans="1:28">
      <c r="A1797" t="s">
        <v>1823</v>
      </c>
      <c r="B1797">
        <v>0.999739202189716</v>
      </c>
      <c r="C1797">
        <v>1.1781226666919</v>
      </c>
      <c r="D1797">
        <v>0.762073606627932</v>
      </c>
      <c r="E1797">
        <v>0.830598945389974</v>
      </c>
      <c r="F1797">
        <v>0.723343660882097</v>
      </c>
      <c r="G1797">
        <v>0.557025023963494</v>
      </c>
      <c r="H1797">
        <v>0.409790214856889</v>
      </c>
      <c r="I1797">
        <v>0.358577187696001</v>
      </c>
      <c r="J1797">
        <v>0.2610920591851</v>
      </c>
      <c r="K1797">
        <v>0.140158816699803</v>
      </c>
      <c r="L1797">
        <v>468.331749108631</v>
      </c>
      <c r="M1797">
        <v>8.45453329114304</v>
      </c>
      <c r="N1797">
        <v>55.3941575435138</v>
      </c>
      <c r="O1797">
        <v>52.5555212863</v>
      </c>
      <c r="P1797">
        <v>-0.0402541273176796</v>
      </c>
      <c r="Q1797">
        <v>0</v>
      </c>
      <c r="R1797">
        <v>0.92434469380107</v>
      </c>
      <c r="S1797" t="s">
        <v>3990</v>
      </c>
      <c r="T1797" t="s">
        <v>4362</v>
      </c>
      <c r="U1797" t="s">
        <v>4362</v>
      </c>
      <c r="V1797" t="s">
        <v>4362</v>
      </c>
      <c r="W1797" t="s">
        <v>6154</v>
      </c>
      <c r="X1797">
        <v>2</v>
      </c>
      <c r="Y1797" t="s">
        <v>8318</v>
      </c>
      <c r="Z1797" t="s">
        <v>10485</v>
      </c>
      <c r="AA1797">
        <v>0.6185263933642997</v>
      </c>
      <c r="AB1797">
        <f>HYPERLINK("Melting_Curves/meltCurve_P64606_mlaE.pdf", "Melting_Curves/meltCurve_P64606_mlaE.pdf")</f>
        <v>0</v>
      </c>
    </row>
    <row r="1798" spans="1:28">
      <c r="A1798" t="s">
        <v>1824</v>
      </c>
      <c r="B1798">
        <v>0.999739202189716</v>
      </c>
      <c r="C1798">
        <v>0.801493762536697</v>
      </c>
      <c r="D1798">
        <v>0.739911374561548</v>
      </c>
      <c r="E1798">
        <v>0.599823230642068</v>
      </c>
      <c r="F1798">
        <v>0.488759562417007</v>
      </c>
      <c r="G1798">
        <v>0.275753512884523</v>
      </c>
      <c r="H1798">
        <v>0.203059675916603</v>
      </c>
      <c r="I1798">
        <v>0.147732886481272</v>
      </c>
      <c r="J1798">
        <v>0.126822838402079</v>
      </c>
      <c r="K1798">
        <v>0.119299004907207</v>
      </c>
      <c r="L1798">
        <v>413.524322141862</v>
      </c>
      <c r="M1798">
        <v>8.53162449088361</v>
      </c>
      <c r="N1798">
        <v>48.6337523307476</v>
      </c>
      <c r="O1798">
        <v>46.0268286013583</v>
      </c>
      <c r="P1798">
        <v>-0.0457232667318308</v>
      </c>
      <c r="Q1798">
        <v>0.0141955350671254</v>
      </c>
      <c r="R1798">
        <v>0.985701899504056</v>
      </c>
      <c r="S1798" t="s">
        <v>3991</v>
      </c>
      <c r="T1798" t="s">
        <v>4362</v>
      </c>
      <c r="U1798" t="s">
        <v>4362</v>
      </c>
      <c r="V1798" t="s">
        <v>4362</v>
      </c>
      <c r="W1798" t="s">
        <v>6155</v>
      </c>
      <c r="X1798">
        <v>7</v>
      </c>
      <c r="Y1798" t="s">
        <v>8319</v>
      </c>
      <c r="Z1798" t="s">
        <v>10486</v>
      </c>
      <c r="AA1798">
        <v>0.4366915621489534</v>
      </c>
      <c r="AB1798">
        <f>HYPERLINK("Melting_Curves/meltCurve_P64624_yheO.pdf", "Melting_Curves/meltCurve_P64624_yheO.pdf")</f>
        <v>0</v>
      </c>
    </row>
    <row r="1799" spans="1:28">
      <c r="A1799" t="s">
        <v>1825</v>
      </c>
      <c r="B1799">
        <v>0.999739202189716</v>
      </c>
      <c r="C1799">
        <v>0.890020012095631</v>
      </c>
      <c r="D1799">
        <v>0.6937505151843389</v>
      </c>
      <c r="E1799">
        <v>1.01092867827764</v>
      </c>
      <c r="F1799">
        <v>0.79894939713638</v>
      </c>
      <c r="G1799">
        <v>0.649213618737721</v>
      </c>
      <c r="H1799">
        <v>0.568950980494861</v>
      </c>
      <c r="I1799">
        <v>0.6202624601657351</v>
      </c>
      <c r="J1799">
        <v>0.349749059599973</v>
      </c>
      <c r="K1799">
        <v>0.533262819482442</v>
      </c>
      <c r="L1799">
        <v>268.610391997548</v>
      </c>
      <c r="M1799">
        <v>4.21711629157964</v>
      </c>
      <c r="N1799">
        <v>63.6952681851685</v>
      </c>
      <c r="O1799">
        <v>53.1457873662442</v>
      </c>
      <c r="P1799">
        <v>-0.0200523918619206</v>
      </c>
      <c r="Q1799">
        <v>0</v>
      </c>
      <c r="R1799">
        <v>0.723942175114474</v>
      </c>
      <c r="S1799" t="s">
        <v>3992</v>
      </c>
      <c r="T1799" t="s">
        <v>4362</v>
      </c>
      <c r="U1799" t="s">
        <v>4362</v>
      </c>
      <c r="V1799" t="s">
        <v>4362</v>
      </c>
      <c r="W1799" t="s">
        <v>6156</v>
      </c>
      <c r="X1799">
        <v>3</v>
      </c>
      <c r="Y1799" t="s">
        <v>8320</v>
      </c>
      <c r="Z1799" t="s">
        <v>10487</v>
      </c>
      <c r="AA1799">
        <v>0.7150793342358099</v>
      </c>
      <c r="AB1799">
        <f>HYPERLINK("Melting_Curves/meltCurve_P65292_ygdI.pdf", "Melting_Curves/meltCurve_P65292_ygdI.pdf")</f>
        <v>0</v>
      </c>
    </row>
    <row r="1800" spans="1:28">
      <c r="A1800" t="s">
        <v>1826</v>
      </c>
      <c r="B1800">
        <v>0.999739202189716</v>
      </c>
      <c r="C1800">
        <v>0.78771793941499</v>
      </c>
      <c r="D1800">
        <v>1.02667311612019</v>
      </c>
      <c r="E1800">
        <v>0.966346014366752</v>
      </c>
      <c r="F1800">
        <v>0.761569010788736</v>
      </c>
      <c r="G1800">
        <v>0.513906878364109</v>
      </c>
      <c r="H1800">
        <v>0.359256230917378</v>
      </c>
      <c r="I1800">
        <v>0.328183027777832</v>
      </c>
      <c r="J1800">
        <v>0.329211488793736</v>
      </c>
      <c r="K1800">
        <v>0.373205686592924</v>
      </c>
      <c r="L1800">
        <v>1344.10763401713</v>
      </c>
      <c r="M1800">
        <v>26.1263872888825</v>
      </c>
      <c r="N1800">
        <v>53.7384264295904</v>
      </c>
      <c r="O1800">
        <v>51.1477764416985</v>
      </c>
      <c r="P1800">
        <v>-0.0848025453181778</v>
      </c>
      <c r="Q1800">
        <v>0.335933526712441</v>
      </c>
      <c r="R1800">
        <v>0.938090021563718</v>
      </c>
      <c r="S1800" t="s">
        <v>3993</v>
      </c>
      <c r="T1800" t="s">
        <v>4362</v>
      </c>
      <c r="U1800" t="s">
        <v>4362</v>
      </c>
      <c r="V1800" t="s">
        <v>4362</v>
      </c>
      <c r="W1800" t="s">
        <v>6157</v>
      </c>
      <c r="X1800">
        <v>2</v>
      </c>
      <c r="Y1800" t="s">
        <v>8321</v>
      </c>
      <c r="Z1800" t="s">
        <v>10488</v>
      </c>
      <c r="AA1800">
        <v>0.6611259744809016</v>
      </c>
      <c r="AB1800">
        <f>HYPERLINK("Melting_Curves/meltCurve_P65367_yqcA.pdf", "Melting_Curves/meltCurve_P65367_yqcA.pdf")</f>
        <v>0</v>
      </c>
    </row>
    <row r="1801" spans="1:28">
      <c r="A1801" t="s">
        <v>1827</v>
      </c>
      <c r="B1801">
        <v>0.999739202189716</v>
      </c>
      <c r="C1801">
        <v>1.39939145668784</v>
      </c>
      <c r="D1801">
        <v>0.412989810478084</v>
      </c>
      <c r="E1801">
        <v>0.985104777710581</v>
      </c>
      <c r="F1801">
        <v>0.630089354316601</v>
      </c>
      <c r="G1801">
        <v>0.362672986617031</v>
      </c>
      <c r="H1801">
        <v>0.424633008949717</v>
      </c>
      <c r="I1801">
        <v>0.327484063582868</v>
      </c>
      <c r="J1801">
        <v>0.360676362310961</v>
      </c>
      <c r="K1801">
        <v>0.387661337115987</v>
      </c>
      <c r="L1801">
        <v>657.467496511778</v>
      </c>
      <c r="M1801">
        <v>13.4748995644962</v>
      </c>
      <c r="N1801">
        <v>52.8776820073372</v>
      </c>
      <c r="O1801">
        <v>47.7550067917259</v>
      </c>
      <c r="P1801">
        <v>-0.0477305253511738</v>
      </c>
      <c r="Q1801">
        <v>0.323476506106278</v>
      </c>
      <c r="R1801">
        <v>0.600747527697735</v>
      </c>
      <c r="S1801" t="s">
        <v>3994</v>
      </c>
      <c r="T1801" t="s">
        <v>4362</v>
      </c>
      <c r="U1801" t="s">
        <v>4362</v>
      </c>
      <c r="V1801" t="s">
        <v>4362</v>
      </c>
      <c r="W1801" t="s">
        <v>6158</v>
      </c>
      <c r="X1801">
        <v>2</v>
      </c>
      <c r="Y1801" t="s">
        <v>8322</v>
      </c>
      <c r="Z1801" t="s">
        <v>10489</v>
      </c>
      <c r="AA1801">
        <v>0.6066480709043465</v>
      </c>
      <c r="AB1801">
        <f>HYPERLINK("Melting_Curves/meltCurve_P65556_yfcD.pdf", "Melting_Curves/meltCurve_P65556_yfcD.pdf")</f>
        <v>0</v>
      </c>
    </row>
    <row r="1802" spans="1:28">
      <c r="A1802" t="s">
        <v>1828</v>
      </c>
      <c r="B1802">
        <v>0.999739202189716</v>
      </c>
      <c r="C1802">
        <v>0.897484226972743</v>
      </c>
      <c r="D1802">
        <v>1.05975427308636</v>
      </c>
      <c r="E1802">
        <v>0.983729936035788</v>
      </c>
      <c r="F1802">
        <v>1.14573955931411</v>
      </c>
      <c r="G1802">
        <v>1.01374742502438</v>
      </c>
      <c r="H1802">
        <v>0.947919986371827</v>
      </c>
      <c r="I1802">
        <v>0.845287662409378</v>
      </c>
      <c r="J1802">
        <v>0.845599820179482</v>
      </c>
      <c r="K1802">
        <v>0.526874311374237</v>
      </c>
      <c r="L1802">
        <v>1462.04024818478</v>
      </c>
      <c r="M1802">
        <v>21.5950893014239</v>
      </c>
      <c r="Q1802">
        <v>0</v>
      </c>
      <c r="R1802">
        <v>0.811406090439202</v>
      </c>
      <c r="S1802" t="s">
        <v>3995</v>
      </c>
      <c r="T1802" t="s">
        <v>4362</v>
      </c>
      <c r="U1802" t="s">
        <v>4362</v>
      </c>
      <c r="V1802" t="s">
        <v>4362</v>
      </c>
      <c r="W1802" t="s">
        <v>6159</v>
      </c>
      <c r="X1802">
        <v>17</v>
      </c>
      <c r="Y1802" t="s">
        <v>8323</v>
      </c>
      <c r="Z1802" t="s">
        <v>10490</v>
      </c>
      <c r="AA1802">
        <v>0.9455523517486301</v>
      </c>
      <c r="AB1802">
        <f>HYPERLINK("Melting_Curves/meltCurve_P65807_ygeY.pdf", "Melting_Curves/meltCurve_P65807_ygeY.pdf")</f>
        <v>0</v>
      </c>
    </row>
    <row r="1803" spans="1:28">
      <c r="A1803" t="s">
        <v>1829</v>
      </c>
      <c r="B1803">
        <v>0.999739202189716</v>
      </c>
      <c r="C1803">
        <v>0.90510136254943</v>
      </c>
      <c r="D1803">
        <v>1.34690549593318</v>
      </c>
      <c r="E1803">
        <v>1.26538926170457</v>
      </c>
      <c r="F1803">
        <v>1.07703879194106</v>
      </c>
      <c r="G1803">
        <v>1.14109068308144</v>
      </c>
      <c r="H1803">
        <v>0.9919987489491821</v>
      </c>
      <c r="I1803">
        <v>0.908337526007384</v>
      </c>
      <c r="J1803">
        <v>0.7604772243024041</v>
      </c>
      <c r="K1803">
        <v>0.582901543676217</v>
      </c>
      <c r="L1803">
        <v>1997.94420321538</v>
      </c>
      <c r="M1803">
        <v>30.9641433476016</v>
      </c>
      <c r="O1803">
        <v>64.2571093401201</v>
      </c>
      <c r="P1803">
        <v>-0.0659751547002492</v>
      </c>
      <c r="Q1803">
        <v>0.452353867788756</v>
      </c>
      <c r="R1803">
        <v>0.513973201378954</v>
      </c>
      <c r="S1803" t="s">
        <v>3996</v>
      </c>
      <c r="T1803" t="s">
        <v>4362</v>
      </c>
      <c r="U1803" t="s">
        <v>4362</v>
      </c>
      <c r="V1803" t="s">
        <v>4362</v>
      </c>
      <c r="W1803" t="s">
        <v>6160</v>
      </c>
      <c r="X1803">
        <v>3</v>
      </c>
      <c r="Y1803" t="s">
        <v>8324</v>
      </c>
      <c r="Z1803" t="s">
        <v>10491</v>
      </c>
      <c r="AA1803">
        <v>0.9466561913553521</v>
      </c>
      <c r="AB1803">
        <f>HYPERLINK("Melting_Curves/meltCurve_P65870_queD.pdf", "Melting_Curves/meltCurve_P65870_queD.pdf")</f>
        <v>0</v>
      </c>
    </row>
    <row r="1804" spans="1:28">
      <c r="A1804" t="s">
        <v>1830</v>
      </c>
      <c r="B1804">
        <v>0.999739202189716</v>
      </c>
      <c r="C1804">
        <v>0.8518053434045531</v>
      </c>
      <c r="D1804">
        <v>0.723979900832017</v>
      </c>
      <c r="E1804">
        <v>0.606867881061759</v>
      </c>
      <c r="F1804">
        <v>0.554433714864082</v>
      </c>
      <c r="G1804">
        <v>0.360501983854713</v>
      </c>
      <c r="H1804">
        <v>0.301574569779754</v>
      </c>
      <c r="I1804">
        <v>0.268543960395533</v>
      </c>
      <c r="J1804">
        <v>0.276873459563713</v>
      </c>
      <c r="K1804">
        <v>0.200619248904994</v>
      </c>
      <c r="L1804">
        <v>409.197274273302</v>
      </c>
      <c r="M1804">
        <v>8.58134647878706</v>
      </c>
      <c r="N1804">
        <v>49.8925155951957</v>
      </c>
      <c r="O1804">
        <v>45.3068274723592</v>
      </c>
      <c r="P1804">
        <v>-0.0399048906652655</v>
      </c>
      <c r="Q1804">
        <v>0.157990591144071</v>
      </c>
      <c r="R1804">
        <v>0.98098296623337</v>
      </c>
      <c r="S1804" t="s">
        <v>3997</v>
      </c>
      <c r="T1804" t="s">
        <v>4362</v>
      </c>
      <c r="U1804" t="s">
        <v>4362</v>
      </c>
      <c r="V1804" t="s">
        <v>4362</v>
      </c>
      <c r="W1804" t="s">
        <v>6161</v>
      </c>
      <c r="X1804">
        <v>2</v>
      </c>
      <c r="Y1804" t="s">
        <v>8325</v>
      </c>
      <c r="Z1804" t="s">
        <v>10492</v>
      </c>
      <c r="AA1804">
        <v>0.4996412652437724</v>
      </c>
      <c r="AB1804">
        <f>HYPERLINK("Melting_Curves/meltCurve_P66817_diaA.pdf", "Melting_Curves/meltCurve_P66817_diaA.pdf")</f>
        <v>0</v>
      </c>
    </row>
    <row r="1805" spans="1:28">
      <c r="A1805" t="s">
        <v>1831</v>
      </c>
      <c r="B1805">
        <v>0.999739202189716</v>
      </c>
      <c r="C1805">
        <v>0.84801000812464</v>
      </c>
      <c r="D1805">
        <v>1.18428742539836</v>
      </c>
      <c r="E1805">
        <v>0.893877734414849</v>
      </c>
      <c r="F1805">
        <v>1.06171443681123</v>
      </c>
      <c r="G1805">
        <v>0.7039248589602179</v>
      </c>
      <c r="H1805">
        <v>0.210415694076268</v>
      </c>
      <c r="I1805">
        <v>0.0722984996778758</v>
      </c>
      <c r="J1805">
        <v>0.0610900829406049</v>
      </c>
      <c r="K1805">
        <v>0.0534884136587908</v>
      </c>
      <c r="L1805">
        <v>2254.76830810676</v>
      </c>
      <c r="M1805">
        <v>41.0525280305464</v>
      </c>
      <c r="N1805">
        <v>55.0929244818511</v>
      </c>
      <c r="O1805">
        <v>54.7941430859949</v>
      </c>
      <c r="P1805">
        <v>-0.176226239607943</v>
      </c>
      <c r="Q1805">
        <v>0.0591423272144743</v>
      </c>
      <c r="R1805">
        <v>0.9602052643447631</v>
      </c>
      <c r="S1805" t="s">
        <v>3998</v>
      </c>
      <c r="T1805" t="s">
        <v>4362</v>
      </c>
      <c r="U1805" t="s">
        <v>4362</v>
      </c>
      <c r="V1805" t="s">
        <v>4362</v>
      </c>
      <c r="W1805" t="s">
        <v>6162</v>
      </c>
      <c r="X1805">
        <v>6</v>
      </c>
      <c r="Y1805" t="s">
        <v>8326</v>
      </c>
      <c r="Z1805" t="s">
        <v>10493</v>
      </c>
      <c r="AA1805">
        <v>0.6246227820197701</v>
      </c>
      <c r="AB1805">
        <f>HYPERLINK("Melting_Curves/meltCurve_P66899_ygeX.pdf", "Melting_Curves/meltCurve_P66899_ygeX.pdf")</f>
        <v>0</v>
      </c>
    </row>
    <row r="1806" spans="1:28">
      <c r="A1806" t="s">
        <v>1832</v>
      </c>
      <c r="B1806">
        <v>0.999739202189716</v>
      </c>
      <c r="C1806">
        <v>1.13524568514649</v>
      </c>
      <c r="D1806">
        <v>0.886331515555718</v>
      </c>
      <c r="E1806">
        <v>0.986889764509062</v>
      </c>
      <c r="F1806">
        <v>0.898990130987663</v>
      </c>
      <c r="G1806">
        <v>0.7133625635779</v>
      </c>
      <c r="H1806">
        <v>0.702800337698462</v>
      </c>
      <c r="I1806">
        <v>0.1943125885354</v>
      </c>
      <c r="J1806">
        <v>0.108138821447783</v>
      </c>
      <c r="K1806">
        <v>0.08230043055153111</v>
      </c>
      <c r="L1806">
        <v>1089.02726920599</v>
      </c>
      <c r="M1806">
        <v>18.7874058393708</v>
      </c>
      <c r="N1806">
        <v>57.9658186791827</v>
      </c>
      <c r="O1806">
        <v>57.3210543857714</v>
      </c>
      <c r="P1806">
        <v>-0.08194278515347519</v>
      </c>
      <c r="Q1806">
        <v>0</v>
      </c>
      <c r="R1806">
        <v>0.946081518103027</v>
      </c>
      <c r="S1806" t="s">
        <v>3999</v>
      </c>
      <c r="T1806" t="s">
        <v>4362</v>
      </c>
      <c r="U1806" t="s">
        <v>4362</v>
      </c>
      <c r="V1806" t="s">
        <v>4362</v>
      </c>
      <c r="W1806" t="s">
        <v>6163</v>
      </c>
      <c r="X1806">
        <v>12</v>
      </c>
      <c r="Y1806" t="s">
        <v>8327</v>
      </c>
      <c r="Z1806" t="s">
        <v>10494</v>
      </c>
      <c r="AA1806">
        <v>0.7054992893938513</v>
      </c>
      <c r="AB1806">
        <f>HYPERLINK("Melting_Curves/meltCurve_P66948_bepA.pdf", "Melting_Curves/meltCurve_P66948_bepA.pdf")</f>
        <v>0</v>
      </c>
    </row>
    <row r="1807" spans="1:28">
      <c r="A1807" t="s">
        <v>1833</v>
      </c>
      <c r="B1807">
        <v>0.999739202189716</v>
      </c>
      <c r="C1807">
        <v>0.982051595190466</v>
      </c>
      <c r="D1807">
        <v>0.969270642792025</v>
      </c>
      <c r="E1807">
        <v>0.994475474461971</v>
      </c>
      <c r="F1807">
        <v>0.924862598634748</v>
      </c>
      <c r="G1807">
        <v>0.814687589885991</v>
      </c>
      <c r="H1807">
        <v>0.782729776188186</v>
      </c>
      <c r="I1807">
        <v>0.708045355210858</v>
      </c>
      <c r="J1807">
        <v>0.688985248462165</v>
      </c>
      <c r="K1807">
        <v>0.531661163136143</v>
      </c>
      <c r="L1807">
        <v>421.145543073009</v>
      </c>
      <c r="M1807">
        <v>6.01814990037612</v>
      </c>
      <c r="O1807">
        <v>63.4269396438727</v>
      </c>
      <c r="P1807">
        <v>-0.0237967882590197</v>
      </c>
      <c r="Q1807">
        <v>0</v>
      </c>
      <c r="R1807">
        <v>0.965026783597471</v>
      </c>
      <c r="S1807" t="s">
        <v>4000</v>
      </c>
      <c r="T1807" t="s">
        <v>4362</v>
      </c>
      <c r="U1807" t="s">
        <v>4362</v>
      </c>
      <c r="V1807" t="s">
        <v>4362</v>
      </c>
      <c r="W1807" t="s">
        <v>6164</v>
      </c>
      <c r="X1807">
        <v>8</v>
      </c>
      <c r="Y1807" t="s">
        <v>8328</v>
      </c>
      <c r="Z1807" t="s">
        <v>10495</v>
      </c>
      <c r="AA1807">
        <v>0.8488321927011635</v>
      </c>
      <c r="AB1807">
        <f>HYPERLINK("Melting_Curves/meltCurve_P67080_yggS.pdf", "Melting_Curves/meltCurve_P67080_yggS.pdf")</f>
        <v>0</v>
      </c>
    </row>
    <row r="1808" spans="1:28">
      <c r="A1808" t="s">
        <v>1834</v>
      </c>
      <c r="B1808">
        <v>0.999739202189716</v>
      </c>
      <c r="C1808">
        <v>0.661843377860095</v>
      </c>
      <c r="D1808">
        <v>0.42481058361292</v>
      </c>
      <c r="E1808">
        <v>0.282536928836064</v>
      </c>
      <c r="F1808">
        <v>0.204304571437098</v>
      </c>
      <c r="G1808">
        <v>0.131038714959314</v>
      </c>
      <c r="H1808">
        <v>0.125116409812093</v>
      </c>
      <c r="I1808">
        <v>0.100984322266197</v>
      </c>
      <c r="J1808">
        <v>0.100145352851841</v>
      </c>
      <c r="K1808">
        <v>0.08928136124672791</v>
      </c>
      <c r="L1808">
        <v>690.660265847032</v>
      </c>
      <c r="M1808">
        <v>16.5671350520404</v>
      </c>
      <c r="N1808">
        <v>42.3369608263093</v>
      </c>
      <c r="O1808">
        <v>41.0954012008776</v>
      </c>
      <c r="P1808">
        <v>-0.08949839862753679</v>
      </c>
      <c r="Q1808">
        <v>0.112044592919071</v>
      </c>
      <c r="R1808">
        <v>0.979690005661989</v>
      </c>
      <c r="S1808" t="s">
        <v>4001</v>
      </c>
      <c r="T1808" t="s">
        <v>4362</v>
      </c>
      <c r="U1808" t="s">
        <v>4362</v>
      </c>
      <c r="V1808" t="s">
        <v>4362</v>
      </c>
      <c r="W1808" t="s">
        <v>6165</v>
      </c>
      <c r="X1808">
        <v>5</v>
      </c>
      <c r="Y1808" t="s">
        <v>8329</v>
      </c>
      <c r="Z1808" t="s">
        <v>10496</v>
      </c>
      <c r="AA1808">
        <v>0.2721239314846896</v>
      </c>
      <c r="AB1808">
        <f>HYPERLINK("Melting_Curves/meltCurve_P67087_rsmI.pdf", "Melting_Curves/meltCurve_P67087_rsmI.pdf")</f>
        <v>0</v>
      </c>
    </row>
    <row r="1809" spans="1:28">
      <c r="A1809" t="s">
        <v>1835</v>
      </c>
      <c r="B1809">
        <v>0.999739202189716</v>
      </c>
      <c r="C1809">
        <v>0.960618312882523</v>
      </c>
      <c r="D1809">
        <v>0.815457724765507</v>
      </c>
      <c r="E1809">
        <v>0.863617560648771</v>
      </c>
      <c r="F1809">
        <v>0.701663520381155</v>
      </c>
      <c r="G1809">
        <v>0.543699905486841</v>
      </c>
      <c r="H1809">
        <v>0.455532214223274</v>
      </c>
      <c r="I1809">
        <v>0.395146002653612</v>
      </c>
      <c r="J1809">
        <v>0.341856786383861</v>
      </c>
      <c r="K1809">
        <v>0.364363370876801</v>
      </c>
      <c r="L1809">
        <v>482.029586598025</v>
      </c>
      <c r="M1809">
        <v>9.31177487736548</v>
      </c>
      <c r="N1809">
        <v>56.044117804894</v>
      </c>
      <c r="O1809">
        <v>49.546329628703</v>
      </c>
      <c r="P1809">
        <v>-0.0350548114414563</v>
      </c>
      <c r="Q1809">
        <v>0.254393739277882</v>
      </c>
      <c r="R1809">
        <v>0.976562656210286</v>
      </c>
      <c r="S1809" t="s">
        <v>4002</v>
      </c>
      <c r="T1809" t="s">
        <v>4362</v>
      </c>
      <c r="U1809" t="s">
        <v>4362</v>
      </c>
      <c r="V1809" t="s">
        <v>4362</v>
      </c>
      <c r="W1809" t="s">
        <v>6166</v>
      </c>
      <c r="X1809">
        <v>4</v>
      </c>
      <c r="Y1809" t="s">
        <v>8330</v>
      </c>
      <c r="Z1809" t="s">
        <v>10497</v>
      </c>
      <c r="AA1809">
        <v>0.642683603913127</v>
      </c>
      <c r="AB1809">
        <f>HYPERLINK("Melting_Curves/meltCurve_P67095_yfcE.pdf", "Melting_Curves/meltCurve_P67095_yfcE.pdf")</f>
        <v>0</v>
      </c>
    </row>
    <row r="1810" spans="1:28">
      <c r="A1810" t="s">
        <v>1836</v>
      </c>
      <c r="B1810">
        <v>0.999739202189716</v>
      </c>
      <c r="C1810">
        <v>1.132915943763</v>
      </c>
      <c r="D1810">
        <v>0.793134255601878</v>
      </c>
      <c r="E1810">
        <v>0.830510041499151</v>
      </c>
      <c r="F1810">
        <v>0.754495590455578</v>
      </c>
      <c r="G1810">
        <v>0.59840914457912</v>
      </c>
      <c r="H1810">
        <v>0.572456308002905</v>
      </c>
      <c r="I1810">
        <v>0.502344698354465</v>
      </c>
      <c r="J1810">
        <v>0.55512801331702</v>
      </c>
      <c r="K1810">
        <v>0.393819709801607</v>
      </c>
      <c r="L1810">
        <v>504.500478971576</v>
      </c>
      <c r="M1810">
        <v>9.92213908472646</v>
      </c>
      <c r="N1810">
        <v>61.7272283033743</v>
      </c>
      <c r="O1810">
        <v>48.9098763993129</v>
      </c>
      <c r="P1810">
        <v>-0.0297838056288697</v>
      </c>
      <c r="Q1810">
        <v>0.413032776584867</v>
      </c>
      <c r="R1810">
        <v>0.883091328315756</v>
      </c>
      <c r="S1810" t="s">
        <v>4003</v>
      </c>
      <c r="T1810" t="s">
        <v>4362</v>
      </c>
      <c r="U1810" t="s">
        <v>4362</v>
      </c>
      <c r="V1810" t="s">
        <v>4362</v>
      </c>
      <c r="W1810" t="s">
        <v>6167</v>
      </c>
      <c r="X1810">
        <v>1</v>
      </c>
      <c r="Y1810" t="s">
        <v>8331</v>
      </c>
      <c r="Z1810" t="s">
        <v>10498</v>
      </c>
      <c r="AA1810">
        <v>0.7022615514213617</v>
      </c>
      <c r="AB1810">
        <f>HYPERLINK("Melting_Curves/meltCurve_P67143_yhgN.pdf", "Melting_Curves/meltCurve_P67143_yhgN.pdf")</f>
        <v>0</v>
      </c>
    </row>
    <row r="1811" spans="1:28">
      <c r="A1811" t="s">
        <v>1837</v>
      </c>
      <c r="B1811">
        <v>0.999739202189716</v>
      </c>
      <c r="C1811">
        <v>0.915747967244175</v>
      </c>
      <c r="D1811">
        <v>1.44161722725108</v>
      </c>
      <c r="E1811">
        <v>1.13111466361898</v>
      </c>
      <c r="F1811">
        <v>1.31526269145925</v>
      </c>
      <c r="G1811">
        <v>1.06534387638297</v>
      </c>
      <c r="H1811">
        <v>1.03663529100002</v>
      </c>
      <c r="I1811">
        <v>1.03422200772899</v>
      </c>
      <c r="J1811">
        <v>0.981511719049485</v>
      </c>
      <c r="K1811">
        <v>0.72690986016986</v>
      </c>
      <c r="S1811" t="s">
        <v>4004</v>
      </c>
      <c r="T1811" t="s">
        <v>4362</v>
      </c>
      <c r="U1811" t="s">
        <v>4363</v>
      </c>
      <c r="V1811" t="s">
        <v>4362</v>
      </c>
      <c r="W1811" t="s">
        <v>6168</v>
      </c>
      <c r="X1811">
        <v>2</v>
      </c>
      <c r="Y1811" t="s">
        <v>8332</v>
      </c>
      <c r="Z1811" t="s">
        <v>10499</v>
      </c>
      <c r="AB1811">
        <f>HYPERLINK("Melting_Curves/meltCurve_P67244_yqhA.pdf", "Melting_Curves/meltCurve_P67244_yqhA.pdf")</f>
        <v>0</v>
      </c>
    </row>
    <row r="1812" spans="1:28">
      <c r="A1812" t="s">
        <v>1838</v>
      </c>
      <c r="B1812">
        <v>0.999739202189716</v>
      </c>
      <c r="C1812">
        <v>0.881904956299857</v>
      </c>
      <c r="D1812">
        <v>0.849789595721976</v>
      </c>
      <c r="E1812">
        <v>0.7524008480068169</v>
      </c>
      <c r="F1812">
        <v>0.658372382273223</v>
      </c>
      <c r="G1812">
        <v>0.38388644461602</v>
      </c>
      <c r="H1812">
        <v>0.280078349050902</v>
      </c>
      <c r="I1812">
        <v>0.191726435716833</v>
      </c>
      <c r="J1812">
        <v>0.118234939715045</v>
      </c>
      <c r="K1812">
        <v>0.134574315339121</v>
      </c>
      <c r="L1812">
        <v>490.573587952879</v>
      </c>
      <c r="M1812">
        <v>9.436107955651529</v>
      </c>
      <c r="N1812">
        <v>51.9889757472781</v>
      </c>
      <c r="O1812">
        <v>49.8144746922646</v>
      </c>
      <c r="P1812">
        <v>-0.0473849709874088</v>
      </c>
      <c r="Q1812">
        <v>0</v>
      </c>
      <c r="R1812">
        <v>0.986571048829992</v>
      </c>
      <c r="S1812" t="s">
        <v>4005</v>
      </c>
      <c r="T1812" t="s">
        <v>4362</v>
      </c>
      <c r="U1812" t="s">
        <v>4362</v>
      </c>
      <c r="V1812" t="s">
        <v>4362</v>
      </c>
      <c r="W1812" t="s">
        <v>6169</v>
      </c>
      <c r="X1812">
        <v>1</v>
      </c>
      <c r="Y1812" t="s">
        <v>8333</v>
      </c>
      <c r="Z1812" t="s">
        <v>10500</v>
      </c>
      <c r="AA1812">
        <v>0.5270277918765971</v>
      </c>
      <c r="AB1812">
        <f>HYPERLINK("Melting_Curves/meltCurve_P67430_nemR.pdf", "Melting_Curves/meltCurve_P67430_nemR.pdf")</f>
        <v>0</v>
      </c>
    </row>
    <row r="1813" spans="1:28">
      <c r="A1813" t="s">
        <v>1839</v>
      </c>
      <c r="B1813">
        <v>0.999739202189716</v>
      </c>
      <c r="C1813">
        <v>0.9390565830030539</v>
      </c>
      <c r="D1813">
        <v>0.7213130776725321</v>
      </c>
      <c r="E1813">
        <v>0.902792121762371</v>
      </c>
      <c r="F1813">
        <v>0.8478639905001421</v>
      </c>
      <c r="G1813">
        <v>0.637004453459533</v>
      </c>
      <c r="H1813">
        <v>0.643822676014173</v>
      </c>
      <c r="I1813">
        <v>0.574758932460428</v>
      </c>
      <c r="J1813">
        <v>0.401028103819318</v>
      </c>
      <c r="K1813">
        <v>0.318524374158639</v>
      </c>
      <c r="L1813">
        <v>338.456635497171</v>
      </c>
      <c r="M1813">
        <v>5.52487430404334</v>
      </c>
      <c r="N1813">
        <v>61.2605132479952</v>
      </c>
      <c r="O1813">
        <v>54.6377487405272</v>
      </c>
      <c r="P1813">
        <v>-0.0253891708488682</v>
      </c>
      <c r="Q1813">
        <v>0</v>
      </c>
      <c r="R1813">
        <v>0.869255030266026</v>
      </c>
      <c r="S1813" t="s">
        <v>4006</v>
      </c>
      <c r="T1813" t="s">
        <v>4362</v>
      </c>
      <c r="U1813" t="s">
        <v>4362</v>
      </c>
      <c r="V1813" t="s">
        <v>4362</v>
      </c>
      <c r="W1813" t="s">
        <v>6170</v>
      </c>
      <c r="X1813">
        <v>5</v>
      </c>
      <c r="Y1813" t="s">
        <v>8334</v>
      </c>
      <c r="Z1813" t="s">
        <v>10501</v>
      </c>
      <c r="AA1813">
        <v>0.7109740659881437</v>
      </c>
      <c r="AB1813">
        <f>HYPERLINK("Melting_Curves/meltCurve_P67603_yqfB.pdf", "Melting_Curves/meltCurve_P67603_yqfB.pdf")</f>
        <v>0</v>
      </c>
    </row>
    <row r="1814" spans="1:28">
      <c r="A1814" t="s">
        <v>1840</v>
      </c>
      <c r="B1814">
        <v>0.999739202189716</v>
      </c>
      <c r="C1814">
        <v>1.01866825043017</v>
      </c>
      <c r="D1814">
        <v>0.674008314869489</v>
      </c>
      <c r="E1814">
        <v>0.54818159237106</v>
      </c>
      <c r="F1814">
        <v>0.340235073171126</v>
      </c>
      <c r="G1814">
        <v>0.227055835675313</v>
      </c>
      <c r="H1814">
        <v>0.172795262302753</v>
      </c>
      <c r="I1814">
        <v>0.153924967003127</v>
      </c>
      <c r="J1814">
        <v>0.145161886801332</v>
      </c>
      <c r="K1814">
        <v>0.134813732198105</v>
      </c>
      <c r="L1814">
        <v>675.753167484173</v>
      </c>
      <c r="M1814">
        <v>14.7071401147884</v>
      </c>
      <c r="N1814">
        <v>46.9350264232579</v>
      </c>
      <c r="O1814">
        <v>45.1229077585586</v>
      </c>
      <c r="P1814">
        <v>-0.0706463164430202</v>
      </c>
      <c r="Q1814">
        <v>0.133096559475227</v>
      </c>
      <c r="R1814">
        <v>0.98098942854947</v>
      </c>
      <c r="S1814" t="s">
        <v>4007</v>
      </c>
      <c r="T1814" t="s">
        <v>4362</v>
      </c>
      <c r="U1814" t="s">
        <v>4362</v>
      </c>
      <c r="V1814" t="s">
        <v>4362</v>
      </c>
      <c r="W1814" t="s">
        <v>6171</v>
      </c>
      <c r="X1814">
        <v>7</v>
      </c>
      <c r="Y1814" t="s">
        <v>8335</v>
      </c>
      <c r="Z1814" t="s">
        <v>10502</v>
      </c>
      <c r="AA1814">
        <v>0.4124266998985995</v>
      </c>
      <c r="AB1814">
        <f>HYPERLINK("Melting_Curves/meltCurve_P67660_yhaJ.pdf", "Melting_Curves/meltCurve_P67660_yhaJ.pdf")</f>
        <v>0</v>
      </c>
    </row>
    <row r="1815" spans="1:28">
      <c r="A1815" t="s">
        <v>1841</v>
      </c>
      <c r="B1815">
        <v>0.999739202189716</v>
      </c>
      <c r="C1815">
        <v>0.993743916547737</v>
      </c>
      <c r="D1815">
        <v>0.825187618943226</v>
      </c>
      <c r="E1815">
        <v>0.568411897499162</v>
      </c>
      <c r="F1815">
        <v>0.388201962791787</v>
      </c>
      <c r="G1815">
        <v>0.23330547761477</v>
      </c>
      <c r="H1815">
        <v>0.176827444895365</v>
      </c>
      <c r="I1815">
        <v>0.124304169820511</v>
      </c>
      <c r="J1815">
        <v>0.125987643032844</v>
      </c>
      <c r="K1815">
        <v>0.105285964812139</v>
      </c>
      <c r="L1815">
        <v>706.668637556369</v>
      </c>
      <c r="M1815">
        <v>14.9666364723492</v>
      </c>
      <c r="N1815">
        <v>47.9800103075649</v>
      </c>
      <c r="O1815">
        <v>46.3973795437409</v>
      </c>
      <c r="P1815">
        <v>-0.07210344741355761</v>
      </c>
      <c r="Q1815">
        <v>0.105992824007739</v>
      </c>
      <c r="R1815">
        <v>0.996481824042858</v>
      </c>
      <c r="S1815" t="s">
        <v>4008</v>
      </c>
      <c r="T1815" t="s">
        <v>4362</v>
      </c>
      <c r="U1815" t="s">
        <v>4362</v>
      </c>
      <c r="V1815" t="s">
        <v>4362</v>
      </c>
      <c r="W1815" t="s">
        <v>6172</v>
      </c>
      <c r="X1815">
        <v>3</v>
      </c>
      <c r="Y1815" t="s">
        <v>8336</v>
      </c>
      <c r="Z1815" t="s">
        <v>10503</v>
      </c>
      <c r="AA1815">
        <v>0.4305489136952326</v>
      </c>
      <c r="AB1815">
        <f>HYPERLINK("Melting_Curves/meltCurve_P67662_aaeR.pdf", "Melting_Curves/meltCurve_P67662_aaeR.pdf")</f>
        <v>0</v>
      </c>
    </row>
    <row r="1816" spans="1:28">
      <c r="A1816" t="s">
        <v>1842</v>
      </c>
      <c r="B1816">
        <v>0.999739202189716</v>
      </c>
      <c r="C1816">
        <v>1.05856931760984</v>
      </c>
      <c r="D1816">
        <v>0.9881761671846661</v>
      </c>
      <c r="E1816">
        <v>0.711584301942784</v>
      </c>
      <c r="F1816">
        <v>0.342062999902195</v>
      </c>
      <c r="G1816">
        <v>0.13182818133064</v>
      </c>
      <c r="H1816">
        <v>0.07018196066480439</v>
      </c>
      <c r="I1816">
        <v>0.0463770089780263</v>
      </c>
      <c r="J1816">
        <v>0.0344271965953053</v>
      </c>
      <c r="K1816">
        <v>0.0270805477719573</v>
      </c>
      <c r="L1816">
        <v>1133.9328673456</v>
      </c>
      <c r="M1816">
        <v>23.3832165228957</v>
      </c>
      <c r="N1816">
        <v>48.6529976601524</v>
      </c>
      <c r="O1816">
        <v>48.1429590400497</v>
      </c>
      <c r="P1816">
        <v>-0.116946604165836</v>
      </c>
      <c r="Q1816">
        <v>0.0369063890465442</v>
      </c>
      <c r="R1816">
        <v>0.996614968464048</v>
      </c>
      <c r="S1816" t="s">
        <v>4009</v>
      </c>
      <c r="T1816" t="s">
        <v>4362</v>
      </c>
      <c r="U1816" t="s">
        <v>4362</v>
      </c>
      <c r="V1816" t="s">
        <v>4362</v>
      </c>
      <c r="W1816" t="s">
        <v>6173</v>
      </c>
      <c r="X1816">
        <v>1</v>
      </c>
      <c r="Y1816" t="s">
        <v>8337</v>
      </c>
      <c r="Z1816" t="s">
        <v>10504</v>
      </c>
      <c r="AA1816">
        <v>0.4152983998551196</v>
      </c>
      <c r="AB1816">
        <f>HYPERLINK("Melting_Curves/meltCurve_P67762_yhbP.pdf", "Melting_Curves/meltCurve_P67762_yhbP.pdf")</f>
        <v>0</v>
      </c>
    </row>
    <row r="1817" spans="1:28">
      <c r="A1817" t="s">
        <v>1843</v>
      </c>
      <c r="B1817">
        <v>0.999739202189716</v>
      </c>
      <c r="C1817">
        <v>0.889668568813704</v>
      </c>
      <c r="D1817">
        <v>0.8463087818989</v>
      </c>
      <c r="E1817">
        <v>0.929268442555268</v>
      </c>
      <c r="F1817">
        <v>0.864591528040881</v>
      </c>
      <c r="G1817">
        <v>0.736763261091228</v>
      </c>
      <c r="H1817">
        <v>0.683078591151449</v>
      </c>
      <c r="I1817">
        <v>0.46404488201066</v>
      </c>
      <c r="J1817">
        <v>0.111553129885137</v>
      </c>
      <c r="K1817">
        <v>0.0718586981314511</v>
      </c>
      <c r="L1817">
        <v>896.274583636326</v>
      </c>
      <c r="M1817">
        <v>15.2308569635177</v>
      </c>
      <c r="N1817">
        <v>58.8459721789452</v>
      </c>
      <c r="O1817">
        <v>57.8595221534459</v>
      </c>
      <c r="P1817">
        <v>-0.0658159009684206</v>
      </c>
      <c r="Q1817">
        <v>0</v>
      </c>
      <c r="R1817">
        <v>0.920552394555903</v>
      </c>
      <c r="S1817" t="s">
        <v>4010</v>
      </c>
      <c r="T1817" t="s">
        <v>4362</v>
      </c>
      <c r="U1817" t="s">
        <v>4362</v>
      </c>
      <c r="V1817" t="s">
        <v>4362</v>
      </c>
      <c r="W1817" t="s">
        <v>6174</v>
      </c>
      <c r="X1817">
        <v>6</v>
      </c>
      <c r="Y1817" t="s">
        <v>8338</v>
      </c>
      <c r="Z1817" t="s">
        <v>10505</v>
      </c>
      <c r="AA1817">
        <v>0.7286058237732451</v>
      </c>
      <c r="AB1817">
        <f>HYPERLINK("Melting_Curves/meltCurve_P67826_cutC.pdf", "Melting_Curves/meltCurve_P67826_cutC.pdf")</f>
        <v>0</v>
      </c>
    </row>
    <row r="1818" spans="1:28">
      <c r="A1818" t="s">
        <v>1844</v>
      </c>
      <c r="B1818">
        <v>0.999739202189716</v>
      </c>
      <c r="C1818">
        <v>0.7820178815433509</v>
      </c>
      <c r="D1818">
        <v>0.903894932390841</v>
      </c>
      <c r="E1818">
        <v>0.764528887699809</v>
      </c>
      <c r="F1818">
        <v>0.662978363922971</v>
      </c>
      <c r="G1818">
        <v>0.532095225769014</v>
      </c>
      <c r="H1818">
        <v>0.214794752905466</v>
      </c>
      <c r="I1818">
        <v>0.11770346980161</v>
      </c>
      <c r="J1818">
        <v>0.0619257702188547</v>
      </c>
      <c r="K1818">
        <v>0.0365923637079674</v>
      </c>
      <c r="L1818">
        <v>611.619338042478</v>
      </c>
      <c r="M1818">
        <v>11.6755831584974</v>
      </c>
      <c r="N1818">
        <v>52.3844787643785</v>
      </c>
      <c r="O1818">
        <v>50.9185439794479</v>
      </c>
      <c r="P1818">
        <v>-0.057340174291376</v>
      </c>
      <c r="Q1818">
        <v>0</v>
      </c>
      <c r="R1818">
        <v>0.950410472089252</v>
      </c>
      <c r="S1818" t="s">
        <v>4011</v>
      </c>
      <c r="T1818" t="s">
        <v>4362</v>
      </c>
      <c r="U1818" t="s">
        <v>4362</v>
      </c>
      <c r="V1818" t="s">
        <v>4362</v>
      </c>
      <c r="W1818" t="s">
        <v>6175</v>
      </c>
      <c r="X1818">
        <v>14</v>
      </c>
      <c r="Y1818" t="s">
        <v>8339</v>
      </c>
      <c r="Z1818" t="s">
        <v>10506</v>
      </c>
      <c r="AA1818">
        <v>0.5360146189484352</v>
      </c>
      <c r="AB1818">
        <f>HYPERLINK("Melting_Curves/meltCurve_P67910_hldD.pdf", "Melting_Curves/meltCurve_P67910_hldD.pdf")</f>
        <v>0</v>
      </c>
    </row>
    <row r="1819" spans="1:28">
      <c r="A1819" t="s">
        <v>1845</v>
      </c>
      <c r="B1819">
        <v>0.999739202189716</v>
      </c>
      <c r="C1819">
        <v>1.0619626841903</v>
      </c>
      <c r="D1819">
        <v>0.998378600802832</v>
      </c>
      <c r="E1819">
        <v>1.13840760761424</v>
      </c>
      <c r="F1819">
        <v>1.01785599252538</v>
      </c>
      <c r="G1819">
        <v>0.890387777211079</v>
      </c>
      <c r="H1819">
        <v>0.833482089313597</v>
      </c>
      <c r="I1819">
        <v>0.826247386160386</v>
      </c>
      <c r="J1819">
        <v>0.696643740400953</v>
      </c>
      <c r="K1819">
        <v>0.740004037993395</v>
      </c>
      <c r="L1819">
        <v>1211.81672072963</v>
      </c>
      <c r="M1819">
        <v>21.4652578376916</v>
      </c>
      <c r="O1819">
        <v>55.9716497351255</v>
      </c>
      <c r="P1819">
        <v>-0.026440035564224</v>
      </c>
      <c r="Q1819">
        <v>0.724232261341055</v>
      </c>
      <c r="R1819">
        <v>0.83108680427061</v>
      </c>
      <c r="S1819" t="s">
        <v>4012</v>
      </c>
      <c r="T1819" t="s">
        <v>4362</v>
      </c>
      <c r="U1819" t="s">
        <v>4362</v>
      </c>
      <c r="V1819" t="s">
        <v>4362</v>
      </c>
      <c r="W1819" t="s">
        <v>6176</v>
      </c>
      <c r="X1819">
        <v>11</v>
      </c>
      <c r="Y1819" t="s">
        <v>8340</v>
      </c>
      <c r="Z1819" t="s">
        <v>10507</v>
      </c>
      <c r="AA1819">
        <v>0.9055939606719483</v>
      </c>
      <c r="AB1819">
        <f>HYPERLINK("Melting_Curves/meltCurve_P68066_grcA.pdf", "Melting_Curves/meltCurve_P68066_grcA.pdf")</f>
        <v>0</v>
      </c>
    </row>
    <row r="1820" spans="1:28">
      <c r="A1820" t="s">
        <v>1846</v>
      </c>
      <c r="B1820">
        <v>0.999739202189716</v>
      </c>
      <c r="C1820">
        <v>0.947961930759485</v>
      </c>
      <c r="D1820">
        <v>0.524365819366116</v>
      </c>
      <c r="E1820">
        <v>0.584950266278019</v>
      </c>
      <c r="F1820">
        <v>0.296794849369045</v>
      </c>
      <c r="G1820">
        <v>0.18241769444412</v>
      </c>
      <c r="H1820">
        <v>0.182824377863215</v>
      </c>
      <c r="I1820">
        <v>0.153428877880895</v>
      </c>
      <c r="J1820">
        <v>0.0491132578866953</v>
      </c>
      <c r="K1820">
        <v>0.14309568046006</v>
      </c>
      <c r="L1820">
        <v>552.651786243246</v>
      </c>
      <c r="M1820">
        <v>12.1756312001305</v>
      </c>
      <c r="N1820">
        <v>46.1672374926391</v>
      </c>
      <c r="O1820">
        <v>44.2176445893729</v>
      </c>
      <c r="P1820">
        <v>-0.0624741755727172</v>
      </c>
      <c r="Q1820">
        <v>0.09266916773595089</v>
      </c>
      <c r="R1820">
        <v>0.943731345129549</v>
      </c>
      <c r="S1820" t="s">
        <v>4013</v>
      </c>
      <c r="T1820" t="s">
        <v>4362</v>
      </c>
      <c r="U1820" t="s">
        <v>4362</v>
      </c>
      <c r="V1820" t="s">
        <v>4362</v>
      </c>
      <c r="W1820" t="s">
        <v>6177</v>
      </c>
      <c r="X1820">
        <v>1</v>
      </c>
      <c r="Y1820" t="s">
        <v>8341</v>
      </c>
      <c r="Z1820" t="s">
        <v>10508</v>
      </c>
      <c r="AA1820">
        <v>0.3778989322490824</v>
      </c>
      <c r="AB1820">
        <f>HYPERLINK("Melting_Curves/meltCurve_P68183_malG.pdf", "Melting_Curves/meltCurve_P68183_malG.pdf")</f>
        <v>0</v>
      </c>
    </row>
    <row r="1821" spans="1:28">
      <c r="A1821" t="s">
        <v>1847</v>
      </c>
      <c r="B1821">
        <v>0.999739202189716</v>
      </c>
      <c r="C1821">
        <v>0.766940009107501</v>
      </c>
      <c r="D1821">
        <v>0.606337314437985</v>
      </c>
      <c r="E1821">
        <v>0.488051648160439</v>
      </c>
      <c r="F1821">
        <v>0.334079098172959</v>
      </c>
      <c r="G1821">
        <v>0.298269439438521</v>
      </c>
      <c r="H1821">
        <v>0.170683114014373</v>
      </c>
      <c r="I1821">
        <v>0.115315341998586</v>
      </c>
      <c r="J1821">
        <v>0.0714852048160078</v>
      </c>
      <c r="K1821">
        <v>0.06822518866921599</v>
      </c>
      <c r="L1821">
        <v>398.76956358679</v>
      </c>
      <c r="M1821">
        <v>8.63641387204907</v>
      </c>
      <c r="N1821">
        <v>46.3126252986648</v>
      </c>
      <c r="O1821">
        <v>43.8976712609807</v>
      </c>
      <c r="P1821">
        <v>-0.0485943014929895</v>
      </c>
      <c r="Q1821">
        <v>0.0128461774905767</v>
      </c>
      <c r="R1821">
        <v>0.979320389955031</v>
      </c>
      <c r="S1821" t="s">
        <v>4014</v>
      </c>
      <c r="T1821" t="s">
        <v>4362</v>
      </c>
      <c r="U1821" t="s">
        <v>4362</v>
      </c>
      <c r="V1821" t="s">
        <v>4362</v>
      </c>
      <c r="W1821" t="s">
        <v>6178</v>
      </c>
      <c r="X1821">
        <v>3</v>
      </c>
      <c r="Y1821" t="s">
        <v>8342</v>
      </c>
      <c r="Z1821" t="s">
        <v>10509</v>
      </c>
      <c r="AA1821">
        <v>0.3701264931833957</v>
      </c>
      <c r="AB1821">
        <f>HYPERLINK("Melting_Curves/meltCurve_P68187_malK.pdf", "Melting_Curves/meltCurve_P68187_malK.pdf")</f>
        <v>0</v>
      </c>
    </row>
    <row r="1822" spans="1:28">
      <c r="A1822" t="s">
        <v>1848</v>
      </c>
      <c r="B1822">
        <v>0.999739202189716</v>
      </c>
      <c r="C1822">
        <v>1.10000166963809</v>
      </c>
      <c r="D1822">
        <v>0.8239954446205781</v>
      </c>
      <c r="E1822">
        <v>0.975741086307647</v>
      </c>
      <c r="F1822">
        <v>1.0851946538588</v>
      </c>
      <c r="G1822">
        <v>0.8867508883151251</v>
      </c>
      <c r="H1822">
        <v>1.03943381975162</v>
      </c>
      <c r="I1822">
        <v>1.16848867745401</v>
      </c>
      <c r="J1822">
        <v>1.52678321992</v>
      </c>
      <c r="K1822">
        <v>1.41151275368777</v>
      </c>
      <c r="L1822">
        <v>15000</v>
      </c>
      <c r="M1822">
        <v>245.322552104612</v>
      </c>
      <c r="O1822">
        <v>61.139928144547</v>
      </c>
      <c r="P1822">
        <v>0.470613340881769</v>
      </c>
      <c r="Q1822">
        <v>1.46914994894995</v>
      </c>
      <c r="R1822">
        <v>0.839381580421508</v>
      </c>
      <c r="S1822" t="s">
        <v>4015</v>
      </c>
      <c r="T1822" t="s">
        <v>4362</v>
      </c>
      <c r="U1822" t="s">
        <v>4362</v>
      </c>
      <c r="V1822" t="s">
        <v>4362</v>
      </c>
      <c r="W1822" t="s">
        <v>6179</v>
      </c>
      <c r="X1822">
        <v>4</v>
      </c>
      <c r="Y1822" t="s">
        <v>8343</v>
      </c>
      <c r="Z1822" t="s">
        <v>10510</v>
      </c>
      <c r="AA1822">
        <v>1.091525924119338</v>
      </c>
      <c r="AB1822">
        <f>HYPERLINK("Melting_Curves/meltCurve_P68191_sra.pdf", "Melting_Curves/meltCurve_P68191_sra.pdf")</f>
        <v>0</v>
      </c>
    </row>
    <row r="1823" spans="1:28">
      <c r="A1823" t="s">
        <v>1849</v>
      </c>
      <c r="B1823">
        <v>0.999739202189716</v>
      </c>
      <c r="C1823">
        <v>1.06906510759498</v>
      </c>
      <c r="D1823">
        <v>0.922613741660281</v>
      </c>
      <c r="E1823">
        <v>1.02315925546173</v>
      </c>
      <c r="F1823">
        <v>1.05146401975895</v>
      </c>
      <c r="G1823">
        <v>0.772618645768552</v>
      </c>
      <c r="H1823">
        <v>0.7179311366258569</v>
      </c>
      <c r="I1823">
        <v>0.6708126180748401</v>
      </c>
      <c r="J1823">
        <v>0.479986892175817</v>
      </c>
      <c r="K1823">
        <v>0.62005391238119</v>
      </c>
      <c r="L1823">
        <v>1361.4314098096</v>
      </c>
      <c r="M1823">
        <v>24.7954831568489</v>
      </c>
      <c r="O1823">
        <v>54.5530323896117</v>
      </c>
      <c r="P1823">
        <v>-0.0482020885992734</v>
      </c>
      <c r="Q1823">
        <v>0.5758044274347101</v>
      </c>
      <c r="R1823">
        <v>0.8911787669229621</v>
      </c>
      <c r="S1823" t="s">
        <v>4016</v>
      </c>
      <c r="T1823" t="s">
        <v>4362</v>
      </c>
      <c r="U1823" t="s">
        <v>4362</v>
      </c>
      <c r="V1823" t="s">
        <v>4362</v>
      </c>
      <c r="W1823" t="s">
        <v>6180</v>
      </c>
      <c r="X1823">
        <v>6</v>
      </c>
      <c r="Y1823" t="s">
        <v>8344</v>
      </c>
      <c r="Z1823" t="s">
        <v>10511</v>
      </c>
      <c r="AA1823">
        <v>0.8326621404236839</v>
      </c>
      <c r="AB1823">
        <f>HYPERLINK("Melting_Curves/meltCurve_P68206_yjbJ.pdf", "Melting_Curves/meltCurve_P68206_yjbJ.pdf")</f>
        <v>0</v>
      </c>
    </row>
    <row r="1824" spans="1:28">
      <c r="A1824" t="s">
        <v>1850</v>
      </c>
      <c r="B1824">
        <v>0.999739202189716</v>
      </c>
      <c r="C1824">
        <v>1.21946799323976</v>
      </c>
      <c r="D1824">
        <v>0.712507272879957</v>
      </c>
      <c r="E1824">
        <v>1.91623011313852</v>
      </c>
      <c r="F1824">
        <v>2.23084678576564</v>
      </c>
      <c r="G1824">
        <v>2.37422029495928</v>
      </c>
      <c r="H1824">
        <v>2.83227366996941</v>
      </c>
      <c r="I1824">
        <v>2.70907426123398</v>
      </c>
      <c r="J1824">
        <v>3.06561132239925</v>
      </c>
      <c r="K1824">
        <v>3.70055587099392</v>
      </c>
      <c r="L1824">
        <v>11175.4300296101</v>
      </c>
      <c r="M1824">
        <v>250</v>
      </c>
      <c r="O1824">
        <v>44.6988586410375</v>
      </c>
      <c r="P1824">
        <v>0.699122983955564</v>
      </c>
      <c r="Q1824">
        <v>1.5</v>
      </c>
      <c r="R1824">
        <v>-0.447722472351006</v>
      </c>
      <c r="S1824" t="s">
        <v>4017</v>
      </c>
      <c r="T1824" t="s">
        <v>4362</v>
      </c>
      <c r="U1824" t="s">
        <v>4362</v>
      </c>
      <c r="V1824" t="s">
        <v>4362</v>
      </c>
      <c r="W1824" t="s">
        <v>6181</v>
      </c>
      <c r="X1824">
        <v>4</v>
      </c>
      <c r="Y1824" t="s">
        <v>8345</v>
      </c>
      <c r="Z1824" t="s">
        <v>10512</v>
      </c>
      <c r="AA1824">
        <v>1.371598772614446</v>
      </c>
      <c r="AB1824">
        <f>HYPERLINK("Melting_Curves/meltCurve_P68679_rpsU.pdf", "Melting_Curves/meltCurve_P68679_rpsU.pdf")</f>
        <v>0</v>
      </c>
    </row>
    <row r="1825" spans="1:28">
      <c r="A1825" t="s">
        <v>1851</v>
      </c>
      <c r="B1825">
        <v>0.999739202189716</v>
      </c>
      <c r="C1825">
        <v>1.05705365817221</v>
      </c>
      <c r="D1825">
        <v>0.770912747305101</v>
      </c>
      <c r="E1825">
        <v>0.953966795987392</v>
      </c>
      <c r="F1825">
        <v>0.737773813906249</v>
      </c>
      <c r="G1825">
        <v>0.649902611319795</v>
      </c>
      <c r="H1825">
        <v>0.5440088444904549</v>
      </c>
      <c r="I1825">
        <v>0.473813843331598</v>
      </c>
      <c r="J1825">
        <v>0.359701897192034</v>
      </c>
      <c r="K1825">
        <v>0.468275252612439</v>
      </c>
      <c r="L1825">
        <v>518.748760156221</v>
      </c>
      <c r="M1825">
        <v>9.790410825412989</v>
      </c>
      <c r="N1825">
        <v>59.5096936730841</v>
      </c>
      <c r="O1825">
        <v>50.9166971919011</v>
      </c>
      <c r="P1825">
        <v>-0.0322689964648427</v>
      </c>
      <c r="Q1825">
        <v>0.329072200304996</v>
      </c>
      <c r="R1825">
        <v>0.901129085676293</v>
      </c>
      <c r="S1825" t="s">
        <v>4018</v>
      </c>
      <c r="T1825" t="s">
        <v>4362</v>
      </c>
      <c r="U1825" t="s">
        <v>4362</v>
      </c>
      <c r="V1825" t="s">
        <v>4362</v>
      </c>
      <c r="W1825" t="s">
        <v>6182</v>
      </c>
      <c r="X1825">
        <v>4</v>
      </c>
      <c r="Y1825" t="s">
        <v>8346</v>
      </c>
      <c r="Z1825" t="s">
        <v>10513</v>
      </c>
      <c r="AA1825">
        <v>0.7016803255899728</v>
      </c>
      <c r="AB1825">
        <f>HYPERLINK("Melting_Curves/meltCurve_P68688_grxA.pdf", "Melting_Curves/meltCurve_P68688_grxA.pdf")</f>
        <v>0</v>
      </c>
    </row>
    <row r="1826" spans="1:28">
      <c r="A1826" t="s">
        <v>1852</v>
      </c>
      <c r="B1826">
        <v>0.999739202189716</v>
      </c>
      <c r="C1826">
        <v>1.12075841479183</v>
      </c>
      <c r="D1826">
        <v>0.99949411994884</v>
      </c>
      <c r="E1826">
        <v>1.08087839114621</v>
      </c>
      <c r="F1826">
        <v>0.9393203049043261</v>
      </c>
      <c r="G1826">
        <v>0.72249836669856</v>
      </c>
      <c r="H1826">
        <v>0.685636703676664</v>
      </c>
      <c r="I1826">
        <v>0.5897642896901381</v>
      </c>
      <c r="J1826">
        <v>0.483193362155403</v>
      </c>
      <c r="K1826">
        <v>0.359657237734939</v>
      </c>
      <c r="L1826">
        <v>726.038676067686</v>
      </c>
      <c r="M1826">
        <v>12.4108326844966</v>
      </c>
      <c r="N1826">
        <v>62.4998957651649</v>
      </c>
      <c r="O1826">
        <v>57.0438343919319</v>
      </c>
      <c r="P1826">
        <v>-0.0394951939979246</v>
      </c>
      <c r="Q1826">
        <v>0.274027519183678</v>
      </c>
      <c r="R1826">
        <v>0.936224184429484</v>
      </c>
      <c r="S1826" t="s">
        <v>4019</v>
      </c>
      <c r="T1826" t="s">
        <v>4362</v>
      </c>
      <c r="U1826" t="s">
        <v>4362</v>
      </c>
      <c r="V1826" t="s">
        <v>4362</v>
      </c>
      <c r="W1826" t="s">
        <v>6183</v>
      </c>
      <c r="X1826">
        <v>2</v>
      </c>
      <c r="Y1826" t="s">
        <v>8347</v>
      </c>
      <c r="Z1826" t="s">
        <v>10514</v>
      </c>
      <c r="AA1826">
        <v>0.7917912135722242</v>
      </c>
      <c r="AB1826">
        <f>HYPERLINK("Melting_Curves/meltCurve_P68699_atpE.pdf", "Melting_Curves/meltCurve_P68699_atpE.pdf")</f>
        <v>0</v>
      </c>
    </row>
    <row r="1827" spans="1:28">
      <c r="A1827" t="s">
        <v>1853</v>
      </c>
      <c r="B1827">
        <v>0.999739202189716</v>
      </c>
      <c r="C1827">
        <v>0.933489398550576</v>
      </c>
      <c r="D1827">
        <v>1.01477298650675</v>
      </c>
      <c r="E1827">
        <v>0.524802108711804</v>
      </c>
      <c r="F1827">
        <v>0.677197761925903</v>
      </c>
      <c r="G1827">
        <v>0.411949174005527</v>
      </c>
      <c r="H1827">
        <v>0.368580422268642</v>
      </c>
      <c r="I1827">
        <v>0.430269569095641</v>
      </c>
      <c r="J1827">
        <v>0.565941289701865</v>
      </c>
      <c r="K1827">
        <v>0.195046930911823</v>
      </c>
      <c r="L1827">
        <v>777.83439562142</v>
      </c>
      <c r="M1827">
        <v>16.6648781412146</v>
      </c>
      <c r="N1827">
        <v>51.1497321494195</v>
      </c>
      <c r="O1827">
        <v>46.0185207638082</v>
      </c>
      <c r="P1827">
        <v>-0.0558054865743306</v>
      </c>
      <c r="Q1827">
        <v>0.383634544304259</v>
      </c>
      <c r="R1827">
        <v>0.806909669192475</v>
      </c>
      <c r="S1827" t="s">
        <v>4020</v>
      </c>
      <c r="T1827" t="s">
        <v>4362</v>
      </c>
      <c r="U1827" t="s">
        <v>4362</v>
      </c>
      <c r="V1827" t="s">
        <v>4362</v>
      </c>
      <c r="W1827" t="s">
        <v>6184</v>
      </c>
      <c r="X1827">
        <v>2</v>
      </c>
      <c r="Y1827" t="s">
        <v>8348</v>
      </c>
      <c r="Z1827" t="s">
        <v>10515</v>
      </c>
      <c r="AA1827">
        <v>0.5939044930432189</v>
      </c>
      <c r="AB1827">
        <f>HYPERLINK("Melting_Curves/meltCurve_P68739_nfi.pdf", "Melting_Curves/meltCurve_P68739_nfi.pdf")</f>
        <v>0</v>
      </c>
    </row>
    <row r="1828" spans="1:28">
      <c r="A1828" t="s">
        <v>1854</v>
      </c>
      <c r="B1828">
        <v>0.999739202189716</v>
      </c>
      <c r="C1828">
        <v>1.13467357498278</v>
      </c>
      <c r="D1828">
        <v>1.03489147651142</v>
      </c>
      <c r="E1828">
        <v>0.946342267292403</v>
      </c>
      <c r="F1828">
        <v>0.90511056813632</v>
      </c>
      <c r="G1828">
        <v>0.7018247466215189</v>
      </c>
      <c r="H1828">
        <v>0.655223528887403</v>
      </c>
      <c r="I1828">
        <v>0.563939590671017</v>
      </c>
      <c r="J1828">
        <v>0.407046184223</v>
      </c>
      <c r="K1828">
        <v>0.297219902860117</v>
      </c>
      <c r="L1828">
        <v>566.873263837506</v>
      </c>
      <c r="M1828">
        <v>9.28184936806513</v>
      </c>
      <c r="N1828">
        <v>61.3390541714205</v>
      </c>
      <c r="O1828">
        <v>58.4392829813198</v>
      </c>
      <c r="P1828">
        <v>-0.0389498155186277</v>
      </c>
      <c r="Q1828">
        <v>0.0197084169482872</v>
      </c>
      <c r="R1828">
        <v>0.954008154609989</v>
      </c>
      <c r="S1828" t="s">
        <v>4021</v>
      </c>
      <c r="T1828" t="s">
        <v>4362</v>
      </c>
      <c r="U1828" t="s">
        <v>4362</v>
      </c>
      <c r="V1828" t="s">
        <v>4362</v>
      </c>
      <c r="W1828" t="s">
        <v>6185</v>
      </c>
      <c r="X1828">
        <v>14</v>
      </c>
      <c r="Y1828" t="s">
        <v>8349</v>
      </c>
      <c r="Z1828" t="s">
        <v>10516</v>
      </c>
      <c r="AA1828">
        <v>0.7630053781934335</v>
      </c>
      <c r="AB1828">
        <f>HYPERLINK("Melting_Curves/meltCurve_P68767_pepA.pdf", "Melting_Curves/meltCurve_P68767_pepA.pdf")</f>
        <v>0</v>
      </c>
    </row>
    <row r="1829" spans="1:28">
      <c r="A1829" t="s">
        <v>1855</v>
      </c>
      <c r="B1829">
        <v>0.999739202189716</v>
      </c>
      <c r="C1829">
        <v>0.846496719158028</v>
      </c>
      <c r="D1829">
        <v>1.04666444072412</v>
      </c>
      <c r="E1829">
        <v>0.961750340567806</v>
      </c>
      <c r="F1829">
        <v>0.825792072405681</v>
      </c>
      <c r="G1829">
        <v>0.589262783212941</v>
      </c>
      <c r="H1829">
        <v>0.368894870839788</v>
      </c>
      <c r="I1829">
        <v>0.258240538502964</v>
      </c>
      <c r="J1829">
        <v>0.204098503145108</v>
      </c>
      <c r="K1829">
        <v>0.180184457312166</v>
      </c>
      <c r="L1829">
        <v>990.893371435776</v>
      </c>
      <c r="M1829">
        <v>18.3724596242526</v>
      </c>
      <c r="N1829">
        <v>55.1067419707792</v>
      </c>
      <c r="O1829">
        <v>53.3068449710709</v>
      </c>
      <c r="P1829">
        <v>-0.07222145006887699</v>
      </c>
      <c r="Q1829">
        <v>0.161849309015921</v>
      </c>
      <c r="R1829">
        <v>0.976077931260025</v>
      </c>
      <c r="S1829" t="s">
        <v>4022</v>
      </c>
      <c r="T1829" t="s">
        <v>4362</v>
      </c>
      <c r="U1829" t="s">
        <v>4362</v>
      </c>
      <c r="V1829" t="s">
        <v>4362</v>
      </c>
      <c r="W1829" t="s">
        <v>6186</v>
      </c>
      <c r="X1829">
        <v>5</v>
      </c>
      <c r="Y1829" t="s">
        <v>8350</v>
      </c>
      <c r="Z1829" t="s">
        <v>10517</v>
      </c>
      <c r="AA1829">
        <v>0.6462306561366626</v>
      </c>
      <c r="AB1829">
        <f>HYPERLINK("Melting_Curves/meltCurve_P68919_rplY.pdf", "Melting_Curves/meltCurve_P68919_rplY.pdf")</f>
        <v>0</v>
      </c>
    </row>
    <row r="1830" spans="1:28">
      <c r="A1830" t="s">
        <v>1856</v>
      </c>
      <c r="B1830">
        <v>0.999739202189716</v>
      </c>
      <c r="C1830">
        <v>0.935600359678013</v>
      </c>
      <c r="D1830">
        <v>1.23013579493816</v>
      </c>
      <c r="E1830">
        <v>1.09235216381342</v>
      </c>
      <c r="F1830">
        <v>1.041317498641</v>
      </c>
      <c r="G1830">
        <v>0.924471640582707</v>
      </c>
      <c r="H1830">
        <v>0.979105928109625</v>
      </c>
      <c r="I1830">
        <v>0.883935148841844</v>
      </c>
      <c r="J1830">
        <v>0.731853098448337</v>
      </c>
      <c r="K1830">
        <v>0.419829483945822</v>
      </c>
      <c r="L1830">
        <v>1718.29134017703</v>
      </c>
      <c r="M1830">
        <v>25.9206906985849</v>
      </c>
      <c r="N1830">
        <v>66.2903378910646</v>
      </c>
      <c r="O1830">
        <v>65.8995738993826</v>
      </c>
      <c r="P1830">
        <v>-0.0983352340759559</v>
      </c>
      <c r="Q1830">
        <v>0</v>
      </c>
      <c r="R1830">
        <v>0.831162710313925</v>
      </c>
      <c r="S1830" t="s">
        <v>4023</v>
      </c>
      <c r="T1830" t="s">
        <v>4362</v>
      </c>
      <c r="U1830" t="s">
        <v>4362</v>
      </c>
      <c r="V1830" t="s">
        <v>4362</v>
      </c>
      <c r="W1830" t="s">
        <v>6187</v>
      </c>
      <c r="X1830">
        <v>1</v>
      </c>
      <c r="Y1830" t="s">
        <v>8351</v>
      </c>
      <c r="Z1830" t="s">
        <v>10518</v>
      </c>
      <c r="AA1830">
        <v>0.9330878053812661</v>
      </c>
      <c r="AB1830">
        <f>HYPERLINK("Melting_Curves/meltCurve_P69054_sdhC.pdf", "Melting_Curves/meltCurve_P69054_sdhC.pdf")</f>
        <v>0</v>
      </c>
    </row>
    <row r="1831" spans="1:28">
      <c r="A1831" t="s">
        <v>1857</v>
      </c>
      <c r="B1831">
        <v>0.999739202189716</v>
      </c>
      <c r="C1831">
        <v>1.06026976481082</v>
      </c>
      <c r="D1831">
        <v>0.742984772402641</v>
      </c>
      <c r="E1831">
        <v>0.812753604667387</v>
      </c>
      <c r="F1831">
        <v>1.15832733240822</v>
      </c>
      <c r="G1831">
        <v>0.76793559104311</v>
      </c>
      <c r="H1831">
        <v>0.968723269813464</v>
      </c>
      <c r="I1831">
        <v>0.945645941325904</v>
      </c>
      <c r="J1831">
        <v>1.13235788354713</v>
      </c>
      <c r="K1831">
        <v>0.570684135920571</v>
      </c>
      <c r="L1831">
        <v>152.409082746762</v>
      </c>
      <c r="M1831">
        <v>0.491347020217341</v>
      </c>
      <c r="O1831">
        <v>59.2760293374555</v>
      </c>
      <c r="P1831">
        <v>-0.00428279071983948</v>
      </c>
      <c r="Q1831">
        <v>0</v>
      </c>
      <c r="R1831">
        <v>0.0405865886217631</v>
      </c>
      <c r="S1831" t="s">
        <v>4024</v>
      </c>
      <c r="T1831" t="s">
        <v>4362</v>
      </c>
      <c r="U1831" t="s">
        <v>4362</v>
      </c>
      <c r="V1831" t="s">
        <v>4362</v>
      </c>
      <c r="W1831" t="s">
        <v>6188</v>
      </c>
      <c r="X1831">
        <v>1</v>
      </c>
      <c r="Y1831" t="s">
        <v>8352</v>
      </c>
      <c r="Z1831" t="s">
        <v>10519</v>
      </c>
      <c r="AA1831">
        <v>0.9183048817612627</v>
      </c>
      <c r="AB1831">
        <f>HYPERLINK("Melting_Curves/meltCurve_P69222_infA.pdf", "Melting_Curves/meltCurve_P69222_infA.pdf")</f>
        <v>0</v>
      </c>
    </row>
    <row r="1832" spans="1:28">
      <c r="A1832" t="s">
        <v>1858</v>
      </c>
      <c r="B1832">
        <v>0.999739202189716</v>
      </c>
      <c r="C1832">
        <v>0.856008743258342</v>
      </c>
      <c r="D1832">
        <v>0.881718637021924</v>
      </c>
      <c r="E1832">
        <v>0.8961738213286981</v>
      </c>
      <c r="F1832">
        <v>0.946888931621514</v>
      </c>
      <c r="G1832">
        <v>0.766522076627587</v>
      </c>
      <c r="H1832">
        <v>0.695893603996354</v>
      </c>
      <c r="I1832">
        <v>0.348578666578138</v>
      </c>
      <c r="J1832">
        <v>0.176529678634695</v>
      </c>
      <c r="K1832">
        <v>0.128932882875064</v>
      </c>
      <c r="L1832">
        <v>949.308373815248</v>
      </c>
      <c r="M1832">
        <v>16.0992035077415</v>
      </c>
      <c r="N1832">
        <v>58.9661706866549</v>
      </c>
      <c r="O1832">
        <v>58.0788786330461</v>
      </c>
      <c r="P1832">
        <v>-0.069304178681865</v>
      </c>
      <c r="Q1832">
        <v>0</v>
      </c>
      <c r="R1832">
        <v>0.942879749834641</v>
      </c>
      <c r="S1832" t="s">
        <v>4025</v>
      </c>
      <c r="T1832" t="s">
        <v>4362</v>
      </c>
      <c r="U1832" t="s">
        <v>4362</v>
      </c>
      <c r="V1832" t="s">
        <v>4362</v>
      </c>
      <c r="W1832" t="s">
        <v>6189</v>
      </c>
      <c r="X1832">
        <v>7</v>
      </c>
      <c r="Y1832" t="s">
        <v>8353</v>
      </c>
      <c r="Z1832" t="s">
        <v>10520</v>
      </c>
      <c r="AA1832">
        <v>0.7332359523626818</v>
      </c>
      <c r="AB1832">
        <f>HYPERLINK("Melting_Curves/meltCurve_P69228_baeR.pdf", "Melting_Curves/meltCurve_P69228_baeR.pdf")</f>
        <v>0</v>
      </c>
    </row>
    <row r="1833" spans="1:28">
      <c r="A1833" t="s">
        <v>1859</v>
      </c>
      <c r="B1833">
        <v>0.999739202189716</v>
      </c>
      <c r="C1833">
        <v>1.13992298306872</v>
      </c>
      <c r="D1833">
        <v>0.852283020284179</v>
      </c>
      <c r="E1833">
        <v>1.02183585680829</v>
      </c>
      <c r="F1833">
        <v>0.879312543826974</v>
      </c>
      <c r="G1833">
        <v>0.750609511260834</v>
      </c>
      <c r="H1833">
        <v>0.5780124361867</v>
      </c>
      <c r="I1833">
        <v>0.413985465652908</v>
      </c>
      <c r="J1833">
        <v>0.336407857693182</v>
      </c>
      <c r="K1833">
        <v>0.343067198591104</v>
      </c>
      <c r="L1833">
        <v>896.512624365039</v>
      </c>
      <c r="M1833">
        <v>16.0326614780169</v>
      </c>
      <c r="N1833">
        <v>58.837872346709</v>
      </c>
      <c r="O1833">
        <v>55.0696462423657</v>
      </c>
      <c r="P1833">
        <v>-0.0528188640496598</v>
      </c>
      <c r="Q1833">
        <v>0.274358829015564</v>
      </c>
      <c r="R1833">
        <v>0.944155001859051</v>
      </c>
      <c r="S1833" t="s">
        <v>4026</v>
      </c>
      <c r="T1833" t="s">
        <v>4362</v>
      </c>
      <c r="U1833" t="s">
        <v>4362</v>
      </c>
      <c r="V1833" t="s">
        <v>4362</v>
      </c>
      <c r="W1833" t="s">
        <v>6190</v>
      </c>
      <c r="X1833">
        <v>3</v>
      </c>
      <c r="Y1833" t="s">
        <v>8354</v>
      </c>
      <c r="Z1833" t="s">
        <v>10521</v>
      </c>
      <c r="AA1833">
        <v>0.7404071141653217</v>
      </c>
      <c r="AB1833">
        <f>HYPERLINK("Melting_Curves/meltCurve_P69346_yefM.pdf", "Melting_Curves/meltCurve_P69346_yefM.pdf")</f>
        <v>0</v>
      </c>
    </row>
    <row r="1834" spans="1:28">
      <c r="A1834" t="s">
        <v>1860</v>
      </c>
      <c r="B1834">
        <v>0.999739202189716</v>
      </c>
      <c r="C1834">
        <v>1.25569787149044</v>
      </c>
      <c r="D1834">
        <v>0.944492373659756</v>
      </c>
      <c r="E1834">
        <v>1.19758580414259</v>
      </c>
      <c r="F1834">
        <v>0.707795692591541</v>
      </c>
      <c r="G1834">
        <v>0.73063706225332</v>
      </c>
      <c r="H1834">
        <v>0.496045699758576</v>
      </c>
      <c r="I1834">
        <v>0.325990440326008</v>
      </c>
      <c r="J1834">
        <v>0.16436440947007</v>
      </c>
      <c r="K1834">
        <v>0.105792983080421</v>
      </c>
      <c r="L1834">
        <v>797.378766617363</v>
      </c>
      <c r="M1834">
        <v>13.9365593808779</v>
      </c>
      <c r="N1834">
        <v>57.2148941439467</v>
      </c>
      <c r="O1834">
        <v>56.0754968410663</v>
      </c>
      <c r="P1834">
        <v>-0.0621413858550657</v>
      </c>
      <c r="Q1834">
        <v>0</v>
      </c>
      <c r="R1834">
        <v>0.898497524880733</v>
      </c>
      <c r="S1834" t="s">
        <v>4027</v>
      </c>
      <c r="T1834" t="s">
        <v>4362</v>
      </c>
      <c r="U1834" t="s">
        <v>4362</v>
      </c>
      <c r="V1834" t="s">
        <v>4362</v>
      </c>
      <c r="W1834" t="s">
        <v>6191</v>
      </c>
      <c r="X1834">
        <v>1</v>
      </c>
      <c r="Y1834" t="s">
        <v>8355</v>
      </c>
      <c r="Z1834" t="s">
        <v>10522</v>
      </c>
      <c r="AA1834">
        <v>0.6802772782210444</v>
      </c>
      <c r="AB1834">
        <f>HYPERLINK("Melting_Curves/meltCurve_P69348_yoeB.pdf", "Melting_Curves/meltCurve_P69348_yoeB.pdf")</f>
        <v>0</v>
      </c>
    </row>
    <row r="1835" spans="1:28">
      <c r="A1835" t="s">
        <v>1861</v>
      </c>
      <c r="B1835">
        <v>0.999739202189716</v>
      </c>
      <c r="C1835">
        <v>0.887989305554252</v>
      </c>
      <c r="D1835">
        <v>0.710815738473478</v>
      </c>
      <c r="E1835">
        <v>0.785533132705613</v>
      </c>
      <c r="F1835">
        <v>0.811943442835607</v>
      </c>
      <c r="G1835">
        <v>0.55917640903946</v>
      </c>
      <c r="H1835">
        <v>0.733064944255746</v>
      </c>
      <c r="I1835">
        <v>0.575090138360232</v>
      </c>
      <c r="J1835">
        <v>0.536621299896117</v>
      </c>
      <c r="K1835">
        <v>0.369873339449546</v>
      </c>
      <c r="L1835">
        <v>218.964278748177</v>
      </c>
      <c r="M1835">
        <v>3.3888699130292</v>
      </c>
      <c r="N1835">
        <v>64.61277192795539</v>
      </c>
      <c r="O1835">
        <v>50.0376140592346</v>
      </c>
      <c r="P1835">
        <v>-0.0172965698246643</v>
      </c>
      <c r="Q1835">
        <v>0</v>
      </c>
      <c r="R1835">
        <v>0.77917264237393</v>
      </c>
      <c r="S1835" t="s">
        <v>4028</v>
      </c>
      <c r="T1835" t="s">
        <v>4362</v>
      </c>
      <c r="U1835" t="s">
        <v>4362</v>
      </c>
      <c r="V1835" t="s">
        <v>4362</v>
      </c>
      <c r="W1835" t="s">
        <v>6192</v>
      </c>
      <c r="X1835">
        <v>2</v>
      </c>
      <c r="Y1835" t="s">
        <v>8356</v>
      </c>
      <c r="Z1835" t="s">
        <v>10523</v>
      </c>
      <c r="AA1835">
        <v>0.6969843971529645</v>
      </c>
      <c r="AB1835">
        <f>HYPERLINK("Melting_Curves/meltCurve_P69380_fieF.pdf", "Melting_Curves/meltCurve_P69380_fieF.pdf")</f>
        <v>0</v>
      </c>
    </row>
    <row r="1836" spans="1:28">
      <c r="A1836" t="s">
        <v>1862</v>
      </c>
      <c r="B1836">
        <v>0.999739202189716</v>
      </c>
      <c r="C1836">
        <v>0.879010990271732</v>
      </c>
      <c r="D1836">
        <v>1.26006567054819</v>
      </c>
      <c r="E1836">
        <v>0.926809288631902</v>
      </c>
      <c r="F1836">
        <v>1.03158853860374</v>
      </c>
      <c r="G1836">
        <v>0.972638157331562</v>
      </c>
      <c r="H1836">
        <v>0.774980394387855</v>
      </c>
      <c r="I1836">
        <v>0.679084759535849</v>
      </c>
      <c r="J1836">
        <v>0.410014630588895</v>
      </c>
      <c r="K1836">
        <v>0.229549289122096</v>
      </c>
      <c r="L1836">
        <v>1114.55411966032</v>
      </c>
      <c r="M1836">
        <v>17.7422632343532</v>
      </c>
      <c r="N1836">
        <v>62.8191715460363</v>
      </c>
      <c r="O1836">
        <v>62.0374257547558</v>
      </c>
      <c r="P1836">
        <v>-0.07150195982648221</v>
      </c>
      <c r="Q1836">
        <v>0</v>
      </c>
      <c r="R1836">
        <v>0.885371849000417</v>
      </c>
      <c r="S1836" t="s">
        <v>4029</v>
      </c>
      <c r="T1836" t="s">
        <v>4362</v>
      </c>
      <c r="U1836" t="s">
        <v>4362</v>
      </c>
      <c r="V1836" t="s">
        <v>4362</v>
      </c>
      <c r="W1836" t="s">
        <v>6193</v>
      </c>
      <c r="X1836">
        <v>3</v>
      </c>
      <c r="Y1836" t="s">
        <v>8357</v>
      </c>
      <c r="Z1836" t="s">
        <v>10524</v>
      </c>
      <c r="AA1836">
        <v>0.8390488898710662</v>
      </c>
      <c r="AB1836">
        <f>HYPERLINK("Melting_Curves/meltCurve_P69411_rcsF.pdf", "Melting_Curves/meltCurve_P69411_rcsF.pdf")</f>
        <v>0</v>
      </c>
    </row>
    <row r="1837" spans="1:28">
      <c r="A1837" t="s">
        <v>1863</v>
      </c>
      <c r="B1837">
        <v>0.999739202189716</v>
      </c>
      <c r="C1837">
        <v>0.985693175849494</v>
      </c>
      <c r="D1837">
        <v>0.795984858918507</v>
      </c>
      <c r="E1837">
        <v>0.933808630107926</v>
      </c>
      <c r="F1837">
        <v>0.892653801308372</v>
      </c>
      <c r="G1837">
        <v>0.701527380044686</v>
      </c>
      <c r="H1837">
        <v>0.707243222645081</v>
      </c>
      <c r="I1837">
        <v>0.614798637693359</v>
      </c>
      <c r="J1837">
        <v>0.5992207593055759</v>
      </c>
      <c r="K1837">
        <v>0.446787800008339</v>
      </c>
      <c r="L1837">
        <v>317.155463445274</v>
      </c>
      <c r="M1837">
        <v>4.74201274984881</v>
      </c>
      <c r="N1837">
        <v>66.8820568492125</v>
      </c>
      <c r="O1837">
        <v>57.6268735388229</v>
      </c>
      <c r="P1837">
        <v>-0.0207230052421503</v>
      </c>
      <c r="Q1837">
        <v>0</v>
      </c>
      <c r="R1837">
        <v>0.886874347954186</v>
      </c>
      <c r="S1837" t="s">
        <v>4030</v>
      </c>
      <c r="T1837" t="s">
        <v>4362</v>
      </c>
      <c r="U1837" t="s">
        <v>4362</v>
      </c>
      <c r="V1837" t="s">
        <v>4362</v>
      </c>
      <c r="W1837" t="s">
        <v>6194</v>
      </c>
      <c r="X1837">
        <v>7</v>
      </c>
      <c r="Y1837" t="s">
        <v>8358</v>
      </c>
      <c r="Z1837" t="s">
        <v>10525</v>
      </c>
      <c r="AA1837">
        <v>0.7750926679978042</v>
      </c>
      <c r="AB1837">
        <f>HYPERLINK("Melting_Curves/meltCurve_P69425_tatB.pdf", "Melting_Curves/meltCurve_P69425_tatB.pdf")</f>
        <v>0</v>
      </c>
    </row>
    <row r="1838" spans="1:28">
      <c r="A1838" t="s">
        <v>1864</v>
      </c>
      <c r="B1838">
        <v>0.999739202189716</v>
      </c>
      <c r="C1838">
        <v>0.820879633631876</v>
      </c>
      <c r="D1838">
        <v>0.8962943487896911</v>
      </c>
      <c r="E1838">
        <v>1.07689630333731</v>
      </c>
      <c r="F1838">
        <v>1.24292868585242</v>
      </c>
      <c r="G1838">
        <v>0.942096217039205</v>
      </c>
      <c r="H1838">
        <v>1.00820187168243</v>
      </c>
      <c r="I1838">
        <v>1.16514133410591</v>
      </c>
      <c r="J1838">
        <v>1.12094478763902</v>
      </c>
      <c r="K1838">
        <v>0.814167973705034</v>
      </c>
      <c r="L1838">
        <v>15000</v>
      </c>
      <c r="M1838">
        <v>222.403225357446</v>
      </c>
      <c r="Q1838">
        <v>0</v>
      </c>
      <c r="R1838">
        <v>0.180722695205913</v>
      </c>
      <c r="S1838" t="s">
        <v>4031</v>
      </c>
      <c r="T1838" t="s">
        <v>4362</v>
      </c>
      <c r="U1838" t="s">
        <v>4362</v>
      </c>
      <c r="V1838" t="s">
        <v>4362</v>
      </c>
      <c r="W1838" t="s">
        <v>6195</v>
      </c>
      <c r="X1838">
        <v>5</v>
      </c>
      <c r="Y1838" t="s">
        <v>8359</v>
      </c>
      <c r="Z1838" t="s">
        <v>10526</v>
      </c>
      <c r="AA1838">
        <v>0.9979682516825644</v>
      </c>
      <c r="AB1838">
        <f>HYPERLINK("Melting_Curves/meltCurve_P69428_tatA.pdf", "Melting_Curves/meltCurve_P69428_tatA.pdf")</f>
        <v>0</v>
      </c>
    </row>
    <row r="1839" spans="1:28">
      <c r="A1839" t="s">
        <v>1865</v>
      </c>
      <c r="B1839">
        <v>0.999739202189716</v>
      </c>
      <c r="C1839">
        <v>0.913359346925134</v>
      </c>
      <c r="D1839">
        <v>0.9966626616327841</v>
      </c>
      <c r="E1839">
        <v>1.01284639283323</v>
      </c>
      <c r="F1839">
        <v>1.04017114224307</v>
      </c>
      <c r="G1839">
        <v>0.870517830984139</v>
      </c>
      <c r="H1839">
        <v>0.748051723907275</v>
      </c>
      <c r="I1839">
        <v>0.724038870241853</v>
      </c>
      <c r="J1839">
        <v>0.590228964191577</v>
      </c>
      <c r="K1839">
        <v>0.586602649080843</v>
      </c>
      <c r="L1839">
        <v>1109.82509868045</v>
      </c>
      <c r="M1839">
        <v>19.4420667580137</v>
      </c>
      <c r="O1839">
        <v>56.4900479195794</v>
      </c>
      <c r="P1839">
        <v>-0.0369710834599106</v>
      </c>
      <c r="Q1839">
        <v>0.570328985903245</v>
      </c>
      <c r="R1839">
        <v>0.93425252735096</v>
      </c>
      <c r="S1839" t="s">
        <v>4032</v>
      </c>
      <c r="T1839" t="s">
        <v>4362</v>
      </c>
      <c r="U1839" t="s">
        <v>4362</v>
      </c>
      <c r="V1839" t="s">
        <v>4362</v>
      </c>
      <c r="W1839" t="s">
        <v>6196</v>
      </c>
      <c r="X1839">
        <v>15</v>
      </c>
      <c r="Y1839" t="s">
        <v>8360</v>
      </c>
      <c r="Z1839" t="s">
        <v>10527</v>
      </c>
      <c r="AA1839">
        <v>0.8617207786588962</v>
      </c>
      <c r="AB1839">
        <f>HYPERLINK("Melting_Curves/meltCurve_P69441_adk.pdf", "Melting_Curves/meltCurve_P69441_adk.pdf")</f>
        <v>0</v>
      </c>
    </row>
    <row r="1840" spans="1:28">
      <c r="A1840" t="s">
        <v>1866</v>
      </c>
      <c r="B1840">
        <v>0.999739202189716</v>
      </c>
      <c r="C1840">
        <v>0.620920848155364</v>
      </c>
      <c r="D1840">
        <v>0.271744854494865</v>
      </c>
      <c r="E1840">
        <v>0.225837254019748</v>
      </c>
      <c r="F1840">
        <v>0.166510494992616</v>
      </c>
      <c r="G1840">
        <v>0.103725530122841</v>
      </c>
      <c r="H1840">
        <v>0.0712620672236022</v>
      </c>
      <c r="I1840">
        <v>0.0464752123730109</v>
      </c>
      <c r="J1840">
        <v>0.06449478180944219</v>
      </c>
      <c r="K1840">
        <v>0.0549499271640403</v>
      </c>
      <c r="L1840">
        <v>966.725532410767</v>
      </c>
      <c r="M1840">
        <v>23.7545748532302</v>
      </c>
      <c r="N1840">
        <v>41.051868170951</v>
      </c>
      <c r="O1840">
        <v>40.4112750463777</v>
      </c>
      <c r="P1840">
        <v>-0.13329647019794</v>
      </c>
      <c r="Q1840">
        <v>0.0929593462717242</v>
      </c>
      <c r="R1840">
        <v>0.9719325734433421</v>
      </c>
      <c r="S1840" t="s">
        <v>4033</v>
      </c>
      <c r="T1840" t="s">
        <v>4362</v>
      </c>
      <c r="U1840" t="s">
        <v>4362</v>
      </c>
      <c r="V1840" t="s">
        <v>4362</v>
      </c>
      <c r="W1840" t="s">
        <v>6197</v>
      </c>
      <c r="X1840">
        <v>7</v>
      </c>
      <c r="Y1840" t="s">
        <v>8361</v>
      </c>
      <c r="Z1840" t="s">
        <v>10528</v>
      </c>
      <c r="AA1840">
        <v>0.2156105921694249</v>
      </c>
      <c r="AB1840">
        <f>HYPERLINK("Melting_Curves/meltCurve_P69451_fadD.pdf", "Melting_Curves/meltCurve_P69451_fadD.pdf")</f>
        <v>0</v>
      </c>
    </row>
    <row r="1841" spans="1:28">
      <c r="A1841" t="s">
        <v>1867</v>
      </c>
      <c r="B1841">
        <v>0.999739202189716</v>
      </c>
      <c r="C1841">
        <v>0.756852456017662</v>
      </c>
      <c r="D1841">
        <v>0.731159088178767</v>
      </c>
      <c r="E1841">
        <v>0.854282303889648</v>
      </c>
      <c r="F1841">
        <v>0.89824534652403</v>
      </c>
      <c r="G1841">
        <v>0.802853767734848</v>
      </c>
      <c r="H1841">
        <v>0.780549743786855</v>
      </c>
      <c r="I1841">
        <v>0.65746864453827</v>
      </c>
      <c r="J1841">
        <v>0.488614497174133</v>
      </c>
      <c r="K1841">
        <v>0.506028377135251</v>
      </c>
      <c r="L1841">
        <v>206.334754620429</v>
      </c>
      <c r="M1841">
        <v>2.8334371371796</v>
      </c>
      <c r="O1841">
        <v>52.2464700286586</v>
      </c>
      <c r="P1841">
        <v>-0.0140507355464767</v>
      </c>
      <c r="Q1841">
        <v>0</v>
      </c>
      <c r="R1841">
        <v>0.605861738313067</v>
      </c>
      <c r="S1841" t="s">
        <v>4034</v>
      </c>
      <c r="T1841" t="s">
        <v>4362</v>
      </c>
      <c r="U1841" t="s">
        <v>4362</v>
      </c>
      <c r="V1841" t="s">
        <v>4362</v>
      </c>
      <c r="W1841" t="s">
        <v>6198</v>
      </c>
      <c r="X1841">
        <v>1</v>
      </c>
      <c r="Y1841" t="s">
        <v>8362</v>
      </c>
      <c r="Z1841" t="s">
        <v>10529</v>
      </c>
      <c r="AA1841">
        <v>0.7552001050836119</v>
      </c>
      <c r="AB1841">
        <f>HYPERLINK("Melting_Curves/meltCurve_P69488_cutA.pdf", "Melting_Curves/meltCurve_P69488_cutA.pdf")</f>
        <v>0</v>
      </c>
    </row>
    <row r="1842" spans="1:28">
      <c r="A1842" t="s">
        <v>1868</v>
      </c>
      <c r="B1842">
        <v>0.999739202189716</v>
      </c>
      <c r="C1842">
        <v>0.920163609395767</v>
      </c>
      <c r="D1842">
        <v>0.9632863595657361</v>
      </c>
      <c r="E1842">
        <v>0.936775341118929</v>
      </c>
      <c r="F1842">
        <v>0.865934572389778</v>
      </c>
      <c r="G1842">
        <v>0.648157808668301</v>
      </c>
      <c r="H1842">
        <v>0.5249176681532149</v>
      </c>
      <c r="I1842">
        <v>0.397157550744364</v>
      </c>
      <c r="J1842">
        <v>0.320712390825469</v>
      </c>
      <c r="K1842">
        <v>0.263014107426108</v>
      </c>
      <c r="L1842">
        <v>669.776475455967</v>
      </c>
      <c r="M1842">
        <v>11.9782472390369</v>
      </c>
      <c r="N1842">
        <v>57.8927471830751</v>
      </c>
      <c r="O1842">
        <v>54.4259582454393</v>
      </c>
      <c r="P1842">
        <v>-0.0457973955849334</v>
      </c>
      <c r="Q1842">
        <v>0.167837414659931</v>
      </c>
      <c r="R1842">
        <v>0.989342822476412</v>
      </c>
      <c r="S1842" t="s">
        <v>4035</v>
      </c>
      <c r="T1842" t="s">
        <v>4362</v>
      </c>
      <c r="U1842" t="s">
        <v>4362</v>
      </c>
      <c r="V1842" t="s">
        <v>4362</v>
      </c>
      <c r="W1842" t="s">
        <v>6199</v>
      </c>
      <c r="X1842">
        <v>2</v>
      </c>
      <c r="Y1842" t="s">
        <v>8363</v>
      </c>
      <c r="Z1842" t="s">
        <v>10530</v>
      </c>
      <c r="AA1842">
        <v>0.7010037256581323</v>
      </c>
      <c r="AB1842">
        <f>HYPERLINK("Melting_Curves/meltCurve_P69490_ccmE.pdf", "Melting_Curves/meltCurve_P69490_ccmE.pdf")</f>
        <v>0</v>
      </c>
    </row>
    <row r="1843" spans="1:28">
      <c r="A1843" t="s">
        <v>1869</v>
      </c>
      <c r="B1843">
        <v>0.999739202189716</v>
      </c>
      <c r="C1843">
        <v>0.854591248365223</v>
      </c>
      <c r="D1843">
        <v>0.988931640633386</v>
      </c>
      <c r="E1843">
        <v>1.10425979365033</v>
      </c>
      <c r="F1843">
        <v>0.883202848025416</v>
      </c>
      <c r="G1843">
        <v>0.6044225683389139</v>
      </c>
      <c r="H1843">
        <v>0.206315093856803</v>
      </c>
      <c r="I1843">
        <v>0.103101414590356</v>
      </c>
      <c r="J1843">
        <v>0.09218178565929989</v>
      </c>
      <c r="K1843">
        <v>0.0777311539744486</v>
      </c>
      <c r="L1843">
        <v>1641.06227303406</v>
      </c>
      <c r="M1843">
        <v>30.2817335245133</v>
      </c>
      <c r="N1843">
        <v>54.4856953691603</v>
      </c>
      <c r="O1843">
        <v>53.958448494524</v>
      </c>
      <c r="P1843">
        <v>-0.129774213301235</v>
      </c>
      <c r="Q1843">
        <v>0.0750369363262148</v>
      </c>
      <c r="R1843">
        <v>0.978274593690584</v>
      </c>
      <c r="S1843" t="s">
        <v>4036</v>
      </c>
      <c r="T1843" t="s">
        <v>4362</v>
      </c>
      <c r="U1843" t="s">
        <v>4362</v>
      </c>
      <c r="V1843" t="s">
        <v>4362</v>
      </c>
      <c r="W1843" t="s">
        <v>6200</v>
      </c>
      <c r="X1843">
        <v>4</v>
      </c>
      <c r="Y1843" t="s">
        <v>8364</v>
      </c>
      <c r="Z1843" t="s">
        <v>10531</v>
      </c>
      <c r="AA1843">
        <v>0.6109437693793739</v>
      </c>
      <c r="AB1843">
        <f>HYPERLINK("Melting_Curves/meltCurve_P69503_apt.pdf", "Melting_Curves/meltCurve_P69503_apt.pdf")</f>
        <v>0</v>
      </c>
    </row>
    <row r="1844" spans="1:28">
      <c r="A1844" t="s">
        <v>1870</v>
      </c>
      <c r="B1844">
        <v>0.999739202189716</v>
      </c>
      <c r="C1844">
        <v>0.936441023642804</v>
      </c>
      <c r="D1844">
        <v>0.965486354520288</v>
      </c>
      <c r="E1844">
        <v>0.84704190540312</v>
      </c>
      <c r="F1844">
        <v>0.951260511199662</v>
      </c>
      <c r="G1844">
        <v>0.70374829184453</v>
      </c>
      <c r="H1844">
        <v>0.593760638553403</v>
      </c>
      <c r="I1844">
        <v>0.506575809319796</v>
      </c>
      <c r="J1844">
        <v>0.402647089613646</v>
      </c>
      <c r="K1844">
        <v>0.425909631324208</v>
      </c>
      <c r="L1844">
        <v>615.341528897059</v>
      </c>
      <c r="M1844">
        <v>10.9659628022661</v>
      </c>
      <c r="N1844">
        <v>61.0472034221692</v>
      </c>
      <c r="O1844">
        <v>54.3445488566903</v>
      </c>
      <c r="P1844">
        <v>-0.0356329469553684</v>
      </c>
      <c r="Q1844">
        <v>0.29388972267629</v>
      </c>
      <c r="R1844">
        <v>0.952239549611623</v>
      </c>
      <c r="S1844" t="s">
        <v>4037</v>
      </c>
      <c r="T1844" t="s">
        <v>4362</v>
      </c>
      <c r="U1844" t="s">
        <v>4362</v>
      </c>
      <c r="V1844" t="s">
        <v>4362</v>
      </c>
      <c r="W1844" t="s">
        <v>6201</v>
      </c>
      <c r="X1844">
        <v>3</v>
      </c>
      <c r="Y1844" t="s">
        <v>8365</v>
      </c>
      <c r="Z1844" t="s">
        <v>10532</v>
      </c>
      <c r="AA1844">
        <v>0.7491324448145406</v>
      </c>
      <c r="AB1844">
        <f>HYPERLINK("Melting_Curves/meltCurve_P69506_ytfE.pdf", "Melting_Curves/meltCurve_P69506_ytfE.pdf")</f>
        <v>0</v>
      </c>
    </row>
    <row r="1845" spans="1:28">
      <c r="A1845" t="s">
        <v>1871</v>
      </c>
      <c r="B1845">
        <v>0.999739202189716</v>
      </c>
      <c r="C1845">
        <v>0.876774621662079</v>
      </c>
      <c r="D1845">
        <v>1.31947897398696</v>
      </c>
      <c r="E1845">
        <v>1.16287017456787</v>
      </c>
      <c r="F1845">
        <v>1.06386757213551</v>
      </c>
      <c r="G1845">
        <v>1.25502934970612</v>
      </c>
      <c r="H1845">
        <v>0.959763553594349</v>
      </c>
      <c r="I1845">
        <v>0.86639341296872</v>
      </c>
      <c r="J1845">
        <v>0.870844743737913</v>
      </c>
      <c r="K1845">
        <v>0.570534433373619</v>
      </c>
      <c r="L1845">
        <v>1700.57106742978</v>
      </c>
      <c r="M1845">
        <v>25.0307658337902</v>
      </c>
      <c r="Q1845">
        <v>0</v>
      </c>
      <c r="R1845">
        <v>0.48320884372791</v>
      </c>
      <c r="S1845" t="s">
        <v>4038</v>
      </c>
      <c r="T1845" t="s">
        <v>4362</v>
      </c>
      <c r="U1845" t="s">
        <v>4362</v>
      </c>
      <c r="V1845" t="s">
        <v>4362</v>
      </c>
      <c r="W1845" t="s">
        <v>6202</v>
      </c>
      <c r="X1845">
        <v>4</v>
      </c>
      <c r="Y1845" t="s">
        <v>8366</v>
      </c>
      <c r="Z1845" t="s">
        <v>10533</v>
      </c>
      <c r="AA1845">
        <v>0.956855898785506</v>
      </c>
      <c r="AB1845">
        <f>HYPERLINK("Melting_Curves/meltCurve_P69739_hyaA.pdf", "Melting_Curves/meltCurve_P69739_hyaA.pdf")</f>
        <v>0</v>
      </c>
    </row>
    <row r="1846" spans="1:28">
      <c r="A1846" t="s">
        <v>1872</v>
      </c>
      <c r="B1846">
        <v>0.999739202189716</v>
      </c>
      <c r="C1846">
        <v>0.971528487103303</v>
      </c>
      <c r="D1846">
        <v>0.959783373269263</v>
      </c>
      <c r="E1846">
        <v>0.865734518259017</v>
      </c>
      <c r="F1846">
        <v>0.623710715798651</v>
      </c>
      <c r="G1846">
        <v>0.474843269131817</v>
      </c>
      <c r="H1846">
        <v>0.341757642472361</v>
      </c>
      <c r="I1846">
        <v>0.276666847209803</v>
      </c>
      <c r="J1846">
        <v>0.215059820629104</v>
      </c>
      <c r="K1846">
        <v>0.183886587744613</v>
      </c>
      <c r="L1846">
        <v>695.492723831421</v>
      </c>
      <c r="M1846">
        <v>13.4846706460751</v>
      </c>
      <c r="N1846">
        <v>53.1426505091011</v>
      </c>
      <c r="O1846">
        <v>50.4818900967924</v>
      </c>
      <c r="P1846">
        <v>-0.0558387937968443</v>
      </c>
      <c r="Q1846">
        <v>0.163964422647066</v>
      </c>
      <c r="R1846">
        <v>0.997012927589484</v>
      </c>
      <c r="S1846" t="s">
        <v>4039</v>
      </c>
      <c r="T1846" t="s">
        <v>4362</v>
      </c>
      <c r="U1846" t="s">
        <v>4362</v>
      </c>
      <c r="V1846" t="s">
        <v>4362</v>
      </c>
      <c r="W1846" t="s">
        <v>6203</v>
      </c>
      <c r="X1846">
        <v>2</v>
      </c>
      <c r="Y1846" t="s">
        <v>8367</v>
      </c>
      <c r="Z1846" t="s">
        <v>10534</v>
      </c>
      <c r="AA1846">
        <v>0.588673944774133</v>
      </c>
      <c r="AB1846">
        <f>HYPERLINK("Melting_Curves/meltCurve_P69741_hybO.pdf", "Melting_Curves/meltCurve_P69741_hybO.pdf")</f>
        <v>0</v>
      </c>
    </row>
    <row r="1847" spans="1:28">
      <c r="A1847" t="s">
        <v>1873</v>
      </c>
      <c r="B1847">
        <v>0.999739202189716</v>
      </c>
      <c r="C1847">
        <v>1.03949297874491</v>
      </c>
      <c r="D1847">
        <v>1.00577029789973</v>
      </c>
      <c r="E1847">
        <v>1.1189612846647</v>
      </c>
      <c r="F1847">
        <v>1.06063875304898</v>
      </c>
      <c r="G1847">
        <v>0.921669668461422</v>
      </c>
      <c r="H1847">
        <v>0.9918604782416141</v>
      </c>
      <c r="I1847">
        <v>0.900129865857796</v>
      </c>
      <c r="J1847">
        <v>0.863446573411192</v>
      </c>
      <c r="K1847">
        <v>0.712842591131889</v>
      </c>
      <c r="L1847">
        <v>1041.35627946316</v>
      </c>
      <c r="M1847">
        <v>14.590779520828</v>
      </c>
      <c r="Q1847">
        <v>0</v>
      </c>
      <c r="R1847">
        <v>0.784826055801873</v>
      </c>
      <c r="S1847" t="s">
        <v>4040</v>
      </c>
      <c r="T1847" t="s">
        <v>4362</v>
      </c>
      <c r="U1847" t="s">
        <v>4362</v>
      </c>
      <c r="V1847" t="s">
        <v>4362</v>
      </c>
      <c r="W1847" t="s">
        <v>6204</v>
      </c>
      <c r="X1847">
        <v>6</v>
      </c>
      <c r="Y1847" t="s">
        <v>8368</v>
      </c>
      <c r="Z1847" t="s">
        <v>10535</v>
      </c>
      <c r="AA1847">
        <v>0.9585864679403296</v>
      </c>
      <c r="AB1847">
        <f>HYPERLINK("Melting_Curves/meltCurve_P69776_lpp.pdf", "Melting_Curves/meltCurve_P69776_lpp.pdf")</f>
        <v>0</v>
      </c>
    </row>
    <row r="1848" spans="1:28">
      <c r="A1848" t="s">
        <v>1874</v>
      </c>
      <c r="B1848">
        <v>0.999739202189716</v>
      </c>
      <c r="C1848">
        <v>1.00532430478924</v>
      </c>
      <c r="D1848">
        <v>1.12149735473803</v>
      </c>
      <c r="E1848">
        <v>0.998852695666644</v>
      </c>
      <c r="F1848">
        <v>1.27732305087551</v>
      </c>
      <c r="G1848">
        <v>0.982917829264192</v>
      </c>
      <c r="H1848">
        <v>0.978903457252533</v>
      </c>
      <c r="I1848">
        <v>1.02219341029571</v>
      </c>
      <c r="J1848">
        <v>0.940270588390881</v>
      </c>
      <c r="K1848">
        <v>0.7550485773628171</v>
      </c>
      <c r="L1848">
        <v>15000</v>
      </c>
      <c r="M1848">
        <v>232.877460092577</v>
      </c>
      <c r="O1848">
        <v>64.40680780208299</v>
      </c>
      <c r="P1848">
        <v>-0.221446819505092</v>
      </c>
      <c r="Q1848">
        <v>0.755018237055007</v>
      </c>
      <c r="R1848">
        <v>0.403629689133908</v>
      </c>
      <c r="S1848" t="s">
        <v>4041</v>
      </c>
      <c r="T1848" t="s">
        <v>4362</v>
      </c>
      <c r="U1848" t="s">
        <v>4362</v>
      </c>
      <c r="V1848" t="s">
        <v>4362</v>
      </c>
      <c r="W1848" t="s">
        <v>6205</v>
      </c>
      <c r="X1848">
        <v>11</v>
      </c>
      <c r="Y1848" t="s">
        <v>8369</v>
      </c>
      <c r="Z1848" t="s">
        <v>10536</v>
      </c>
      <c r="AA1848">
        <v>0.9788942404448052</v>
      </c>
      <c r="AB1848">
        <f>HYPERLINK("Melting_Curves/meltCurve_P69783_crr.pdf", "Melting_Curves/meltCurve_P69783_crr.pdf")</f>
        <v>0</v>
      </c>
    </row>
    <row r="1849" spans="1:28">
      <c r="A1849" t="s">
        <v>1875</v>
      </c>
      <c r="B1849">
        <v>0.999739202189716</v>
      </c>
      <c r="C1849">
        <v>1.26705318670237</v>
      </c>
      <c r="D1849">
        <v>0.87621009553623</v>
      </c>
      <c r="E1849">
        <v>0.424429875037482</v>
      </c>
      <c r="F1849">
        <v>0.140746185411959</v>
      </c>
      <c r="G1849">
        <v>0.0750494686550916</v>
      </c>
      <c r="H1849">
        <v>0.0527350313561856</v>
      </c>
      <c r="I1849">
        <v>0.0401868983518776</v>
      </c>
      <c r="J1849">
        <v>0.0399093429738777</v>
      </c>
      <c r="K1849">
        <v>0.0328711382964002</v>
      </c>
      <c r="L1849">
        <v>1452.62617240972</v>
      </c>
      <c r="M1849">
        <v>31.5768737391345</v>
      </c>
      <c r="N1849">
        <v>46.1568606732234</v>
      </c>
      <c r="O1849">
        <v>45.8195277273127</v>
      </c>
      <c r="P1849">
        <v>-0.163676077967829</v>
      </c>
      <c r="Q1849">
        <v>0.0499983334958098</v>
      </c>
      <c r="R1849">
        <v>0.961600983877946</v>
      </c>
      <c r="S1849" t="s">
        <v>4042</v>
      </c>
      <c r="T1849" t="s">
        <v>4362</v>
      </c>
      <c r="U1849" t="s">
        <v>4362</v>
      </c>
      <c r="V1849" t="s">
        <v>4362</v>
      </c>
      <c r="W1849" t="s">
        <v>6206</v>
      </c>
      <c r="X1849">
        <v>7</v>
      </c>
      <c r="Y1849" t="s">
        <v>8370</v>
      </c>
      <c r="Z1849" t="s">
        <v>10537</v>
      </c>
      <c r="AA1849">
        <v>0.3399720072584436</v>
      </c>
      <c r="AB1849">
        <f>HYPERLINK("Melting_Curves/meltCurve_P69786_ptsG.pdf", "Melting_Curves/meltCurve_P69786_ptsG.pdf")</f>
        <v>0</v>
      </c>
    </row>
    <row r="1850" spans="1:28">
      <c r="A1850" t="s">
        <v>1876</v>
      </c>
      <c r="B1850">
        <v>0.999739202189716</v>
      </c>
      <c r="C1850">
        <v>0.877296876466091</v>
      </c>
      <c r="D1850">
        <v>0.944973107456663</v>
      </c>
      <c r="E1850">
        <v>0.809936373027844</v>
      </c>
      <c r="F1850">
        <v>0.851834248330984</v>
      </c>
      <c r="G1850">
        <v>0.630979540318674</v>
      </c>
      <c r="H1850">
        <v>0.494993153089614</v>
      </c>
      <c r="I1850">
        <v>0.324052117781865</v>
      </c>
      <c r="J1850">
        <v>0.209301449059312</v>
      </c>
      <c r="K1850">
        <v>0.115320104992583</v>
      </c>
      <c r="L1850">
        <v>590.138143088387</v>
      </c>
      <c r="M1850">
        <v>10.4344849274685</v>
      </c>
      <c r="N1850">
        <v>56.5565191057382</v>
      </c>
      <c r="O1850">
        <v>54.5976117720467</v>
      </c>
      <c r="P1850">
        <v>-0.0477987822040681</v>
      </c>
      <c r="Q1850">
        <v>0</v>
      </c>
      <c r="R1850">
        <v>0.969047585271464</v>
      </c>
      <c r="S1850" t="s">
        <v>4043</v>
      </c>
      <c r="T1850" t="s">
        <v>4362</v>
      </c>
      <c r="U1850" t="s">
        <v>4362</v>
      </c>
      <c r="V1850" t="s">
        <v>4362</v>
      </c>
      <c r="W1850" t="s">
        <v>6207</v>
      </c>
      <c r="X1850">
        <v>2</v>
      </c>
      <c r="Y1850" t="s">
        <v>8371</v>
      </c>
      <c r="Z1850" t="s">
        <v>10538</v>
      </c>
      <c r="AA1850">
        <v>0.6555191135768452</v>
      </c>
      <c r="AB1850">
        <f>HYPERLINK("Melting_Curves/meltCurve_P69795_chbB.pdf", "Melting_Curves/meltCurve_P69795_chbB.pdf")</f>
        <v>0</v>
      </c>
    </row>
    <row r="1851" spans="1:28">
      <c r="A1851" t="s">
        <v>1877</v>
      </c>
      <c r="B1851">
        <v>0.999739202189716</v>
      </c>
      <c r="C1851">
        <v>0.994655412101319</v>
      </c>
      <c r="D1851">
        <v>1.07242494622311</v>
      </c>
      <c r="E1851">
        <v>0.9438608202257101</v>
      </c>
      <c r="F1851">
        <v>0.793771232891715</v>
      </c>
      <c r="G1851">
        <v>0.5609469067498229</v>
      </c>
      <c r="H1851">
        <v>0.354858585856337</v>
      </c>
      <c r="I1851">
        <v>0.270937153634343</v>
      </c>
      <c r="J1851">
        <v>0.210835306886239</v>
      </c>
      <c r="K1851">
        <v>0.152135430029199</v>
      </c>
      <c r="L1851">
        <v>932.178234020171</v>
      </c>
      <c r="M1851">
        <v>17.3802240731934</v>
      </c>
      <c r="N1851">
        <v>54.7906305569953</v>
      </c>
      <c r="O1851">
        <v>52.9394862889117</v>
      </c>
      <c r="P1851">
        <v>-0.0694801556317068</v>
      </c>
      <c r="Q1851">
        <v>0.153512546577816</v>
      </c>
      <c r="R1851">
        <v>0.992856146685537</v>
      </c>
      <c r="S1851" t="s">
        <v>4044</v>
      </c>
      <c r="T1851" t="s">
        <v>4362</v>
      </c>
      <c r="U1851" t="s">
        <v>4362</v>
      </c>
      <c r="V1851" t="s">
        <v>4362</v>
      </c>
      <c r="W1851" t="s">
        <v>6208</v>
      </c>
      <c r="X1851">
        <v>16</v>
      </c>
      <c r="Y1851" t="s">
        <v>8372</v>
      </c>
      <c r="Z1851" t="s">
        <v>10539</v>
      </c>
      <c r="AA1851">
        <v>0.6352492164188135</v>
      </c>
      <c r="AB1851">
        <f>HYPERLINK("Melting_Curves/meltCurve_P69797_manX.pdf", "Melting_Curves/meltCurve_P69797_manX.pdf")</f>
        <v>0</v>
      </c>
    </row>
    <row r="1852" spans="1:28">
      <c r="A1852" t="s">
        <v>1878</v>
      </c>
      <c r="B1852">
        <v>0.999739202189716</v>
      </c>
      <c r="C1852">
        <v>1.234624237013</v>
      </c>
      <c r="D1852">
        <v>0.912421256420871</v>
      </c>
      <c r="E1852">
        <v>1.1038872544323</v>
      </c>
      <c r="F1852">
        <v>0.973064450685312</v>
      </c>
      <c r="G1852">
        <v>0.712504650146337</v>
      </c>
      <c r="H1852">
        <v>0.67939963505262</v>
      </c>
      <c r="I1852">
        <v>0.435434605677364</v>
      </c>
      <c r="J1852">
        <v>0.283189293616353</v>
      </c>
      <c r="K1852">
        <v>0.145882078874087</v>
      </c>
      <c r="L1852">
        <v>839.956992764768</v>
      </c>
      <c r="M1852">
        <v>14.0833062873882</v>
      </c>
      <c r="N1852">
        <v>59.6420311894615</v>
      </c>
      <c r="O1852">
        <v>58.4781178788467</v>
      </c>
      <c r="P1852">
        <v>-0.0602153620457659</v>
      </c>
      <c r="Q1852">
        <v>0</v>
      </c>
      <c r="R1852">
        <v>0.920585577906836</v>
      </c>
      <c r="S1852" t="s">
        <v>4045</v>
      </c>
      <c r="T1852" t="s">
        <v>4362</v>
      </c>
      <c r="U1852" t="s">
        <v>4362</v>
      </c>
      <c r="V1852" t="s">
        <v>4362</v>
      </c>
      <c r="W1852" t="s">
        <v>6209</v>
      </c>
      <c r="X1852">
        <v>1</v>
      </c>
      <c r="Y1852" t="s">
        <v>8373</v>
      </c>
      <c r="Z1852" t="s">
        <v>10540</v>
      </c>
      <c r="AA1852">
        <v>0.7481332354258494</v>
      </c>
      <c r="AB1852">
        <f>HYPERLINK("Melting_Curves/meltCurve_P69801_manY.pdf", "Melting_Curves/meltCurve_P69801_manY.pdf")</f>
        <v>0</v>
      </c>
    </row>
    <row r="1853" spans="1:28">
      <c r="A1853" t="s">
        <v>1879</v>
      </c>
      <c r="B1853">
        <v>0.999739202189716</v>
      </c>
      <c r="C1853">
        <v>0.845698328226074</v>
      </c>
      <c r="D1853">
        <v>1.05350764107317</v>
      </c>
      <c r="E1853">
        <v>0.82408367500646</v>
      </c>
      <c r="F1853">
        <v>0.777288122470717</v>
      </c>
      <c r="G1853">
        <v>0.5869462173546059</v>
      </c>
      <c r="H1853">
        <v>0.50278660116023</v>
      </c>
      <c r="I1853">
        <v>0.473812141863445</v>
      </c>
      <c r="J1853">
        <v>0.436766695912478</v>
      </c>
      <c r="K1853">
        <v>0.361780478110336</v>
      </c>
      <c r="L1853">
        <v>588.722288743644</v>
      </c>
      <c r="M1853">
        <v>11.2735725005436</v>
      </c>
      <c r="N1853">
        <v>58.0832245874142</v>
      </c>
      <c r="O1853">
        <v>50.6592065986127</v>
      </c>
      <c r="P1853">
        <v>-0.0367451230893892</v>
      </c>
      <c r="Q1853">
        <v>0.339727432587564</v>
      </c>
      <c r="R1853">
        <v>0.934373264351484</v>
      </c>
      <c r="S1853" t="s">
        <v>4046</v>
      </c>
      <c r="T1853" t="s">
        <v>4362</v>
      </c>
      <c r="U1853" t="s">
        <v>4362</v>
      </c>
      <c r="V1853" t="s">
        <v>4362</v>
      </c>
      <c r="W1853" t="s">
        <v>6210</v>
      </c>
      <c r="X1853">
        <v>9</v>
      </c>
      <c r="Y1853" t="s">
        <v>8374</v>
      </c>
      <c r="Z1853" t="s">
        <v>10541</v>
      </c>
      <c r="AA1853">
        <v>0.690718297129427</v>
      </c>
      <c r="AB1853">
        <f>HYPERLINK("Melting_Curves/meltCurve_P69805_manZ.pdf", "Melting_Curves/meltCurve_P69805_manZ.pdf")</f>
        <v>0</v>
      </c>
    </row>
    <row r="1854" spans="1:28">
      <c r="A1854" t="s">
        <v>1880</v>
      </c>
      <c r="B1854">
        <v>0.999739202189716</v>
      </c>
      <c r="C1854">
        <v>0.930266222112226</v>
      </c>
      <c r="D1854">
        <v>0.898974224339591</v>
      </c>
      <c r="E1854">
        <v>0.8629723465347789</v>
      </c>
      <c r="F1854">
        <v>0.793072269617486</v>
      </c>
      <c r="G1854">
        <v>0.628344540724895</v>
      </c>
      <c r="H1854">
        <v>0.586212694681904</v>
      </c>
      <c r="I1854">
        <v>0.503553061341353</v>
      </c>
      <c r="J1854">
        <v>0.460815210642039</v>
      </c>
      <c r="K1854">
        <v>0.344006981384748</v>
      </c>
      <c r="L1854">
        <v>342.962503047605</v>
      </c>
      <c r="M1854">
        <v>5.64315263170364</v>
      </c>
      <c r="N1854">
        <v>60.7749826081043</v>
      </c>
      <c r="O1854">
        <v>54.4323304512853</v>
      </c>
      <c r="P1854">
        <v>-0.0260225145052696</v>
      </c>
      <c r="Q1854">
        <v>0</v>
      </c>
      <c r="R1854">
        <v>0.986165105395164</v>
      </c>
      <c r="S1854" t="s">
        <v>4047</v>
      </c>
      <c r="T1854" t="s">
        <v>4362</v>
      </c>
      <c r="U1854" t="s">
        <v>4362</v>
      </c>
      <c r="V1854" t="s">
        <v>4362</v>
      </c>
      <c r="W1854" t="s">
        <v>6211</v>
      </c>
      <c r="X1854">
        <v>12</v>
      </c>
      <c r="Y1854" t="s">
        <v>8375</v>
      </c>
      <c r="Z1854" t="s">
        <v>10542</v>
      </c>
      <c r="AA1854">
        <v>0.7048328711242783</v>
      </c>
      <c r="AB1854">
        <f>HYPERLINK("Melting_Curves/meltCurve_P69811_fruB.pdf", "Melting_Curves/meltCurve_P69811_fruB.pdf")</f>
        <v>0</v>
      </c>
    </row>
    <row r="1855" spans="1:28">
      <c r="A1855" t="s">
        <v>1881</v>
      </c>
      <c r="B1855">
        <v>0.999739202189716</v>
      </c>
      <c r="C1855">
        <v>1.01418181945187</v>
      </c>
      <c r="D1855">
        <v>1.14662277962679</v>
      </c>
      <c r="E1855">
        <v>1.0756508793001</v>
      </c>
      <c r="F1855">
        <v>1.07260633660752</v>
      </c>
      <c r="G1855">
        <v>0.9168293052061099</v>
      </c>
      <c r="H1855">
        <v>0.737236798543365</v>
      </c>
      <c r="I1855">
        <v>0.8234131567380401</v>
      </c>
      <c r="J1855">
        <v>0.658821232992349</v>
      </c>
      <c r="K1855">
        <v>0.62049644464797</v>
      </c>
      <c r="L1855">
        <v>1294.17012475234</v>
      </c>
      <c r="M1855">
        <v>22.7767815454669</v>
      </c>
      <c r="O1855">
        <v>56.3871429684074</v>
      </c>
      <c r="P1855">
        <v>-0.0351603981280609</v>
      </c>
      <c r="Q1855">
        <v>0.651828541516019</v>
      </c>
      <c r="R1855">
        <v>0.82432451454406</v>
      </c>
      <c r="S1855" t="s">
        <v>4048</v>
      </c>
      <c r="T1855" t="s">
        <v>4362</v>
      </c>
      <c r="U1855" t="s">
        <v>4362</v>
      </c>
      <c r="V1855" t="s">
        <v>4362</v>
      </c>
      <c r="W1855" t="s">
        <v>6212</v>
      </c>
      <c r="X1855">
        <v>2</v>
      </c>
      <c r="Y1855" t="s">
        <v>8376</v>
      </c>
      <c r="Z1855" t="s">
        <v>10543</v>
      </c>
      <c r="AA1855">
        <v>0.8847505617140062</v>
      </c>
      <c r="AB1855">
        <f>HYPERLINK("Melting_Curves/meltCurve_P69820_ulaC.pdf", "Melting_Curves/meltCurve_P69820_ulaC.pdf")</f>
        <v>0</v>
      </c>
    </row>
    <row r="1856" spans="1:28">
      <c r="A1856" t="s">
        <v>1882</v>
      </c>
      <c r="B1856">
        <v>0.999739202189716</v>
      </c>
      <c r="C1856">
        <v>1.09839292376681</v>
      </c>
      <c r="D1856">
        <v>0.853531036280529</v>
      </c>
      <c r="E1856">
        <v>1.00090092611438</v>
      </c>
      <c r="F1856">
        <v>0.8690350179894401</v>
      </c>
      <c r="G1856">
        <v>0.646790928489818</v>
      </c>
      <c r="H1856">
        <v>0.472613290862452</v>
      </c>
      <c r="I1856">
        <v>0.294050440144814</v>
      </c>
      <c r="J1856">
        <v>0.24849109188172</v>
      </c>
      <c r="K1856">
        <v>0.174831952340788</v>
      </c>
      <c r="L1856">
        <v>847.09145482258</v>
      </c>
      <c r="M1856">
        <v>15.250874876016</v>
      </c>
      <c r="N1856">
        <v>56.6397078436304</v>
      </c>
      <c r="O1856">
        <v>54.61505720101</v>
      </c>
      <c r="P1856">
        <v>-0.0608970256215588</v>
      </c>
      <c r="Q1856">
        <v>0.127766559745731</v>
      </c>
      <c r="R1856">
        <v>0.970018519042664</v>
      </c>
      <c r="S1856" t="s">
        <v>4049</v>
      </c>
      <c r="T1856" t="s">
        <v>4362</v>
      </c>
      <c r="U1856" t="s">
        <v>4362</v>
      </c>
      <c r="V1856" t="s">
        <v>4362</v>
      </c>
      <c r="W1856" t="s">
        <v>6213</v>
      </c>
      <c r="X1856">
        <v>1</v>
      </c>
      <c r="Y1856" t="s">
        <v>8377</v>
      </c>
      <c r="Z1856" t="s">
        <v>10544</v>
      </c>
      <c r="AA1856">
        <v>0.6780000145638034</v>
      </c>
      <c r="AB1856">
        <f>HYPERLINK("Melting_Curves/meltCurve_P69822_ulaB.pdf", "Melting_Curves/meltCurve_P69822_ulaB.pdf")</f>
        <v>0</v>
      </c>
    </row>
    <row r="1857" spans="1:28">
      <c r="A1857" t="s">
        <v>1883</v>
      </c>
      <c r="B1857">
        <v>0.999739202189716</v>
      </c>
      <c r="C1857">
        <v>1.04664862362662</v>
      </c>
      <c r="D1857">
        <v>0.248154065297182</v>
      </c>
      <c r="E1857">
        <v>0.58525119844006</v>
      </c>
      <c r="F1857">
        <v>0.6157236966778989</v>
      </c>
      <c r="G1857">
        <v>0.22888275269947</v>
      </c>
      <c r="H1857">
        <v>0.149508306407528</v>
      </c>
      <c r="I1857">
        <v>0.194983319552029</v>
      </c>
      <c r="J1857">
        <v>0.272687999394085</v>
      </c>
      <c r="K1857">
        <v>0.127553567342409</v>
      </c>
      <c r="L1857">
        <v>435.741157996101</v>
      </c>
      <c r="M1857">
        <v>9.654365437610601</v>
      </c>
      <c r="N1857">
        <v>46.7872893407063</v>
      </c>
      <c r="O1857">
        <v>43.3252086037977</v>
      </c>
      <c r="P1857">
        <v>-0.0476844262938916</v>
      </c>
      <c r="Q1857">
        <v>0.144515868388889</v>
      </c>
      <c r="R1857">
        <v>0.697519688130933</v>
      </c>
      <c r="S1857" t="s">
        <v>4050</v>
      </c>
      <c r="T1857" t="s">
        <v>4362</v>
      </c>
      <c r="U1857" t="s">
        <v>4362</v>
      </c>
      <c r="V1857" t="s">
        <v>4362</v>
      </c>
      <c r="W1857" t="s">
        <v>6214</v>
      </c>
      <c r="X1857">
        <v>1</v>
      </c>
      <c r="Y1857" t="s">
        <v>8378</v>
      </c>
      <c r="Z1857" t="s">
        <v>10545</v>
      </c>
      <c r="AA1857">
        <v>0.4208601477162551</v>
      </c>
      <c r="AB1857">
        <f>HYPERLINK("Melting_Curves/meltCurve_P69826_cmtA.pdf", "Melting_Curves/meltCurve_P69826_cmtA.pdf")</f>
        <v>0</v>
      </c>
    </row>
    <row r="1858" spans="1:28">
      <c r="A1858" t="s">
        <v>1884</v>
      </c>
      <c r="B1858">
        <v>0.999739202189716</v>
      </c>
      <c r="C1858">
        <v>1.08703689743944</v>
      </c>
      <c r="D1858">
        <v>0.672422770037201</v>
      </c>
      <c r="E1858">
        <v>0.663232828073084</v>
      </c>
      <c r="F1858">
        <v>0.434869596981202</v>
      </c>
      <c r="G1858">
        <v>0.283413331677746</v>
      </c>
      <c r="H1858">
        <v>0.239108505347331</v>
      </c>
      <c r="I1858">
        <v>0.177929429720566</v>
      </c>
      <c r="J1858">
        <v>0.173822306229745</v>
      </c>
      <c r="K1858">
        <v>0.160353340262124</v>
      </c>
      <c r="L1858">
        <v>614.026671482137</v>
      </c>
      <c r="M1858">
        <v>12.9573793098913</v>
      </c>
      <c r="N1858">
        <v>48.6685256816507</v>
      </c>
      <c r="O1858">
        <v>46.302054143306</v>
      </c>
      <c r="P1858">
        <v>-0.0598676734360114</v>
      </c>
      <c r="Q1858">
        <v>0.144425657054243</v>
      </c>
      <c r="R1858">
        <v>0.955054682195869</v>
      </c>
      <c r="S1858" t="s">
        <v>4051</v>
      </c>
      <c r="T1858" t="s">
        <v>4362</v>
      </c>
      <c r="U1858" t="s">
        <v>4362</v>
      </c>
      <c r="V1858" t="s">
        <v>4362</v>
      </c>
      <c r="W1858" t="s">
        <v>6215</v>
      </c>
      <c r="X1858">
        <v>4</v>
      </c>
      <c r="Y1858" t="s">
        <v>8379</v>
      </c>
      <c r="Z1858" t="s">
        <v>10546</v>
      </c>
      <c r="AA1858">
        <v>0.4651302415479197</v>
      </c>
      <c r="AB1858">
        <f>HYPERLINK("Melting_Curves/meltCurve_P69828_gatA.pdf", "Melting_Curves/meltCurve_P69828_gatA.pdf")</f>
        <v>0</v>
      </c>
    </row>
    <row r="1859" spans="1:28">
      <c r="A1859" t="s">
        <v>1885</v>
      </c>
      <c r="B1859">
        <v>0.999739202189716</v>
      </c>
      <c r="C1859">
        <v>1.1438717110715</v>
      </c>
      <c r="D1859">
        <v>0.921940886979482</v>
      </c>
      <c r="E1859">
        <v>1.11489007590365</v>
      </c>
      <c r="F1859">
        <v>0.802919100004639</v>
      </c>
      <c r="G1859">
        <v>0.723978999584158</v>
      </c>
      <c r="H1859">
        <v>0.567961806948434</v>
      </c>
      <c r="I1859">
        <v>0.412668049160845</v>
      </c>
      <c r="J1859">
        <v>0.291473352837352</v>
      </c>
      <c r="K1859">
        <v>0.278026288702354</v>
      </c>
      <c r="L1859">
        <v>816.508952769762</v>
      </c>
      <c r="M1859">
        <v>14.4912842685371</v>
      </c>
      <c r="N1859">
        <v>58.3851768283441</v>
      </c>
      <c r="O1859">
        <v>55.3044476291034</v>
      </c>
      <c r="P1859">
        <v>-0.052498388587091</v>
      </c>
      <c r="Q1859">
        <v>0.19867446705858</v>
      </c>
      <c r="R1859">
        <v>0.940378889673564</v>
      </c>
      <c r="S1859" t="s">
        <v>4052</v>
      </c>
      <c r="T1859" t="s">
        <v>4362</v>
      </c>
      <c r="U1859" t="s">
        <v>4362</v>
      </c>
      <c r="V1859" t="s">
        <v>4362</v>
      </c>
      <c r="W1859" t="s">
        <v>6216</v>
      </c>
      <c r="X1859">
        <v>4</v>
      </c>
      <c r="Y1859" t="s">
        <v>8380</v>
      </c>
      <c r="Z1859" t="s">
        <v>10547</v>
      </c>
      <c r="AA1859">
        <v>0.723604608260589</v>
      </c>
      <c r="AB1859">
        <f>HYPERLINK("Melting_Curves/meltCurve_P69829_ptsN.pdf", "Melting_Curves/meltCurve_P69829_ptsN.pdf")</f>
        <v>0</v>
      </c>
    </row>
    <row r="1860" spans="1:28">
      <c r="A1860" t="s">
        <v>1886</v>
      </c>
      <c r="B1860">
        <v>0.999739202189716</v>
      </c>
      <c r="C1860">
        <v>1.06883338247194</v>
      </c>
      <c r="D1860">
        <v>1.09959986325601</v>
      </c>
      <c r="E1860">
        <v>0.717812743634733</v>
      </c>
      <c r="F1860">
        <v>0.515632017904971</v>
      </c>
      <c r="G1860">
        <v>0.439741581782601</v>
      </c>
      <c r="H1860">
        <v>0.218535779011523</v>
      </c>
      <c r="I1860">
        <v>0.235549737010027</v>
      </c>
      <c r="J1860">
        <v>0.118661252761518</v>
      </c>
      <c r="K1860">
        <v>0.190432991984947</v>
      </c>
      <c r="L1860">
        <v>843.918077584811</v>
      </c>
      <c r="M1860">
        <v>16.9615775578999</v>
      </c>
      <c r="N1860">
        <v>50.9724351350059</v>
      </c>
      <c r="O1860">
        <v>49.078537007389</v>
      </c>
      <c r="P1860">
        <v>-0.07201182114051539</v>
      </c>
      <c r="Q1860">
        <v>0.166583541864148</v>
      </c>
      <c r="R1860">
        <v>0.960386636951077</v>
      </c>
      <c r="S1860" t="s">
        <v>4053</v>
      </c>
      <c r="T1860" t="s">
        <v>4362</v>
      </c>
      <c r="U1860" t="s">
        <v>4362</v>
      </c>
      <c r="V1860" t="s">
        <v>4362</v>
      </c>
      <c r="W1860" t="s">
        <v>6217</v>
      </c>
      <c r="X1860">
        <v>3</v>
      </c>
      <c r="Y1860" t="s">
        <v>8381</v>
      </c>
      <c r="Z1860" t="s">
        <v>10548</v>
      </c>
      <c r="AA1860">
        <v>0.5354329605706051</v>
      </c>
      <c r="AB1860">
        <f>HYPERLINK("Melting_Curves/meltCurve_P69831_gatC.pdf", "Melting_Curves/meltCurve_P69831_gatC.pdf")</f>
        <v>0</v>
      </c>
    </row>
    <row r="1861" spans="1:28">
      <c r="A1861" t="s">
        <v>1887</v>
      </c>
      <c r="B1861">
        <v>0.999739202189716</v>
      </c>
      <c r="C1861">
        <v>1.02925943032251</v>
      </c>
      <c r="D1861">
        <v>0.696255539174002</v>
      </c>
      <c r="E1861">
        <v>0.735502812119651</v>
      </c>
      <c r="F1861">
        <v>0.809264774194524</v>
      </c>
      <c r="G1861">
        <v>0.507694507744209</v>
      </c>
      <c r="H1861">
        <v>0.437888053275495</v>
      </c>
      <c r="I1861">
        <v>0.385233137888207</v>
      </c>
      <c r="J1861">
        <v>0.492712296047387</v>
      </c>
      <c r="K1861">
        <v>0.315111234304618</v>
      </c>
      <c r="L1861">
        <v>385.028655575441</v>
      </c>
      <c r="M1861">
        <v>7.49936640776381</v>
      </c>
      <c r="N1861">
        <v>56.5401861138245</v>
      </c>
      <c r="O1861">
        <v>48.0711737150347</v>
      </c>
      <c r="P1861">
        <v>-0.0293283595019956</v>
      </c>
      <c r="Q1861">
        <v>0.249097345557428</v>
      </c>
      <c r="R1861">
        <v>0.855277571755624</v>
      </c>
      <c r="S1861" t="s">
        <v>4054</v>
      </c>
      <c r="T1861" t="s">
        <v>4362</v>
      </c>
      <c r="U1861" t="s">
        <v>4362</v>
      </c>
      <c r="V1861" t="s">
        <v>4362</v>
      </c>
      <c r="W1861" t="s">
        <v>6218</v>
      </c>
      <c r="X1861">
        <v>3</v>
      </c>
      <c r="Y1861" t="s">
        <v>8382</v>
      </c>
      <c r="Z1861" t="s">
        <v>10549</v>
      </c>
      <c r="AA1861">
        <v>0.6331699300934973</v>
      </c>
      <c r="AB1861">
        <f>HYPERLINK("Melting_Curves/meltCurve_P69853_dmsD.pdf", "Melting_Curves/meltCurve_P69853_dmsD.pdf")</f>
        <v>0</v>
      </c>
    </row>
    <row r="1862" spans="1:28">
      <c r="A1862" t="s">
        <v>1888</v>
      </c>
      <c r="B1862">
        <v>0.999739202189716</v>
      </c>
      <c r="C1862">
        <v>0.570565455487863</v>
      </c>
      <c r="D1862">
        <v>0.232475373900573</v>
      </c>
      <c r="E1862">
        <v>0.146370480345168</v>
      </c>
      <c r="F1862">
        <v>0.09580727567684</v>
      </c>
      <c r="G1862">
        <v>0.0581766128845531</v>
      </c>
      <c r="H1862">
        <v>0.0554734971739589</v>
      </c>
      <c r="I1862">
        <v>0.0467899351155998</v>
      </c>
      <c r="J1862">
        <v>0.0423817615370826</v>
      </c>
      <c r="K1862">
        <v>0.0383294236062455</v>
      </c>
      <c r="L1862">
        <v>1098.49537115439</v>
      </c>
      <c r="M1862">
        <v>27.2068153688758</v>
      </c>
      <c r="N1862">
        <v>40.5842936908234</v>
      </c>
      <c r="O1862">
        <v>40.1595094174964</v>
      </c>
      <c r="P1862">
        <v>-0.158319316637383</v>
      </c>
      <c r="Q1862">
        <v>0.0652395324202602</v>
      </c>
      <c r="R1862">
        <v>0.986027553178468</v>
      </c>
      <c r="S1862" t="s">
        <v>4055</v>
      </c>
      <c r="T1862" t="s">
        <v>4362</v>
      </c>
      <c r="U1862" t="s">
        <v>4362</v>
      </c>
      <c r="V1862" t="s">
        <v>4362</v>
      </c>
      <c r="W1862" t="s">
        <v>6219</v>
      </c>
      <c r="X1862">
        <v>5</v>
      </c>
      <c r="Y1862" t="s">
        <v>8383</v>
      </c>
      <c r="Z1862" t="s">
        <v>10550</v>
      </c>
      <c r="AA1862">
        <v>0.1790421319066175</v>
      </c>
      <c r="AB1862">
        <f>HYPERLINK("Melting_Curves/meltCurve_P69874_potA.pdf", "Melting_Curves/meltCurve_P69874_potA.pdf")</f>
        <v>0</v>
      </c>
    </row>
    <row r="1863" spans="1:28">
      <c r="A1863" t="s">
        <v>1889</v>
      </c>
      <c r="B1863">
        <v>0.999739202189716</v>
      </c>
      <c r="C1863">
        <v>1.10173909235533</v>
      </c>
      <c r="D1863">
        <v>1.05886986125661</v>
      </c>
      <c r="E1863">
        <v>0.913177658167625</v>
      </c>
      <c r="F1863">
        <v>0.663286938389534</v>
      </c>
      <c r="G1863">
        <v>0.497439701570254</v>
      </c>
      <c r="H1863">
        <v>0.294413506204383</v>
      </c>
      <c r="I1863">
        <v>0.232199125457758</v>
      </c>
      <c r="J1863">
        <v>0.222659931108025</v>
      </c>
      <c r="K1863">
        <v>0.134050611365471</v>
      </c>
      <c r="L1863">
        <v>903.692586992465</v>
      </c>
      <c r="M1863">
        <v>17.3530504650505</v>
      </c>
      <c r="N1863">
        <v>53.2608788441312</v>
      </c>
      <c r="O1863">
        <v>51.4000550136424</v>
      </c>
      <c r="P1863">
        <v>-0.0708987356249149</v>
      </c>
      <c r="Q1863">
        <v>0.16003451416846</v>
      </c>
      <c r="R1863">
        <v>0.9818259657152409</v>
      </c>
      <c r="S1863" t="s">
        <v>4056</v>
      </c>
      <c r="T1863" t="s">
        <v>4362</v>
      </c>
      <c r="U1863" t="s">
        <v>4362</v>
      </c>
      <c r="V1863" t="s">
        <v>4362</v>
      </c>
      <c r="W1863" t="s">
        <v>6220</v>
      </c>
      <c r="X1863">
        <v>16</v>
      </c>
      <c r="Y1863" t="s">
        <v>8384</v>
      </c>
      <c r="Z1863" t="s">
        <v>10551</v>
      </c>
      <c r="AA1863">
        <v>0.595500217240313</v>
      </c>
      <c r="AB1863">
        <f>HYPERLINK("Melting_Curves/meltCurve_P69908_gadA.pdf", "Melting_Curves/meltCurve_P69908_gadA.pdf")</f>
        <v>0</v>
      </c>
    </row>
    <row r="1864" spans="1:28">
      <c r="A1864" t="s">
        <v>1890</v>
      </c>
      <c r="B1864">
        <v>0.999739202189716</v>
      </c>
      <c r="C1864">
        <v>1.08664800803121</v>
      </c>
      <c r="D1864">
        <v>0.872912929158275</v>
      </c>
      <c r="E1864">
        <v>0.9527385816385791</v>
      </c>
      <c r="F1864">
        <v>0.565405272650621</v>
      </c>
      <c r="G1864">
        <v>0.439620230640162</v>
      </c>
      <c r="H1864">
        <v>0.246924946359482</v>
      </c>
      <c r="I1864">
        <v>0.200139976369801</v>
      </c>
      <c r="J1864">
        <v>0.170286215776748</v>
      </c>
      <c r="K1864">
        <v>0.154448593046632</v>
      </c>
      <c r="L1864">
        <v>898.707414041713</v>
      </c>
      <c r="M1864">
        <v>17.6121617958028</v>
      </c>
      <c r="N1864">
        <v>52.0817686317476</v>
      </c>
      <c r="O1864">
        <v>50.3834397633298</v>
      </c>
      <c r="P1864">
        <v>-0.07429257930030859</v>
      </c>
      <c r="Q1864">
        <v>0.149925029508306</v>
      </c>
      <c r="R1864">
        <v>0.974427820021909</v>
      </c>
      <c r="S1864" t="s">
        <v>4057</v>
      </c>
      <c r="T1864" t="s">
        <v>4362</v>
      </c>
      <c r="U1864" t="s">
        <v>4362</v>
      </c>
      <c r="V1864" t="s">
        <v>4362</v>
      </c>
      <c r="W1864" t="s">
        <v>6221</v>
      </c>
      <c r="X1864">
        <v>15</v>
      </c>
      <c r="Y1864" t="s">
        <v>8385</v>
      </c>
      <c r="Z1864" t="s">
        <v>10552</v>
      </c>
      <c r="AA1864">
        <v>0.5610337259315905</v>
      </c>
      <c r="AB1864">
        <f>HYPERLINK("Melting_Curves/meltCurve_P69910_gadB.pdf", "Melting_Curves/meltCurve_P69910_gadB.pdf")</f>
        <v>0</v>
      </c>
    </row>
    <row r="1865" spans="1:28">
      <c r="A1865" t="s">
        <v>1891</v>
      </c>
      <c r="B1865">
        <v>0.999739202189716</v>
      </c>
      <c r="C1865">
        <v>1.94290057796659</v>
      </c>
      <c r="D1865">
        <v>0.5044781048860389</v>
      </c>
      <c r="E1865">
        <v>1.66645515501853</v>
      </c>
      <c r="F1865">
        <v>0.389624813680592</v>
      </c>
      <c r="G1865">
        <v>0.434689941142397</v>
      </c>
      <c r="H1865">
        <v>0.427357861861225</v>
      </c>
      <c r="I1865">
        <v>0.298363154995049</v>
      </c>
      <c r="J1865">
        <v>0.327292010862431</v>
      </c>
      <c r="K1865">
        <v>0.9001213757837599</v>
      </c>
      <c r="L1865">
        <v>6056.79959671657</v>
      </c>
      <c r="M1865">
        <v>124.252693402578</v>
      </c>
      <c r="N1865">
        <v>49.7706550361393</v>
      </c>
      <c r="O1865">
        <v>48.7331971836385</v>
      </c>
      <c r="P1865">
        <v>-0.343381257201237</v>
      </c>
      <c r="Q1865">
        <v>0.461289224941379</v>
      </c>
      <c r="R1865">
        <v>0.412179882056892</v>
      </c>
      <c r="S1865" t="s">
        <v>4058</v>
      </c>
      <c r="T1865" t="s">
        <v>4362</v>
      </c>
      <c r="U1865" t="s">
        <v>4362</v>
      </c>
      <c r="V1865" t="s">
        <v>4362</v>
      </c>
      <c r="W1865" t="s">
        <v>6222</v>
      </c>
      <c r="X1865">
        <v>2</v>
      </c>
      <c r="Y1865" t="s">
        <v>8386</v>
      </c>
      <c r="Z1865" t="s">
        <v>10553</v>
      </c>
      <c r="AA1865">
        <v>0.6723959356205101</v>
      </c>
      <c r="AB1865">
        <f>HYPERLINK("Melting_Curves/meltCurve_P69913_csrA.pdf", "Melting_Curves/meltCurve_P69913_csrA.pdf")</f>
        <v>0</v>
      </c>
    </row>
    <row r="1866" spans="1:28">
      <c r="A1866" t="s">
        <v>1892</v>
      </c>
      <c r="B1866">
        <v>0.999739202189716</v>
      </c>
      <c r="C1866">
        <v>1.28358616882665</v>
      </c>
      <c r="D1866">
        <v>1.09574524664969</v>
      </c>
      <c r="E1866">
        <v>1.18813756420008</v>
      </c>
      <c r="F1866">
        <v>0.907783348211423</v>
      </c>
      <c r="G1866">
        <v>0.900345098331595</v>
      </c>
      <c r="H1866">
        <v>0.642795893222404</v>
      </c>
      <c r="I1866">
        <v>0.569998342593576</v>
      </c>
      <c r="J1866">
        <v>0.476188793319311</v>
      </c>
      <c r="K1866">
        <v>0.227744737316682</v>
      </c>
      <c r="L1866">
        <v>795.415669641794</v>
      </c>
      <c r="M1866">
        <v>12.8576991268922</v>
      </c>
      <c r="N1866">
        <v>61.9698856900621</v>
      </c>
      <c r="O1866">
        <v>60.4238788542323</v>
      </c>
      <c r="P1866">
        <v>-0.0526242892865041</v>
      </c>
      <c r="Q1866">
        <v>0.0109654621123626</v>
      </c>
      <c r="R1866">
        <v>0.852906993501142</v>
      </c>
      <c r="S1866" t="s">
        <v>4059</v>
      </c>
      <c r="T1866" t="s">
        <v>4362</v>
      </c>
      <c r="U1866" t="s">
        <v>4362</v>
      </c>
      <c r="V1866" t="s">
        <v>4362</v>
      </c>
      <c r="W1866" t="s">
        <v>6223</v>
      </c>
      <c r="X1866">
        <v>16</v>
      </c>
      <c r="Y1866" t="s">
        <v>8387</v>
      </c>
      <c r="Z1866" t="s">
        <v>10554</v>
      </c>
      <c r="AA1866">
        <v>0.801124253364442</v>
      </c>
      <c r="AB1866">
        <f>HYPERLINK("Melting_Curves/meltCurve_P69922_fucI.pdf", "Melting_Curves/meltCurve_P69922_fucI.pdf")</f>
        <v>0</v>
      </c>
    </row>
    <row r="1867" spans="1:28">
      <c r="A1867" t="s">
        <v>1893</v>
      </c>
      <c r="B1867">
        <v>0.999739202189716</v>
      </c>
      <c r="C1867">
        <v>0.890560697709052</v>
      </c>
      <c r="D1867">
        <v>0.705279351087597</v>
      </c>
      <c r="E1867">
        <v>0.598570235184831</v>
      </c>
      <c r="F1867">
        <v>0.606086579395533</v>
      </c>
      <c r="G1867">
        <v>0.450305053186622</v>
      </c>
      <c r="H1867">
        <v>0.453891488976008</v>
      </c>
      <c r="I1867">
        <v>0.415559844865304</v>
      </c>
      <c r="J1867">
        <v>0.398057861233208</v>
      </c>
      <c r="K1867">
        <v>0.305232952038429</v>
      </c>
      <c r="L1867">
        <v>425.542300144968</v>
      </c>
      <c r="M1867">
        <v>9.292890035881991</v>
      </c>
      <c r="N1867">
        <v>52.0243844508427</v>
      </c>
      <c r="O1867">
        <v>43.8216601172698</v>
      </c>
      <c r="P1867">
        <v>-0.0352381297089691</v>
      </c>
      <c r="Q1867">
        <v>0.335750247696726</v>
      </c>
      <c r="R1867">
        <v>0.954463847580528</v>
      </c>
      <c r="S1867" t="s">
        <v>4060</v>
      </c>
      <c r="T1867" t="s">
        <v>4362</v>
      </c>
      <c r="U1867" t="s">
        <v>4362</v>
      </c>
      <c r="V1867" t="s">
        <v>4362</v>
      </c>
      <c r="W1867" t="s">
        <v>6224</v>
      </c>
      <c r="X1867">
        <v>8</v>
      </c>
      <c r="Y1867" t="s">
        <v>8388</v>
      </c>
      <c r="Z1867" t="s">
        <v>10555</v>
      </c>
      <c r="AA1867">
        <v>0.5651713203793401</v>
      </c>
      <c r="AB1867">
        <f>HYPERLINK("Melting_Curves/meltCurve_P69924_nrdB.pdf", "Melting_Curves/meltCurve_P69924_nrdB.pdf")</f>
        <v>0</v>
      </c>
    </row>
    <row r="1868" spans="1:28">
      <c r="A1868" t="s">
        <v>1894</v>
      </c>
      <c r="B1868">
        <v>0.999739202189716</v>
      </c>
      <c r="C1868">
        <v>0.9136789924377809</v>
      </c>
      <c r="D1868">
        <v>0.738286936419691</v>
      </c>
      <c r="E1868">
        <v>0.7047246408326781</v>
      </c>
      <c r="F1868">
        <v>0.476651103828066</v>
      </c>
      <c r="G1868">
        <v>0.346382770788893</v>
      </c>
      <c r="H1868">
        <v>0.282615986210333</v>
      </c>
      <c r="I1868">
        <v>0.246855786233833</v>
      </c>
      <c r="J1868">
        <v>0.254783373275102</v>
      </c>
      <c r="K1868">
        <v>0.237400431483004</v>
      </c>
      <c r="L1868">
        <v>525.52414159291</v>
      </c>
      <c r="M1868">
        <v>11.0716727167496</v>
      </c>
      <c r="N1868">
        <v>49.6816716148425</v>
      </c>
      <c r="O1868">
        <v>45.9960763521095</v>
      </c>
      <c r="P1868">
        <v>-0.0484669683839246</v>
      </c>
      <c r="Q1868">
        <v>0.194861660917269</v>
      </c>
      <c r="R1868">
        <v>0.985466060805393</v>
      </c>
      <c r="S1868" t="s">
        <v>4061</v>
      </c>
      <c r="T1868" t="s">
        <v>4362</v>
      </c>
      <c r="U1868" t="s">
        <v>4362</v>
      </c>
      <c r="V1868" t="s">
        <v>4362</v>
      </c>
      <c r="W1868" t="s">
        <v>6225</v>
      </c>
      <c r="X1868">
        <v>4</v>
      </c>
      <c r="Y1868" t="s">
        <v>8389</v>
      </c>
      <c r="Z1868" t="s">
        <v>10556</v>
      </c>
      <c r="AA1868">
        <v>0.5049102755434519</v>
      </c>
      <c r="AB1868">
        <f>HYPERLINK("Melting_Curves/meltCurve_P75682_yagE.pdf", "Melting_Curves/meltCurve_P75682_yagE.pdf")</f>
        <v>0</v>
      </c>
    </row>
    <row r="1869" spans="1:28">
      <c r="A1869" t="s">
        <v>1895</v>
      </c>
      <c r="B1869">
        <v>0.999739202189716</v>
      </c>
      <c r="C1869">
        <v>1.06264885606562</v>
      </c>
      <c r="D1869">
        <v>0.965286343576727</v>
      </c>
      <c r="E1869">
        <v>1.00513308152434</v>
      </c>
      <c r="F1869">
        <v>0.92786932205343</v>
      </c>
      <c r="G1869">
        <v>0.766107015477944</v>
      </c>
      <c r="H1869">
        <v>0.743413971283123</v>
      </c>
      <c r="I1869">
        <v>0.6421421656706759</v>
      </c>
      <c r="J1869">
        <v>0.497391854895531</v>
      </c>
      <c r="K1869">
        <v>0.1932682021556</v>
      </c>
      <c r="L1869">
        <v>719.836020776595</v>
      </c>
      <c r="M1869">
        <v>11.5286678344709</v>
      </c>
      <c r="N1869">
        <v>62.4387668892973</v>
      </c>
      <c r="O1869">
        <v>60.648791354383</v>
      </c>
      <c r="P1869">
        <v>-0.0475356321907862</v>
      </c>
      <c r="Q1869">
        <v>0</v>
      </c>
      <c r="R1869">
        <v>0.940225444019973</v>
      </c>
      <c r="S1869" t="s">
        <v>4062</v>
      </c>
      <c r="T1869" t="s">
        <v>4362</v>
      </c>
      <c r="U1869" t="s">
        <v>4362</v>
      </c>
      <c r="V1869" t="s">
        <v>4362</v>
      </c>
      <c r="W1869" t="s">
        <v>6226</v>
      </c>
      <c r="X1869">
        <v>17</v>
      </c>
      <c r="Y1869" t="s">
        <v>8390</v>
      </c>
      <c r="Z1869" t="s">
        <v>10557</v>
      </c>
      <c r="AA1869">
        <v>0.8042770333794124</v>
      </c>
      <c r="AB1869">
        <f>HYPERLINK("Melting_Curves/meltCurve_P75691_yahK.pdf", "Melting_Curves/meltCurve_P75691_yahK.pdf")</f>
        <v>0</v>
      </c>
    </row>
    <row r="1870" spans="1:28">
      <c r="A1870" t="s">
        <v>1896</v>
      </c>
      <c r="B1870">
        <v>0.999739202189716</v>
      </c>
      <c r="C1870">
        <v>0.844341348223468</v>
      </c>
      <c r="D1870">
        <v>1.23417443282657</v>
      </c>
      <c r="E1870">
        <v>0.947163343746765</v>
      </c>
      <c r="F1870">
        <v>2.08367440436102</v>
      </c>
      <c r="G1870">
        <v>1.22461034512879</v>
      </c>
      <c r="H1870">
        <v>1.89931504917249</v>
      </c>
      <c r="I1870">
        <v>1.86935304686993</v>
      </c>
      <c r="J1870">
        <v>1.89414961191751</v>
      </c>
      <c r="K1870">
        <v>1.18464516050773</v>
      </c>
      <c r="L1870">
        <v>12026.831235624</v>
      </c>
      <c r="M1870">
        <v>250</v>
      </c>
      <c r="O1870">
        <v>48.1042464836142</v>
      </c>
      <c r="P1870">
        <v>0.6496307993573039</v>
      </c>
      <c r="Q1870">
        <v>1.5</v>
      </c>
      <c r="R1870">
        <v>0.463818145229055</v>
      </c>
      <c r="S1870" t="s">
        <v>4063</v>
      </c>
      <c r="T1870" t="s">
        <v>4362</v>
      </c>
      <c r="U1870" t="s">
        <v>4362</v>
      </c>
      <c r="V1870" t="s">
        <v>4362</v>
      </c>
      <c r="W1870" t="s">
        <v>6227</v>
      </c>
      <c r="X1870">
        <v>2</v>
      </c>
      <c r="Y1870" t="s">
        <v>8391</v>
      </c>
      <c r="Z1870" t="s">
        <v>10558</v>
      </c>
      <c r="AA1870">
        <v>1.314835703821788</v>
      </c>
      <c r="AB1870">
        <f>HYPERLINK("Melting_Curves/meltCurve_P75694_yahO.pdf", "Melting_Curves/meltCurve_P75694_yahO.pdf")</f>
        <v>0</v>
      </c>
    </row>
    <row r="1871" spans="1:28">
      <c r="A1871" t="s">
        <v>1897</v>
      </c>
      <c r="B1871">
        <v>0.999739202189716</v>
      </c>
      <c r="C1871">
        <v>0.864276179400556</v>
      </c>
      <c r="D1871">
        <v>1.23448850417012</v>
      </c>
      <c r="E1871">
        <v>0.992385850792135</v>
      </c>
      <c r="F1871">
        <v>1.09939944179615</v>
      </c>
      <c r="G1871">
        <v>1.0931858715237</v>
      </c>
      <c r="H1871">
        <v>0.862800092513193</v>
      </c>
      <c r="I1871">
        <v>0.725560033623031</v>
      </c>
      <c r="J1871">
        <v>0.817996070168429</v>
      </c>
      <c r="K1871">
        <v>0.41158396762446</v>
      </c>
      <c r="L1871">
        <v>1118.28555010659</v>
      </c>
      <c r="M1871">
        <v>16.7624204730769</v>
      </c>
      <c r="N1871">
        <v>66.7138435796389</v>
      </c>
      <c r="O1871">
        <v>65.7860468345938</v>
      </c>
      <c r="P1871">
        <v>-0.0637046763864676</v>
      </c>
      <c r="Q1871">
        <v>0</v>
      </c>
      <c r="R1871">
        <v>0.708897382930666</v>
      </c>
      <c r="S1871" t="s">
        <v>4064</v>
      </c>
      <c r="T1871" t="s">
        <v>4362</v>
      </c>
      <c r="U1871" t="s">
        <v>4362</v>
      </c>
      <c r="V1871" t="s">
        <v>4362</v>
      </c>
      <c r="W1871" t="s">
        <v>6228</v>
      </c>
      <c r="X1871">
        <v>4</v>
      </c>
      <c r="Y1871" t="s">
        <v>8392</v>
      </c>
      <c r="Z1871" t="s">
        <v>10559</v>
      </c>
      <c r="AA1871">
        <v>0.9141482546621156</v>
      </c>
      <c r="AB1871">
        <f>HYPERLINK("Melting_Curves/meltCurve_P75713_allE.pdf", "Melting_Curves/meltCurve_P75713_allE.pdf")</f>
        <v>0</v>
      </c>
    </row>
    <row r="1872" spans="1:28">
      <c r="A1872" t="s">
        <v>1898</v>
      </c>
      <c r="B1872">
        <v>0.999739202189716</v>
      </c>
      <c r="C1872">
        <v>1.08057643044533</v>
      </c>
      <c r="D1872">
        <v>0.688907794052513</v>
      </c>
      <c r="E1872">
        <v>0.562894318342355</v>
      </c>
      <c r="F1872">
        <v>0.205665399638274</v>
      </c>
      <c r="G1872">
        <v>0.118736797512341</v>
      </c>
      <c r="H1872">
        <v>0.0954910164407299</v>
      </c>
      <c r="I1872">
        <v>0.0805160497859632</v>
      </c>
      <c r="J1872">
        <v>0.07540551938829861</v>
      </c>
      <c r="K1872">
        <v>0.0623706727933561</v>
      </c>
      <c r="L1872">
        <v>836.078230180797</v>
      </c>
      <c r="M1872">
        <v>18.1122102749671</v>
      </c>
      <c r="N1872">
        <v>46.5056813728206</v>
      </c>
      <c r="O1872">
        <v>45.609357988785</v>
      </c>
      <c r="P1872">
        <v>-0.09304825360895209</v>
      </c>
      <c r="Q1872">
        <v>0.0628053935615368</v>
      </c>
      <c r="R1872">
        <v>0.974456522879025</v>
      </c>
      <c r="S1872" t="s">
        <v>4065</v>
      </c>
      <c r="T1872" t="s">
        <v>4362</v>
      </c>
      <c r="U1872" t="s">
        <v>4362</v>
      </c>
      <c r="V1872" t="s">
        <v>4362</v>
      </c>
      <c r="W1872" t="s">
        <v>6229</v>
      </c>
      <c r="X1872">
        <v>5</v>
      </c>
      <c r="Y1872" t="s">
        <v>8393</v>
      </c>
      <c r="Z1872" t="s">
        <v>10560</v>
      </c>
      <c r="AA1872">
        <v>0.363934743860133</v>
      </c>
      <c r="AB1872">
        <f>HYPERLINK("Melting_Curves/meltCurve_P75728_ubiF.pdf", "Melting_Curves/meltCurve_P75728_ubiF.pdf")</f>
        <v>0</v>
      </c>
    </row>
    <row r="1873" spans="1:28">
      <c r="A1873" t="s">
        <v>1899</v>
      </c>
      <c r="B1873">
        <v>0.999739202189716</v>
      </c>
      <c r="C1873">
        <v>0.977959512926549</v>
      </c>
      <c r="D1873">
        <v>0.474807560249989</v>
      </c>
      <c r="E1873">
        <v>0.649582443173512</v>
      </c>
      <c r="F1873">
        <v>0.34371694814298</v>
      </c>
      <c r="G1873">
        <v>0.22627816595914</v>
      </c>
      <c r="H1873">
        <v>0.18382144495297</v>
      </c>
      <c r="I1873">
        <v>0.161535939709178</v>
      </c>
      <c r="J1873">
        <v>0.140026682264826</v>
      </c>
      <c r="K1873">
        <v>0.121388585302137</v>
      </c>
      <c r="L1873">
        <v>507.299062619717</v>
      </c>
      <c r="M1873">
        <v>11.0709574978054</v>
      </c>
      <c r="N1873">
        <v>46.7820210087767</v>
      </c>
      <c r="O1873">
        <v>44.403634783358</v>
      </c>
      <c r="P1873">
        <v>-0.0560190080200784</v>
      </c>
      <c r="Q1873">
        <v>0.101566724049068</v>
      </c>
      <c r="R1873">
        <v>0.910196332238589</v>
      </c>
      <c r="S1873" t="s">
        <v>4066</v>
      </c>
      <c r="T1873" t="s">
        <v>4362</v>
      </c>
      <c r="U1873" t="s">
        <v>4362</v>
      </c>
      <c r="V1873" t="s">
        <v>4362</v>
      </c>
      <c r="W1873" t="s">
        <v>6230</v>
      </c>
      <c r="X1873">
        <v>3</v>
      </c>
      <c r="Y1873" t="s">
        <v>8394</v>
      </c>
      <c r="Z1873" t="s">
        <v>10561</v>
      </c>
      <c r="AA1873">
        <v>0.4015870528502372</v>
      </c>
      <c r="AB1873">
        <f>HYPERLINK("Melting_Curves/meltCurve_P75736_ybfF.pdf", "Melting_Curves/meltCurve_P75736_ybfF.pdf")</f>
        <v>0</v>
      </c>
    </row>
    <row r="1874" spans="1:28">
      <c r="A1874" t="s">
        <v>1900</v>
      </c>
      <c r="B1874">
        <v>0.999739202189716</v>
      </c>
      <c r="C1874">
        <v>0.9262900148547</v>
      </c>
      <c r="D1874">
        <v>1.03003274756805</v>
      </c>
      <c r="E1874">
        <v>0.764656308614112</v>
      </c>
      <c r="F1874">
        <v>0.473586878471164</v>
      </c>
      <c r="G1874">
        <v>0.211654568349758</v>
      </c>
      <c r="H1874">
        <v>0.10580456799114</v>
      </c>
      <c r="I1874">
        <v>0.0894291642825132</v>
      </c>
      <c r="J1874">
        <v>0.0785993809738213</v>
      </c>
      <c r="K1874">
        <v>0.0567740390376026</v>
      </c>
      <c r="L1874">
        <v>1020.12352790826</v>
      </c>
      <c r="M1874">
        <v>20.6221975209306</v>
      </c>
      <c r="N1874">
        <v>49.7908652495821</v>
      </c>
      <c r="O1874">
        <v>49.0091476090617</v>
      </c>
      <c r="P1874">
        <v>-0.0986007746988314</v>
      </c>
      <c r="Q1874">
        <v>0.0627185943123843</v>
      </c>
      <c r="R1874">
        <v>0.9930813249132771</v>
      </c>
      <c r="S1874" t="s">
        <v>4067</v>
      </c>
      <c r="T1874" t="s">
        <v>4362</v>
      </c>
      <c r="U1874" t="s">
        <v>4362</v>
      </c>
      <c r="V1874" t="s">
        <v>4362</v>
      </c>
      <c r="W1874" t="s">
        <v>6231</v>
      </c>
      <c r="X1874">
        <v>8</v>
      </c>
      <c r="Y1874" t="s">
        <v>8395</v>
      </c>
      <c r="Z1874" t="s">
        <v>10562</v>
      </c>
      <c r="AA1874">
        <v>0.4639184248203492</v>
      </c>
      <c r="AB1874">
        <f>HYPERLINK("Melting_Curves/meltCurve_P75745_ybgK.pdf", "Melting_Curves/meltCurve_P75745_ybgK.pdf")</f>
        <v>0</v>
      </c>
    </row>
    <row r="1875" spans="1:28">
      <c r="A1875" t="s">
        <v>1901</v>
      </c>
      <c r="B1875">
        <v>0.999739202189716</v>
      </c>
      <c r="C1875">
        <v>0.999980126178835</v>
      </c>
      <c r="D1875">
        <v>0.801185015755177</v>
      </c>
      <c r="E1875">
        <v>0.845475596565148</v>
      </c>
      <c r="F1875">
        <v>0.945571557237439</v>
      </c>
      <c r="G1875">
        <v>0.607687410099769</v>
      </c>
      <c r="H1875">
        <v>0.505074469220284</v>
      </c>
      <c r="I1875">
        <v>0.364839194882343</v>
      </c>
      <c r="J1875">
        <v>0.32792241039764</v>
      </c>
      <c r="K1875">
        <v>0.242310046220974</v>
      </c>
      <c r="L1875">
        <v>488.285931102749</v>
      </c>
      <c r="M1875">
        <v>8.433187622401579</v>
      </c>
      <c r="N1875">
        <v>57.9005128105374</v>
      </c>
      <c r="O1875">
        <v>54.9196625188369</v>
      </c>
      <c r="P1875">
        <v>-0.0384243769563789</v>
      </c>
      <c r="Q1875">
        <v>0</v>
      </c>
      <c r="R1875">
        <v>0.929950263202417</v>
      </c>
      <c r="S1875" t="s">
        <v>4068</v>
      </c>
      <c r="T1875" t="s">
        <v>4362</v>
      </c>
      <c r="U1875" t="s">
        <v>4362</v>
      </c>
      <c r="V1875" t="s">
        <v>4362</v>
      </c>
      <c r="W1875" t="s">
        <v>6232</v>
      </c>
      <c r="X1875">
        <v>2</v>
      </c>
      <c r="Y1875" t="s">
        <v>8396</v>
      </c>
      <c r="Z1875" t="s">
        <v>10563</v>
      </c>
      <c r="AA1875">
        <v>0.6800029618675638</v>
      </c>
      <c r="AB1875">
        <f>HYPERLINK("Melting_Curves/meltCurve_P75746_ybgL.pdf", "Melting_Curves/meltCurve_P75746_ybgL.pdf")</f>
        <v>0</v>
      </c>
    </row>
    <row r="1876" spans="1:28">
      <c r="A1876" t="s">
        <v>1902</v>
      </c>
      <c r="B1876">
        <v>0.999739202189716</v>
      </c>
      <c r="C1876">
        <v>0.76344176529108</v>
      </c>
      <c r="D1876">
        <v>0.491886415117918</v>
      </c>
      <c r="E1876">
        <v>0.272825651221599</v>
      </c>
      <c r="F1876">
        <v>0.197606367494291</v>
      </c>
      <c r="G1876">
        <v>0.138048272937697</v>
      </c>
      <c r="H1876">
        <v>0.09770555098750799</v>
      </c>
      <c r="I1876">
        <v>0.07674606002109979</v>
      </c>
      <c r="J1876">
        <v>0.0735118477425817</v>
      </c>
      <c r="K1876">
        <v>0.0656232613883989</v>
      </c>
      <c r="L1876">
        <v>699.147625886825</v>
      </c>
      <c r="M1876">
        <v>16.3774794292767</v>
      </c>
      <c r="N1876">
        <v>43.1785619954471</v>
      </c>
      <c r="O1876">
        <v>42.0683273574806</v>
      </c>
      <c r="P1876">
        <v>-0.0890949137532815</v>
      </c>
      <c r="Q1876">
        <v>0.0846440571354885</v>
      </c>
      <c r="R1876">
        <v>0.9912730445225461</v>
      </c>
      <c r="S1876" t="s">
        <v>4069</v>
      </c>
      <c r="T1876" t="s">
        <v>4362</v>
      </c>
      <c r="U1876" t="s">
        <v>4362</v>
      </c>
      <c r="V1876" t="s">
        <v>4362</v>
      </c>
      <c r="W1876" t="s">
        <v>6233</v>
      </c>
      <c r="X1876">
        <v>7</v>
      </c>
      <c r="Y1876" t="s">
        <v>8397</v>
      </c>
      <c r="Z1876" t="s">
        <v>10564</v>
      </c>
      <c r="AA1876">
        <v>0.2787046474130442</v>
      </c>
      <c r="AB1876">
        <f>HYPERLINK("Melting_Curves/meltCurve_P75767_ybhK.pdf", "Melting_Curves/meltCurve_P75767_ybhK.pdf")</f>
        <v>0</v>
      </c>
    </row>
    <row r="1877" spans="1:28">
      <c r="A1877" t="s">
        <v>1903</v>
      </c>
      <c r="B1877">
        <v>0.999739202189716</v>
      </c>
      <c r="C1877">
        <v>0.795489469523409</v>
      </c>
      <c r="D1877">
        <v>0.600130607912165</v>
      </c>
      <c r="E1877">
        <v>0.332808562243806</v>
      </c>
      <c r="F1877">
        <v>0.136203844310168</v>
      </c>
      <c r="G1877">
        <v>0.0861182024663816</v>
      </c>
      <c r="H1877">
        <v>0.07199239027249001</v>
      </c>
      <c r="I1877">
        <v>0.0595777659605941</v>
      </c>
      <c r="J1877">
        <v>0.0517589908640767</v>
      </c>
      <c r="K1877">
        <v>0.0482097273922993</v>
      </c>
      <c r="L1877">
        <v>690.419662613076</v>
      </c>
      <c r="M1877">
        <v>15.7505258227691</v>
      </c>
      <c r="N1877">
        <v>44.0897540168687</v>
      </c>
      <c r="O1877">
        <v>43.1463500176212</v>
      </c>
      <c r="P1877">
        <v>-0.0872957056235749</v>
      </c>
      <c r="Q1877">
        <v>0.0435427006745081</v>
      </c>
      <c r="R1877">
        <v>0.995743457007356</v>
      </c>
      <c r="S1877" t="s">
        <v>4070</v>
      </c>
      <c r="T1877" t="s">
        <v>4362</v>
      </c>
      <c r="U1877" t="s">
        <v>4362</v>
      </c>
      <c r="V1877" t="s">
        <v>4362</v>
      </c>
      <c r="W1877" t="s">
        <v>6234</v>
      </c>
      <c r="X1877">
        <v>6</v>
      </c>
      <c r="Y1877" t="s">
        <v>8398</v>
      </c>
      <c r="Z1877" t="s">
        <v>10565</v>
      </c>
      <c r="AA1877">
        <v>0.2830710867797758</v>
      </c>
      <c r="AB1877">
        <f>HYPERLINK("Melting_Curves/meltCurve_P75777_ybhG.pdf", "Melting_Curves/meltCurve_P75777_ybhG.pdf")</f>
        <v>0</v>
      </c>
    </row>
    <row r="1878" spans="1:28">
      <c r="A1878" t="s">
        <v>1904</v>
      </c>
      <c r="B1878">
        <v>0.999739202189716</v>
      </c>
      <c r="C1878">
        <v>0.865462598120231</v>
      </c>
      <c r="D1878">
        <v>0.862869036895669</v>
      </c>
      <c r="E1878">
        <v>0.635376825459767</v>
      </c>
      <c r="F1878">
        <v>0.562818663676323</v>
      </c>
      <c r="G1878">
        <v>0.494186268180109</v>
      </c>
      <c r="H1878">
        <v>0.382281637625735</v>
      </c>
      <c r="I1878">
        <v>0.316005386430831</v>
      </c>
      <c r="J1878">
        <v>0.292616803622929</v>
      </c>
      <c r="K1878">
        <v>0.234381158308712</v>
      </c>
      <c r="L1878">
        <v>397.093959674614</v>
      </c>
      <c r="M1878">
        <v>7.96104607497466</v>
      </c>
      <c r="N1878">
        <v>52.3806176382943</v>
      </c>
      <c r="O1878">
        <v>47.0271518988364</v>
      </c>
      <c r="P1878">
        <v>-0.0356712055641513</v>
      </c>
      <c r="Q1878">
        <v>0.158107858778941</v>
      </c>
      <c r="R1878">
        <v>0.983295155290702</v>
      </c>
      <c r="S1878" t="s">
        <v>4071</v>
      </c>
      <c r="T1878" t="s">
        <v>4362</v>
      </c>
      <c r="U1878" t="s">
        <v>4362</v>
      </c>
      <c r="V1878" t="s">
        <v>4362</v>
      </c>
      <c r="W1878" t="s">
        <v>6235</v>
      </c>
      <c r="X1878">
        <v>1</v>
      </c>
      <c r="Y1878" t="s">
        <v>8399</v>
      </c>
      <c r="Z1878" t="s">
        <v>10566</v>
      </c>
      <c r="AA1878">
        <v>0.554559642226352</v>
      </c>
      <c r="AB1878">
        <f>HYPERLINK("Melting_Curves/meltCurve_P75779_ybiX.pdf", "Melting_Curves/meltCurve_P75779_ybiX.pdf")</f>
        <v>0</v>
      </c>
    </row>
    <row r="1879" spans="1:28">
      <c r="A1879" t="s">
        <v>1905</v>
      </c>
      <c r="B1879">
        <v>0.999739202189716</v>
      </c>
      <c r="C1879">
        <v>0.859857522563912</v>
      </c>
      <c r="D1879">
        <v>0.559188346335515</v>
      </c>
      <c r="E1879">
        <v>0.209972710367368</v>
      </c>
      <c r="F1879">
        <v>0.160650519532857</v>
      </c>
      <c r="G1879">
        <v>0.100430474969638</v>
      </c>
      <c r="H1879">
        <v>0.0897609760720717</v>
      </c>
      <c r="I1879">
        <v>0.0712261395156608</v>
      </c>
      <c r="J1879">
        <v>0.0603757084574463</v>
      </c>
      <c r="K1879">
        <v>0.050745704939276</v>
      </c>
      <c r="L1879">
        <v>928.882437141584</v>
      </c>
      <c r="M1879">
        <v>21.5234731674039</v>
      </c>
      <c r="N1879">
        <v>43.4861366873238</v>
      </c>
      <c r="O1879">
        <v>42.7893639441527</v>
      </c>
      <c r="P1879">
        <v>-0.11629617325825</v>
      </c>
      <c r="Q1879">
        <v>0.0752203822282082</v>
      </c>
      <c r="R1879">
        <v>0.996465153059744</v>
      </c>
      <c r="S1879" t="s">
        <v>4072</v>
      </c>
      <c r="T1879" t="s">
        <v>4362</v>
      </c>
      <c r="U1879" t="s">
        <v>4362</v>
      </c>
      <c r="V1879" t="s">
        <v>4362</v>
      </c>
      <c r="W1879" t="s">
        <v>6236</v>
      </c>
      <c r="X1879">
        <v>3</v>
      </c>
      <c r="Y1879" t="s">
        <v>8400</v>
      </c>
      <c r="Z1879" t="s">
        <v>10567</v>
      </c>
      <c r="AA1879">
        <v>0.2758326046112389</v>
      </c>
      <c r="AB1879">
        <f>HYPERLINK("Melting_Curves/meltCurve_P75782_rlmF.pdf", "Melting_Curves/meltCurve_P75782_rlmF.pdf")</f>
        <v>0</v>
      </c>
    </row>
    <row r="1880" spans="1:28">
      <c r="A1880" t="s">
        <v>1906</v>
      </c>
      <c r="B1880">
        <v>0.999739202189716</v>
      </c>
      <c r="C1880">
        <v>0.889918763058579</v>
      </c>
      <c r="D1880">
        <v>0.738919377963083</v>
      </c>
      <c r="E1880">
        <v>0.467665693956163</v>
      </c>
      <c r="F1880">
        <v>0.311369965928734</v>
      </c>
      <c r="G1880">
        <v>0.154650458135072</v>
      </c>
      <c r="H1880">
        <v>0.114363307063104</v>
      </c>
      <c r="I1880">
        <v>0.08826847557666589</v>
      </c>
      <c r="J1880">
        <v>0.0948374370269196</v>
      </c>
      <c r="K1880">
        <v>0.07128578809194</v>
      </c>
      <c r="L1880">
        <v>642.2909420030099</v>
      </c>
      <c r="M1880">
        <v>13.9932017743712</v>
      </c>
      <c r="N1880">
        <v>46.3593221636437</v>
      </c>
      <c r="O1880">
        <v>44.9932885808803</v>
      </c>
      <c r="P1880">
        <v>-0.0727305249422289</v>
      </c>
      <c r="Q1880">
        <v>0.0647025521666368</v>
      </c>
      <c r="R1880">
        <v>0.997717023873913</v>
      </c>
      <c r="S1880" t="s">
        <v>4073</v>
      </c>
      <c r="T1880" t="s">
        <v>4362</v>
      </c>
      <c r="U1880" t="s">
        <v>4362</v>
      </c>
      <c r="V1880" t="s">
        <v>4362</v>
      </c>
      <c r="W1880" t="s">
        <v>6237</v>
      </c>
      <c r="X1880">
        <v>3</v>
      </c>
      <c r="Y1880" t="s">
        <v>8401</v>
      </c>
      <c r="Z1880" t="s">
        <v>10568</v>
      </c>
      <c r="AA1880">
        <v>0.3668262194232204</v>
      </c>
      <c r="AB1880">
        <f>HYPERLINK("Melting_Curves/meltCurve_P75785_opgE.pdf", "Melting_Curves/meltCurve_P75785_opgE.pdf")</f>
        <v>0</v>
      </c>
    </row>
    <row r="1881" spans="1:28">
      <c r="A1881" t="s">
        <v>1907</v>
      </c>
      <c r="B1881">
        <v>0.999739202189716</v>
      </c>
      <c r="C1881">
        <v>0.78457224919837</v>
      </c>
      <c r="D1881">
        <v>0.59799543560966</v>
      </c>
      <c r="E1881">
        <v>0.472525095163324</v>
      </c>
      <c r="F1881">
        <v>0.402970472882594</v>
      </c>
      <c r="G1881">
        <v>0.269017734685684</v>
      </c>
      <c r="H1881">
        <v>0.217948715437606</v>
      </c>
      <c r="I1881">
        <v>0.167107117753384</v>
      </c>
      <c r="J1881">
        <v>0.17147642501772</v>
      </c>
      <c r="K1881">
        <v>0.141858947586901</v>
      </c>
      <c r="L1881">
        <v>453.121055454456</v>
      </c>
      <c r="M1881">
        <v>10.1157794853037</v>
      </c>
      <c r="N1881">
        <v>46.147959886358</v>
      </c>
      <c r="O1881">
        <v>43.1486787687375</v>
      </c>
      <c r="P1881">
        <v>-0.0511058882284884</v>
      </c>
      <c r="Q1881">
        <v>0.128440660355179</v>
      </c>
      <c r="R1881">
        <v>0.979453637538893</v>
      </c>
      <c r="S1881" t="s">
        <v>4074</v>
      </c>
      <c r="T1881" t="s">
        <v>4362</v>
      </c>
      <c r="U1881" t="s">
        <v>4362</v>
      </c>
      <c r="V1881" t="s">
        <v>4362</v>
      </c>
      <c r="W1881" t="s">
        <v>6238</v>
      </c>
      <c r="X1881">
        <v>3</v>
      </c>
      <c r="Y1881" t="s">
        <v>8402</v>
      </c>
      <c r="Z1881" t="s">
        <v>10569</v>
      </c>
      <c r="AA1881">
        <v>0.3979013262581204</v>
      </c>
      <c r="AB1881">
        <f>HYPERLINK("Melting_Curves/meltCurve_P75791_ybiU.pdf", "Melting_Curves/meltCurve_P75791_ybiU.pdf")</f>
        <v>0</v>
      </c>
    </row>
    <row r="1882" spans="1:28">
      <c r="A1882" t="s">
        <v>1908</v>
      </c>
      <c r="B1882">
        <v>0.999739202189716</v>
      </c>
      <c r="C1882">
        <v>0.9188553408333761</v>
      </c>
      <c r="D1882">
        <v>0.724905930068363</v>
      </c>
      <c r="E1882">
        <v>0.539593192314951</v>
      </c>
      <c r="F1882">
        <v>0.164089103560799</v>
      </c>
      <c r="G1882">
        <v>0.0826099592406334</v>
      </c>
      <c r="H1882">
        <v>0.0576069608251818</v>
      </c>
      <c r="I1882">
        <v>0.0390731713434047</v>
      </c>
      <c r="J1882">
        <v>0.0326982783057142</v>
      </c>
      <c r="K1882">
        <v>0.0237382779867838</v>
      </c>
      <c r="L1882">
        <v>756.276451399212</v>
      </c>
      <c r="M1882">
        <v>16.3956156925476</v>
      </c>
      <c r="N1882">
        <v>46.1997256188139</v>
      </c>
      <c r="O1882">
        <v>45.4569386637179</v>
      </c>
      <c r="P1882">
        <v>-0.089024848003585</v>
      </c>
      <c r="Q1882">
        <v>0.0127829096807213</v>
      </c>
      <c r="R1882">
        <v>0.991877393487244</v>
      </c>
      <c r="S1882" t="s">
        <v>4075</v>
      </c>
      <c r="T1882" t="s">
        <v>4362</v>
      </c>
      <c r="U1882" t="s">
        <v>4362</v>
      </c>
      <c r="V1882" t="s">
        <v>4362</v>
      </c>
      <c r="W1882" t="s">
        <v>6239</v>
      </c>
      <c r="X1882">
        <v>3</v>
      </c>
      <c r="Y1882" t="s">
        <v>8403</v>
      </c>
      <c r="Z1882" t="s">
        <v>10570</v>
      </c>
      <c r="AA1882">
        <v>0.3322617959016126</v>
      </c>
      <c r="AB1882">
        <f>HYPERLINK("Melting_Curves/meltCurve_P75792_ybiV.pdf", "Melting_Curves/meltCurve_P75792_ybiV.pdf")</f>
        <v>0</v>
      </c>
    </row>
    <row r="1883" spans="1:28">
      <c r="A1883" t="s">
        <v>1909</v>
      </c>
      <c r="B1883">
        <v>0.999739202189716</v>
      </c>
      <c r="C1883">
        <v>0.942794073762028</v>
      </c>
      <c r="D1883">
        <v>0.9928019665523961</v>
      </c>
      <c r="E1883">
        <v>0.982999980620875</v>
      </c>
      <c r="F1883">
        <v>0.985569751302326</v>
      </c>
      <c r="G1883">
        <v>0.892302162049722</v>
      </c>
      <c r="H1883">
        <v>0.596756446445879</v>
      </c>
      <c r="I1883">
        <v>0.104536284020208</v>
      </c>
      <c r="J1883">
        <v>0.0607355329487805</v>
      </c>
      <c r="K1883">
        <v>0.0540110360750549</v>
      </c>
      <c r="L1883">
        <v>2217.05517718097</v>
      </c>
      <c r="M1883">
        <v>38.3971305286058</v>
      </c>
      <c r="N1883">
        <v>57.8395765246593</v>
      </c>
      <c r="O1883">
        <v>57.584157972127</v>
      </c>
      <c r="P1883">
        <v>-0.161376411559893</v>
      </c>
      <c r="Q1883">
        <v>0.0319375238766145</v>
      </c>
      <c r="R1883">
        <v>0.994419409223674</v>
      </c>
      <c r="S1883" t="s">
        <v>4076</v>
      </c>
      <c r="T1883" t="s">
        <v>4362</v>
      </c>
      <c r="U1883" t="s">
        <v>4362</v>
      </c>
      <c r="V1883" t="s">
        <v>4362</v>
      </c>
      <c r="W1883" t="s">
        <v>6240</v>
      </c>
      <c r="X1883">
        <v>14</v>
      </c>
      <c r="Y1883" t="s">
        <v>8404</v>
      </c>
      <c r="Z1883" t="s">
        <v>10571</v>
      </c>
      <c r="AA1883">
        <v>0.70504815256834</v>
      </c>
      <c r="AB1883">
        <f>HYPERLINK("Melting_Curves/meltCurve_P75797_gsiB.pdf", "Melting_Curves/meltCurve_P75797_gsiB.pdf")</f>
        <v>0</v>
      </c>
    </row>
    <row r="1884" spans="1:28">
      <c r="A1884" t="s">
        <v>1910</v>
      </c>
      <c r="B1884">
        <v>0.999739202189716</v>
      </c>
      <c r="C1884">
        <v>1.00805294076869</v>
      </c>
      <c r="D1884">
        <v>0.739003644709832</v>
      </c>
      <c r="E1884">
        <v>0.711771937569272</v>
      </c>
      <c r="F1884">
        <v>0.553911108239282</v>
      </c>
      <c r="G1884">
        <v>0.460540080152955</v>
      </c>
      <c r="H1884">
        <v>0.423915558181739</v>
      </c>
      <c r="I1884">
        <v>0.343841520106069</v>
      </c>
      <c r="J1884">
        <v>0.302656113750714</v>
      </c>
      <c r="K1884">
        <v>0.252960308369691</v>
      </c>
      <c r="L1884">
        <v>455.565730922494</v>
      </c>
      <c r="M1884">
        <v>9.319345728518799</v>
      </c>
      <c r="N1884">
        <v>52.3039499094823</v>
      </c>
      <c r="O1884">
        <v>46.7913174849867</v>
      </c>
      <c r="P1884">
        <v>-0.0384561427818113</v>
      </c>
      <c r="Q1884">
        <v>0.228156389003668</v>
      </c>
      <c r="R1884">
        <v>0.968302768573498</v>
      </c>
      <c r="S1884" t="s">
        <v>4077</v>
      </c>
      <c r="T1884" t="s">
        <v>4362</v>
      </c>
      <c r="U1884" t="s">
        <v>4362</v>
      </c>
      <c r="V1884" t="s">
        <v>4362</v>
      </c>
      <c r="W1884" t="s">
        <v>6241</v>
      </c>
      <c r="X1884">
        <v>2</v>
      </c>
      <c r="Y1884" t="s">
        <v>8405</v>
      </c>
      <c r="Z1884" t="s">
        <v>10572</v>
      </c>
      <c r="AA1884">
        <v>0.5651700382244772</v>
      </c>
      <c r="AB1884">
        <f>HYPERLINK("Melting_Curves/meltCurve_P75798_gsiC.pdf", "Melting_Curves/meltCurve_P75798_gsiC.pdf")</f>
        <v>0</v>
      </c>
    </row>
    <row r="1885" spans="1:28">
      <c r="A1885" t="s">
        <v>1911</v>
      </c>
      <c r="B1885">
        <v>0.999739202189716</v>
      </c>
      <c r="C1885">
        <v>1.19076685147936</v>
      </c>
      <c r="D1885">
        <v>0.798239975155385</v>
      </c>
      <c r="E1885">
        <v>1.02532263702385</v>
      </c>
      <c r="F1885">
        <v>0.948717906200694</v>
      </c>
      <c r="G1885">
        <v>0.72895112224082</v>
      </c>
      <c r="H1885">
        <v>0.746898652719623</v>
      </c>
      <c r="I1885">
        <v>0.641043102601708</v>
      </c>
      <c r="J1885">
        <v>0.653003447730643</v>
      </c>
      <c r="K1885">
        <v>0.594444474430875</v>
      </c>
      <c r="L1885">
        <v>1103.60570638091</v>
      </c>
      <c r="M1885">
        <v>20.7562709055808</v>
      </c>
      <c r="O1885">
        <v>52.6836035936947</v>
      </c>
      <c r="P1885">
        <v>-0.0370968736105083</v>
      </c>
      <c r="Q1885">
        <v>0.623373237040228</v>
      </c>
      <c r="R1885">
        <v>0.750906581850418</v>
      </c>
      <c r="S1885" t="s">
        <v>4078</v>
      </c>
      <c r="T1885" t="s">
        <v>4362</v>
      </c>
      <c r="U1885" t="s">
        <v>4362</v>
      </c>
      <c r="V1885" t="s">
        <v>4362</v>
      </c>
      <c r="W1885" t="s">
        <v>6242</v>
      </c>
      <c r="X1885">
        <v>7</v>
      </c>
      <c r="Y1885" t="s">
        <v>8406</v>
      </c>
      <c r="Z1885" t="s">
        <v>10573</v>
      </c>
      <c r="AA1885">
        <v>0.8308429220610475</v>
      </c>
      <c r="AB1885">
        <f>HYPERLINK("Melting_Curves/meltCurve_P75818_ybjP.pdf", "Melting_Curves/meltCurve_P75818_ybjP.pdf")</f>
        <v>0</v>
      </c>
    </row>
    <row r="1886" spans="1:28">
      <c r="A1886" t="s">
        <v>1912</v>
      </c>
      <c r="B1886">
        <v>0.999739202189716</v>
      </c>
      <c r="C1886">
        <v>0.716036084370279</v>
      </c>
      <c r="D1886">
        <v>0.429155554662444</v>
      </c>
      <c r="E1886">
        <v>0.357758735668056</v>
      </c>
      <c r="F1886">
        <v>0.255263770691133</v>
      </c>
      <c r="G1886">
        <v>0.175391867991751</v>
      </c>
      <c r="H1886">
        <v>0.139628805548648</v>
      </c>
      <c r="I1886">
        <v>0.113537016456367</v>
      </c>
      <c r="J1886">
        <v>0.101147499728756</v>
      </c>
      <c r="K1886">
        <v>0.0867294947191036</v>
      </c>
      <c r="L1886">
        <v>598.449359716556</v>
      </c>
      <c r="M1886">
        <v>14.1388702969864</v>
      </c>
      <c r="N1886">
        <v>43.1309278090033</v>
      </c>
      <c r="O1886">
        <v>41.5068127239662</v>
      </c>
      <c r="P1886">
        <v>-0.075299933772317</v>
      </c>
      <c r="Q1886">
        <v>0.115894754683155</v>
      </c>
      <c r="R1886">
        <v>0.97010521439463</v>
      </c>
      <c r="S1886" t="s">
        <v>4079</v>
      </c>
      <c r="T1886" t="s">
        <v>4362</v>
      </c>
      <c r="U1886" t="s">
        <v>4362</v>
      </c>
      <c r="V1886" t="s">
        <v>4362</v>
      </c>
      <c r="W1886" t="s">
        <v>6243</v>
      </c>
      <c r="X1886">
        <v>7</v>
      </c>
      <c r="Y1886" t="s">
        <v>8407</v>
      </c>
      <c r="Z1886" t="s">
        <v>10574</v>
      </c>
      <c r="AA1886">
        <v>0.3008639314919974</v>
      </c>
      <c r="AB1886">
        <f>HYPERLINK("Melting_Curves/meltCurve_P75823_ltaE.pdf", "Melting_Curves/meltCurve_P75823_ltaE.pdf")</f>
        <v>0</v>
      </c>
    </row>
    <row r="1887" spans="1:28">
      <c r="A1887" t="s">
        <v>1913</v>
      </c>
      <c r="B1887">
        <v>0.999739202189716</v>
      </c>
      <c r="C1887">
        <v>0.745466270339572</v>
      </c>
      <c r="D1887">
        <v>0.488183170361272</v>
      </c>
      <c r="E1887">
        <v>0.288291292272043</v>
      </c>
      <c r="F1887">
        <v>0.184695578437722</v>
      </c>
      <c r="G1887">
        <v>0.116077791594503</v>
      </c>
      <c r="H1887">
        <v>0.0836111876925734</v>
      </c>
      <c r="I1887">
        <v>0.0549229882022081</v>
      </c>
      <c r="J1887">
        <v>0.0568844515224747</v>
      </c>
      <c r="K1887">
        <v>0.0545026877900947</v>
      </c>
      <c r="L1887">
        <v>653.123284101171</v>
      </c>
      <c r="M1887">
        <v>15.2510197568699</v>
      </c>
      <c r="N1887">
        <v>43.2039393463961</v>
      </c>
      <c r="O1887">
        <v>42.1088755860939</v>
      </c>
      <c r="P1887">
        <v>-0.0848833666074735</v>
      </c>
      <c r="Q1887">
        <v>0.06261931489717421</v>
      </c>
      <c r="R1887">
        <v>0.990564526542564</v>
      </c>
      <c r="S1887" t="s">
        <v>4080</v>
      </c>
      <c r="T1887" t="s">
        <v>4362</v>
      </c>
      <c r="U1887" t="s">
        <v>4362</v>
      </c>
      <c r="V1887" t="s">
        <v>4362</v>
      </c>
      <c r="W1887" t="s">
        <v>6244</v>
      </c>
      <c r="X1887">
        <v>5</v>
      </c>
      <c r="Y1887" t="s">
        <v>8408</v>
      </c>
      <c r="Z1887" t="s">
        <v>10575</v>
      </c>
      <c r="AA1887">
        <v>0.2688460677700502</v>
      </c>
      <c r="AB1887">
        <f>HYPERLINK("Melting_Curves/meltCurve_P75838_ycaO.pdf", "Melting_Curves/meltCurve_P75838_ycaO.pdf")</f>
        <v>0</v>
      </c>
    </row>
    <row r="1888" spans="1:28">
      <c r="A1888" t="s">
        <v>1914</v>
      </c>
      <c r="B1888">
        <v>0.999739202189716</v>
      </c>
      <c r="C1888">
        <v>0.878236967983469</v>
      </c>
      <c r="D1888">
        <v>0.612924213948321</v>
      </c>
      <c r="E1888">
        <v>0.5600713820062631</v>
      </c>
      <c r="F1888">
        <v>0.349664611293063</v>
      </c>
      <c r="G1888">
        <v>0.259501818957885</v>
      </c>
      <c r="H1888">
        <v>0.191434020302425</v>
      </c>
      <c r="I1888">
        <v>0.134957762188203</v>
      </c>
      <c r="J1888">
        <v>0.134033295054084</v>
      </c>
      <c r="K1888">
        <v>0.125390239280622</v>
      </c>
      <c r="L1888">
        <v>494.873948961916</v>
      </c>
      <c r="M1888">
        <v>10.7787535112223</v>
      </c>
      <c r="N1888">
        <v>46.8169134365573</v>
      </c>
      <c r="O1888">
        <v>44.416386626904</v>
      </c>
      <c r="P1888">
        <v>-0.0549837827618009</v>
      </c>
      <c r="Q1888">
        <v>0.0940361316245992</v>
      </c>
      <c r="R1888">
        <v>0.982810995178278</v>
      </c>
      <c r="S1888" t="s">
        <v>4081</v>
      </c>
      <c r="T1888" t="s">
        <v>4362</v>
      </c>
      <c r="U1888" t="s">
        <v>4362</v>
      </c>
      <c r="V1888" t="s">
        <v>4362</v>
      </c>
      <c r="W1888" t="s">
        <v>6245</v>
      </c>
      <c r="X1888">
        <v>3</v>
      </c>
      <c r="Y1888" t="s">
        <v>8409</v>
      </c>
      <c r="Z1888" t="s">
        <v>10576</v>
      </c>
      <c r="AA1888">
        <v>0.4006680558586617</v>
      </c>
      <c r="AB1888">
        <f>HYPERLINK("Melting_Curves/meltCurve_P75839_ycaP.pdf", "Melting_Curves/meltCurve_P75839_ycaP.pdf")</f>
        <v>0</v>
      </c>
    </row>
    <row r="1889" spans="1:28">
      <c r="A1889" t="s">
        <v>1915</v>
      </c>
      <c r="B1889">
        <v>0.999739202189716</v>
      </c>
      <c r="C1889">
        <v>1.01788457934341</v>
      </c>
      <c r="D1889">
        <v>0.6478962254007889</v>
      </c>
      <c r="E1889">
        <v>0.909613347241511</v>
      </c>
      <c r="F1889">
        <v>1.10462190612423</v>
      </c>
      <c r="G1889">
        <v>0.738726096300384</v>
      </c>
      <c r="H1889">
        <v>0.874198530318991</v>
      </c>
      <c r="I1889">
        <v>0.946092084320089</v>
      </c>
      <c r="J1889">
        <v>1.17234439347029</v>
      </c>
      <c r="K1889">
        <v>0.742905010484847</v>
      </c>
      <c r="L1889">
        <v>10294.3281931713</v>
      </c>
      <c r="M1889">
        <v>250</v>
      </c>
      <c r="O1889">
        <v>41.1746770997696</v>
      </c>
      <c r="P1889">
        <v>-0.163858488324085</v>
      </c>
      <c r="Q1889">
        <v>0.892050873009502</v>
      </c>
      <c r="R1889">
        <v>0.0850434240557804</v>
      </c>
      <c r="S1889" t="s">
        <v>4082</v>
      </c>
      <c r="T1889" t="s">
        <v>4362</v>
      </c>
      <c r="U1889" t="s">
        <v>4362</v>
      </c>
      <c r="V1889" t="s">
        <v>4362</v>
      </c>
      <c r="W1889" t="s">
        <v>6246</v>
      </c>
      <c r="X1889">
        <v>1</v>
      </c>
      <c r="Y1889" t="s">
        <v>8410</v>
      </c>
      <c r="Z1889" t="s">
        <v>10577</v>
      </c>
      <c r="AA1889">
        <v>0.9070899162443753</v>
      </c>
      <c r="AB1889">
        <f>HYPERLINK("Melting_Curves/meltCurve_P75849_gloC.pdf", "Melting_Curves/meltCurve_P75849_gloC.pdf")</f>
        <v>0</v>
      </c>
    </row>
    <row r="1890" spans="1:28">
      <c r="A1890" t="s">
        <v>1916</v>
      </c>
      <c r="B1890">
        <v>0.999739202189716</v>
      </c>
      <c r="C1890">
        <v>1.32560407766287</v>
      </c>
      <c r="D1890">
        <v>1.0026537702693</v>
      </c>
      <c r="E1890">
        <v>0.659579961675033</v>
      </c>
      <c r="F1890">
        <v>0.479163828313986</v>
      </c>
      <c r="G1890">
        <v>0.408674545865883</v>
      </c>
      <c r="H1890">
        <v>0.134729267757224</v>
      </c>
      <c r="I1890">
        <v>0.07590774716534671</v>
      </c>
      <c r="J1890">
        <v>0.0545763905695891</v>
      </c>
      <c r="K1890">
        <v>0.0551193271963796</v>
      </c>
      <c r="L1890">
        <v>766.29896788196</v>
      </c>
      <c r="M1890">
        <v>15.2644940808083</v>
      </c>
      <c r="N1890">
        <v>50.4390327278764</v>
      </c>
      <c r="O1890">
        <v>49.3634431101161</v>
      </c>
      <c r="P1890">
        <v>-0.0746312403856521</v>
      </c>
      <c r="Q1890">
        <v>0.0346987019290437</v>
      </c>
      <c r="R1890">
        <v>0.920449502702487</v>
      </c>
      <c r="S1890" t="s">
        <v>4083</v>
      </c>
      <c r="T1890" t="s">
        <v>4362</v>
      </c>
      <c r="U1890" t="s">
        <v>4362</v>
      </c>
      <c r="V1890" t="s">
        <v>4362</v>
      </c>
      <c r="W1890" t="s">
        <v>6247</v>
      </c>
      <c r="X1890">
        <v>1</v>
      </c>
      <c r="Y1890" t="s">
        <v>8411</v>
      </c>
      <c r="Z1890" t="s">
        <v>10578</v>
      </c>
      <c r="AA1890">
        <v>0.4790235091593716</v>
      </c>
      <c r="AB1890">
        <f>HYPERLINK("Melting_Curves/meltCurve_P75853_ssuA.pdf", "Melting_Curves/meltCurve_P75853_ssuA.pdf")</f>
        <v>0</v>
      </c>
    </row>
    <row r="1891" spans="1:28">
      <c r="A1891" t="s">
        <v>1917</v>
      </c>
      <c r="B1891">
        <v>0.999739202189716</v>
      </c>
      <c r="C1891">
        <v>0.953327343496422</v>
      </c>
      <c r="D1891">
        <v>0.778423764569135</v>
      </c>
      <c r="E1891">
        <v>0.703163763625711</v>
      </c>
      <c r="F1891">
        <v>0.806874571406598</v>
      </c>
      <c r="G1891">
        <v>0.655813211185248</v>
      </c>
      <c r="H1891">
        <v>0.535656618548229</v>
      </c>
      <c r="I1891">
        <v>0.495888121315709</v>
      </c>
      <c r="J1891">
        <v>0.62917510754493</v>
      </c>
      <c r="K1891">
        <v>0.422502903375551</v>
      </c>
      <c r="L1891">
        <v>318.61765760564</v>
      </c>
      <c r="M1891">
        <v>6.22285957786572</v>
      </c>
      <c r="N1891">
        <v>65.4028132945862</v>
      </c>
      <c r="O1891">
        <v>46.6736693929172</v>
      </c>
      <c r="P1891">
        <v>-0.0210406140660624</v>
      </c>
      <c r="Q1891">
        <v>0.370540427372475</v>
      </c>
      <c r="R1891">
        <v>0.847282736888797</v>
      </c>
      <c r="S1891" t="s">
        <v>4084</v>
      </c>
      <c r="T1891" t="s">
        <v>4362</v>
      </c>
      <c r="U1891" t="s">
        <v>4362</v>
      </c>
      <c r="V1891" t="s">
        <v>4362</v>
      </c>
      <c r="W1891" t="s">
        <v>6248</v>
      </c>
      <c r="X1891">
        <v>1</v>
      </c>
      <c r="Y1891" t="s">
        <v>8412</v>
      </c>
      <c r="Z1891" t="s">
        <v>10579</v>
      </c>
      <c r="AA1891">
        <v>0.6911719772696699</v>
      </c>
      <c r="AB1891">
        <f>HYPERLINK("Melting_Curves/meltCurve_P75862_zapC.pdf", "Melting_Curves/meltCurve_P75862_zapC.pdf")</f>
        <v>0</v>
      </c>
    </row>
    <row r="1892" spans="1:28">
      <c r="A1892" t="s">
        <v>1918</v>
      </c>
      <c r="B1892">
        <v>0.999739202189716</v>
      </c>
      <c r="C1892">
        <v>0.788592190195834</v>
      </c>
      <c r="D1892">
        <v>0.548781718641346</v>
      </c>
      <c r="E1892">
        <v>0.624700761077032</v>
      </c>
      <c r="F1892">
        <v>0.272311520084439</v>
      </c>
      <c r="G1892">
        <v>0.257385601262933</v>
      </c>
      <c r="H1892">
        <v>0.159398015386444</v>
      </c>
      <c r="I1892">
        <v>0.11995832224279</v>
      </c>
      <c r="J1892">
        <v>0.08739778577161619</v>
      </c>
      <c r="K1892">
        <v>0.154555325735721</v>
      </c>
      <c r="L1892">
        <v>447.37949813946</v>
      </c>
      <c r="M1892">
        <v>9.82676131586528</v>
      </c>
      <c r="N1892">
        <v>46.2093143140805</v>
      </c>
      <c r="O1892">
        <v>43.7614548144802</v>
      </c>
      <c r="P1892">
        <v>-0.0523725493928064</v>
      </c>
      <c r="Q1892">
        <v>0.0675634070084762</v>
      </c>
      <c r="R1892">
        <v>0.944704925647856</v>
      </c>
      <c r="S1892" t="s">
        <v>4085</v>
      </c>
      <c r="T1892" t="s">
        <v>4362</v>
      </c>
      <c r="U1892" t="s">
        <v>4362</v>
      </c>
      <c r="V1892" t="s">
        <v>4362</v>
      </c>
      <c r="W1892" t="s">
        <v>6249</v>
      </c>
      <c r="X1892">
        <v>6</v>
      </c>
      <c r="Y1892" t="s">
        <v>8413</v>
      </c>
      <c r="Z1892" t="s">
        <v>10580</v>
      </c>
      <c r="AA1892">
        <v>0.3783512690638129</v>
      </c>
      <c r="AB1892">
        <f>HYPERLINK("Melting_Curves/meltCurve_P75863_ycbX.pdf", "Melting_Curves/meltCurve_P75863_ycbX.pdf")</f>
        <v>0</v>
      </c>
    </row>
    <row r="1893" spans="1:28">
      <c r="A1893" t="s">
        <v>1919</v>
      </c>
      <c r="B1893">
        <v>0.999739202189716</v>
      </c>
      <c r="C1893">
        <v>0.99814341343219</v>
      </c>
      <c r="D1893">
        <v>0.408434231542985</v>
      </c>
      <c r="E1893">
        <v>0.15099760705258</v>
      </c>
      <c r="F1893">
        <v>0.126401815779429</v>
      </c>
      <c r="G1893">
        <v>0.0663946009115824</v>
      </c>
      <c r="H1893">
        <v>0.0584174558306485</v>
      </c>
      <c r="I1893">
        <v>0.0442744625557103</v>
      </c>
      <c r="J1893">
        <v>0.0480154829650868</v>
      </c>
      <c r="K1893">
        <v>0.0372907274426347</v>
      </c>
      <c r="L1893">
        <v>2237.99197569943</v>
      </c>
      <c r="M1893">
        <v>52.5881442868241</v>
      </c>
      <c r="N1893">
        <v>42.6869966027731</v>
      </c>
      <c r="O1893">
        <v>42.4955639910243</v>
      </c>
      <c r="P1893">
        <v>-0.286478238851168</v>
      </c>
      <c r="Q1893">
        <v>0.07400837033163631</v>
      </c>
      <c r="R1893">
        <v>0.991755852754536</v>
      </c>
      <c r="S1893" t="s">
        <v>4086</v>
      </c>
      <c r="T1893" t="s">
        <v>4362</v>
      </c>
      <c r="U1893" t="s">
        <v>4362</v>
      </c>
      <c r="V1893" t="s">
        <v>4362</v>
      </c>
      <c r="W1893" t="s">
        <v>6250</v>
      </c>
      <c r="X1893">
        <v>8</v>
      </c>
      <c r="Y1893" t="s">
        <v>8414</v>
      </c>
      <c r="Z1893" t="s">
        <v>10581</v>
      </c>
      <c r="AA1893">
        <v>0.2471092293408753</v>
      </c>
      <c r="AB1893">
        <f>HYPERLINK("Melting_Curves/meltCurve_P75864_rlmL.pdf", "Melting_Curves/meltCurve_P75864_rlmL.pdf")</f>
        <v>0</v>
      </c>
    </row>
    <row r="1894" spans="1:28">
      <c r="A1894" t="s">
        <v>1920</v>
      </c>
      <c r="B1894">
        <v>0.999739202189716</v>
      </c>
      <c r="C1894">
        <v>0.8088106710017819</v>
      </c>
      <c r="D1894">
        <v>0.431025680633056</v>
      </c>
      <c r="E1894">
        <v>0.36302783924941</v>
      </c>
      <c r="F1894">
        <v>0.274504199555531</v>
      </c>
      <c r="G1894">
        <v>0.187558213721809</v>
      </c>
      <c r="H1894">
        <v>0.152561018002581</v>
      </c>
      <c r="I1894">
        <v>0.119483287939754</v>
      </c>
      <c r="J1894">
        <v>0.10767115014035</v>
      </c>
      <c r="K1894">
        <v>0.09225567148235179</v>
      </c>
      <c r="L1894">
        <v>658.582460032444</v>
      </c>
      <c r="M1894">
        <v>15.4467429166219</v>
      </c>
      <c r="N1894">
        <v>43.4846168334009</v>
      </c>
      <c r="O1894">
        <v>41.9402898177696</v>
      </c>
      <c r="P1894">
        <v>-0.0800975993097317</v>
      </c>
      <c r="Q1894">
        <v>0.130169276332843</v>
      </c>
      <c r="R1894">
        <v>0.968325459810855</v>
      </c>
      <c r="S1894" t="s">
        <v>4087</v>
      </c>
      <c r="T1894" t="s">
        <v>4362</v>
      </c>
      <c r="U1894" t="s">
        <v>4362</v>
      </c>
      <c r="V1894" t="s">
        <v>4362</v>
      </c>
      <c r="W1894" t="s">
        <v>6251</v>
      </c>
      <c r="X1894">
        <v>2</v>
      </c>
      <c r="Y1894" t="s">
        <v>8415</v>
      </c>
      <c r="Z1894" t="s">
        <v>10582</v>
      </c>
      <c r="AA1894">
        <v>0.315770869083778</v>
      </c>
      <c r="AB1894">
        <f>HYPERLINK("Melting_Curves/meltCurve_P75867_ycbZ.pdf", "Melting_Curves/meltCurve_P75867_ycbZ.pdf")</f>
        <v>0</v>
      </c>
    </row>
    <row r="1895" spans="1:28">
      <c r="A1895" t="s">
        <v>1921</v>
      </c>
      <c r="B1895">
        <v>0.999739202189716</v>
      </c>
      <c r="C1895">
        <v>0.911686443387388</v>
      </c>
      <c r="D1895">
        <v>0.873205962032065</v>
      </c>
      <c r="E1895">
        <v>1.05312081917125</v>
      </c>
      <c r="F1895">
        <v>0.894978176441244</v>
      </c>
      <c r="G1895">
        <v>0.692208601611224</v>
      </c>
      <c r="H1895">
        <v>0.500447038273841</v>
      </c>
      <c r="I1895">
        <v>0.245120311532113</v>
      </c>
      <c r="J1895">
        <v>0.158570179765355</v>
      </c>
      <c r="K1895">
        <v>0.119746429813865</v>
      </c>
      <c r="L1895">
        <v>945.1942196160981</v>
      </c>
      <c r="M1895">
        <v>16.6937849492226</v>
      </c>
      <c r="N1895">
        <v>56.9328592722237</v>
      </c>
      <c r="O1895">
        <v>55.8257700006529</v>
      </c>
      <c r="P1895">
        <v>-0.0714820241763153</v>
      </c>
      <c r="Q1895">
        <v>0.0438898212991872</v>
      </c>
      <c r="R1895">
        <v>0.973565884567212</v>
      </c>
      <c r="S1895" t="s">
        <v>4088</v>
      </c>
      <c r="T1895" t="s">
        <v>4362</v>
      </c>
      <c r="U1895" t="s">
        <v>4362</v>
      </c>
      <c r="V1895" t="s">
        <v>4362</v>
      </c>
      <c r="W1895" t="s">
        <v>6252</v>
      </c>
      <c r="X1895">
        <v>6</v>
      </c>
      <c r="Y1895" t="s">
        <v>8416</v>
      </c>
      <c r="Z1895" t="s">
        <v>10583</v>
      </c>
      <c r="AA1895">
        <v>0.6786128233851194</v>
      </c>
      <c r="AB1895">
        <f>HYPERLINK("Melting_Curves/meltCurve_P75874_yccU.pdf", "Melting_Curves/meltCurve_P75874_yccU.pdf")</f>
        <v>0</v>
      </c>
    </row>
    <row r="1896" spans="1:28">
      <c r="A1896" t="s">
        <v>1922</v>
      </c>
      <c r="B1896">
        <v>0.999739202189716</v>
      </c>
      <c r="C1896">
        <v>1.08349098993939</v>
      </c>
      <c r="D1896">
        <v>0.959366004557668</v>
      </c>
      <c r="E1896">
        <v>0.907972825987555</v>
      </c>
      <c r="F1896">
        <v>0.900546276939443</v>
      </c>
      <c r="G1896">
        <v>0.825081184352511</v>
      </c>
      <c r="H1896">
        <v>0.744888771519946</v>
      </c>
      <c r="I1896">
        <v>0.527430341177251</v>
      </c>
      <c r="J1896">
        <v>0.438448209660319</v>
      </c>
      <c r="K1896">
        <v>0.191484845397319</v>
      </c>
      <c r="L1896">
        <v>738.696032582276</v>
      </c>
      <c r="M1896">
        <v>12.0079350894015</v>
      </c>
      <c r="N1896">
        <v>61.5173369767925</v>
      </c>
      <c r="O1896">
        <v>59.8856935270456</v>
      </c>
      <c r="P1896">
        <v>-0.0501406169041174</v>
      </c>
      <c r="Q1896">
        <v>0</v>
      </c>
      <c r="R1896">
        <v>0.962984147615726</v>
      </c>
      <c r="S1896" t="s">
        <v>4089</v>
      </c>
      <c r="T1896" t="s">
        <v>4362</v>
      </c>
      <c r="U1896" t="s">
        <v>4362</v>
      </c>
      <c r="V1896" t="s">
        <v>4362</v>
      </c>
      <c r="W1896" t="s">
        <v>6253</v>
      </c>
      <c r="X1896">
        <v>12</v>
      </c>
      <c r="Y1896" t="s">
        <v>8417</v>
      </c>
      <c r="Z1896" t="s">
        <v>10584</v>
      </c>
      <c r="AA1896">
        <v>0.7866621204711074</v>
      </c>
      <c r="AB1896">
        <f>HYPERLINK("Melting_Curves/meltCurve_P75876_rlmI.pdf", "Melting_Curves/meltCurve_P75876_rlmI.pdf")</f>
        <v>0</v>
      </c>
    </row>
    <row r="1897" spans="1:28">
      <c r="A1897" t="s">
        <v>1923</v>
      </c>
      <c r="B1897">
        <v>0.999739202189716</v>
      </c>
      <c r="C1897">
        <v>0.869473204088696</v>
      </c>
      <c r="D1897">
        <v>0.991393367487109</v>
      </c>
      <c r="E1897">
        <v>0.861622218875329</v>
      </c>
      <c r="F1897">
        <v>0.483406276391192</v>
      </c>
      <c r="G1897">
        <v>0.135157154278591</v>
      </c>
      <c r="H1897">
        <v>0.105536368639921</v>
      </c>
      <c r="I1897">
        <v>0.06878874141561329</v>
      </c>
      <c r="J1897">
        <v>0.0605418230445584</v>
      </c>
      <c r="K1897">
        <v>0.0592397408504821</v>
      </c>
      <c r="L1897">
        <v>1371.240066761</v>
      </c>
      <c r="M1897">
        <v>27.5799085504936</v>
      </c>
      <c r="N1897">
        <v>49.9538762152354</v>
      </c>
      <c r="O1897">
        <v>49.4596341412116</v>
      </c>
      <c r="P1897">
        <v>-0.130923409650847</v>
      </c>
      <c r="Q1897">
        <v>0.0608579475266141</v>
      </c>
      <c r="R1897">
        <v>0.988538376635223</v>
      </c>
      <c r="S1897" t="s">
        <v>4090</v>
      </c>
      <c r="T1897" t="s">
        <v>4362</v>
      </c>
      <c r="U1897" t="s">
        <v>4362</v>
      </c>
      <c r="V1897" t="s">
        <v>4362</v>
      </c>
      <c r="W1897" t="s">
        <v>6254</v>
      </c>
      <c r="X1897">
        <v>5</v>
      </c>
      <c r="Y1897" t="s">
        <v>8418</v>
      </c>
      <c r="Z1897" t="s">
        <v>10585</v>
      </c>
      <c r="AA1897">
        <v>0.4657853734025879</v>
      </c>
      <c r="AB1897">
        <f>HYPERLINK("Melting_Curves/meltCurve_P75913_ghrA.pdf", "Melting_Curves/meltCurve_P75913_ghrA.pdf")</f>
        <v>0</v>
      </c>
    </row>
    <row r="1898" spans="1:28">
      <c r="A1898" t="s">
        <v>1924</v>
      </c>
      <c r="B1898">
        <v>0.999739202189716</v>
      </c>
      <c r="C1898">
        <v>0.647040081311355</v>
      </c>
      <c r="D1898">
        <v>0.478844326865677</v>
      </c>
      <c r="E1898">
        <v>0.267013522759823</v>
      </c>
      <c r="F1898">
        <v>0.172292699963548</v>
      </c>
      <c r="G1898">
        <v>0.114628085882759</v>
      </c>
      <c r="H1898">
        <v>0.08423170468397299</v>
      </c>
      <c r="I1898">
        <v>0.0713475280825677</v>
      </c>
      <c r="J1898">
        <v>0.06447675627774931</v>
      </c>
      <c r="K1898">
        <v>0.0609835451254787</v>
      </c>
      <c r="L1898">
        <v>624.980821285191</v>
      </c>
      <c r="M1898">
        <v>14.80636239148</v>
      </c>
      <c r="N1898">
        <v>42.6382843757211</v>
      </c>
      <c r="O1898">
        <v>41.4627564770411</v>
      </c>
      <c r="P1898">
        <v>-0.0831191275988192</v>
      </c>
      <c r="Q1898">
        <v>0.0690537665144947</v>
      </c>
      <c r="R1898">
        <v>0.980789388684316</v>
      </c>
      <c r="S1898" t="s">
        <v>4091</v>
      </c>
      <c r="T1898" t="s">
        <v>4362</v>
      </c>
      <c r="U1898" t="s">
        <v>4362</v>
      </c>
      <c r="V1898" t="s">
        <v>4362</v>
      </c>
      <c r="W1898" t="s">
        <v>6255</v>
      </c>
      <c r="X1898">
        <v>4</v>
      </c>
      <c r="Y1898" t="s">
        <v>8419</v>
      </c>
      <c r="Z1898" t="s">
        <v>10586</v>
      </c>
      <c r="AA1898">
        <v>0.2577672323996166</v>
      </c>
      <c r="AB1898">
        <f>HYPERLINK("Melting_Curves/meltCurve_P75914_ycdX.pdf", "Melting_Curves/meltCurve_P75914_ycdX.pdf")</f>
        <v>0</v>
      </c>
    </row>
    <row r="1899" spans="1:28">
      <c r="A1899" t="s">
        <v>1925</v>
      </c>
      <c r="B1899">
        <v>0.999739202189716</v>
      </c>
      <c r="C1899">
        <v>0.934397467077859</v>
      </c>
      <c r="D1899">
        <v>1.06503595051422</v>
      </c>
      <c r="E1899">
        <v>0.860177763084818</v>
      </c>
      <c r="F1899">
        <v>0.8732760852077039</v>
      </c>
      <c r="G1899">
        <v>0.611236719837676</v>
      </c>
      <c r="H1899">
        <v>0.386748930217016</v>
      </c>
      <c r="I1899">
        <v>0.301942417776182</v>
      </c>
      <c r="J1899">
        <v>0.280467559962256</v>
      </c>
      <c r="K1899">
        <v>0.31642896183679</v>
      </c>
      <c r="L1899">
        <v>1112.27729324204</v>
      </c>
      <c r="M1899">
        <v>20.8703961431751</v>
      </c>
      <c r="N1899">
        <v>55.3684114059031</v>
      </c>
      <c r="O1899">
        <v>52.812435239617</v>
      </c>
      <c r="P1899">
        <v>-0.0720041093954209</v>
      </c>
      <c r="Q1899">
        <v>0.271195789515642</v>
      </c>
      <c r="R1899">
        <v>0.974336198436398</v>
      </c>
      <c r="S1899" t="s">
        <v>4092</v>
      </c>
      <c r="T1899" t="s">
        <v>4362</v>
      </c>
      <c r="U1899" t="s">
        <v>4362</v>
      </c>
      <c r="V1899" t="s">
        <v>4362</v>
      </c>
      <c r="W1899" t="s">
        <v>6256</v>
      </c>
      <c r="X1899">
        <v>4</v>
      </c>
      <c r="Y1899" t="s">
        <v>8420</v>
      </c>
      <c r="Z1899" t="s">
        <v>10587</v>
      </c>
      <c r="AA1899">
        <v>0.6755960009420862</v>
      </c>
      <c r="AB1899">
        <f>HYPERLINK("Melting_Curves/meltCurve_P75915_ycdY.pdf", "Melting_Curves/meltCurve_P75915_ycdY.pdf")</f>
        <v>0</v>
      </c>
    </row>
    <row r="1900" spans="1:28">
      <c r="A1900" t="s">
        <v>1926</v>
      </c>
      <c r="B1900">
        <v>0.999739202189716</v>
      </c>
      <c r="C1900">
        <v>1.01450489168653</v>
      </c>
      <c r="D1900">
        <v>0.837727123081844</v>
      </c>
      <c r="E1900">
        <v>0.709851987944389</v>
      </c>
      <c r="F1900">
        <v>0.5841136618070339</v>
      </c>
      <c r="G1900">
        <v>0.42467647293887</v>
      </c>
      <c r="H1900">
        <v>0.184651952500449</v>
      </c>
      <c r="I1900">
        <v>0.115349244363755</v>
      </c>
      <c r="J1900">
        <v>0.108006723019196</v>
      </c>
      <c r="K1900">
        <v>0.0992791397060766</v>
      </c>
      <c r="L1900">
        <v>552.732112937118</v>
      </c>
      <c r="M1900">
        <v>10.7979217095508</v>
      </c>
      <c r="N1900">
        <v>51.1887495675987</v>
      </c>
      <c r="O1900">
        <v>49.5268613320362</v>
      </c>
      <c r="P1900">
        <v>-0.0545251303130087</v>
      </c>
      <c r="Q1900">
        <v>0</v>
      </c>
      <c r="R1900">
        <v>0.98738082876838</v>
      </c>
      <c r="S1900" t="s">
        <v>4093</v>
      </c>
      <c r="T1900" t="s">
        <v>4362</v>
      </c>
      <c r="U1900" t="s">
        <v>4362</v>
      </c>
      <c r="V1900" t="s">
        <v>4362</v>
      </c>
      <c r="W1900" t="s">
        <v>6257</v>
      </c>
      <c r="X1900">
        <v>5</v>
      </c>
      <c r="Y1900" t="s">
        <v>8421</v>
      </c>
      <c r="Z1900" t="s">
        <v>10588</v>
      </c>
      <c r="AA1900">
        <v>0.5010819785196804</v>
      </c>
      <c r="AB1900">
        <f>HYPERLINK("Melting_Curves/meltCurve_P75931_yceM.pdf", "Melting_Curves/meltCurve_P75931_yceM.pdf")</f>
        <v>0</v>
      </c>
    </row>
    <row r="1901" spans="1:28">
      <c r="A1901" t="s">
        <v>1927</v>
      </c>
      <c r="B1901">
        <v>0.999739202189716</v>
      </c>
      <c r="C1901">
        <v>1.06510943169898</v>
      </c>
      <c r="D1901">
        <v>1.03758248941292</v>
      </c>
      <c r="E1901">
        <v>1.15845890230306</v>
      </c>
      <c r="F1901">
        <v>1.54744801682291</v>
      </c>
      <c r="G1901">
        <v>1.59465809998049</v>
      </c>
      <c r="H1901">
        <v>2.31408656457345</v>
      </c>
      <c r="I1901">
        <v>2.62158848154731</v>
      </c>
      <c r="J1901">
        <v>2.88165355299281</v>
      </c>
      <c r="K1901">
        <v>2.18452277673923</v>
      </c>
      <c r="L1901">
        <v>11685.7875271005</v>
      </c>
      <c r="M1901">
        <v>250</v>
      </c>
      <c r="O1901">
        <v>46.7401588719527</v>
      </c>
      <c r="P1901">
        <v>0.668589940662113</v>
      </c>
      <c r="Q1901">
        <v>1.5</v>
      </c>
      <c r="R1901">
        <v>0.0412998215615893</v>
      </c>
      <c r="S1901" t="s">
        <v>4094</v>
      </c>
      <c r="T1901" t="s">
        <v>4362</v>
      </c>
      <c r="U1901" t="s">
        <v>4362</v>
      </c>
      <c r="V1901" t="s">
        <v>4362</v>
      </c>
      <c r="W1901" t="s">
        <v>6258</v>
      </c>
      <c r="X1901">
        <v>5</v>
      </c>
      <c r="Y1901" t="s">
        <v>8422</v>
      </c>
      <c r="Z1901" t="s">
        <v>10589</v>
      </c>
      <c r="AA1901">
        <v>1.337573148109489</v>
      </c>
      <c r="AB1901">
        <f>HYPERLINK("Melting_Curves/meltCurve_P75937_flgE.pdf", "Melting_Curves/meltCurve_P75937_flgE.pdf")</f>
        <v>0</v>
      </c>
    </row>
    <row r="1902" spans="1:28">
      <c r="A1902" t="s">
        <v>1928</v>
      </c>
      <c r="B1902">
        <v>0.999739202189716</v>
      </c>
      <c r="C1902">
        <v>0.87268964877329</v>
      </c>
      <c r="D1902">
        <v>0.528514112259976</v>
      </c>
      <c r="E1902">
        <v>0.459886117172604</v>
      </c>
      <c r="F1902">
        <v>0.364842008469384</v>
      </c>
      <c r="G1902">
        <v>0.254946044487445</v>
      </c>
      <c r="H1902">
        <v>0.21887850708986</v>
      </c>
      <c r="I1902">
        <v>0.193536882444196</v>
      </c>
      <c r="J1902">
        <v>0.202806652847147</v>
      </c>
      <c r="K1902">
        <v>0.164180603211943</v>
      </c>
      <c r="L1902">
        <v>595.18692315976</v>
      </c>
      <c r="M1902">
        <v>13.641814599442</v>
      </c>
      <c r="N1902">
        <v>45.2207210709999</v>
      </c>
      <c r="O1902">
        <v>42.7240954704583</v>
      </c>
      <c r="P1902">
        <v>-0.0646193002477002</v>
      </c>
      <c r="Q1902">
        <v>0.190607099549632</v>
      </c>
      <c r="R1902">
        <v>0.9699798577138879</v>
      </c>
      <c r="S1902" t="s">
        <v>4095</v>
      </c>
      <c r="T1902" t="s">
        <v>4362</v>
      </c>
      <c r="U1902" t="s">
        <v>4362</v>
      </c>
      <c r="V1902" t="s">
        <v>4362</v>
      </c>
      <c r="W1902" t="s">
        <v>6259</v>
      </c>
      <c r="X1902">
        <v>7</v>
      </c>
      <c r="Y1902" t="s">
        <v>8423</v>
      </c>
      <c r="Z1902" t="s">
        <v>10590</v>
      </c>
      <c r="AA1902">
        <v>0.3944300116537715</v>
      </c>
      <c r="AB1902">
        <f>HYPERLINK("Melting_Curves/meltCurve_P75949_nagZ.pdf", "Melting_Curves/meltCurve_P75949_nagZ.pdf")</f>
        <v>0</v>
      </c>
    </row>
    <row r="1903" spans="1:28">
      <c r="A1903" t="s">
        <v>1929</v>
      </c>
      <c r="B1903">
        <v>0.999739202189716</v>
      </c>
      <c r="C1903">
        <v>0.837045915628169</v>
      </c>
      <c r="D1903">
        <v>0.601205301333438</v>
      </c>
      <c r="E1903">
        <v>0.610139155092383</v>
      </c>
      <c r="F1903">
        <v>0.567330720485532</v>
      </c>
      <c r="G1903">
        <v>0.424762383904029</v>
      </c>
      <c r="H1903">
        <v>0.379207107021959</v>
      </c>
      <c r="I1903">
        <v>0.312875492559199</v>
      </c>
      <c r="J1903">
        <v>0.281434512562536</v>
      </c>
      <c r="K1903">
        <v>0.255142183149214</v>
      </c>
      <c r="L1903">
        <v>336.936150491122</v>
      </c>
      <c r="M1903">
        <v>7.14223780187214</v>
      </c>
      <c r="N1903">
        <v>50.3863952374591</v>
      </c>
      <c r="O1903">
        <v>43.8966570792021</v>
      </c>
      <c r="P1903">
        <v>-0.0332965096009027</v>
      </c>
      <c r="Q1903">
        <v>0.182836720264227</v>
      </c>
      <c r="R1903">
        <v>0.943661672122622</v>
      </c>
      <c r="S1903" t="s">
        <v>4096</v>
      </c>
      <c r="T1903" t="s">
        <v>4362</v>
      </c>
      <c r="U1903" t="s">
        <v>4362</v>
      </c>
      <c r="V1903" t="s">
        <v>4362</v>
      </c>
      <c r="W1903" t="s">
        <v>6260</v>
      </c>
      <c r="X1903">
        <v>4</v>
      </c>
      <c r="Y1903" t="s">
        <v>8424</v>
      </c>
      <c r="Z1903" t="s">
        <v>10591</v>
      </c>
      <c r="AA1903">
        <v>0.5120681454422893</v>
      </c>
      <c r="AB1903">
        <f>HYPERLINK("Melting_Curves/meltCurve_P75952_comR.pdf", "Melting_Curves/meltCurve_P75952_comR.pdf")</f>
        <v>0</v>
      </c>
    </row>
    <row r="1904" spans="1:28">
      <c r="A1904" t="s">
        <v>1930</v>
      </c>
      <c r="B1904">
        <v>0.999739202189716</v>
      </c>
      <c r="C1904">
        <v>1.09005362224907</v>
      </c>
      <c r="D1904">
        <v>0.930330569167707</v>
      </c>
      <c r="E1904">
        <v>0.688859177535476</v>
      </c>
      <c r="F1904">
        <v>0.382252081400383</v>
      </c>
      <c r="G1904">
        <v>0.273332360350256</v>
      </c>
      <c r="H1904">
        <v>0.221547425745691</v>
      </c>
      <c r="I1904">
        <v>0.246923559369601</v>
      </c>
      <c r="J1904">
        <v>0.168055111682651</v>
      </c>
      <c r="K1904">
        <v>0.16425329501323</v>
      </c>
      <c r="L1904">
        <v>1080.31942944771</v>
      </c>
      <c r="M1904">
        <v>22.6901186022524</v>
      </c>
      <c r="N1904">
        <v>48.688565532271</v>
      </c>
      <c r="O1904">
        <v>47.2466946834801</v>
      </c>
      <c r="P1904">
        <v>-0.096379541731966</v>
      </c>
      <c r="Q1904">
        <v>0.197267336065598</v>
      </c>
      <c r="R1904">
        <v>0.988199098797547</v>
      </c>
      <c r="S1904" t="s">
        <v>4097</v>
      </c>
      <c r="T1904" t="s">
        <v>4362</v>
      </c>
      <c r="U1904" t="s">
        <v>4362</v>
      </c>
      <c r="V1904" t="s">
        <v>4362</v>
      </c>
      <c r="W1904" t="s">
        <v>6261</v>
      </c>
      <c r="X1904">
        <v>2</v>
      </c>
      <c r="Y1904" t="s">
        <v>8425</v>
      </c>
      <c r="Z1904" t="s">
        <v>10592</v>
      </c>
      <c r="AA1904">
        <v>0.4894587292838742</v>
      </c>
      <c r="AB1904">
        <f>HYPERLINK("Melting_Curves/meltCurve_P75957_lolD.pdf", "Melting_Curves/meltCurve_P75957_lolD.pdf")</f>
        <v>0</v>
      </c>
    </row>
    <row r="1905" spans="1:28">
      <c r="A1905" t="s">
        <v>1931</v>
      </c>
      <c r="B1905">
        <v>0.999739202189716</v>
      </c>
      <c r="C1905">
        <v>0.947127016229378</v>
      </c>
      <c r="D1905">
        <v>0.394692431225483</v>
      </c>
      <c r="E1905">
        <v>0.474514492446665</v>
      </c>
      <c r="F1905">
        <v>0.26670427881632</v>
      </c>
      <c r="G1905">
        <v>0.171126173748799</v>
      </c>
      <c r="H1905">
        <v>0.231449489208498</v>
      </c>
      <c r="I1905">
        <v>0.222428398985405</v>
      </c>
      <c r="J1905">
        <v>0.121910060099352</v>
      </c>
      <c r="K1905">
        <v>0.179090850531861</v>
      </c>
      <c r="L1905">
        <v>921.544010239284</v>
      </c>
      <c r="M1905">
        <v>21.7120563289675</v>
      </c>
      <c r="N1905">
        <v>43.5070884887287</v>
      </c>
      <c r="O1905">
        <v>42.0887547306525</v>
      </c>
      <c r="P1905">
        <v>-0.10241836870246</v>
      </c>
      <c r="Q1905">
        <v>0.205867905986746</v>
      </c>
      <c r="R1905">
        <v>0.917863014974388</v>
      </c>
      <c r="S1905" t="s">
        <v>4098</v>
      </c>
      <c r="T1905" t="s">
        <v>4362</v>
      </c>
      <c r="U1905" t="s">
        <v>4362</v>
      </c>
      <c r="V1905" t="s">
        <v>4362</v>
      </c>
      <c r="W1905" t="s">
        <v>6262</v>
      </c>
      <c r="X1905">
        <v>4</v>
      </c>
      <c r="Y1905" t="s">
        <v>8426</v>
      </c>
      <c r="Z1905" t="s">
        <v>10593</v>
      </c>
      <c r="AA1905">
        <v>0.3594726255992116</v>
      </c>
      <c r="AB1905">
        <f>HYPERLINK("Melting_Curves/meltCurve_P75958_lolE.pdf", "Melting_Curves/meltCurve_P75958_lolE.pdf")</f>
        <v>0</v>
      </c>
    </row>
    <row r="1906" spans="1:28">
      <c r="A1906" t="s">
        <v>1932</v>
      </c>
      <c r="B1906">
        <v>0.999739202189716</v>
      </c>
      <c r="C1906">
        <v>1.0486304399265</v>
      </c>
      <c r="D1906">
        <v>0.276627952003499</v>
      </c>
      <c r="E1906">
        <v>0.349278327557789</v>
      </c>
      <c r="F1906">
        <v>0.15155890505404</v>
      </c>
      <c r="G1906">
        <v>0.0861222123295466</v>
      </c>
      <c r="H1906">
        <v>0.0960776734758732</v>
      </c>
      <c r="I1906">
        <v>0.0594116452730239</v>
      </c>
      <c r="J1906">
        <v>0.0515882495114981</v>
      </c>
      <c r="K1906">
        <v>0.0578566896437597</v>
      </c>
      <c r="L1906">
        <v>10683.7388224948</v>
      </c>
      <c r="M1906">
        <v>250</v>
      </c>
      <c r="N1906">
        <v>42.7826869363636</v>
      </c>
      <c r="O1906">
        <v>42.7322205783025</v>
      </c>
      <c r="P1906">
        <v>-1.28459990306017</v>
      </c>
      <c r="Q1906">
        <v>0.121699099293951</v>
      </c>
      <c r="R1906">
        <v>0.947782142880026</v>
      </c>
      <c r="S1906" t="s">
        <v>4099</v>
      </c>
      <c r="T1906" t="s">
        <v>4362</v>
      </c>
      <c r="U1906" t="s">
        <v>4362</v>
      </c>
      <c r="V1906" t="s">
        <v>4362</v>
      </c>
      <c r="W1906" t="s">
        <v>6263</v>
      </c>
      <c r="X1906">
        <v>2</v>
      </c>
      <c r="Y1906" t="s">
        <v>8427</v>
      </c>
      <c r="Z1906" t="s">
        <v>10594</v>
      </c>
      <c r="AA1906">
        <v>0.2896655176991424</v>
      </c>
      <c r="AB1906">
        <f>HYPERLINK("Melting_Curves/meltCurve_P75959_nagK.pdf", "Melting_Curves/meltCurve_P75959_nagK.pdf")</f>
        <v>0</v>
      </c>
    </row>
    <row r="1907" spans="1:28">
      <c r="A1907" t="s">
        <v>1933</v>
      </c>
      <c r="B1907">
        <v>0.999739202189716</v>
      </c>
      <c r="C1907">
        <v>0.936316535977054</v>
      </c>
      <c r="D1907">
        <v>0.885282091294511</v>
      </c>
      <c r="E1907">
        <v>0.923790867059321</v>
      </c>
      <c r="F1907">
        <v>0.712845587879005</v>
      </c>
      <c r="G1907">
        <v>0.477545349485287</v>
      </c>
      <c r="H1907">
        <v>0.197975922385376</v>
      </c>
      <c r="I1907">
        <v>0.118727262500353</v>
      </c>
      <c r="J1907">
        <v>0.105749269150013</v>
      </c>
      <c r="K1907">
        <v>0.111853887970736</v>
      </c>
      <c r="L1907">
        <v>916.912780682312</v>
      </c>
      <c r="M1907">
        <v>17.4284696604605</v>
      </c>
      <c r="N1907">
        <v>53.0081371798132</v>
      </c>
      <c r="O1907">
        <v>51.9320842844486</v>
      </c>
      <c r="P1907">
        <v>-0.07875813948821681</v>
      </c>
      <c r="Q1907">
        <v>0.0613415266952243</v>
      </c>
      <c r="R1907">
        <v>0.987031740288299</v>
      </c>
      <c r="S1907" t="s">
        <v>4100</v>
      </c>
      <c r="T1907" t="s">
        <v>4362</v>
      </c>
      <c r="U1907" t="s">
        <v>4362</v>
      </c>
      <c r="V1907" t="s">
        <v>4362</v>
      </c>
      <c r="W1907" t="s">
        <v>6264</v>
      </c>
      <c r="X1907">
        <v>4</v>
      </c>
      <c r="Y1907" t="s">
        <v>8428</v>
      </c>
      <c r="Z1907" t="s">
        <v>10595</v>
      </c>
      <c r="AA1907">
        <v>0.5642463756407743</v>
      </c>
      <c r="AB1907">
        <f>HYPERLINK("Melting_Curves/meltCurve_P75960_cobB.pdf", "Melting_Curves/meltCurve_P75960_cobB.pdf")</f>
        <v>0</v>
      </c>
    </row>
    <row r="1908" spans="1:28">
      <c r="A1908" t="s">
        <v>1934</v>
      </c>
      <c r="B1908">
        <v>0.999739202189716</v>
      </c>
      <c r="C1908">
        <v>0.946846861464001</v>
      </c>
      <c r="D1908">
        <v>0.84019942296661</v>
      </c>
      <c r="E1908">
        <v>0.553380127075016</v>
      </c>
      <c r="F1908">
        <v>0.297712861240389</v>
      </c>
      <c r="G1908">
        <v>0.256889382110535</v>
      </c>
      <c r="H1908">
        <v>0.187405492694248</v>
      </c>
      <c r="I1908">
        <v>0.114386913890529</v>
      </c>
      <c r="J1908">
        <v>0.123073138960293</v>
      </c>
      <c r="K1908">
        <v>0.0923960281011143</v>
      </c>
      <c r="L1908">
        <v>753.2909157944709</v>
      </c>
      <c r="M1908">
        <v>16.1361335699597</v>
      </c>
      <c r="N1908">
        <v>47.4443166367607</v>
      </c>
      <c r="O1908">
        <v>45.984171541868</v>
      </c>
      <c r="P1908">
        <v>-0.0777319067678038</v>
      </c>
      <c r="Q1908">
        <v>0.113997353933561</v>
      </c>
      <c r="R1908">
        <v>0.994745384180228</v>
      </c>
      <c r="S1908" t="s">
        <v>4101</v>
      </c>
      <c r="T1908" t="s">
        <v>4362</v>
      </c>
      <c r="U1908" t="s">
        <v>4362</v>
      </c>
      <c r="V1908" t="s">
        <v>4362</v>
      </c>
      <c r="W1908" t="s">
        <v>6265</v>
      </c>
      <c r="X1908">
        <v>4</v>
      </c>
      <c r="Y1908" t="s">
        <v>8429</v>
      </c>
      <c r="Z1908" t="s">
        <v>10596</v>
      </c>
      <c r="AA1908">
        <v>0.4175345063899192</v>
      </c>
      <c r="AB1908">
        <f>HYPERLINK("Melting_Curves/meltCurve_P75966_rluE.pdf", "Melting_Curves/meltCurve_P75966_rluE.pdf")</f>
        <v>0</v>
      </c>
    </row>
    <row r="1909" spans="1:28">
      <c r="A1909" t="s">
        <v>1935</v>
      </c>
      <c r="B1909">
        <v>0.999739202189716</v>
      </c>
      <c r="C1909">
        <v>0.989952924909136</v>
      </c>
      <c r="D1909">
        <v>1.05954987487416</v>
      </c>
      <c r="E1909">
        <v>1.07833775440015</v>
      </c>
      <c r="F1909">
        <v>1.02232813057279</v>
      </c>
      <c r="G1909">
        <v>0.9294454800983269</v>
      </c>
      <c r="H1909">
        <v>0.60727189353471</v>
      </c>
      <c r="I1909">
        <v>0.335777272771284</v>
      </c>
      <c r="J1909">
        <v>0.20017264078772</v>
      </c>
      <c r="K1909">
        <v>0.148576818515546</v>
      </c>
      <c r="L1909">
        <v>1625.52583832403</v>
      </c>
      <c r="M1909">
        <v>28.0440648880122</v>
      </c>
      <c r="N1909">
        <v>58.6673925934149</v>
      </c>
      <c r="O1909">
        <v>57.6709538279379</v>
      </c>
      <c r="P1909">
        <v>-0.104198244362576</v>
      </c>
      <c r="Q1909">
        <v>0.142897396377719</v>
      </c>
      <c r="R1909">
        <v>0.990210556221348</v>
      </c>
      <c r="S1909" t="s">
        <v>4102</v>
      </c>
      <c r="T1909" t="s">
        <v>4362</v>
      </c>
      <c r="U1909" t="s">
        <v>4362</v>
      </c>
      <c r="V1909" t="s">
        <v>4362</v>
      </c>
      <c r="W1909" t="s">
        <v>6266</v>
      </c>
      <c r="X1909">
        <v>5</v>
      </c>
      <c r="Y1909" t="s">
        <v>8430</v>
      </c>
      <c r="Z1909" t="s">
        <v>10597</v>
      </c>
      <c r="AA1909">
        <v>0.7469287528736751</v>
      </c>
      <c r="AB1909">
        <f>HYPERLINK("Melting_Curves/meltCurve_P75974_cohE.pdf", "Melting_Curves/meltCurve_P75974_cohE.pdf")</f>
        <v>0</v>
      </c>
    </row>
    <row r="1910" spans="1:28">
      <c r="A1910" t="s">
        <v>1936</v>
      </c>
      <c r="B1910">
        <v>0.999739202189716</v>
      </c>
      <c r="C1910">
        <v>0.598281591220016</v>
      </c>
      <c r="D1910">
        <v>0.334365671371911</v>
      </c>
      <c r="E1910">
        <v>0.198820261228353</v>
      </c>
      <c r="F1910">
        <v>0.129660115367718</v>
      </c>
      <c r="G1910">
        <v>0.0864591703406391</v>
      </c>
      <c r="H1910">
        <v>0.07229180671160899</v>
      </c>
      <c r="I1910">
        <v>0.0441425966661108</v>
      </c>
      <c r="J1910">
        <v>0.0494948013827857</v>
      </c>
      <c r="K1910">
        <v>0.050788077153545</v>
      </c>
      <c r="L1910">
        <v>814.661612488767</v>
      </c>
      <c r="M1910">
        <v>19.8774379958145</v>
      </c>
      <c r="N1910">
        <v>41.3048408631446</v>
      </c>
      <c r="O1910">
        <v>40.5761821342909</v>
      </c>
      <c r="P1910">
        <v>-0.113718631399097</v>
      </c>
      <c r="Q1910">
        <v>0.0714869629069869</v>
      </c>
      <c r="R1910">
        <v>0.979052223293428</v>
      </c>
      <c r="S1910" t="s">
        <v>4103</v>
      </c>
      <c r="T1910" t="s">
        <v>4362</v>
      </c>
      <c r="U1910" t="s">
        <v>4362</v>
      </c>
      <c r="V1910" t="s">
        <v>4362</v>
      </c>
      <c r="W1910" t="s">
        <v>6267</v>
      </c>
      <c r="X1910">
        <v>1</v>
      </c>
      <c r="Y1910" t="s">
        <v>8431</v>
      </c>
      <c r="Z1910" t="s">
        <v>10598</v>
      </c>
      <c r="AA1910">
        <v>0.2109798891605407</v>
      </c>
      <c r="AB1910">
        <f>HYPERLINK("Melting_Curves/meltCurve_P75981_jayE.pdf", "Melting_Curves/meltCurve_P75981_jayE.pdf")</f>
        <v>0</v>
      </c>
    </row>
    <row r="1911" spans="1:28">
      <c r="A1911" t="s">
        <v>1937</v>
      </c>
      <c r="B1911">
        <v>0.999739202189716</v>
      </c>
      <c r="C1911">
        <v>0.738275508215875</v>
      </c>
      <c r="D1911">
        <v>0.500686898567998</v>
      </c>
      <c r="E1911">
        <v>0.407005222932865</v>
      </c>
      <c r="F1911">
        <v>0.314879631543943</v>
      </c>
      <c r="G1911">
        <v>0.192856894797108</v>
      </c>
      <c r="H1911">
        <v>0.145415364408512</v>
      </c>
      <c r="I1911">
        <v>0.113926930688003</v>
      </c>
      <c r="J1911">
        <v>0.127720643828748</v>
      </c>
      <c r="K1911">
        <v>0.112574468071247</v>
      </c>
      <c r="L1911">
        <v>515.944462441381</v>
      </c>
      <c r="M1911">
        <v>11.9092117362145</v>
      </c>
      <c r="N1911">
        <v>44.243612903138</v>
      </c>
      <c r="O1911">
        <v>42.1558165476063</v>
      </c>
      <c r="P1911">
        <v>-0.06289220949518649</v>
      </c>
      <c r="Q1911">
        <v>0.109726796500095</v>
      </c>
      <c r="R1911">
        <v>0.973617122292281</v>
      </c>
      <c r="S1911" t="s">
        <v>4104</v>
      </c>
      <c r="T1911" t="s">
        <v>4362</v>
      </c>
      <c r="U1911" t="s">
        <v>4362</v>
      </c>
      <c r="V1911" t="s">
        <v>4362</v>
      </c>
      <c r="W1911" t="s">
        <v>6268</v>
      </c>
      <c r="X1911">
        <v>2</v>
      </c>
      <c r="Y1911" t="s">
        <v>8432</v>
      </c>
      <c r="Z1911" t="s">
        <v>10599</v>
      </c>
      <c r="AA1911">
        <v>0.3339842669767852</v>
      </c>
      <c r="AB1911">
        <f>HYPERLINK("Melting_Curves/meltCurve_P75989_bluR.pdf", "Melting_Curves/meltCurve_P75989_bluR.pdf")</f>
        <v>0</v>
      </c>
    </row>
    <row r="1912" spans="1:28">
      <c r="A1912" t="s">
        <v>1938</v>
      </c>
      <c r="B1912">
        <v>0.999739202189716</v>
      </c>
      <c r="C1912">
        <v>0.984324391722477</v>
      </c>
      <c r="D1912">
        <v>0.86132674667786</v>
      </c>
      <c r="E1912">
        <v>0.8683190017790861</v>
      </c>
      <c r="F1912">
        <v>0.814857995860286</v>
      </c>
      <c r="G1912">
        <v>0.5217452979734249</v>
      </c>
      <c r="H1912">
        <v>0.351198442824911</v>
      </c>
      <c r="I1912">
        <v>0.19527716351818</v>
      </c>
      <c r="J1912">
        <v>0.148264986935057</v>
      </c>
      <c r="K1912">
        <v>0.126888268209679</v>
      </c>
      <c r="L1912">
        <v>670.435743743821</v>
      </c>
      <c r="M1912">
        <v>12.3253558196505</v>
      </c>
      <c r="N1912">
        <v>54.5466591161483</v>
      </c>
      <c r="O1912">
        <v>53.0224285570049</v>
      </c>
      <c r="P1912">
        <v>-0.0571462660142931</v>
      </c>
      <c r="Q1912">
        <v>0.0168639483920772</v>
      </c>
      <c r="R1912">
        <v>0.9843918495770621</v>
      </c>
      <c r="S1912" t="s">
        <v>4105</v>
      </c>
      <c r="T1912" t="s">
        <v>4362</v>
      </c>
      <c r="U1912" t="s">
        <v>4362</v>
      </c>
      <c r="V1912" t="s">
        <v>4362</v>
      </c>
      <c r="W1912" t="s">
        <v>6269</v>
      </c>
      <c r="X1912">
        <v>4</v>
      </c>
      <c r="Y1912" t="s">
        <v>8433</v>
      </c>
      <c r="Z1912" t="s">
        <v>10600</v>
      </c>
      <c r="AA1912">
        <v>0.6031402686652585</v>
      </c>
      <c r="AB1912">
        <f>HYPERLINK("Melting_Curves/meltCurve_P75992_ymgA.pdf", "Melting_Curves/meltCurve_P75992_ymgA.pdf")</f>
        <v>0</v>
      </c>
    </row>
    <row r="1913" spans="1:28">
      <c r="A1913" t="s">
        <v>1939</v>
      </c>
      <c r="B1913">
        <v>0.999739202189716</v>
      </c>
      <c r="C1913">
        <v>1.22388282236451</v>
      </c>
      <c r="D1913">
        <v>0.775535242316288</v>
      </c>
      <c r="E1913">
        <v>1.04335057365939</v>
      </c>
      <c r="F1913">
        <v>0.884622628332668</v>
      </c>
      <c r="G1913">
        <v>0.637950516906747</v>
      </c>
      <c r="H1913">
        <v>0.6063443649310351</v>
      </c>
      <c r="I1913">
        <v>0.5005279334441119</v>
      </c>
      <c r="J1913">
        <v>0.370339184400084</v>
      </c>
      <c r="K1913">
        <v>0.475100156627794</v>
      </c>
      <c r="L1913">
        <v>1001.27024671075</v>
      </c>
      <c r="M1913">
        <v>18.7335184848074</v>
      </c>
      <c r="N1913">
        <v>59.520770350356</v>
      </c>
      <c r="O1913">
        <v>52.8501957588861</v>
      </c>
      <c r="P1913">
        <v>-0.0508627085271631</v>
      </c>
      <c r="Q1913">
        <v>0.426057458196648</v>
      </c>
      <c r="R1913">
        <v>0.831128223071261</v>
      </c>
      <c r="S1913" t="s">
        <v>4106</v>
      </c>
      <c r="T1913" t="s">
        <v>4362</v>
      </c>
      <c r="U1913" t="s">
        <v>4362</v>
      </c>
      <c r="V1913" t="s">
        <v>4362</v>
      </c>
      <c r="W1913" t="s">
        <v>6270</v>
      </c>
      <c r="X1913">
        <v>1</v>
      </c>
      <c r="Y1913" t="s">
        <v>8434</v>
      </c>
      <c r="Z1913" t="s">
        <v>10601</v>
      </c>
      <c r="AA1913">
        <v>0.748491708855526</v>
      </c>
      <c r="AB1913">
        <f>HYPERLINK("Melting_Curves/meltCurve_P75993_ariR.pdf", "Melting_Curves/meltCurve_P75993_ariR.pdf")</f>
        <v>0</v>
      </c>
    </row>
    <row r="1914" spans="1:28">
      <c r="A1914" t="s">
        <v>1940</v>
      </c>
      <c r="B1914">
        <v>0.999739202189716</v>
      </c>
      <c r="C1914">
        <v>1.15980329880891</v>
      </c>
      <c r="D1914">
        <v>0.832082532676265</v>
      </c>
      <c r="E1914">
        <v>0.986201263888946</v>
      </c>
      <c r="F1914">
        <v>0.957612903897312</v>
      </c>
      <c r="G1914">
        <v>0.724737770195398</v>
      </c>
      <c r="H1914">
        <v>0.67471677326083</v>
      </c>
      <c r="I1914">
        <v>0.662089623844811</v>
      </c>
      <c r="J1914">
        <v>0.538758392526879</v>
      </c>
      <c r="K1914">
        <v>0.6022103331386059</v>
      </c>
      <c r="L1914">
        <v>1379.00110104436</v>
      </c>
      <c r="M1914">
        <v>26.0140746031981</v>
      </c>
      <c r="O1914">
        <v>52.6995304094341</v>
      </c>
      <c r="P1914">
        <v>-0.0496610710603076</v>
      </c>
      <c r="Q1914">
        <v>0.597589352901247</v>
      </c>
      <c r="R1914">
        <v>0.831307976154968</v>
      </c>
      <c r="S1914" t="s">
        <v>4107</v>
      </c>
      <c r="T1914" t="s">
        <v>4362</v>
      </c>
      <c r="U1914" t="s">
        <v>4362</v>
      </c>
      <c r="V1914" t="s">
        <v>4362</v>
      </c>
      <c r="W1914" t="s">
        <v>6271</v>
      </c>
      <c r="X1914">
        <v>4</v>
      </c>
      <c r="Y1914" t="s">
        <v>8435</v>
      </c>
      <c r="Z1914" t="s">
        <v>10602</v>
      </c>
      <c r="AA1914">
        <v>0.8156584279831356</v>
      </c>
      <c r="AB1914">
        <f>HYPERLINK("Melting_Curves/meltCurve_P76001_ycgJ.pdf", "Melting_Curves/meltCurve_P76001_ycgJ.pdf")</f>
        <v>0</v>
      </c>
    </row>
    <row r="1915" spans="1:28">
      <c r="A1915" t="s">
        <v>1941</v>
      </c>
      <c r="B1915">
        <v>0.999739202189716</v>
      </c>
      <c r="C1915">
        <v>0.835854788039705</v>
      </c>
      <c r="D1915">
        <v>0.843306000353199</v>
      </c>
      <c r="E1915">
        <v>0.853214302150913</v>
      </c>
      <c r="F1915">
        <v>1.05436501398354</v>
      </c>
      <c r="G1915">
        <v>0.863881558608555</v>
      </c>
      <c r="H1915">
        <v>0.980264852405443</v>
      </c>
      <c r="I1915">
        <v>0.885784239452546</v>
      </c>
      <c r="J1915">
        <v>1.02458588356829</v>
      </c>
      <c r="K1915">
        <v>0.599421704299913</v>
      </c>
      <c r="L1915">
        <v>102.372455598097</v>
      </c>
      <c r="M1915">
        <v>1e-05</v>
      </c>
      <c r="O1915">
        <v>42.6665613280126</v>
      </c>
      <c r="P1915">
        <v>-0.0036982700327385</v>
      </c>
      <c r="Q1915">
        <v>0.138039685708314</v>
      </c>
      <c r="R1915">
        <v>0.0490828610421774</v>
      </c>
      <c r="S1915" t="s">
        <v>4108</v>
      </c>
      <c r="T1915" t="s">
        <v>4362</v>
      </c>
      <c r="U1915" t="s">
        <v>4362</v>
      </c>
      <c r="V1915" t="s">
        <v>4362</v>
      </c>
      <c r="W1915" t="s">
        <v>6272</v>
      </c>
      <c r="X1915">
        <v>5</v>
      </c>
      <c r="Y1915" t="s">
        <v>8436</v>
      </c>
      <c r="Z1915" t="s">
        <v>10603</v>
      </c>
      <c r="AA1915">
        <v>0.8955621560576152</v>
      </c>
      <c r="AB1915">
        <f>HYPERLINK("Melting_Curves/meltCurve_P76002_pliG.pdf", "Melting_Curves/meltCurve_P76002_pliG.pdf")</f>
        <v>0</v>
      </c>
    </row>
    <row r="1916" spans="1:28">
      <c r="A1916" t="s">
        <v>1942</v>
      </c>
      <c r="B1916">
        <v>0.999739202189716</v>
      </c>
      <c r="C1916">
        <v>0.916560399020772</v>
      </c>
      <c r="D1916">
        <v>0.957438139351491</v>
      </c>
      <c r="E1916">
        <v>1.04098463343389</v>
      </c>
      <c r="F1916">
        <v>0.883433550698794</v>
      </c>
      <c r="G1916">
        <v>0.628277448354266</v>
      </c>
      <c r="H1916">
        <v>0.333924663168079</v>
      </c>
      <c r="I1916">
        <v>0.185903016669439</v>
      </c>
      <c r="J1916">
        <v>0.117273980938205</v>
      </c>
      <c r="K1916">
        <v>0.07559762448571219</v>
      </c>
      <c r="L1916">
        <v>1167.65626349256</v>
      </c>
      <c r="M1916">
        <v>21.2659695931555</v>
      </c>
      <c r="N1916">
        <v>55.3062202757725</v>
      </c>
      <c r="O1916">
        <v>54.4286604966678</v>
      </c>
      <c r="P1916">
        <v>-0.09073518629863329</v>
      </c>
      <c r="Q1916">
        <v>0.0711039902166347</v>
      </c>
      <c r="R1916">
        <v>0.990889021229158</v>
      </c>
      <c r="S1916" t="s">
        <v>4109</v>
      </c>
      <c r="T1916" t="s">
        <v>4362</v>
      </c>
      <c r="U1916" t="s">
        <v>4362</v>
      </c>
      <c r="V1916" t="s">
        <v>4362</v>
      </c>
      <c r="W1916" t="s">
        <v>6273</v>
      </c>
      <c r="X1916">
        <v>4</v>
      </c>
      <c r="Y1916" t="s">
        <v>8437</v>
      </c>
      <c r="Z1916" t="s">
        <v>10604</v>
      </c>
      <c r="AA1916">
        <v>0.6354513293685681</v>
      </c>
      <c r="AB1916">
        <f>HYPERLINK("Melting_Curves/meltCurve_P76004_ycgM.pdf", "Melting_Curves/meltCurve_P76004_ycgM.pdf")</f>
        <v>0</v>
      </c>
    </row>
    <row r="1917" spans="1:28">
      <c r="A1917" t="s">
        <v>1943</v>
      </c>
      <c r="B1917">
        <v>0.999739202189716</v>
      </c>
      <c r="C1917">
        <v>1.03432361922283</v>
      </c>
      <c r="D1917">
        <v>0.858608760742506</v>
      </c>
      <c r="E1917">
        <v>0.732705441018997</v>
      </c>
      <c r="F1917">
        <v>0.510472052231483</v>
      </c>
      <c r="G1917">
        <v>0.403212390986165</v>
      </c>
      <c r="H1917">
        <v>0.310398855307201</v>
      </c>
      <c r="I1917">
        <v>0.236395011779</v>
      </c>
      <c r="J1917">
        <v>0.280958583079019</v>
      </c>
      <c r="K1917">
        <v>0.183301016879542</v>
      </c>
      <c r="L1917">
        <v>660.765471668219</v>
      </c>
      <c r="M1917">
        <v>13.5287799863681</v>
      </c>
      <c r="N1917">
        <v>50.8271599339926</v>
      </c>
      <c r="O1917">
        <v>47.8113744617467</v>
      </c>
      <c r="P1917">
        <v>-0.0562282627639517</v>
      </c>
      <c r="Q1917">
        <v>0.205266391053087</v>
      </c>
      <c r="R1917">
        <v>0.988101361753673</v>
      </c>
      <c r="S1917" t="s">
        <v>4110</v>
      </c>
      <c r="T1917" t="s">
        <v>4362</v>
      </c>
      <c r="U1917" t="s">
        <v>4362</v>
      </c>
      <c r="V1917" t="s">
        <v>4362</v>
      </c>
      <c r="W1917" t="s">
        <v>6274</v>
      </c>
      <c r="X1917">
        <v>1</v>
      </c>
      <c r="Y1917" t="s">
        <v>8438</v>
      </c>
      <c r="Z1917" t="s">
        <v>10605</v>
      </c>
      <c r="AA1917">
        <v>0.5390702153011063</v>
      </c>
      <c r="AB1917">
        <f>HYPERLINK("Melting_Curves/meltCurve_P76007_cvrA.pdf", "Melting_Curves/meltCurve_P76007_cvrA.pdf")</f>
        <v>0</v>
      </c>
    </row>
    <row r="1918" spans="1:28">
      <c r="A1918" t="s">
        <v>1944</v>
      </c>
      <c r="B1918">
        <v>0.999739202189716</v>
      </c>
      <c r="C1918">
        <v>1.02648969422888</v>
      </c>
      <c r="D1918">
        <v>0.895918846360657</v>
      </c>
      <c r="E1918">
        <v>0.894440600713084</v>
      </c>
      <c r="F1918">
        <v>1.03204568265581</v>
      </c>
      <c r="G1918">
        <v>0.68047887265667</v>
      </c>
      <c r="H1918">
        <v>0.646822170544413</v>
      </c>
      <c r="I1918">
        <v>0.324551181022689</v>
      </c>
      <c r="J1918">
        <v>0.106793111489774</v>
      </c>
      <c r="K1918">
        <v>0.0854360500301659</v>
      </c>
      <c r="L1918">
        <v>997.046507354415</v>
      </c>
      <c r="M1918">
        <v>17.1400390944829</v>
      </c>
      <c r="N1918">
        <v>58.1706098713634</v>
      </c>
      <c r="O1918">
        <v>57.3960985488051</v>
      </c>
      <c r="P1918">
        <v>-0.0746612807200453</v>
      </c>
      <c r="Q1918">
        <v>0</v>
      </c>
      <c r="R1918">
        <v>0.955861282089331</v>
      </c>
      <c r="S1918" t="s">
        <v>4111</v>
      </c>
      <c r="T1918" t="s">
        <v>4362</v>
      </c>
      <c r="U1918" t="s">
        <v>4362</v>
      </c>
      <c r="V1918" t="s">
        <v>4362</v>
      </c>
      <c r="W1918" t="s">
        <v>6275</v>
      </c>
      <c r="X1918">
        <v>5</v>
      </c>
      <c r="Y1918" t="s">
        <v>8439</v>
      </c>
      <c r="Z1918" t="s">
        <v>10606</v>
      </c>
      <c r="AA1918">
        <v>0.7109921297000661</v>
      </c>
      <c r="AB1918">
        <f>HYPERLINK("Melting_Curves/meltCurve_P76008_ldcA.pdf", "Melting_Curves/meltCurve_P76008_ldcA.pdf")</f>
        <v>0</v>
      </c>
    </row>
    <row r="1919" spans="1:28">
      <c r="A1919" t="s">
        <v>1945</v>
      </c>
      <c r="B1919">
        <v>0.999739202189716</v>
      </c>
      <c r="C1919">
        <v>1.12392876761621</v>
      </c>
      <c r="D1919">
        <v>0.818136496765668</v>
      </c>
      <c r="E1919">
        <v>0.844163458523406</v>
      </c>
      <c r="F1919">
        <v>0.648920125877549</v>
      </c>
      <c r="G1919">
        <v>0.437457601246693</v>
      </c>
      <c r="H1919">
        <v>0.424036152059102</v>
      </c>
      <c r="I1919">
        <v>0.306974629518883</v>
      </c>
      <c r="J1919">
        <v>0.308755816121183</v>
      </c>
      <c r="K1919">
        <v>0.2241773209567</v>
      </c>
      <c r="L1919">
        <v>631.4038432218</v>
      </c>
      <c r="M1919">
        <v>12.4217979330999</v>
      </c>
      <c r="N1919">
        <v>53.4000587912641</v>
      </c>
      <c r="O1919">
        <v>49.5668592346856</v>
      </c>
      <c r="P1919">
        <v>-0.0485664324608823</v>
      </c>
      <c r="Q1919">
        <v>0.224982376198318</v>
      </c>
      <c r="R1919">
        <v>0.953851033577951</v>
      </c>
      <c r="S1919" t="s">
        <v>4112</v>
      </c>
      <c r="T1919" t="s">
        <v>4362</v>
      </c>
      <c r="U1919" t="s">
        <v>4362</v>
      </c>
      <c r="V1919" t="s">
        <v>4362</v>
      </c>
      <c r="W1919" t="s">
        <v>6276</v>
      </c>
      <c r="X1919">
        <v>6</v>
      </c>
      <c r="Y1919" t="s">
        <v>8440</v>
      </c>
      <c r="Z1919" t="s">
        <v>10607</v>
      </c>
      <c r="AA1919">
        <v>0.6019951218084915</v>
      </c>
      <c r="AB1919">
        <f>HYPERLINK("Melting_Curves/meltCurve_P76014_dhaL.pdf", "Melting_Curves/meltCurve_P76014_dhaL.pdf")</f>
        <v>0</v>
      </c>
    </row>
    <row r="1920" spans="1:28">
      <c r="A1920" t="s">
        <v>1946</v>
      </c>
      <c r="B1920">
        <v>0.999739202189716</v>
      </c>
      <c r="C1920">
        <v>0.939977278805421</v>
      </c>
      <c r="D1920">
        <v>0.974511070143029</v>
      </c>
      <c r="E1920">
        <v>0.8628220667409719</v>
      </c>
      <c r="F1920">
        <v>0.709337410492466</v>
      </c>
      <c r="G1920">
        <v>0.309557478248292</v>
      </c>
      <c r="H1920">
        <v>0.138288917563199</v>
      </c>
      <c r="I1920">
        <v>0.109466890400492</v>
      </c>
      <c r="J1920">
        <v>0.09817994675560129</v>
      </c>
      <c r="K1920">
        <v>0.102860022984977</v>
      </c>
      <c r="L1920">
        <v>1179.93791006164</v>
      </c>
      <c r="M1920">
        <v>22.9439218670223</v>
      </c>
      <c r="N1920">
        <v>51.8369505308118</v>
      </c>
      <c r="O1920">
        <v>51.041150225412</v>
      </c>
      <c r="P1920">
        <v>-0.103058068396435</v>
      </c>
      <c r="Q1920">
        <v>0.0829636170092148</v>
      </c>
      <c r="R1920">
        <v>0.9931689834090121</v>
      </c>
      <c r="S1920" t="s">
        <v>4113</v>
      </c>
      <c r="T1920" t="s">
        <v>4362</v>
      </c>
      <c r="U1920" t="s">
        <v>4362</v>
      </c>
      <c r="V1920" t="s">
        <v>4362</v>
      </c>
      <c r="W1920" t="s">
        <v>6277</v>
      </c>
      <c r="X1920">
        <v>7</v>
      </c>
      <c r="Y1920" t="s">
        <v>8441</v>
      </c>
      <c r="Z1920" t="s">
        <v>10608</v>
      </c>
      <c r="AA1920">
        <v>0.5334328294749592</v>
      </c>
      <c r="AB1920">
        <f>HYPERLINK("Melting_Curves/meltCurve_P76015_dhaK.pdf", "Melting_Curves/meltCurve_P76015_dhaK.pdf")</f>
        <v>0</v>
      </c>
    </row>
    <row r="1921" spans="1:28">
      <c r="A1921" t="s">
        <v>1947</v>
      </c>
      <c r="B1921">
        <v>0.999739202189716</v>
      </c>
      <c r="C1921">
        <v>0.822552949397885</v>
      </c>
      <c r="D1921">
        <v>0.5276434463842909</v>
      </c>
      <c r="E1921">
        <v>0.384582031825219</v>
      </c>
      <c r="F1921">
        <v>0.270755781342497</v>
      </c>
      <c r="G1921">
        <v>0.183880950118369</v>
      </c>
      <c r="H1921">
        <v>0.153312013352481</v>
      </c>
      <c r="I1921">
        <v>0.119593870912438</v>
      </c>
      <c r="J1921">
        <v>0.119762429292271</v>
      </c>
      <c r="K1921">
        <v>0.120042038277795</v>
      </c>
      <c r="L1921">
        <v>628.997797607505</v>
      </c>
      <c r="M1921">
        <v>14.4935364655881</v>
      </c>
      <c r="N1921">
        <v>44.2758515611935</v>
      </c>
      <c r="O1921">
        <v>42.5974161185008</v>
      </c>
      <c r="P1921">
        <v>-0.0744525782937009</v>
      </c>
      <c r="Q1921">
        <v>0.124817888173302</v>
      </c>
      <c r="R1921">
        <v>0.987453804742218</v>
      </c>
      <c r="S1921" t="s">
        <v>4114</v>
      </c>
      <c r="T1921" t="s">
        <v>4362</v>
      </c>
      <c r="U1921" t="s">
        <v>4362</v>
      </c>
      <c r="V1921" t="s">
        <v>4362</v>
      </c>
      <c r="W1921" t="s">
        <v>6278</v>
      </c>
      <c r="X1921">
        <v>8</v>
      </c>
      <c r="Y1921" t="s">
        <v>8442</v>
      </c>
      <c r="Z1921" t="s">
        <v>10609</v>
      </c>
      <c r="AA1921">
        <v>0.3356674939105367</v>
      </c>
      <c r="AB1921">
        <f>HYPERLINK("Melting_Curves/meltCurve_P76027_oppD.pdf", "Melting_Curves/meltCurve_P76027_oppD.pdf")</f>
        <v>0</v>
      </c>
    </row>
    <row r="1922" spans="1:28">
      <c r="A1922" t="s">
        <v>1948</v>
      </c>
      <c r="B1922">
        <v>0.999739202189716</v>
      </c>
      <c r="C1922">
        <v>1.06462181465482</v>
      </c>
      <c r="D1922">
        <v>0.814384064553562</v>
      </c>
      <c r="E1922">
        <v>0.7463073670234039</v>
      </c>
      <c r="F1922">
        <v>0.492178439523916</v>
      </c>
      <c r="G1922">
        <v>0.257444618728589</v>
      </c>
      <c r="H1922">
        <v>0.208766644685271</v>
      </c>
      <c r="I1922">
        <v>0.200628433850656</v>
      </c>
      <c r="J1922">
        <v>0.170598793957689</v>
      </c>
      <c r="K1922">
        <v>0.155286263070234</v>
      </c>
      <c r="L1922">
        <v>776.241603094002</v>
      </c>
      <c r="M1922">
        <v>15.9619115417964</v>
      </c>
      <c r="N1922">
        <v>49.7171826759049</v>
      </c>
      <c r="O1922">
        <v>47.8867734573103</v>
      </c>
      <c r="P1922">
        <v>-0.0710690063889773</v>
      </c>
      <c r="Q1922">
        <v>0.147220936598483</v>
      </c>
      <c r="R1922">
        <v>0.983021461628641</v>
      </c>
      <c r="S1922" t="s">
        <v>4115</v>
      </c>
      <c r="T1922" t="s">
        <v>4362</v>
      </c>
      <c r="U1922" t="s">
        <v>4362</v>
      </c>
      <c r="V1922" t="s">
        <v>4362</v>
      </c>
      <c r="W1922" t="s">
        <v>6279</v>
      </c>
      <c r="X1922">
        <v>8</v>
      </c>
      <c r="Y1922" t="s">
        <v>8443</v>
      </c>
      <c r="Z1922" t="s">
        <v>10610</v>
      </c>
      <c r="AA1922">
        <v>0.4945567422928851</v>
      </c>
      <c r="AB1922">
        <f>HYPERLINK("Melting_Curves/meltCurve_P76046_ycjX.pdf", "Melting_Curves/meltCurve_P76046_ycjX.pdf")</f>
        <v>0</v>
      </c>
    </row>
    <row r="1923" spans="1:28">
      <c r="A1923" t="s">
        <v>1949</v>
      </c>
      <c r="B1923">
        <v>0.999739202189716</v>
      </c>
      <c r="C1923">
        <v>0.91165138600289</v>
      </c>
      <c r="D1923">
        <v>0.923358852707445</v>
      </c>
      <c r="E1923">
        <v>1.00506938678304</v>
      </c>
      <c r="F1923">
        <v>0.861991903322565</v>
      </c>
      <c r="G1923">
        <v>0.806758218767797</v>
      </c>
      <c r="H1923">
        <v>0.715135458824648</v>
      </c>
      <c r="I1923">
        <v>0.668406470095696</v>
      </c>
      <c r="J1923">
        <v>0.635456440458229</v>
      </c>
      <c r="K1923">
        <v>0.41444490408625</v>
      </c>
      <c r="L1923">
        <v>418.925687399789</v>
      </c>
      <c r="M1923">
        <v>6.29050142345084</v>
      </c>
      <c r="N1923">
        <v>66.5965515535207</v>
      </c>
      <c r="O1923">
        <v>60.8162455698527</v>
      </c>
      <c r="P1923">
        <v>-0.0259293275635835</v>
      </c>
      <c r="Q1923">
        <v>0</v>
      </c>
      <c r="R1923">
        <v>0.919129374138196</v>
      </c>
      <c r="S1923" t="s">
        <v>4116</v>
      </c>
      <c r="T1923" t="s">
        <v>4362</v>
      </c>
      <c r="U1923" t="s">
        <v>4362</v>
      </c>
      <c r="V1923" t="s">
        <v>4362</v>
      </c>
      <c r="W1923" t="s">
        <v>6280</v>
      </c>
      <c r="X1923">
        <v>5</v>
      </c>
      <c r="Y1923" t="s">
        <v>8444</v>
      </c>
      <c r="Z1923" t="s">
        <v>10611</v>
      </c>
      <c r="AA1923">
        <v>0.811619882139187</v>
      </c>
      <c r="AB1923">
        <f>HYPERLINK("Melting_Curves/meltCurve_P76049_ycjY.pdf", "Melting_Curves/meltCurve_P76049_ycjY.pdf")</f>
        <v>0</v>
      </c>
    </row>
    <row r="1924" spans="1:28">
      <c r="A1924" t="s">
        <v>1950</v>
      </c>
      <c r="B1924">
        <v>0.999739202189716</v>
      </c>
      <c r="C1924">
        <v>0.861604336031401</v>
      </c>
      <c r="D1924">
        <v>1.14117103775841</v>
      </c>
      <c r="E1924">
        <v>0.907580168717938</v>
      </c>
      <c r="F1924">
        <v>0.918452031377634</v>
      </c>
      <c r="G1924">
        <v>0.532267202419959</v>
      </c>
      <c r="H1924">
        <v>0.200695620219838</v>
      </c>
      <c r="I1924">
        <v>0.127556053269673</v>
      </c>
      <c r="J1924">
        <v>0.107307137432425</v>
      </c>
      <c r="K1924">
        <v>0.088897428106349</v>
      </c>
      <c r="L1924">
        <v>1646.3755374659</v>
      </c>
      <c r="M1924">
        <v>30.6655991352036</v>
      </c>
      <c r="N1924">
        <v>54.0650000656411</v>
      </c>
      <c r="O1924">
        <v>53.461267735634</v>
      </c>
      <c r="P1924">
        <v>-0.129599086423372</v>
      </c>
      <c r="Q1924">
        <v>0.0962524699647823</v>
      </c>
      <c r="R1924">
        <v>0.970952140662952</v>
      </c>
      <c r="S1924" t="s">
        <v>4117</v>
      </c>
      <c r="T1924" t="s">
        <v>4362</v>
      </c>
      <c r="U1924" t="s">
        <v>4362</v>
      </c>
      <c r="V1924" t="s">
        <v>4362</v>
      </c>
      <c r="W1924" t="s">
        <v>6281</v>
      </c>
      <c r="X1924">
        <v>12</v>
      </c>
      <c r="Y1924" t="s">
        <v>8445</v>
      </c>
      <c r="Z1924" t="s">
        <v>10612</v>
      </c>
      <c r="AA1924">
        <v>0.6045195859116436</v>
      </c>
      <c r="AB1924">
        <f>HYPERLINK("Melting_Curves/meltCurve_P76055_ttcA.pdf", "Melting_Curves/meltCurve_P76055_ttcA.pdf")</f>
        <v>0</v>
      </c>
    </row>
    <row r="1925" spans="1:28">
      <c r="A1925" t="s">
        <v>1951</v>
      </c>
      <c r="B1925">
        <v>0.999739202189716</v>
      </c>
      <c r="C1925">
        <v>1.16739776748487</v>
      </c>
      <c r="D1925">
        <v>0.810053972165893</v>
      </c>
      <c r="E1925">
        <v>1.07434982221822</v>
      </c>
      <c r="F1925">
        <v>0.921575434162205</v>
      </c>
      <c r="G1925">
        <v>0.764721789637446</v>
      </c>
      <c r="H1925">
        <v>0.5965441950577129</v>
      </c>
      <c r="I1925">
        <v>0.519900908525517</v>
      </c>
      <c r="J1925">
        <v>0.446321254965499</v>
      </c>
      <c r="K1925">
        <v>0.467447204858029</v>
      </c>
      <c r="L1925">
        <v>1198.78252761108</v>
      </c>
      <c r="M1925">
        <v>21.9356704457812</v>
      </c>
      <c r="N1925">
        <v>61.0900441395623</v>
      </c>
      <c r="O1925">
        <v>54.2018054174161</v>
      </c>
      <c r="P1925">
        <v>-0.0555982823432041</v>
      </c>
      <c r="Q1925">
        <v>0.450491519586558</v>
      </c>
      <c r="R1925">
        <v>0.882731389552606</v>
      </c>
      <c r="S1925" t="s">
        <v>4118</v>
      </c>
      <c r="T1925" t="s">
        <v>4362</v>
      </c>
      <c r="U1925" t="s">
        <v>4362</v>
      </c>
      <c r="V1925" t="s">
        <v>4362</v>
      </c>
      <c r="W1925" t="s">
        <v>6282</v>
      </c>
      <c r="X1925">
        <v>5</v>
      </c>
      <c r="Y1925" t="s">
        <v>8446</v>
      </c>
      <c r="Z1925" t="s">
        <v>10613</v>
      </c>
      <c r="AA1925">
        <v>0.7794838724516278</v>
      </c>
      <c r="AB1925">
        <f>HYPERLINK("Melting_Curves/meltCurve_P76062_racR.pdf", "Melting_Curves/meltCurve_P76062_racR.pdf")</f>
        <v>0</v>
      </c>
    </row>
    <row r="1926" spans="1:28">
      <c r="A1926" t="s">
        <v>1952</v>
      </c>
      <c r="B1926">
        <v>0.999739202189716</v>
      </c>
      <c r="C1926">
        <v>1.13768606731434</v>
      </c>
      <c r="D1926">
        <v>0.512946365835762</v>
      </c>
      <c r="E1926">
        <v>1.1657767072465</v>
      </c>
      <c r="F1926">
        <v>0.753247870234122</v>
      </c>
      <c r="G1926">
        <v>0.655825321823547</v>
      </c>
      <c r="H1926">
        <v>0.8025697124176699</v>
      </c>
      <c r="I1926">
        <v>0.595916430478532</v>
      </c>
      <c r="J1926">
        <v>0.516022682781985</v>
      </c>
      <c r="K1926">
        <v>0.459502542927799</v>
      </c>
      <c r="L1926">
        <v>315.681740543624</v>
      </c>
      <c r="M1926">
        <v>4.77842107641959</v>
      </c>
      <c r="N1926">
        <v>66.0640286393777</v>
      </c>
      <c r="O1926">
        <v>57.0313520142475</v>
      </c>
      <c r="P1926">
        <v>-0.021096240033028</v>
      </c>
      <c r="Q1926">
        <v>0</v>
      </c>
      <c r="R1926">
        <v>0.483977463308277</v>
      </c>
      <c r="S1926" t="s">
        <v>4119</v>
      </c>
      <c r="T1926" t="s">
        <v>4362</v>
      </c>
      <c r="U1926" t="s">
        <v>4362</v>
      </c>
      <c r="V1926" t="s">
        <v>4362</v>
      </c>
      <c r="W1926" t="s">
        <v>6283</v>
      </c>
      <c r="X1926">
        <v>1</v>
      </c>
      <c r="Y1926" t="s">
        <v>8447</v>
      </c>
      <c r="Z1926" t="s">
        <v>10614</v>
      </c>
      <c r="AA1926">
        <v>0.7653855720265207</v>
      </c>
      <c r="AB1926">
        <f>HYPERLINK("Melting_Curves/meltCurve_P76063_ydaS.pdf", "Melting_Curves/meltCurve_P76063_ydaS.pdf")</f>
        <v>0</v>
      </c>
    </row>
    <row r="1927" spans="1:28">
      <c r="A1927" t="s">
        <v>1953</v>
      </c>
      <c r="B1927">
        <v>0.999739202189716</v>
      </c>
      <c r="C1927">
        <v>2.02985247177671</v>
      </c>
      <c r="D1927">
        <v>0.162453246145135</v>
      </c>
      <c r="E1927">
        <v>0.600116517424141</v>
      </c>
      <c r="F1927">
        <v>0.660950727877618</v>
      </c>
      <c r="G1927">
        <v>0.232595066026886</v>
      </c>
      <c r="H1927">
        <v>0.281685977746578</v>
      </c>
      <c r="I1927">
        <v>0.239148170318464</v>
      </c>
      <c r="J1927">
        <v>0.398817687923596</v>
      </c>
      <c r="K1927">
        <v>0.366637995914827</v>
      </c>
      <c r="L1927">
        <v>10382.9383935285</v>
      </c>
      <c r="M1927">
        <v>250</v>
      </c>
      <c r="N1927">
        <v>41.7538677619664</v>
      </c>
      <c r="O1927">
        <v>41.5290962804721</v>
      </c>
      <c r="P1927">
        <v>-0.951518592464685</v>
      </c>
      <c r="Q1927">
        <v>0.36774869196446</v>
      </c>
      <c r="R1927">
        <v>0.550483641682686</v>
      </c>
      <c r="S1927" t="s">
        <v>4120</v>
      </c>
      <c r="T1927" t="s">
        <v>4362</v>
      </c>
      <c r="U1927" t="s">
        <v>4362</v>
      </c>
      <c r="V1927" t="s">
        <v>4362</v>
      </c>
      <c r="W1927" t="s">
        <v>6284</v>
      </c>
      <c r="X1927">
        <v>1</v>
      </c>
      <c r="Y1927" t="s">
        <v>8448</v>
      </c>
      <c r="Z1927" t="s">
        <v>10615</v>
      </c>
      <c r="AA1927">
        <v>0.4633016793972561</v>
      </c>
      <c r="AB1927">
        <f>HYPERLINK("Melting_Curves/meltCurve_P76076_ydbL.pdf", "Melting_Curves/meltCurve_P76076_ydbL.pdf")</f>
        <v>0</v>
      </c>
    </row>
    <row r="1928" spans="1:28">
      <c r="A1928" t="s">
        <v>1954</v>
      </c>
      <c r="B1928">
        <v>0.999739202189716</v>
      </c>
      <c r="C1928">
        <v>0.882458375789903</v>
      </c>
      <c r="D1928">
        <v>0.581812768681775</v>
      </c>
      <c r="E1928">
        <v>0.505096060105414</v>
      </c>
      <c r="F1928">
        <v>0.337833537670294</v>
      </c>
      <c r="G1928">
        <v>0.180559056460993</v>
      </c>
      <c r="H1928">
        <v>0.130244309745115</v>
      </c>
      <c r="I1928">
        <v>0.105611891035244</v>
      </c>
      <c r="J1928">
        <v>0.115428095688836</v>
      </c>
      <c r="K1928">
        <v>0.125307908699445</v>
      </c>
      <c r="L1928">
        <v>545.162853585325</v>
      </c>
      <c r="M1928">
        <v>12.0617799587732</v>
      </c>
      <c r="N1928">
        <v>45.9187053374621</v>
      </c>
      <c r="O1928">
        <v>44.0089807881007</v>
      </c>
      <c r="P1928">
        <v>-0.0626215718130182</v>
      </c>
      <c r="Q1928">
        <v>0.0862839073422175</v>
      </c>
      <c r="R1928">
        <v>0.980451112677818</v>
      </c>
      <c r="S1928" t="s">
        <v>4121</v>
      </c>
      <c r="T1928" t="s">
        <v>4362</v>
      </c>
      <c r="U1928" t="s">
        <v>4362</v>
      </c>
      <c r="V1928" t="s">
        <v>4362</v>
      </c>
      <c r="W1928" t="s">
        <v>6285</v>
      </c>
      <c r="X1928">
        <v>3</v>
      </c>
      <c r="Y1928" t="s">
        <v>8449</v>
      </c>
      <c r="Z1928" t="s">
        <v>10616</v>
      </c>
      <c r="AA1928">
        <v>0.3685259929340622</v>
      </c>
      <c r="AB1928">
        <f>HYPERLINK("Melting_Curves/meltCurve_P76086_paaX.pdf", "Melting_Curves/meltCurve_P76086_paaX.pdf")</f>
        <v>0</v>
      </c>
    </row>
    <row r="1929" spans="1:28">
      <c r="A1929" t="s">
        <v>1955</v>
      </c>
      <c r="B1929">
        <v>0.999739202189716</v>
      </c>
      <c r="C1929">
        <v>0.7856454853150669</v>
      </c>
      <c r="D1929">
        <v>0.395787789673261</v>
      </c>
      <c r="E1929">
        <v>0.199098857928727</v>
      </c>
      <c r="F1929">
        <v>0.140526680566407</v>
      </c>
      <c r="G1929">
        <v>0.0995230718175107</v>
      </c>
      <c r="H1929">
        <v>0.0789582414599995</v>
      </c>
      <c r="I1929">
        <v>0.0577733996686914</v>
      </c>
      <c r="J1929">
        <v>0.0535997517349325</v>
      </c>
      <c r="K1929">
        <v>0.0450533696198073</v>
      </c>
      <c r="L1929">
        <v>928.2616093811</v>
      </c>
      <c r="M1929">
        <v>22.0901110522094</v>
      </c>
      <c r="N1929">
        <v>42.333161405227</v>
      </c>
      <c r="O1929">
        <v>41.6817762698032</v>
      </c>
      <c r="P1929">
        <v>-0.122555287909432</v>
      </c>
      <c r="Q1929">
        <v>0.07502346529221229</v>
      </c>
      <c r="R1929">
        <v>0.99303631454098</v>
      </c>
      <c r="S1929" t="s">
        <v>4122</v>
      </c>
      <c r="T1929" t="s">
        <v>4362</v>
      </c>
      <c r="U1929" t="s">
        <v>4362</v>
      </c>
      <c r="V1929" t="s">
        <v>4362</v>
      </c>
      <c r="W1929" t="s">
        <v>6286</v>
      </c>
      <c r="X1929">
        <v>11</v>
      </c>
      <c r="Y1929" t="s">
        <v>8450</v>
      </c>
      <c r="Z1929" t="s">
        <v>10617</v>
      </c>
      <c r="AA1929">
        <v>0.2408589563841142</v>
      </c>
      <c r="AB1929">
        <f>HYPERLINK("Melting_Curves/meltCurve_P76097_ydcJ.pdf", "Melting_Curves/meltCurve_P76097_ydcJ.pdf")</f>
        <v>0</v>
      </c>
    </row>
    <row r="1930" spans="1:28">
      <c r="A1930" t="s">
        <v>1956</v>
      </c>
      <c r="B1930">
        <v>0.999739202189716</v>
      </c>
      <c r="C1930">
        <v>1.0160987780281</v>
      </c>
      <c r="D1930">
        <v>1.02832975883978</v>
      </c>
      <c r="E1930">
        <v>0.946976376265346</v>
      </c>
      <c r="F1930">
        <v>0.791052712558188</v>
      </c>
      <c r="G1930">
        <v>0.54183728755685</v>
      </c>
      <c r="H1930">
        <v>0.291426513692526</v>
      </c>
      <c r="I1930">
        <v>0.193974151492775</v>
      </c>
      <c r="J1930">
        <v>0.134594063625861</v>
      </c>
      <c r="K1930">
        <v>0.13839906446876</v>
      </c>
      <c r="L1930">
        <v>1025.02369227947</v>
      </c>
      <c r="M1930">
        <v>19.1684047724257</v>
      </c>
      <c r="N1930">
        <v>54.1864531703551</v>
      </c>
      <c r="O1930">
        <v>52.9028569686291</v>
      </c>
      <c r="P1930">
        <v>-0.0805042531186109</v>
      </c>
      <c r="Q1930">
        <v>0.111300088355677</v>
      </c>
      <c r="R1930">
        <v>0.998343476984045</v>
      </c>
      <c r="S1930" t="s">
        <v>4123</v>
      </c>
      <c r="T1930" t="s">
        <v>4362</v>
      </c>
      <c r="U1930" t="s">
        <v>4362</v>
      </c>
      <c r="V1930" t="s">
        <v>4362</v>
      </c>
      <c r="W1930" t="s">
        <v>6287</v>
      </c>
      <c r="X1930">
        <v>3</v>
      </c>
      <c r="Y1930" t="s">
        <v>8451</v>
      </c>
      <c r="Z1930" t="s">
        <v>10618</v>
      </c>
      <c r="AA1930">
        <v>0.6109838926126834</v>
      </c>
      <c r="AB1930">
        <f>HYPERLINK("Melting_Curves/meltCurve_P76100_ydcK.pdf", "Melting_Curves/meltCurve_P76100_ydcK.pdf")</f>
        <v>0</v>
      </c>
    </row>
    <row r="1931" spans="1:28">
      <c r="A1931" t="s">
        <v>1957</v>
      </c>
      <c r="B1931">
        <v>0.999739202189716</v>
      </c>
      <c r="C1931">
        <v>0.99051480822506</v>
      </c>
      <c r="D1931">
        <v>0.886151712774317</v>
      </c>
      <c r="E1931">
        <v>0.9364556477898019</v>
      </c>
      <c r="F1931">
        <v>1.01196652597367</v>
      </c>
      <c r="G1931">
        <v>0.85535117435048</v>
      </c>
      <c r="H1931">
        <v>0.842545818286765</v>
      </c>
      <c r="I1931">
        <v>0.586997846831886</v>
      </c>
      <c r="J1931">
        <v>0.387272876263714</v>
      </c>
      <c r="K1931">
        <v>0.183280364503943</v>
      </c>
      <c r="L1931">
        <v>1094.19422201504</v>
      </c>
      <c r="M1931">
        <v>17.6082431336971</v>
      </c>
      <c r="N1931">
        <v>62.1410219253396</v>
      </c>
      <c r="O1931">
        <v>61.3561517886249</v>
      </c>
      <c r="P1931">
        <v>-0.0717498958721948</v>
      </c>
      <c r="Q1931">
        <v>0</v>
      </c>
      <c r="R1931">
        <v>0.963495871875265</v>
      </c>
      <c r="S1931" t="s">
        <v>4124</v>
      </c>
      <c r="T1931" t="s">
        <v>4362</v>
      </c>
      <c r="U1931" t="s">
        <v>4362</v>
      </c>
      <c r="V1931" t="s">
        <v>4362</v>
      </c>
      <c r="W1931" t="s">
        <v>6288</v>
      </c>
      <c r="X1931">
        <v>17</v>
      </c>
      <c r="Y1931" t="s">
        <v>8452</v>
      </c>
      <c r="Z1931" t="s">
        <v>10619</v>
      </c>
      <c r="AA1931">
        <v>0.8219531621584172</v>
      </c>
      <c r="AB1931">
        <f>HYPERLINK("Melting_Curves/meltCurve_P76108_ydcS.pdf", "Melting_Curves/meltCurve_P76108_ydcS.pdf")</f>
        <v>0</v>
      </c>
    </row>
    <row r="1932" spans="1:28">
      <c r="A1932" t="s">
        <v>1958</v>
      </c>
      <c r="B1932">
        <v>0.999739202189716</v>
      </c>
      <c r="C1932">
        <v>1.07612656087781</v>
      </c>
      <c r="D1932">
        <v>1.02410471075507</v>
      </c>
      <c r="E1932">
        <v>1.02290010209557</v>
      </c>
      <c r="F1932">
        <v>0.992295856859042</v>
      </c>
      <c r="G1932">
        <v>0.908418382171714</v>
      </c>
      <c r="H1932">
        <v>0.431480541304161</v>
      </c>
      <c r="I1932">
        <v>0.0570795068021704</v>
      </c>
      <c r="J1932">
        <v>0.0438972316017896</v>
      </c>
      <c r="K1932">
        <v>0.0366371251659822</v>
      </c>
      <c r="L1932">
        <v>2393.40672764359</v>
      </c>
      <c r="M1932">
        <v>42.070794513404</v>
      </c>
      <c r="N1932">
        <v>56.9628016389059</v>
      </c>
      <c r="O1932">
        <v>56.761896367185</v>
      </c>
      <c r="P1932">
        <v>-0.180444467825299</v>
      </c>
      <c r="Q1932">
        <v>0.0261792979868653</v>
      </c>
      <c r="R1932">
        <v>0.995899452581843</v>
      </c>
      <c r="S1932" t="s">
        <v>4125</v>
      </c>
      <c r="T1932" t="s">
        <v>4362</v>
      </c>
      <c r="U1932" t="s">
        <v>4362</v>
      </c>
      <c r="V1932" t="s">
        <v>4362</v>
      </c>
      <c r="W1932" t="s">
        <v>6289</v>
      </c>
      <c r="X1932">
        <v>9</v>
      </c>
      <c r="Y1932" t="s">
        <v>8453</v>
      </c>
      <c r="Z1932" t="s">
        <v>10620</v>
      </c>
      <c r="AA1932">
        <v>0.675168652127327</v>
      </c>
      <c r="AB1932">
        <f>HYPERLINK("Melting_Curves/meltCurve_P76113_curA.pdf", "Melting_Curves/meltCurve_P76113_curA.pdf")</f>
        <v>0</v>
      </c>
    </row>
    <row r="1933" spans="1:28">
      <c r="A1933" t="s">
        <v>1959</v>
      </c>
      <c r="B1933">
        <v>0.999739202189716</v>
      </c>
      <c r="C1933">
        <v>0.961227300351457</v>
      </c>
      <c r="D1933">
        <v>0.382554951678861</v>
      </c>
      <c r="E1933">
        <v>0.504575289672107</v>
      </c>
      <c r="F1933">
        <v>0.332903298442338</v>
      </c>
      <c r="G1933">
        <v>0.242216052091341</v>
      </c>
      <c r="H1933">
        <v>0.164595816106302</v>
      </c>
      <c r="I1933">
        <v>0.104107754917678</v>
      </c>
      <c r="J1933">
        <v>0.112730175277128</v>
      </c>
      <c r="K1933">
        <v>0.0772243273522574</v>
      </c>
      <c r="L1933">
        <v>523.106772650165</v>
      </c>
      <c r="M1933">
        <v>11.7860680517934</v>
      </c>
      <c r="N1933">
        <v>45.2210416426294</v>
      </c>
      <c r="O1933">
        <v>43.1635820298712</v>
      </c>
      <c r="P1933">
        <v>-0.0615861986874196</v>
      </c>
      <c r="Q1933">
        <v>0.09805577134571671</v>
      </c>
      <c r="R1933">
        <v>0.899542124945504</v>
      </c>
      <c r="S1933" t="s">
        <v>4126</v>
      </c>
      <c r="T1933" t="s">
        <v>4362</v>
      </c>
      <c r="U1933" t="s">
        <v>4362</v>
      </c>
      <c r="V1933" t="s">
        <v>4362</v>
      </c>
      <c r="W1933" t="s">
        <v>6290</v>
      </c>
      <c r="X1933">
        <v>1</v>
      </c>
      <c r="Y1933" t="s">
        <v>8454</v>
      </c>
      <c r="Z1933" t="s">
        <v>10621</v>
      </c>
      <c r="AA1933">
        <v>0.3551965313232465</v>
      </c>
      <c r="AB1933">
        <f>HYPERLINK("Melting_Curves/meltCurve_P76114_mcbR.pdf", "Melting_Curves/meltCurve_P76114_mcbR.pdf")</f>
        <v>0</v>
      </c>
    </row>
    <row r="1934" spans="1:28">
      <c r="A1934" t="s">
        <v>1960</v>
      </c>
      <c r="B1934">
        <v>0.999739202189716</v>
      </c>
      <c r="C1934">
        <v>1.22969559335351</v>
      </c>
      <c r="D1934">
        <v>0.634591176131036</v>
      </c>
      <c r="E1934">
        <v>1.01241100502119</v>
      </c>
      <c r="F1934">
        <v>0.86825519647377</v>
      </c>
      <c r="G1934">
        <v>0.556699406333412</v>
      </c>
      <c r="H1934">
        <v>0.394431809837327</v>
      </c>
      <c r="I1934">
        <v>0.373527524276978</v>
      </c>
      <c r="J1934">
        <v>0.449747058025387</v>
      </c>
      <c r="K1934">
        <v>0.377899338216602</v>
      </c>
      <c r="L1934">
        <v>1802.97294508655</v>
      </c>
      <c r="M1934">
        <v>34.5842057785823</v>
      </c>
      <c r="N1934">
        <v>54.5678918712593</v>
      </c>
      <c r="O1934">
        <v>51.9594503074303</v>
      </c>
      <c r="P1934">
        <v>-0.100978203057032</v>
      </c>
      <c r="Q1934">
        <v>0.393161888318685</v>
      </c>
      <c r="R1934">
        <v>0.784493917111874</v>
      </c>
      <c r="S1934" t="s">
        <v>4127</v>
      </c>
      <c r="T1934" t="s">
        <v>4362</v>
      </c>
      <c r="U1934" t="s">
        <v>4362</v>
      </c>
      <c r="V1934" t="s">
        <v>4362</v>
      </c>
      <c r="W1934" t="s">
        <v>6291</v>
      </c>
      <c r="X1934">
        <v>1</v>
      </c>
      <c r="Y1934" t="s">
        <v>8455</v>
      </c>
      <c r="Z1934" t="s">
        <v>10622</v>
      </c>
      <c r="AA1934">
        <v>0.7021777290477111</v>
      </c>
      <c r="AB1934">
        <f>HYPERLINK("Melting_Curves/meltCurve_P76115_yncD.pdf", "Melting_Curves/meltCurve_P76115_yncD.pdf")</f>
        <v>0</v>
      </c>
    </row>
    <row r="1935" spans="1:28">
      <c r="A1935" t="s">
        <v>1961</v>
      </c>
      <c r="B1935">
        <v>0.999739202189716</v>
      </c>
      <c r="C1935">
        <v>0.978045928043216</v>
      </c>
      <c r="D1935">
        <v>0.976444095491992</v>
      </c>
      <c r="E1935">
        <v>0.949734402379251</v>
      </c>
      <c r="F1935">
        <v>0.955206520269544</v>
      </c>
      <c r="G1935">
        <v>0.711148544766722</v>
      </c>
      <c r="H1935">
        <v>0.466813795349938</v>
      </c>
      <c r="I1935">
        <v>0.187799342336911</v>
      </c>
      <c r="J1935">
        <v>0.124794739855149</v>
      </c>
      <c r="K1935">
        <v>0.0849974119690705</v>
      </c>
      <c r="L1935">
        <v>1124.2774476892</v>
      </c>
      <c r="M1935">
        <v>19.9251745143857</v>
      </c>
      <c r="N1935">
        <v>56.6543595452513</v>
      </c>
      <c r="O1935">
        <v>55.8658332154254</v>
      </c>
      <c r="P1935">
        <v>-0.08571279362093701</v>
      </c>
      <c r="Q1935">
        <v>0.0387518435717305</v>
      </c>
      <c r="R1935">
        <v>0.996071012997962</v>
      </c>
      <c r="S1935" t="s">
        <v>4128</v>
      </c>
      <c r="T1935" t="s">
        <v>4362</v>
      </c>
      <c r="U1935" t="s">
        <v>4362</v>
      </c>
      <c r="V1935" t="s">
        <v>4362</v>
      </c>
      <c r="W1935" t="s">
        <v>6292</v>
      </c>
      <c r="X1935">
        <v>12</v>
      </c>
      <c r="Y1935" t="s">
        <v>8456</v>
      </c>
      <c r="Z1935" t="s">
        <v>10623</v>
      </c>
      <c r="AA1935">
        <v>0.6705088737387358</v>
      </c>
      <c r="AB1935">
        <f>HYPERLINK("Melting_Curves/meltCurve_P76116_yncE.pdf", "Melting_Curves/meltCurve_P76116_yncE.pdf")</f>
        <v>0</v>
      </c>
    </row>
    <row r="1936" spans="1:28">
      <c r="A1936" t="s">
        <v>1962</v>
      </c>
      <c r="B1936">
        <v>0.999739202189716</v>
      </c>
      <c r="C1936">
        <v>0.625272679144828</v>
      </c>
      <c r="D1936">
        <v>0.645693925835799</v>
      </c>
      <c r="E1936">
        <v>0.373293400087586</v>
      </c>
      <c r="F1936">
        <v>0.213191038302115</v>
      </c>
      <c r="G1936">
        <v>0.116452871515523</v>
      </c>
      <c r="H1936">
        <v>0.0842584208631882</v>
      </c>
      <c r="I1936">
        <v>0.0589595564090883</v>
      </c>
      <c r="J1936">
        <v>0.0431096928182499</v>
      </c>
      <c r="K1936">
        <v>0.0495046824838036</v>
      </c>
      <c r="L1936">
        <v>486.508631286399</v>
      </c>
      <c r="M1936">
        <v>11.026903422483</v>
      </c>
      <c r="N1936">
        <v>44.2381199616755</v>
      </c>
      <c r="O1936">
        <v>42.743590272917</v>
      </c>
      <c r="P1936">
        <v>-0.0635813344427146</v>
      </c>
      <c r="Q1936">
        <v>0.0144875294414873</v>
      </c>
      <c r="R1936">
        <v>0.963619159882334</v>
      </c>
      <c r="S1936" t="s">
        <v>4129</v>
      </c>
      <c r="T1936" t="s">
        <v>4362</v>
      </c>
      <c r="U1936" t="s">
        <v>4362</v>
      </c>
      <c r="V1936" t="s">
        <v>4362</v>
      </c>
      <c r="W1936" t="s">
        <v>6293</v>
      </c>
      <c r="X1936">
        <v>1</v>
      </c>
      <c r="Y1936" t="s">
        <v>8457</v>
      </c>
      <c r="Z1936" t="s">
        <v>10624</v>
      </c>
      <c r="AA1936">
        <v>0.2924591097885866</v>
      </c>
      <c r="AB1936">
        <f>HYPERLINK("Melting_Curves/meltCurve_P76117_yncG.pdf", "Melting_Curves/meltCurve_P76117_yncG.pdf")</f>
        <v>0</v>
      </c>
    </row>
    <row r="1937" spans="1:28">
      <c r="A1937" t="s">
        <v>1963</v>
      </c>
      <c r="B1937">
        <v>0.999739202189716</v>
      </c>
      <c r="C1937">
        <v>0.679873383880173</v>
      </c>
      <c r="D1937">
        <v>1.13456421819513</v>
      </c>
      <c r="E1937">
        <v>0.774525933760974</v>
      </c>
      <c r="F1937">
        <v>0.890623498990714</v>
      </c>
      <c r="G1937">
        <v>0.737177038434855</v>
      </c>
      <c r="H1937">
        <v>0.678604038680667</v>
      </c>
      <c r="I1937">
        <v>0.667497846748485</v>
      </c>
      <c r="J1937">
        <v>0.57564115103683</v>
      </c>
      <c r="K1937">
        <v>0.30569578093065</v>
      </c>
      <c r="L1937">
        <v>368.317686013716</v>
      </c>
      <c r="M1937">
        <v>5.71311270594776</v>
      </c>
      <c r="N1937">
        <v>64.46882898426669</v>
      </c>
      <c r="O1937">
        <v>57.8779678896878</v>
      </c>
      <c r="P1937">
        <v>-0.0247725008849633</v>
      </c>
      <c r="Q1937">
        <v>0</v>
      </c>
      <c r="R1937">
        <v>0.6383814860220181</v>
      </c>
      <c r="S1937" t="s">
        <v>4130</v>
      </c>
      <c r="T1937" t="s">
        <v>4362</v>
      </c>
      <c r="U1937" t="s">
        <v>4362</v>
      </c>
      <c r="V1937" t="s">
        <v>4362</v>
      </c>
      <c r="W1937" t="s">
        <v>6294</v>
      </c>
      <c r="X1937">
        <v>7</v>
      </c>
      <c r="Y1937" t="s">
        <v>8458</v>
      </c>
      <c r="Z1937" t="s">
        <v>10625</v>
      </c>
      <c r="AA1937">
        <v>0.7673372641691665</v>
      </c>
      <c r="AB1937">
        <f>HYPERLINK("Melting_Curves/meltCurve_P76121_yddH.pdf", "Melting_Curves/meltCurve_P76121_yddH.pdf")</f>
        <v>0</v>
      </c>
    </row>
    <row r="1938" spans="1:28">
      <c r="A1938" t="s">
        <v>1964</v>
      </c>
      <c r="B1938">
        <v>0.999739202189716</v>
      </c>
      <c r="C1938">
        <v>1.10135267327766</v>
      </c>
      <c r="D1938">
        <v>0.960212771956985</v>
      </c>
      <c r="E1938">
        <v>0.328564728490514</v>
      </c>
      <c r="F1938">
        <v>0.14871829191694</v>
      </c>
      <c r="G1938">
        <v>0.0914498425212155</v>
      </c>
      <c r="H1938">
        <v>0.0604761891375961</v>
      </c>
      <c r="I1938">
        <v>0.0444204943001864</v>
      </c>
      <c r="J1938">
        <v>0.0456017420063618</v>
      </c>
      <c r="K1938">
        <v>0.0446488946699208</v>
      </c>
      <c r="L1938">
        <v>2076.57194993532</v>
      </c>
      <c r="M1938">
        <v>45.4635208309967</v>
      </c>
      <c r="N1938">
        <v>45.8246056328923</v>
      </c>
      <c r="O1938">
        <v>45.5874325513669</v>
      </c>
      <c r="P1938">
        <v>-0.232185051252877</v>
      </c>
      <c r="Q1938">
        <v>0.0687291948772383</v>
      </c>
      <c r="R1938">
        <v>0.990541780999652</v>
      </c>
      <c r="S1938" t="s">
        <v>4131</v>
      </c>
      <c r="T1938" t="s">
        <v>4362</v>
      </c>
      <c r="U1938" t="s">
        <v>4362</v>
      </c>
      <c r="V1938" t="s">
        <v>4362</v>
      </c>
      <c r="W1938" t="s">
        <v>6295</v>
      </c>
      <c r="X1938">
        <v>15</v>
      </c>
      <c r="Y1938" t="s">
        <v>8459</v>
      </c>
      <c r="Z1938" t="s">
        <v>10626</v>
      </c>
      <c r="AA1938">
        <v>0.3403117104120765</v>
      </c>
      <c r="AB1938">
        <f>HYPERLINK("Melting_Curves/meltCurve_P76128_ddpA.pdf", "Melting_Curves/meltCurve_P76128_ddpA.pdf")</f>
        <v>0</v>
      </c>
    </row>
    <row r="1939" spans="1:28">
      <c r="A1939" t="s">
        <v>1965</v>
      </c>
      <c r="B1939">
        <v>0.999739202189716</v>
      </c>
      <c r="C1939">
        <v>0.8400060848251369</v>
      </c>
      <c r="D1939">
        <v>0.69695864247257</v>
      </c>
      <c r="E1939">
        <v>0.837653471798143</v>
      </c>
      <c r="F1939">
        <v>0.671447417335837</v>
      </c>
      <c r="G1939">
        <v>0.559451504189296</v>
      </c>
      <c r="H1939">
        <v>0.480416376540839</v>
      </c>
      <c r="I1939">
        <v>0.385089495543663</v>
      </c>
      <c r="J1939">
        <v>0.238405770102154</v>
      </c>
      <c r="K1939">
        <v>0.327366109936557</v>
      </c>
      <c r="L1939">
        <v>298.466714556683</v>
      </c>
      <c r="M1939">
        <v>5.35716331722451</v>
      </c>
      <c r="N1939">
        <v>55.7135700878472</v>
      </c>
      <c r="O1939">
        <v>49.3760976047682</v>
      </c>
      <c r="P1939">
        <v>-0.0272552548810306</v>
      </c>
      <c r="Q1939">
        <v>0</v>
      </c>
      <c r="R1939">
        <v>0.91839404005618</v>
      </c>
      <c r="S1939" t="s">
        <v>4132</v>
      </c>
      <c r="T1939" t="s">
        <v>4362</v>
      </c>
      <c r="U1939" t="s">
        <v>4362</v>
      </c>
      <c r="V1939" t="s">
        <v>4362</v>
      </c>
      <c r="W1939" t="s">
        <v>6296</v>
      </c>
      <c r="X1939">
        <v>3</v>
      </c>
      <c r="Y1939" t="s">
        <v>8460</v>
      </c>
      <c r="Z1939" t="s">
        <v>10627</v>
      </c>
      <c r="AA1939">
        <v>0.6044605966846203</v>
      </c>
      <c r="AB1939">
        <f>HYPERLINK("Melting_Curves/meltCurve_P76141_lsrR.pdf", "Melting_Curves/meltCurve_P76141_lsrR.pdf")</f>
        <v>0</v>
      </c>
    </row>
    <row r="1940" spans="1:28">
      <c r="A1940" t="s">
        <v>1966</v>
      </c>
      <c r="B1940">
        <v>0.999739202189716</v>
      </c>
      <c r="C1940">
        <v>0.983850378581577</v>
      </c>
      <c r="D1940">
        <v>0.979358491774778</v>
      </c>
      <c r="E1940">
        <v>0.939910764007456</v>
      </c>
      <c r="F1940">
        <v>0.987975819768011</v>
      </c>
      <c r="G1940">
        <v>0.835419044043626</v>
      </c>
      <c r="H1940">
        <v>0.476163711000668</v>
      </c>
      <c r="I1940">
        <v>0.197398098329742</v>
      </c>
      <c r="J1940">
        <v>0.147873142107557</v>
      </c>
      <c r="K1940">
        <v>0.09167295897956</v>
      </c>
      <c r="L1940">
        <v>1573.5871418512</v>
      </c>
      <c r="M1940">
        <v>27.7308768667525</v>
      </c>
      <c r="N1940">
        <v>57.1617186159167</v>
      </c>
      <c r="O1940">
        <v>56.4523196534744</v>
      </c>
      <c r="P1940">
        <v>-0.111567208187421</v>
      </c>
      <c r="Q1940">
        <v>0.0915294087776609</v>
      </c>
      <c r="R1940">
        <v>0.99648298575783</v>
      </c>
      <c r="S1940" t="s">
        <v>4133</v>
      </c>
      <c r="T1940" t="s">
        <v>4362</v>
      </c>
      <c r="U1940" t="s">
        <v>4362</v>
      </c>
      <c r="V1940" t="s">
        <v>4362</v>
      </c>
      <c r="W1940" t="s">
        <v>6297</v>
      </c>
      <c r="X1940">
        <v>10</v>
      </c>
      <c r="Y1940" t="s">
        <v>8461</v>
      </c>
      <c r="Z1940" t="s">
        <v>10628</v>
      </c>
      <c r="AA1940">
        <v>0.6955903582728792</v>
      </c>
      <c r="AB1940">
        <f>HYPERLINK("Melting_Curves/meltCurve_P76142_lsrB.pdf", "Melting_Curves/meltCurve_P76142_lsrB.pdf")</f>
        <v>0</v>
      </c>
    </row>
    <row r="1941" spans="1:28">
      <c r="A1941" t="s">
        <v>1967</v>
      </c>
      <c r="B1941">
        <v>0.999739202189716</v>
      </c>
      <c r="C1941">
        <v>1.09566205078493</v>
      </c>
      <c r="D1941">
        <v>1.22147813051042</v>
      </c>
      <c r="E1941">
        <v>1.1895769936583</v>
      </c>
      <c r="F1941">
        <v>0.953819526451795</v>
      </c>
      <c r="G1941">
        <v>1.14059071305439</v>
      </c>
      <c r="H1941">
        <v>0.5767012850772411</v>
      </c>
      <c r="I1941">
        <v>0.545181155240389</v>
      </c>
      <c r="J1941">
        <v>0.510652550906866</v>
      </c>
      <c r="K1941">
        <v>0.422854604813226</v>
      </c>
      <c r="L1941">
        <v>14257.0362879189</v>
      </c>
      <c r="M1941">
        <v>250</v>
      </c>
      <c r="N1941">
        <v>58.0153235550185</v>
      </c>
      <c r="O1941">
        <v>57.0244950355948</v>
      </c>
      <c r="P1941">
        <v>-0.555796234008813</v>
      </c>
      <c r="Q1941">
        <v>0.492896001037465</v>
      </c>
      <c r="R1941">
        <v>0.861313292481134</v>
      </c>
      <c r="S1941" t="s">
        <v>4134</v>
      </c>
      <c r="T1941" t="s">
        <v>4362</v>
      </c>
      <c r="U1941" t="s">
        <v>4362</v>
      </c>
      <c r="V1941" t="s">
        <v>4362</v>
      </c>
      <c r="W1941" t="s">
        <v>6298</v>
      </c>
      <c r="X1941">
        <v>13</v>
      </c>
      <c r="Y1941" t="s">
        <v>8462</v>
      </c>
      <c r="Z1941" t="s">
        <v>10629</v>
      </c>
      <c r="AA1941">
        <v>0.8314918370580843</v>
      </c>
      <c r="AB1941">
        <f>HYPERLINK("Melting_Curves/meltCurve_P76143_lsrF.pdf", "Melting_Curves/meltCurve_P76143_lsrF.pdf")</f>
        <v>0</v>
      </c>
    </row>
    <row r="1942" spans="1:28">
      <c r="A1942" t="s">
        <v>1968</v>
      </c>
      <c r="B1942">
        <v>0.999739202189716</v>
      </c>
      <c r="C1942">
        <v>1.00113008926035</v>
      </c>
      <c r="D1942">
        <v>0.925762871496236</v>
      </c>
      <c r="E1942">
        <v>0.940448959493502</v>
      </c>
      <c r="F1942">
        <v>0.799824629512928</v>
      </c>
      <c r="G1942">
        <v>0.436081303925673</v>
      </c>
      <c r="H1942">
        <v>0.150774248948513</v>
      </c>
      <c r="I1942">
        <v>0.114830317954054</v>
      </c>
      <c r="J1942">
        <v>0.100425573731908</v>
      </c>
      <c r="K1942">
        <v>0.0959752748672662</v>
      </c>
      <c r="L1942">
        <v>1346.01205471482</v>
      </c>
      <c r="M1942">
        <v>25.5583813690226</v>
      </c>
      <c r="N1942">
        <v>53.0441972932987</v>
      </c>
      <c r="O1942">
        <v>52.3449876823787</v>
      </c>
      <c r="P1942">
        <v>-0.111857156401764</v>
      </c>
      <c r="Q1942">
        <v>0.08365265680716701</v>
      </c>
      <c r="R1942">
        <v>0.995257542147317</v>
      </c>
      <c r="S1942" t="s">
        <v>4135</v>
      </c>
      <c r="T1942" t="s">
        <v>4362</v>
      </c>
      <c r="U1942" t="s">
        <v>4362</v>
      </c>
      <c r="V1942" t="s">
        <v>4362</v>
      </c>
      <c r="W1942" t="s">
        <v>6299</v>
      </c>
      <c r="X1942">
        <v>1</v>
      </c>
      <c r="Y1942" t="s">
        <v>8463</v>
      </c>
      <c r="Z1942" t="s">
        <v>10630</v>
      </c>
      <c r="AA1942">
        <v>0.5699176595311777</v>
      </c>
      <c r="AB1942">
        <f>HYPERLINK("Melting_Curves/meltCurve_P76145_tam.pdf", "Melting_Curves/meltCurve_P76145_tam.pdf")</f>
        <v>0</v>
      </c>
    </row>
    <row r="1943" spans="1:28">
      <c r="A1943" t="s">
        <v>1969</v>
      </c>
      <c r="B1943">
        <v>0.999739202189716</v>
      </c>
      <c r="C1943">
        <v>0.886777398296154</v>
      </c>
      <c r="D1943">
        <v>0.431051924347146</v>
      </c>
      <c r="E1943">
        <v>0.172348743842537</v>
      </c>
      <c r="F1943">
        <v>0.106642799492743</v>
      </c>
      <c r="G1943">
        <v>0.0680597524107958</v>
      </c>
      <c r="H1943">
        <v>0.0522239838898744</v>
      </c>
      <c r="I1943">
        <v>0.0417009568278348</v>
      </c>
      <c r="J1943">
        <v>0.0473343910156372</v>
      </c>
      <c r="K1943">
        <v>0.0435563467315431</v>
      </c>
      <c r="L1943">
        <v>1155.75165772816</v>
      </c>
      <c r="M1943">
        <v>27.1931717880856</v>
      </c>
      <c r="N1943">
        <v>42.7023068957872</v>
      </c>
      <c r="O1943">
        <v>42.2736889195344</v>
      </c>
      <c r="P1943">
        <v>-0.151166577644468</v>
      </c>
      <c r="Q1943">
        <v>0.060012979245349</v>
      </c>
      <c r="R1943">
        <v>0.996299493510661</v>
      </c>
      <c r="S1943" t="s">
        <v>4136</v>
      </c>
      <c r="T1943" t="s">
        <v>4362</v>
      </c>
      <c r="U1943" t="s">
        <v>4362</v>
      </c>
      <c r="V1943" t="s">
        <v>4362</v>
      </c>
      <c r="W1943" t="s">
        <v>6300</v>
      </c>
      <c r="X1943">
        <v>8</v>
      </c>
      <c r="Y1943" t="s">
        <v>8464</v>
      </c>
      <c r="Z1943" t="s">
        <v>10631</v>
      </c>
      <c r="AA1943">
        <v>0.2390332756116549</v>
      </c>
      <c r="AB1943">
        <f>HYPERLINK("Melting_Curves/meltCurve_P76149_sad.pdf", "Melting_Curves/meltCurve_P76149_sad.pdf")</f>
        <v>0</v>
      </c>
    </row>
    <row r="1944" spans="1:28">
      <c r="A1944" t="s">
        <v>1970</v>
      </c>
      <c r="B1944">
        <v>0.999739202189716</v>
      </c>
      <c r="C1944">
        <v>1.15245937179918</v>
      </c>
      <c r="D1944">
        <v>0.816905312094242</v>
      </c>
      <c r="E1944">
        <v>1.00314209286724</v>
      </c>
      <c r="F1944">
        <v>0.892743319308298</v>
      </c>
      <c r="G1944">
        <v>0.757150487396118</v>
      </c>
      <c r="H1944">
        <v>0.493364362118432</v>
      </c>
      <c r="I1944">
        <v>0.472813514401496</v>
      </c>
      <c r="J1944">
        <v>0.452665286181564</v>
      </c>
      <c r="K1944">
        <v>0.526369164409634</v>
      </c>
      <c r="L1944">
        <v>1551.21511637928</v>
      </c>
      <c r="M1944">
        <v>28.9555050150529</v>
      </c>
      <c r="N1944">
        <v>59.2993175425621</v>
      </c>
      <c r="O1944">
        <v>53.3188005664147</v>
      </c>
      <c r="P1944">
        <v>-0.0720262409028801</v>
      </c>
      <c r="Q1944">
        <v>0.469486175484397</v>
      </c>
      <c r="R1944">
        <v>0.889874251666172</v>
      </c>
      <c r="S1944" t="s">
        <v>4137</v>
      </c>
      <c r="T1944" t="s">
        <v>4362</v>
      </c>
      <c r="U1944" t="s">
        <v>4362</v>
      </c>
      <c r="V1944" t="s">
        <v>4362</v>
      </c>
      <c r="W1944" t="s">
        <v>6301</v>
      </c>
      <c r="X1944">
        <v>1</v>
      </c>
      <c r="Y1944" t="s">
        <v>8465</v>
      </c>
      <c r="Z1944" t="s">
        <v>10632</v>
      </c>
      <c r="AA1944">
        <v>0.7661600244906007</v>
      </c>
      <c r="AB1944">
        <f>HYPERLINK("Melting_Curves/meltCurve_P76172_ynfD.pdf", "Melting_Curves/meltCurve_P76172_ynfD.pdf")</f>
        <v>0</v>
      </c>
    </row>
    <row r="1945" spans="1:28">
      <c r="A1945" t="s">
        <v>1971</v>
      </c>
      <c r="B1945">
        <v>0.999739202189716</v>
      </c>
      <c r="C1945">
        <v>1.28843158066919</v>
      </c>
      <c r="D1945">
        <v>0.76486511886106</v>
      </c>
      <c r="E1945">
        <v>0.752704240070737</v>
      </c>
      <c r="F1945">
        <v>0.513073876805905</v>
      </c>
      <c r="G1945">
        <v>0.434474594099617</v>
      </c>
      <c r="H1945">
        <v>0.356033225914953</v>
      </c>
      <c r="I1945">
        <v>0.23960922982865</v>
      </c>
      <c r="J1945">
        <v>0.191836682698093</v>
      </c>
      <c r="K1945">
        <v>0.150064169713858</v>
      </c>
      <c r="L1945">
        <v>621.212189968453</v>
      </c>
      <c r="M1945">
        <v>12.4442955814719</v>
      </c>
      <c r="N1945">
        <v>51.4597464964096</v>
      </c>
      <c r="O1945">
        <v>48.6829236498549</v>
      </c>
      <c r="P1945">
        <v>-0.0539795435293593</v>
      </c>
      <c r="Q1945">
        <v>0.155490352611939</v>
      </c>
      <c r="R1945">
        <v>0.895569823066639</v>
      </c>
      <c r="S1945" t="s">
        <v>4138</v>
      </c>
      <c r="T1945" t="s">
        <v>4362</v>
      </c>
      <c r="U1945" t="s">
        <v>4362</v>
      </c>
      <c r="V1945" t="s">
        <v>4362</v>
      </c>
      <c r="W1945" t="s">
        <v>6302</v>
      </c>
      <c r="X1945">
        <v>1</v>
      </c>
      <c r="Y1945" t="s">
        <v>8466</v>
      </c>
      <c r="Z1945" t="s">
        <v>10633</v>
      </c>
      <c r="AA1945">
        <v>0.5419215497986876</v>
      </c>
      <c r="AB1945">
        <f>HYPERLINK("Melting_Curves/meltCurve_P76173_ynfH.pdf", "Melting_Curves/meltCurve_P76173_ynfH.pdf")</f>
        <v>0</v>
      </c>
    </row>
    <row r="1946" spans="1:28">
      <c r="A1946" t="s">
        <v>1972</v>
      </c>
      <c r="B1946">
        <v>0.999739202189716</v>
      </c>
      <c r="C1946">
        <v>0.974454473418699</v>
      </c>
      <c r="D1946">
        <v>0.986119594026706</v>
      </c>
      <c r="E1946">
        <v>1.10098623354767</v>
      </c>
      <c r="F1946">
        <v>0.950113406883459</v>
      </c>
      <c r="G1946">
        <v>0.787729606016603</v>
      </c>
      <c r="H1946">
        <v>0.536308886552237</v>
      </c>
      <c r="I1946">
        <v>0.388539549185082</v>
      </c>
      <c r="J1946">
        <v>0.316080980085207</v>
      </c>
      <c r="K1946">
        <v>0.342243956887264</v>
      </c>
      <c r="L1946">
        <v>1422.38547864436</v>
      </c>
      <c r="M1946">
        <v>25.585787820371</v>
      </c>
      <c r="N1946">
        <v>57.8832420206679</v>
      </c>
      <c r="O1946">
        <v>55.2565432543599</v>
      </c>
      <c r="P1946">
        <v>-0.0789101491914135</v>
      </c>
      <c r="Q1946">
        <v>0.318332927111435</v>
      </c>
      <c r="R1946">
        <v>0.984804176800426</v>
      </c>
      <c r="S1946" t="s">
        <v>4139</v>
      </c>
      <c r="T1946" t="s">
        <v>4362</v>
      </c>
      <c r="U1946" t="s">
        <v>4362</v>
      </c>
      <c r="V1946" t="s">
        <v>4362</v>
      </c>
      <c r="W1946" t="s">
        <v>6303</v>
      </c>
      <c r="X1946">
        <v>4</v>
      </c>
      <c r="Y1946" t="s">
        <v>8467</v>
      </c>
      <c r="Z1946" t="s">
        <v>10634</v>
      </c>
      <c r="AA1946">
        <v>0.7462763783101922</v>
      </c>
      <c r="AB1946">
        <f>HYPERLINK("Melting_Curves/meltCurve_P76176_ydgD.pdf", "Melting_Curves/meltCurve_P76176_ydgD.pdf")</f>
        <v>0</v>
      </c>
    </row>
    <row r="1947" spans="1:28">
      <c r="A1947" t="s">
        <v>1973</v>
      </c>
      <c r="B1947">
        <v>0.999739202189716</v>
      </c>
      <c r="C1947">
        <v>0.904984960793632</v>
      </c>
      <c r="D1947">
        <v>1.0958277194143</v>
      </c>
      <c r="E1947">
        <v>0.955893214845954</v>
      </c>
      <c r="F1947">
        <v>1.07809553718508</v>
      </c>
      <c r="G1947">
        <v>0.745820764884783</v>
      </c>
      <c r="H1947">
        <v>0.356721710256398</v>
      </c>
      <c r="I1947">
        <v>0.141555181832657</v>
      </c>
      <c r="J1947">
        <v>0.108408041532486</v>
      </c>
      <c r="K1947">
        <v>0.07392782786285371</v>
      </c>
      <c r="L1947">
        <v>1782.34539109185</v>
      </c>
      <c r="M1947">
        <v>31.9921857296596</v>
      </c>
      <c r="N1947">
        <v>56.0418852062717</v>
      </c>
      <c r="O1947">
        <v>55.4955719887023</v>
      </c>
      <c r="P1947">
        <v>-0.131748804286459</v>
      </c>
      <c r="Q1947">
        <v>0.08584692409412389</v>
      </c>
      <c r="R1947">
        <v>0.980185744139095</v>
      </c>
      <c r="S1947" t="s">
        <v>4140</v>
      </c>
      <c r="T1947" t="s">
        <v>4362</v>
      </c>
      <c r="U1947" t="s">
        <v>4362</v>
      </c>
      <c r="V1947" t="s">
        <v>4362</v>
      </c>
      <c r="W1947" t="s">
        <v>6304</v>
      </c>
      <c r="X1947">
        <v>16</v>
      </c>
      <c r="Y1947" t="s">
        <v>8468</v>
      </c>
      <c r="Z1947" t="s">
        <v>10635</v>
      </c>
      <c r="AA1947">
        <v>0.6611852697603787</v>
      </c>
      <c r="AB1947">
        <f>HYPERLINK("Melting_Curves/meltCurve_P76177_ydgH.pdf", "Melting_Curves/meltCurve_P76177_ydgH.pdf")</f>
        <v>0</v>
      </c>
    </row>
    <row r="1948" spans="1:28">
      <c r="A1948" t="s">
        <v>1974</v>
      </c>
      <c r="B1948">
        <v>0.999739202189716</v>
      </c>
      <c r="C1948">
        <v>0.977094269643378</v>
      </c>
      <c r="D1948">
        <v>0.967019992469872</v>
      </c>
      <c r="E1948">
        <v>0.883557743433227</v>
      </c>
      <c r="F1948">
        <v>0.592284775439868</v>
      </c>
      <c r="G1948">
        <v>0.24839082070079</v>
      </c>
      <c r="H1948">
        <v>0.208485972226141</v>
      </c>
      <c r="I1948">
        <v>0.153808789980299</v>
      </c>
      <c r="J1948">
        <v>0.167473668984308</v>
      </c>
      <c r="K1948">
        <v>0.143547726101176</v>
      </c>
      <c r="L1948">
        <v>1289.77473993183</v>
      </c>
      <c r="M1948">
        <v>25.7069040052189</v>
      </c>
      <c r="N1948">
        <v>50.8905269906899</v>
      </c>
      <c r="O1948">
        <v>49.8716521589419</v>
      </c>
      <c r="P1948">
        <v>-0.109261356539093</v>
      </c>
      <c r="Q1948">
        <v>0.152137689880146</v>
      </c>
      <c r="R1948">
        <v>0.997532481324174</v>
      </c>
      <c r="S1948" t="s">
        <v>4141</v>
      </c>
      <c r="T1948" t="s">
        <v>4362</v>
      </c>
      <c r="U1948" t="s">
        <v>4362</v>
      </c>
      <c r="V1948" t="s">
        <v>4362</v>
      </c>
      <c r="W1948" t="s">
        <v>6305</v>
      </c>
      <c r="X1948">
        <v>4</v>
      </c>
      <c r="Y1948" t="s">
        <v>8469</v>
      </c>
      <c r="Z1948" t="s">
        <v>10636</v>
      </c>
      <c r="AA1948">
        <v>0.5314582580902824</v>
      </c>
      <c r="AB1948">
        <f>HYPERLINK("Melting_Curves/meltCurve_P76185_ydhJ.pdf", "Melting_Curves/meltCurve_P76185_ydhJ.pdf")</f>
        <v>0</v>
      </c>
    </row>
    <row r="1949" spans="1:28">
      <c r="A1949" t="s">
        <v>1975</v>
      </c>
      <c r="B1949">
        <v>0.999739202189716</v>
      </c>
      <c r="C1949">
        <v>0.998142634180575</v>
      </c>
      <c r="D1949">
        <v>0.968803427236189</v>
      </c>
      <c r="E1949">
        <v>0.871824539267531</v>
      </c>
      <c r="F1949">
        <v>0.9476949571116851</v>
      </c>
      <c r="G1949">
        <v>0.745947607466019</v>
      </c>
      <c r="H1949">
        <v>0.663932807066422</v>
      </c>
      <c r="I1949">
        <v>0.430947106758895</v>
      </c>
      <c r="J1949">
        <v>0.286792798028639</v>
      </c>
      <c r="K1949">
        <v>0.165035984219328</v>
      </c>
      <c r="L1949">
        <v>741.824437283625</v>
      </c>
      <c r="M1949">
        <v>12.4639187453293</v>
      </c>
      <c r="N1949">
        <v>59.5177530288013</v>
      </c>
      <c r="O1949">
        <v>58.0479647915354</v>
      </c>
      <c r="P1949">
        <v>-0.0536905878741486</v>
      </c>
      <c r="Q1949">
        <v>0</v>
      </c>
      <c r="R1949">
        <v>0.980305061973615</v>
      </c>
      <c r="S1949" t="s">
        <v>4142</v>
      </c>
      <c r="T1949" t="s">
        <v>4362</v>
      </c>
      <c r="U1949" t="s">
        <v>4362</v>
      </c>
      <c r="V1949" t="s">
        <v>4362</v>
      </c>
      <c r="W1949" t="s">
        <v>6306</v>
      </c>
      <c r="X1949">
        <v>9</v>
      </c>
      <c r="Y1949" t="s">
        <v>8470</v>
      </c>
      <c r="Z1949" t="s">
        <v>10637</v>
      </c>
      <c r="AA1949">
        <v>0.7400229061545061</v>
      </c>
      <c r="AB1949">
        <f>HYPERLINK("Melting_Curves/meltCurve_P76187_ydhF.pdf", "Melting_Curves/meltCurve_P76187_ydhF.pdf")</f>
        <v>0</v>
      </c>
    </row>
    <row r="1950" spans="1:28">
      <c r="A1950" t="s">
        <v>1976</v>
      </c>
      <c r="B1950">
        <v>0.999739202189716</v>
      </c>
      <c r="C1950">
        <v>1.63449498229205</v>
      </c>
      <c r="D1950">
        <v>0.314261466092264</v>
      </c>
      <c r="E1950">
        <v>0.536058101914705</v>
      </c>
      <c r="F1950">
        <v>0.496399626562403</v>
      </c>
      <c r="G1950">
        <v>0.223459469198884</v>
      </c>
      <c r="H1950">
        <v>0.23617273161905</v>
      </c>
      <c r="I1950">
        <v>0.194610288736871</v>
      </c>
      <c r="J1950">
        <v>0.289507080265277</v>
      </c>
      <c r="K1950">
        <v>0.280307875384409</v>
      </c>
      <c r="L1950">
        <v>10441.325310629</v>
      </c>
      <c r="M1950">
        <v>250</v>
      </c>
      <c r="N1950">
        <v>41.9378858529106</v>
      </c>
      <c r="O1950">
        <v>41.7626076193333</v>
      </c>
      <c r="P1950">
        <v>-1.01573497405631</v>
      </c>
      <c r="Q1950">
        <v>0.321283799462028</v>
      </c>
      <c r="R1950">
        <v>0.7290013044340869</v>
      </c>
      <c r="S1950" t="s">
        <v>4143</v>
      </c>
      <c r="T1950" t="s">
        <v>4362</v>
      </c>
      <c r="U1950" t="s">
        <v>4362</v>
      </c>
      <c r="V1950" t="s">
        <v>4362</v>
      </c>
      <c r="W1950" t="s">
        <v>6307</v>
      </c>
      <c r="X1950">
        <v>2</v>
      </c>
      <c r="Y1950" t="s">
        <v>8471</v>
      </c>
      <c r="Z1950" t="s">
        <v>10638</v>
      </c>
      <c r="AA1950">
        <v>0.4291431194226025</v>
      </c>
      <c r="AB1950">
        <f>HYPERLINK("Melting_Curves/meltCurve_P76192_ydhV.pdf", "Melting_Curves/meltCurve_P76192_ydhV.pdf")</f>
        <v>0</v>
      </c>
    </row>
    <row r="1951" spans="1:28">
      <c r="A1951" t="s">
        <v>1977</v>
      </c>
      <c r="B1951">
        <v>0.999739202189716</v>
      </c>
      <c r="C1951">
        <v>0.998805913387702</v>
      </c>
      <c r="D1951">
        <v>1.07195916982734</v>
      </c>
      <c r="E1951">
        <v>0.802156120863591</v>
      </c>
      <c r="F1951">
        <v>0.197470931424206</v>
      </c>
      <c r="G1951">
        <v>0.0997882605993463</v>
      </c>
      <c r="H1951">
        <v>0.07035350912329261</v>
      </c>
      <c r="I1951">
        <v>0.0587819753407059</v>
      </c>
      <c r="J1951">
        <v>0.0566311201883916</v>
      </c>
      <c r="K1951">
        <v>0.0525027463988811</v>
      </c>
      <c r="L1951">
        <v>2053.83650236228</v>
      </c>
      <c r="M1951">
        <v>42.7250841243129</v>
      </c>
      <c r="N1951">
        <v>48.2292895096539</v>
      </c>
      <c r="O1951">
        <v>47.966023167458</v>
      </c>
      <c r="P1951">
        <v>-0.208115270957733</v>
      </c>
      <c r="Q1951">
        <v>0.0654252664593835</v>
      </c>
      <c r="R1951">
        <v>0.996323482196632</v>
      </c>
      <c r="S1951" t="s">
        <v>4144</v>
      </c>
      <c r="T1951" t="s">
        <v>4362</v>
      </c>
      <c r="U1951" t="s">
        <v>4362</v>
      </c>
      <c r="V1951" t="s">
        <v>4362</v>
      </c>
      <c r="W1951" t="s">
        <v>6308</v>
      </c>
      <c r="X1951">
        <v>15</v>
      </c>
      <c r="Y1951" t="s">
        <v>8472</v>
      </c>
      <c r="Z1951" t="s">
        <v>10639</v>
      </c>
      <c r="AA1951">
        <v>0.4130330922956784</v>
      </c>
      <c r="AB1951">
        <f>HYPERLINK("Melting_Curves/meltCurve_P76193_ynhG.pdf", "Melting_Curves/meltCurve_P76193_ynhG.pdf")</f>
        <v>0</v>
      </c>
    </row>
    <row r="1952" spans="1:28">
      <c r="A1952" t="s">
        <v>1978</v>
      </c>
      <c r="B1952">
        <v>0.999739202189716</v>
      </c>
      <c r="C1952">
        <v>0.80827153090422</v>
      </c>
      <c r="D1952">
        <v>1.3795618322857</v>
      </c>
      <c r="E1952">
        <v>0.872214442396426</v>
      </c>
      <c r="F1952">
        <v>0.942122314614028</v>
      </c>
      <c r="G1952">
        <v>0.544465209826548</v>
      </c>
      <c r="H1952">
        <v>0.289209308092052</v>
      </c>
      <c r="I1952">
        <v>0.191685423815669</v>
      </c>
      <c r="J1952">
        <v>0.208484086254294</v>
      </c>
      <c r="K1952">
        <v>0.146418008036945</v>
      </c>
      <c r="L1952">
        <v>1641.66242842093</v>
      </c>
      <c r="M1952">
        <v>30.6420064445931</v>
      </c>
      <c r="N1952">
        <v>54.3482834775309</v>
      </c>
      <c r="O1952">
        <v>53.3489211585558</v>
      </c>
      <c r="P1952">
        <v>-0.118237398348841</v>
      </c>
      <c r="Q1952">
        <v>0.176581374695247</v>
      </c>
      <c r="R1952">
        <v>0.876590563378995</v>
      </c>
      <c r="S1952" t="s">
        <v>4145</v>
      </c>
      <c r="T1952" t="s">
        <v>4362</v>
      </c>
      <c r="U1952" t="s">
        <v>4362</v>
      </c>
      <c r="V1952" t="s">
        <v>4362</v>
      </c>
      <c r="W1952" t="s">
        <v>6309</v>
      </c>
      <c r="X1952">
        <v>3</v>
      </c>
      <c r="Y1952" t="s">
        <v>8473</v>
      </c>
      <c r="Z1952" t="s">
        <v>10640</v>
      </c>
      <c r="AA1952">
        <v>0.636589498965884</v>
      </c>
      <c r="AB1952">
        <f>HYPERLINK("Melting_Curves/meltCurve_P76194_sufE.pdf", "Melting_Curves/meltCurve_P76194_sufE.pdf")</f>
        <v>0</v>
      </c>
    </row>
    <row r="1953" spans="1:28">
      <c r="A1953" t="s">
        <v>1979</v>
      </c>
      <c r="B1953">
        <v>0.999739202189716</v>
      </c>
      <c r="C1953">
        <v>0.970081617215677</v>
      </c>
      <c r="D1953">
        <v>1.11571074581101</v>
      </c>
      <c r="E1953">
        <v>0.992122537614663</v>
      </c>
      <c r="F1953">
        <v>0.8764192455736119</v>
      </c>
      <c r="G1953">
        <v>0.340977319167729</v>
      </c>
      <c r="H1953">
        <v>0.241598762950908</v>
      </c>
      <c r="I1953">
        <v>0.181120560794521</v>
      </c>
      <c r="J1953">
        <v>0.139442663078588</v>
      </c>
      <c r="K1953">
        <v>0.106493244046782</v>
      </c>
      <c r="L1953">
        <v>2128.34798081821</v>
      </c>
      <c r="M1953">
        <v>40.7310479487525</v>
      </c>
      <c r="N1953">
        <v>52.7454352271724</v>
      </c>
      <c r="O1953">
        <v>52.1282228036926</v>
      </c>
      <c r="P1953">
        <v>-0.164481878173963</v>
      </c>
      <c r="Q1953">
        <v>0.157975940459213</v>
      </c>
      <c r="R1953">
        <v>0.9863993232310611</v>
      </c>
      <c r="S1953" t="s">
        <v>4146</v>
      </c>
      <c r="T1953" t="s">
        <v>4362</v>
      </c>
      <c r="U1953" t="s">
        <v>4362</v>
      </c>
      <c r="V1953" t="s">
        <v>4362</v>
      </c>
      <c r="W1953" t="s">
        <v>6310</v>
      </c>
      <c r="X1953">
        <v>2</v>
      </c>
      <c r="Y1953" t="s">
        <v>8474</v>
      </c>
      <c r="Z1953" t="s">
        <v>10641</v>
      </c>
      <c r="AA1953">
        <v>0.5890336573479391</v>
      </c>
      <c r="AB1953">
        <f>HYPERLINK("Melting_Curves/meltCurve_P76201_ydiQ.pdf", "Melting_Curves/meltCurve_P76201_ydiQ.pdf")</f>
        <v>0</v>
      </c>
    </row>
    <row r="1954" spans="1:28">
      <c r="A1954" t="s">
        <v>1980</v>
      </c>
      <c r="B1954">
        <v>0.999739202189716</v>
      </c>
      <c r="C1954">
        <v>0.975092294197185</v>
      </c>
      <c r="D1954">
        <v>0.907646499107254</v>
      </c>
      <c r="E1954">
        <v>0.868600144287853</v>
      </c>
      <c r="F1954">
        <v>0.914405804558339</v>
      </c>
      <c r="G1954">
        <v>0.791757838878778</v>
      </c>
      <c r="H1954">
        <v>0.719820759778516</v>
      </c>
      <c r="I1954">
        <v>0.566265404955408</v>
      </c>
      <c r="J1954">
        <v>0.482136405863568</v>
      </c>
      <c r="K1954">
        <v>0.413192833013424</v>
      </c>
      <c r="L1954">
        <v>440.977991112595</v>
      </c>
      <c r="M1954">
        <v>6.90432291356281</v>
      </c>
      <c r="N1954">
        <v>63.8698386768176</v>
      </c>
      <c r="O1954">
        <v>59.1568836850288</v>
      </c>
      <c r="P1954">
        <v>-0.0292349114120799</v>
      </c>
      <c r="Q1954">
        <v>0</v>
      </c>
      <c r="R1954">
        <v>0.972622578999453</v>
      </c>
      <c r="S1954" t="s">
        <v>4147</v>
      </c>
      <c r="T1954" t="s">
        <v>4362</v>
      </c>
      <c r="U1954" t="s">
        <v>4362</v>
      </c>
      <c r="V1954" t="s">
        <v>4362</v>
      </c>
      <c r="W1954" t="s">
        <v>6311</v>
      </c>
      <c r="X1954">
        <v>2</v>
      </c>
      <c r="Y1954" t="s">
        <v>8475</v>
      </c>
      <c r="Z1954" t="s">
        <v>10642</v>
      </c>
      <c r="AA1954">
        <v>0.7815056639812148</v>
      </c>
      <c r="AB1954">
        <f>HYPERLINK("Melting_Curves/meltCurve_P76206_ydiY.pdf", "Melting_Curves/meltCurve_P76206_ydiY.pdf")</f>
        <v>0</v>
      </c>
    </row>
    <row r="1955" spans="1:28">
      <c r="A1955" t="s">
        <v>1981</v>
      </c>
      <c r="B1955">
        <v>0.999739202189716</v>
      </c>
      <c r="C1955">
        <v>0.9487650366597</v>
      </c>
      <c r="D1955">
        <v>0.877772743690151</v>
      </c>
      <c r="E1955">
        <v>0.933477579368004</v>
      </c>
      <c r="F1955">
        <v>0.840583664796412</v>
      </c>
      <c r="G1955">
        <v>0.717199927534</v>
      </c>
      <c r="H1955">
        <v>0.664531335619286</v>
      </c>
      <c r="I1955">
        <v>0.627900727955621</v>
      </c>
      <c r="J1955">
        <v>0.615438532943177</v>
      </c>
      <c r="K1955">
        <v>0.537982530675586</v>
      </c>
      <c r="L1955">
        <v>372.823934341479</v>
      </c>
      <c r="M1955">
        <v>6.59557707195</v>
      </c>
      <c r="O1955">
        <v>52.0068453249473</v>
      </c>
      <c r="P1955">
        <v>-0.0192353726159346</v>
      </c>
      <c r="Q1955">
        <v>0.394702240017095</v>
      </c>
      <c r="R1955">
        <v>0.9611520290979571</v>
      </c>
      <c r="S1955" t="s">
        <v>4148</v>
      </c>
      <c r="T1955" t="s">
        <v>4362</v>
      </c>
      <c r="U1955" t="s">
        <v>4362</v>
      </c>
      <c r="V1955" t="s">
        <v>4362</v>
      </c>
      <c r="W1955" t="s">
        <v>6312</v>
      </c>
      <c r="X1955">
        <v>3</v>
      </c>
      <c r="Y1955" t="s">
        <v>8476</v>
      </c>
      <c r="Z1955" t="s">
        <v>10643</v>
      </c>
      <c r="AA1955">
        <v>0.7784254854614995</v>
      </c>
      <c r="AB1955">
        <f>HYPERLINK("Melting_Curves/meltCurve_P76208_yniB.pdf", "Melting_Curves/meltCurve_P76208_yniB.pdf")</f>
        <v>0</v>
      </c>
    </row>
    <row r="1956" spans="1:28">
      <c r="A1956" t="s">
        <v>1982</v>
      </c>
      <c r="B1956">
        <v>0.999739202189716</v>
      </c>
      <c r="C1956">
        <v>0.70460500370676</v>
      </c>
      <c r="D1956">
        <v>0.676892293196699</v>
      </c>
      <c r="E1956">
        <v>0.331265740692188</v>
      </c>
      <c r="F1956">
        <v>0.167719332217007</v>
      </c>
      <c r="G1956">
        <v>0.0956531819302669</v>
      </c>
      <c r="H1956">
        <v>0.0748915729735028</v>
      </c>
      <c r="I1956">
        <v>0.06593153485978789</v>
      </c>
      <c r="J1956">
        <v>0.0577638687823985</v>
      </c>
      <c r="K1956">
        <v>0.0352448212003899</v>
      </c>
      <c r="L1956">
        <v>601.924852681192</v>
      </c>
      <c r="M1956">
        <v>13.6520335120352</v>
      </c>
      <c r="N1956">
        <v>44.3063969883508</v>
      </c>
      <c r="O1956">
        <v>43.1767425708287</v>
      </c>
      <c r="P1956">
        <v>-0.0765147186301872</v>
      </c>
      <c r="Q1956">
        <v>0.0321810904092289</v>
      </c>
      <c r="R1956">
        <v>0.978498582386949</v>
      </c>
      <c r="S1956" t="s">
        <v>4149</v>
      </c>
      <c r="T1956" t="s">
        <v>4362</v>
      </c>
      <c r="U1956" t="s">
        <v>4362</v>
      </c>
      <c r="V1956" t="s">
        <v>4362</v>
      </c>
      <c r="W1956" t="s">
        <v>6313</v>
      </c>
      <c r="X1956">
        <v>2</v>
      </c>
      <c r="Y1956" t="s">
        <v>8477</v>
      </c>
      <c r="Z1956" t="s">
        <v>10644</v>
      </c>
      <c r="AA1956">
        <v>0.2899040929799654</v>
      </c>
      <c r="AB1956">
        <f>HYPERLINK("Melting_Curves/meltCurve_P76215_astE.pdf", "Melting_Curves/meltCurve_P76215_astE.pdf")</f>
        <v>0</v>
      </c>
    </row>
    <row r="1957" spans="1:28">
      <c r="A1957" t="s">
        <v>1983</v>
      </c>
      <c r="B1957">
        <v>0.999739202189716</v>
      </c>
      <c r="C1957">
        <v>0.9630676521424471</v>
      </c>
      <c r="D1957">
        <v>0.920060864221024</v>
      </c>
      <c r="E1957">
        <v>0.895000189086941</v>
      </c>
      <c r="F1957">
        <v>0.825253360622711</v>
      </c>
      <c r="G1957">
        <v>0.656981650054615</v>
      </c>
      <c r="H1957">
        <v>0.46782154005492</v>
      </c>
      <c r="I1957">
        <v>0.261378214715034</v>
      </c>
      <c r="J1957">
        <v>0.179613988315909</v>
      </c>
      <c r="K1957">
        <v>0.14091541324597</v>
      </c>
      <c r="L1957">
        <v>668.963392597165</v>
      </c>
      <c r="M1957">
        <v>11.861087816542</v>
      </c>
      <c r="N1957">
        <v>56.3998348121192</v>
      </c>
      <c r="O1957">
        <v>54.8683302448634</v>
      </c>
      <c r="P1957">
        <v>-0.0540570443254544</v>
      </c>
      <c r="Q1957">
        <v>0</v>
      </c>
      <c r="R1957">
        <v>0.99353525797577</v>
      </c>
      <c r="S1957" t="s">
        <v>4150</v>
      </c>
      <c r="T1957" t="s">
        <v>4362</v>
      </c>
      <c r="U1957" t="s">
        <v>4362</v>
      </c>
      <c r="V1957" t="s">
        <v>4362</v>
      </c>
      <c r="W1957" t="s">
        <v>6314</v>
      </c>
      <c r="X1957">
        <v>8</v>
      </c>
      <c r="Y1957" t="s">
        <v>8478</v>
      </c>
      <c r="Z1957" t="s">
        <v>10645</v>
      </c>
      <c r="AA1957">
        <v>0.6542798165123684</v>
      </c>
      <c r="AB1957">
        <f>HYPERLINK("Melting_Curves/meltCurve_P76216_astB.pdf", "Melting_Curves/meltCurve_P76216_astB.pdf")</f>
        <v>0</v>
      </c>
    </row>
    <row r="1958" spans="1:28">
      <c r="A1958" t="s">
        <v>1984</v>
      </c>
      <c r="B1958">
        <v>0.999739202189716</v>
      </c>
      <c r="C1958">
        <v>1.02261046622088</v>
      </c>
      <c r="D1958">
        <v>1.04974307584012</v>
      </c>
      <c r="E1958">
        <v>0.889619956485982</v>
      </c>
      <c r="F1958">
        <v>0.338174105422256</v>
      </c>
      <c r="G1958">
        <v>0.121198022606428</v>
      </c>
      <c r="H1958">
        <v>0.0783039748886095</v>
      </c>
      <c r="I1958">
        <v>0.0579895356685405</v>
      </c>
      <c r="J1958">
        <v>0.0527179005481724</v>
      </c>
      <c r="K1958">
        <v>0.0400381640405166</v>
      </c>
      <c r="L1958">
        <v>1835.93514506877</v>
      </c>
      <c r="M1958">
        <v>37.4073617134362</v>
      </c>
      <c r="N1958">
        <v>49.2513963535072</v>
      </c>
      <c r="O1958">
        <v>48.9399019253381</v>
      </c>
      <c r="P1958">
        <v>-0.1793957647345</v>
      </c>
      <c r="Q1958">
        <v>0.0611918560107975</v>
      </c>
      <c r="R1958">
        <v>0.997433284826194</v>
      </c>
      <c r="S1958" t="s">
        <v>4151</v>
      </c>
      <c r="T1958" t="s">
        <v>4362</v>
      </c>
      <c r="U1958" t="s">
        <v>4362</v>
      </c>
      <c r="V1958" t="s">
        <v>4362</v>
      </c>
      <c r="W1958" t="s">
        <v>6315</v>
      </c>
      <c r="X1958">
        <v>11</v>
      </c>
      <c r="Y1958" t="s">
        <v>8479</v>
      </c>
      <c r="Z1958" t="s">
        <v>10646</v>
      </c>
      <c r="AA1958">
        <v>0.442847200365508</v>
      </c>
      <c r="AB1958">
        <f>HYPERLINK("Melting_Curves/meltCurve_P76217_astD.pdf", "Melting_Curves/meltCurve_P76217_astD.pdf")</f>
        <v>0</v>
      </c>
    </row>
    <row r="1959" spans="1:28">
      <c r="A1959" t="s">
        <v>1985</v>
      </c>
      <c r="B1959">
        <v>0.999739202189716</v>
      </c>
      <c r="C1959">
        <v>0.799194833798523</v>
      </c>
      <c r="D1959">
        <v>1.06973828320779</v>
      </c>
      <c r="E1959">
        <v>0.880311150894772</v>
      </c>
      <c r="F1959">
        <v>1.08186271931714</v>
      </c>
      <c r="G1959">
        <v>0.857960221395704</v>
      </c>
      <c r="H1959">
        <v>0.837422388222232</v>
      </c>
      <c r="I1959">
        <v>0.760058027608834</v>
      </c>
      <c r="J1959">
        <v>0.845651999141895</v>
      </c>
      <c r="K1959">
        <v>0.521740343887396</v>
      </c>
      <c r="L1959">
        <v>558.986754311167</v>
      </c>
      <c r="M1959">
        <v>7.87999175842049</v>
      </c>
      <c r="O1959">
        <v>66.80480772675079</v>
      </c>
      <c r="P1959">
        <v>-0.0295241507603664</v>
      </c>
      <c r="Q1959">
        <v>0</v>
      </c>
      <c r="R1959">
        <v>0.561627199449822</v>
      </c>
      <c r="S1959" t="s">
        <v>4152</v>
      </c>
      <c r="T1959" t="s">
        <v>4362</v>
      </c>
      <c r="U1959" t="s">
        <v>4362</v>
      </c>
      <c r="V1959" t="s">
        <v>4362</v>
      </c>
      <c r="W1959" t="s">
        <v>6316</v>
      </c>
      <c r="X1959">
        <v>11</v>
      </c>
      <c r="Y1959" t="s">
        <v>8480</v>
      </c>
      <c r="Z1959" t="s">
        <v>10647</v>
      </c>
      <c r="AA1959">
        <v>0.895461535196431</v>
      </c>
      <c r="AB1959">
        <f>HYPERLINK("Melting_Curves/meltCurve_P76220_ydjY.pdf", "Melting_Curves/meltCurve_P76220_ydjY.pdf")</f>
        <v>0</v>
      </c>
    </row>
    <row r="1960" spans="1:28">
      <c r="A1960" t="s">
        <v>1986</v>
      </c>
      <c r="B1960">
        <v>0.999739202189716</v>
      </c>
      <c r="C1960">
        <v>1.14099488039626</v>
      </c>
      <c r="D1960">
        <v>0.86463291327029</v>
      </c>
      <c r="E1960">
        <v>0.633505480855085</v>
      </c>
      <c r="F1960">
        <v>0.193222394763437</v>
      </c>
      <c r="G1960">
        <v>0.102456563473762</v>
      </c>
      <c r="H1960">
        <v>0.0697139419760701</v>
      </c>
      <c r="I1960">
        <v>0.05361578322422</v>
      </c>
      <c r="J1960">
        <v>0.050561986131235</v>
      </c>
      <c r="K1960">
        <v>0.0441570696648952</v>
      </c>
      <c r="L1960">
        <v>1231.98746836906</v>
      </c>
      <c r="M1960">
        <v>26.0872464534127</v>
      </c>
      <c r="N1960">
        <v>47.4218174715002</v>
      </c>
      <c r="O1960">
        <v>46.9507809205965</v>
      </c>
      <c r="P1960">
        <v>-0.131804559630033</v>
      </c>
      <c r="Q1960">
        <v>0.0511446432068323</v>
      </c>
      <c r="R1960">
        <v>0.984150944689853</v>
      </c>
      <c r="S1960" t="s">
        <v>4153</v>
      </c>
      <c r="T1960" t="s">
        <v>4362</v>
      </c>
      <c r="U1960" t="s">
        <v>4362</v>
      </c>
      <c r="V1960" t="s">
        <v>4362</v>
      </c>
      <c r="W1960" t="s">
        <v>6317</v>
      </c>
      <c r="X1960">
        <v>7</v>
      </c>
      <c r="Y1960" t="s">
        <v>8481</v>
      </c>
      <c r="Z1960" t="s">
        <v>10648</v>
      </c>
      <c r="AA1960">
        <v>0.3819072158180915</v>
      </c>
      <c r="AB1960">
        <f>HYPERLINK("Melting_Curves/meltCurve_P76223_ynjB.pdf", "Melting_Curves/meltCurve_P76223_ynjB.pdf")</f>
        <v>0</v>
      </c>
    </row>
    <row r="1961" spans="1:28">
      <c r="A1961" t="s">
        <v>1987</v>
      </c>
      <c r="B1961">
        <v>0.999739202189716</v>
      </c>
      <c r="C1961">
        <v>1.00221889391277</v>
      </c>
      <c r="D1961">
        <v>0.8499002168580631</v>
      </c>
      <c r="E1961">
        <v>0.820001771296423</v>
      </c>
      <c r="F1961">
        <v>0.818498529829415</v>
      </c>
      <c r="G1961">
        <v>0.667275740729578</v>
      </c>
      <c r="H1961">
        <v>0.446134854891325</v>
      </c>
      <c r="I1961">
        <v>0.402580341670187</v>
      </c>
      <c r="J1961">
        <v>0.261607902041367</v>
      </c>
      <c r="K1961">
        <v>0.354512004959252</v>
      </c>
      <c r="L1961">
        <v>478.213912774525</v>
      </c>
      <c r="M1961">
        <v>8.61301459359975</v>
      </c>
      <c r="N1961">
        <v>57.4065488366152</v>
      </c>
      <c r="O1961">
        <v>52.7724419845514</v>
      </c>
      <c r="P1961">
        <v>-0.0358092213589979</v>
      </c>
      <c r="Q1961">
        <v>0.12313108059114</v>
      </c>
      <c r="R1961">
        <v>0.957036639313484</v>
      </c>
      <c r="S1961" t="s">
        <v>4154</v>
      </c>
      <c r="T1961" t="s">
        <v>4362</v>
      </c>
      <c r="U1961" t="s">
        <v>4362</v>
      </c>
      <c r="V1961" t="s">
        <v>4362</v>
      </c>
      <c r="W1961" t="s">
        <v>6318</v>
      </c>
      <c r="X1961">
        <v>4</v>
      </c>
      <c r="Y1961" t="s">
        <v>8482</v>
      </c>
      <c r="Z1961" t="s">
        <v>10649</v>
      </c>
      <c r="AA1961">
        <v>0.6688976272983528</v>
      </c>
      <c r="AB1961">
        <f>HYPERLINK("Melting_Curves/meltCurve_P76227_ynjH.pdf", "Melting_Curves/meltCurve_P76227_ynjH.pdf")</f>
        <v>0</v>
      </c>
    </row>
    <row r="1962" spans="1:28">
      <c r="A1962" t="s">
        <v>1988</v>
      </c>
      <c r="B1962">
        <v>0.999739202189716</v>
      </c>
      <c r="C1962">
        <v>0.713335174134659</v>
      </c>
      <c r="D1962">
        <v>0.584009980515417</v>
      </c>
      <c r="E1962">
        <v>0.219517093855006</v>
      </c>
      <c r="F1962">
        <v>0.179108173942742</v>
      </c>
      <c r="G1962">
        <v>0.116620457528961</v>
      </c>
      <c r="H1962">
        <v>0.130025377758726</v>
      </c>
      <c r="I1962">
        <v>0.075244653035937</v>
      </c>
      <c r="J1962">
        <v>0.07105066263916671</v>
      </c>
      <c r="K1962">
        <v>0.0535626643603771</v>
      </c>
      <c r="L1962">
        <v>694.16722907965</v>
      </c>
      <c r="M1962">
        <v>16.2030836238234</v>
      </c>
      <c r="N1962">
        <v>43.2849226054484</v>
      </c>
      <c r="O1962">
        <v>42.205052428702</v>
      </c>
      <c r="P1962">
        <v>-0.08864792413486421</v>
      </c>
      <c r="Q1962">
        <v>0.0764446745829086</v>
      </c>
      <c r="R1962">
        <v>0.980808080143552</v>
      </c>
      <c r="S1962" t="s">
        <v>4155</v>
      </c>
      <c r="T1962" t="s">
        <v>4362</v>
      </c>
      <c r="U1962" t="s">
        <v>4362</v>
      </c>
      <c r="V1962" t="s">
        <v>4362</v>
      </c>
      <c r="W1962" t="s">
        <v>6319</v>
      </c>
      <c r="X1962">
        <v>4</v>
      </c>
      <c r="Y1962" t="s">
        <v>8483</v>
      </c>
      <c r="Z1962" t="s">
        <v>10650</v>
      </c>
      <c r="AA1962">
        <v>0.2771730916476144</v>
      </c>
      <c r="AB1962">
        <f>HYPERLINK("Melting_Curves/meltCurve_P76234_yeaE.pdf", "Melting_Curves/meltCurve_P76234_yeaE.pdf")</f>
        <v>0</v>
      </c>
    </row>
    <row r="1963" spans="1:28">
      <c r="A1963" t="s">
        <v>1989</v>
      </c>
      <c r="B1963">
        <v>0.999739202189716</v>
      </c>
      <c r="C1963">
        <v>1.15317035087671</v>
      </c>
      <c r="D1963">
        <v>0.735452788461591</v>
      </c>
      <c r="E1963">
        <v>0.958891593605728</v>
      </c>
      <c r="F1963">
        <v>0.758818630829162</v>
      </c>
      <c r="G1963">
        <v>0.631215319756676</v>
      </c>
      <c r="H1963">
        <v>0.659453746596367</v>
      </c>
      <c r="I1963">
        <v>0.5295889090064529</v>
      </c>
      <c r="J1963">
        <v>0.465970905072528</v>
      </c>
      <c r="K1963">
        <v>0.567932712602023</v>
      </c>
      <c r="L1963">
        <v>561.7245003451</v>
      </c>
      <c r="M1963">
        <v>10.9939186828773</v>
      </c>
      <c r="O1963">
        <v>49.4908974252017</v>
      </c>
      <c r="P1963">
        <v>-0.0289472006459646</v>
      </c>
      <c r="Q1963">
        <v>0.478934212668957</v>
      </c>
      <c r="R1963">
        <v>0.790975910881476</v>
      </c>
      <c r="S1963" t="s">
        <v>4156</v>
      </c>
      <c r="T1963" t="s">
        <v>4362</v>
      </c>
      <c r="U1963" t="s">
        <v>4362</v>
      </c>
      <c r="V1963" t="s">
        <v>4362</v>
      </c>
      <c r="W1963" t="s">
        <v>6320</v>
      </c>
      <c r="X1963">
        <v>2</v>
      </c>
      <c r="Y1963" t="s">
        <v>8484</v>
      </c>
      <c r="Z1963" t="s">
        <v>10651</v>
      </c>
      <c r="AA1963">
        <v>0.7383127727383086</v>
      </c>
      <c r="AB1963">
        <f>HYPERLINK("Melting_Curves/meltCurve_P76235_yeaH.pdf", "Melting_Curves/meltCurve_P76235_yeaH.pdf")</f>
        <v>0</v>
      </c>
    </row>
    <row r="1964" spans="1:28">
      <c r="A1964" t="s">
        <v>1990</v>
      </c>
      <c r="B1964">
        <v>0.999739202189716</v>
      </c>
      <c r="C1964">
        <v>1.16680790000721</v>
      </c>
      <c r="D1964">
        <v>0.750857391815187</v>
      </c>
      <c r="E1964">
        <v>0.738032463892124</v>
      </c>
      <c r="F1964">
        <v>0.447701047873638</v>
      </c>
      <c r="G1964">
        <v>0.408640280690342</v>
      </c>
      <c r="H1964">
        <v>0.28169815919894</v>
      </c>
      <c r="I1964">
        <v>0.237264461494316</v>
      </c>
      <c r="J1964">
        <v>0.203948035307704</v>
      </c>
      <c r="K1964">
        <v>0.17839588103836</v>
      </c>
      <c r="L1964">
        <v>660.890310878381</v>
      </c>
      <c r="M1964">
        <v>13.6327844270279</v>
      </c>
      <c r="N1964">
        <v>50.1725225862336</v>
      </c>
      <c r="O1964">
        <v>47.4705952693121</v>
      </c>
      <c r="P1964">
        <v>-0.0585586533600972</v>
      </c>
      <c r="Q1964">
        <v>0.184493491417138</v>
      </c>
      <c r="R1964">
        <v>0.939539063672892</v>
      </c>
      <c r="S1964" t="s">
        <v>4157</v>
      </c>
      <c r="T1964" t="s">
        <v>4362</v>
      </c>
      <c r="U1964" t="s">
        <v>4362</v>
      </c>
      <c r="V1964" t="s">
        <v>4362</v>
      </c>
      <c r="W1964" t="s">
        <v>6321</v>
      </c>
      <c r="X1964">
        <v>2</v>
      </c>
      <c r="Y1964" t="s">
        <v>8485</v>
      </c>
      <c r="Z1964" t="s">
        <v>10652</v>
      </c>
      <c r="AA1964">
        <v>0.51717517180668</v>
      </c>
      <c r="AB1964">
        <f>HYPERLINK("Melting_Curves/meltCurve_P76237_yeaJ.pdf", "Melting_Curves/meltCurve_P76237_yeaJ.pdf")</f>
        <v>0</v>
      </c>
    </row>
    <row r="1965" spans="1:28">
      <c r="A1965" t="s">
        <v>1991</v>
      </c>
      <c r="B1965">
        <v>0.999739202189716</v>
      </c>
      <c r="C1965">
        <v>1.00589616672051</v>
      </c>
      <c r="D1965">
        <v>0.857767465864697</v>
      </c>
      <c r="E1965">
        <v>0.881742741767945</v>
      </c>
      <c r="F1965">
        <v>0.711251067513579</v>
      </c>
      <c r="G1965">
        <v>0.538045172984716</v>
      </c>
      <c r="H1965">
        <v>0.451609129602223</v>
      </c>
      <c r="I1965">
        <v>0.40745117287398</v>
      </c>
      <c r="J1965">
        <v>0.377193794317806</v>
      </c>
      <c r="K1965">
        <v>0.324864822828806</v>
      </c>
      <c r="L1965">
        <v>591.632858765816</v>
      </c>
      <c r="M1965">
        <v>11.48150490645</v>
      </c>
      <c r="N1965">
        <v>55.8143084784668</v>
      </c>
      <c r="O1965">
        <v>50.0403801737907</v>
      </c>
      <c r="P1965">
        <v>-0.0405707674246356</v>
      </c>
      <c r="Q1965">
        <v>0.292916333456417</v>
      </c>
      <c r="R1965">
        <v>0.984131110326366</v>
      </c>
      <c r="S1965" t="s">
        <v>4158</v>
      </c>
      <c r="T1965" t="s">
        <v>4362</v>
      </c>
      <c r="U1965" t="s">
        <v>4362</v>
      </c>
      <c r="V1965" t="s">
        <v>4362</v>
      </c>
      <c r="W1965" t="s">
        <v>6322</v>
      </c>
      <c r="X1965">
        <v>6</v>
      </c>
      <c r="Y1965" t="s">
        <v>8486</v>
      </c>
      <c r="Z1965" t="s">
        <v>10653</v>
      </c>
      <c r="AA1965">
        <v>0.6536247176119315</v>
      </c>
      <c r="AB1965">
        <f>HYPERLINK("Melting_Curves/meltCurve_P76243_yeaO.pdf", "Melting_Curves/meltCurve_P76243_yeaO.pdf")</f>
        <v>0</v>
      </c>
    </row>
    <row r="1966" spans="1:28">
      <c r="A1966" t="s">
        <v>1992</v>
      </c>
      <c r="B1966">
        <v>0.999739202189716</v>
      </c>
      <c r="C1966">
        <v>1.07870892724327</v>
      </c>
      <c r="D1966">
        <v>0.856074586571448</v>
      </c>
      <c r="E1966">
        <v>0.835775147569187</v>
      </c>
      <c r="F1966">
        <v>0.875063653486452</v>
      </c>
      <c r="G1966">
        <v>0.674618219658876</v>
      </c>
      <c r="H1966">
        <v>0.6282406019104</v>
      </c>
      <c r="I1966">
        <v>0.441624490566174</v>
      </c>
      <c r="J1966">
        <v>0.360849685507214</v>
      </c>
      <c r="K1966">
        <v>0.191544403922001</v>
      </c>
      <c r="L1966">
        <v>514.234684118625</v>
      </c>
      <c r="M1966">
        <v>8.69214061192417</v>
      </c>
      <c r="N1966">
        <v>59.160867073783</v>
      </c>
      <c r="O1966">
        <v>56.2797637066128</v>
      </c>
      <c r="P1966">
        <v>-0.0386432870596872</v>
      </c>
      <c r="Q1966">
        <v>0</v>
      </c>
      <c r="R1966">
        <v>0.947696800748496</v>
      </c>
      <c r="S1966" t="s">
        <v>4159</v>
      </c>
      <c r="T1966" t="s">
        <v>4362</v>
      </c>
      <c r="U1966" t="s">
        <v>4362</v>
      </c>
      <c r="V1966" t="s">
        <v>4362</v>
      </c>
      <c r="W1966" t="s">
        <v>6323</v>
      </c>
      <c r="X1966">
        <v>8</v>
      </c>
      <c r="Y1966" t="s">
        <v>8487</v>
      </c>
      <c r="Z1966" t="s">
        <v>10654</v>
      </c>
      <c r="AA1966">
        <v>0.7111092998797444</v>
      </c>
      <c r="AB1966">
        <f>HYPERLINK("Melting_Curves/meltCurve_P76251_dmlA.pdf", "Melting_Curves/meltCurve_P76251_dmlA.pdf")</f>
        <v>0</v>
      </c>
    </row>
    <row r="1967" spans="1:28">
      <c r="A1967" t="s">
        <v>1993</v>
      </c>
      <c r="B1967">
        <v>0.999739202189716</v>
      </c>
      <c r="C1967">
        <v>0.906894410642508</v>
      </c>
      <c r="D1967">
        <v>0.9271772112855881</v>
      </c>
      <c r="E1967">
        <v>0.891788336915577</v>
      </c>
      <c r="F1967">
        <v>0.689192025544839</v>
      </c>
      <c r="G1967">
        <v>0.316385256541167</v>
      </c>
      <c r="H1967">
        <v>0.199338688389582</v>
      </c>
      <c r="I1967">
        <v>0.137305851357997</v>
      </c>
      <c r="J1967">
        <v>0.110054030473151</v>
      </c>
      <c r="K1967">
        <v>0.0968036539055491</v>
      </c>
      <c r="L1967">
        <v>1054.84873419574</v>
      </c>
      <c r="M1967">
        <v>20.5280881559634</v>
      </c>
      <c r="N1967">
        <v>51.9122416741914</v>
      </c>
      <c r="O1967">
        <v>50.9054469798944</v>
      </c>
      <c r="P1967">
        <v>-0.0913416771766795</v>
      </c>
      <c r="Q1967">
        <v>0.0939920767349504</v>
      </c>
      <c r="R1967">
        <v>0.98948226301526</v>
      </c>
      <c r="S1967" t="s">
        <v>4160</v>
      </c>
      <c r="T1967" t="s">
        <v>4362</v>
      </c>
      <c r="U1967" t="s">
        <v>4362</v>
      </c>
      <c r="V1967" t="s">
        <v>4362</v>
      </c>
      <c r="W1967" t="s">
        <v>6324</v>
      </c>
      <c r="X1967">
        <v>5</v>
      </c>
      <c r="Y1967" t="s">
        <v>8488</v>
      </c>
      <c r="Z1967" t="s">
        <v>10655</v>
      </c>
      <c r="AA1967">
        <v>0.5397589461765442</v>
      </c>
      <c r="AB1967">
        <f>HYPERLINK("Melting_Curves/meltCurve_P76256_tsaB.pdf", "Melting_Curves/meltCurve_P76256_tsaB.pdf")</f>
        <v>0</v>
      </c>
    </row>
    <row r="1968" spans="1:28">
      <c r="A1968" t="s">
        <v>1994</v>
      </c>
      <c r="B1968">
        <v>0.999739202189716</v>
      </c>
      <c r="C1968">
        <v>0.851055546586541</v>
      </c>
      <c r="D1968">
        <v>1.04600991515909</v>
      </c>
      <c r="E1968">
        <v>0.797411984828348</v>
      </c>
      <c r="F1968">
        <v>0.799460001105199</v>
      </c>
      <c r="G1968">
        <v>0.263313416961274</v>
      </c>
      <c r="H1968">
        <v>0.117250542539687</v>
      </c>
      <c r="I1968">
        <v>0.0894010567693355</v>
      </c>
      <c r="J1968">
        <v>0.153241236193712</v>
      </c>
      <c r="K1968">
        <v>0.132322847904963</v>
      </c>
      <c r="L1968">
        <v>1815.3251459551</v>
      </c>
      <c r="M1968">
        <v>35.1723376754342</v>
      </c>
      <c r="N1968">
        <v>51.9915777353465</v>
      </c>
      <c r="O1968">
        <v>51.4463129284456</v>
      </c>
      <c r="P1968">
        <v>-0.151577342002248</v>
      </c>
      <c r="Q1968">
        <v>0.113159004853612</v>
      </c>
      <c r="R1968">
        <v>0.957186643145861</v>
      </c>
      <c r="S1968" t="s">
        <v>4161</v>
      </c>
      <c r="T1968" t="s">
        <v>4362</v>
      </c>
      <c r="U1968" t="s">
        <v>4362</v>
      </c>
      <c r="V1968" t="s">
        <v>4362</v>
      </c>
      <c r="W1968" t="s">
        <v>6325</v>
      </c>
      <c r="X1968">
        <v>14</v>
      </c>
      <c r="Y1968" t="s">
        <v>8489</v>
      </c>
      <c r="Z1968" t="s">
        <v>10656</v>
      </c>
      <c r="AA1968">
        <v>0.5491978984730365</v>
      </c>
      <c r="AB1968">
        <f>HYPERLINK("Melting_Curves/meltCurve_P76268_kdgR.pdf", "Melting_Curves/meltCurve_P76268_kdgR.pdf")</f>
        <v>0</v>
      </c>
    </row>
    <row r="1969" spans="1:28">
      <c r="A1969" t="s">
        <v>1995</v>
      </c>
      <c r="B1969">
        <v>0.999739202189716</v>
      </c>
      <c r="C1969">
        <v>0.918992649506864</v>
      </c>
      <c r="D1969">
        <v>0.979389081306095</v>
      </c>
      <c r="E1969">
        <v>1.00366721690066</v>
      </c>
      <c r="F1969">
        <v>0.861073737775502</v>
      </c>
      <c r="G1969">
        <v>0.6026290217097759</v>
      </c>
      <c r="H1969">
        <v>0.400376931509984</v>
      </c>
      <c r="I1969">
        <v>0.269874909838364</v>
      </c>
      <c r="J1969">
        <v>0.20868326665765</v>
      </c>
      <c r="K1969">
        <v>0.16115207349569</v>
      </c>
      <c r="L1969">
        <v>1009.01692882116</v>
      </c>
      <c r="M1969">
        <v>18.5250347877691</v>
      </c>
      <c r="N1969">
        <v>55.5685278023103</v>
      </c>
      <c r="O1969">
        <v>53.844947989224</v>
      </c>
      <c r="P1969">
        <v>-0.07280424195986621</v>
      </c>
      <c r="Q1969">
        <v>0.153584780180858</v>
      </c>
      <c r="R1969">
        <v>0.991600404494669</v>
      </c>
      <c r="S1969" t="s">
        <v>4162</v>
      </c>
      <c r="T1969" t="s">
        <v>4362</v>
      </c>
      <c r="U1969" t="s">
        <v>4362</v>
      </c>
      <c r="V1969" t="s">
        <v>4362</v>
      </c>
      <c r="W1969" t="s">
        <v>6326</v>
      </c>
      <c r="X1969">
        <v>7</v>
      </c>
      <c r="Y1969" t="s">
        <v>8490</v>
      </c>
      <c r="Z1969" t="s">
        <v>10657</v>
      </c>
      <c r="AA1969">
        <v>0.6572847094421151</v>
      </c>
      <c r="AB1969">
        <f>HYPERLINK("Melting_Curves/meltCurve_P76270_msrC.pdf", "Melting_Curves/meltCurve_P76270_msrC.pdf")</f>
        <v>0</v>
      </c>
    </row>
    <row r="1970" spans="1:28">
      <c r="A1970" t="s">
        <v>1996</v>
      </c>
      <c r="B1970">
        <v>0.999739202189716</v>
      </c>
      <c r="C1970">
        <v>1.75275358454449</v>
      </c>
      <c r="D1970">
        <v>0.992631914899365</v>
      </c>
      <c r="E1970">
        <v>1.06824166655319</v>
      </c>
      <c r="F1970">
        <v>0.563027630851647</v>
      </c>
      <c r="G1970">
        <v>0.41148550751579</v>
      </c>
      <c r="H1970">
        <v>0.310685628817144</v>
      </c>
      <c r="I1970">
        <v>0.252604800720574</v>
      </c>
      <c r="J1970">
        <v>0.12971204784422</v>
      </c>
      <c r="K1970">
        <v>0.101296868775237</v>
      </c>
      <c r="L1970">
        <v>1218.72016614855</v>
      </c>
      <c r="M1970">
        <v>23.8660052218758</v>
      </c>
      <c r="N1970">
        <v>52.026423678827</v>
      </c>
      <c r="O1970">
        <v>50.7106389203922</v>
      </c>
      <c r="P1970">
        <v>-0.0966815535243418</v>
      </c>
      <c r="Q1970">
        <v>0.17829497732452</v>
      </c>
      <c r="R1970">
        <v>0.755192414898356</v>
      </c>
      <c r="S1970" t="s">
        <v>4163</v>
      </c>
      <c r="T1970" t="s">
        <v>4362</v>
      </c>
      <c r="U1970" t="s">
        <v>4362</v>
      </c>
      <c r="V1970" t="s">
        <v>4362</v>
      </c>
      <c r="W1970" t="s">
        <v>6327</v>
      </c>
      <c r="X1970">
        <v>11</v>
      </c>
      <c r="Y1970" t="s">
        <v>8491</v>
      </c>
      <c r="Z1970" t="s">
        <v>10658</v>
      </c>
      <c r="AA1970">
        <v>0.5714393166505615</v>
      </c>
      <c r="AB1970">
        <f>HYPERLINK("Melting_Curves/meltCurve_P76272_yebT.pdf", "Melting_Curves/meltCurve_P76272_yebT.pdf")</f>
        <v>0</v>
      </c>
    </row>
    <row r="1971" spans="1:28">
      <c r="A1971" t="s">
        <v>1997</v>
      </c>
      <c r="B1971">
        <v>0.999739202189716</v>
      </c>
      <c r="C1971">
        <v>0.8051415433664419</v>
      </c>
      <c r="D1971">
        <v>0.375765787235462</v>
      </c>
      <c r="E1971">
        <v>0.308205892653152</v>
      </c>
      <c r="F1971">
        <v>0.258688485907858</v>
      </c>
      <c r="G1971">
        <v>0.178197762304637</v>
      </c>
      <c r="H1971">
        <v>0.158112597231246</v>
      </c>
      <c r="I1971">
        <v>0.143006734260157</v>
      </c>
      <c r="J1971">
        <v>0.117858346408438</v>
      </c>
      <c r="K1971">
        <v>0.0963772559160529</v>
      </c>
      <c r="L1971">
        <v>966.821008278593</v>
      </c>
      <c r="M1971">
        <v>23.1874373367058</v>
      </c>
      <c r="N1971">
        <v>42.4074770907199</v>
      </c>
      <c r="O1971">
        <v>41.3894896279194</v>
      </c>
      <c r="P1971">
        <v>-0.117487211925138</v>
      </c>
      <c r="Q1971">
        <v>0.161158341253818</v>
      </c>
      <c r="R1971">
        <v>0.970121509557752</v>
      </c>
      <c r="S1971" t="s">
        <v>4164</v>
      </c>
      <c r="T1971" t="s">
        <v>4362</v>
      </c>
      <c r="U1971" t="s">
        <v>4362</v>
      </c>
      <c r="V1971" t="s">
        <v>4362</v>
      </c>
      <c r="W1971" t="s">
        <v>6328</v>
      </c>
      <c r="X1971">
        <v>2</v>
      </c>
      <c r="Y1971" t="s">
        <v>8492</v>
      </c>
      <c r="Z1971" t="s">
        <v>10659</v>
      </c>
      <c r="AA1971">
        <v>0.3016594191943288</v>
      </c>
      <c r="AB1971">
        <f>HYPERLINK("Melting_Curves/meltCurve_P76273_rsmF.pdf", "Melting_Curves/meltCurve_P76273_rsmF.pdf")</f>
        <v>0</v>
      </c>
    </row>
    <row r="1972" spans="1:28">
      <c r="A1972" t="s">
        <v>1998</v>
      </c>
      <c r="B1972">
        <v>0.999739202189716</v>
      </c>
      <c r="C1972">
        <v>0.86971528251429</v>
      </c>
      <c r="D1972">
        <v>0.851935886339239</v>
      </c>
      <c r="E1972">
        <v>0.734702002454074</v>
      </c>
      <c r="F1972">
        <v>0.562381247907538</v>
      </c>
      <c r="G1972">
        <v>0.345456289872013</v>
      </c>
      <c r="H1972">
        <v>0.222003242323845</v>
      </c>
      <c r="I1972">
        <v>0.180431232841294</v>
      </c>
      <c r="J1972">
        <v>0.149772746033122</v>
      </c>
      <c r="K1972">
        <v>0.137208562012365</v>
      </c>
      <c r="L1972">
        <v>525.0027829283119</v>
      </c>
      <c r="M1972">
        <v>10.4532726693905</v>
      </c>
      <c r="N1972">
        <v>50.7761289862409</v>
      </c>
      <c r="O1972">
        <v>48.4901006092236</v>
      </c>
      <c r="P1972">
        <v>-0.0510182916700912</v>
      </c>
      <c r="Q1972">
        <v>0.0537443130070236</v>
      </c>
      <c r="R1972">
        <v>0.990761946980541</v>
      </c>
      <c r="S1972" t="s">
        <v>4165</v>
      </c>
      <c r="T1972" t="s">
        <v>4362</v>
      </c>
      <c r="U1972" t="s">
        <v>4362</v>
      </c>
      <c r="V1972" t="s">
        <v>4362</v>
      </c>
      <c r="W1972" t="s">
        <v>6329</v>
      </c>
      <c r="X1972">
        <v>8</v>
      </c>
      <c r="Y1972" t="s">
        <v>8493</v>
      </c>
      <c r="Z1972" t="s">
        <v>10660</v>
      </c>
      <c r="AA1972">
        <v>0.5009841262711789</v>
      </c>
      <c r="AB1972">
        <f>HYPERLINK("Melting_Curves/meltCurve_P76290_cmoA.pdf", "Melting_Curves/meltCurve_P76290_cmoA.pdf")</f>
        <v>0</v>
      </c>
    </row>
    <row r="1973" spans="1:28">
      <c r="A1973" t="s">
        <v>1999</v>
      </c>
      <c r="B1973">
        <v>0.999739202189716</v>
      </c>
      <c r="C1973">
        <v>0.935735283524155</v>
      </c>
      <c r="D1973">
        <v>0.442145180407906</v>
      </c>
      <c r="E1973">
        <v>0.516412747668675</v>
      </c>
      <c r="F1973">
        <v>0.339117954006824</v>
      </c>
      <c r="G1973">
        <v>0.274548807843374</v>
      </c>
      <c r="H1973">
        <v>0.257194675776085</v>
      </c>
      <c r="I1973">
        <v>0.171918102600524</v>
      </c>
      <c r="J1973">
        <v>0.185834291813822</v>
      </c>
      <c r="K1973">
        <v>0.131329893131059</v>
      </c>
      <c r="L1973">
        <v>577.573343973018</v>
      </c>
      <c r="M1973">
        <v>13.1968489510828</v>
      </c>
      <c r="N1973">
        <v>45.3107923140157</v>
      </c>
      <c r="O1973">
        <v>42.7976417360636</v>
      </c>
      <c r="P1973">
        <v>-0.0631336773822091</v>
      </c>
      <c r="Q1973">
        <v>0.181161166641021</v>
      </c>
      <c r="R1973">
        <v>0.91850843459024</v>
      </c>
      <c r="S1973" t="s">
        <v>4166</v>
      </c>
      <c r="T1973" t="s">
        <v>4362</v>
      </c>
      <c r="U1973" t="s">
        <v>4362</v>
      </c>
      <c r="V1973" t="s">
        <v>4362</v>
      </c>
      <c r="W1973" t="s">
        <v>6330</v>
      </c>
      <c r="X1973">
        <v>2</v>
      </c>
      <c r="Y1973" t="s">
        <v>8494</v>
      </c>
      <c r="Z1973" t="s">
        <v>10661</v>
      </c>
      <c r="AA1973">
        <v>0.3925850373741874</v>
      </c>
      <c r="AB1973">
        <f>HYPERLINK("Melting_Curves/meltCurve_P76291_cmoB.pdf", "Melting_Curves/meltCurve_P76291_cmoB.pdf")</f>
        <v>0</v>
      </c>
    </row>
    <row r="1974" spans="1:28">
      <c r="A1974" t="s">
        <v>2000</v>
      </c>
      <c r="B1974">
        <v>0.999739202189716</v>
      </c>
      <c r="C1974">
        <v>0.972399999295211</v>
      </c>
      <c r="D1974">
        <v>0.998425281767692</v>
      </c>
      <c r="E1974">
        <v>0.765786512113825</v>
      </c>
      <c r="F1974">
        <v>0.420572660488058</v>
      </c>
      <c r="G1974">
        <v>0.159315552845994</v>
      </c>
      <c r="H1974">
        <v>0.120980737703058</v>
      </c>
      <c r="I1974">
        <v>0.0888178836059255</v>
      </c>
      <c r="J1974">
        <v>0.0825350544587871</v>
      </c>
      <c r="K1974">
        <v>0.0597973591694808</v>
      </c>
      <c r="L1974">
        <v>1136.0163635359</v>
      </c>
      <c r="M1974">
        <v>23.2018508758609</v>
      </c>
      <c r="N1974">
        <v>49.3038840837965</v>
      </c>
      <c r="O1974">
        <v>48.6029468174532</v>
      </c>
      <c r="P1974">
        <v>-0.110485660305794</v>
      </c>
      <c r="Q1974">
        <v>0.07424082496365821</v>
      </c>
      <c r="R1974">
        <v>0.998111751976766</v>
      </c>
      <c r="S1974" t="s">
        <v>4167</v>
      </c>
      <c r="T1974" t="s">
        <v>4362</v>
      </c>
      <c r="U1974" t="s">
        <v>4362</v>
      </c>
      <c r="V1974" t="s">
        <v>4362</v>
      </c>
      <c r="W1974" t="s">
        <v>6331</v>
      </c>
      <c r="X1974">
        <v>3</v>
      </c>
      <c r="Y1974" t="s">
        <v>8495</v>
      </c>
      <c r="Z1974" t="s">
        <v>10662</v>
      </c>
      <c r="AA1974">
        <v>0.4526165564103731</v>
      </c>
      <c r="AB1974">
        <f>HYPERLINK("Melting_Curves/meltCurve_P76297_flhE.pdf", "Melting_Curves/meltCurve_P76297_flhE.pdf")</f>
        <v>0</v>
      </c>
    </row>
    <row r="1975" spans="1:28">
      <c r="A1975" t="s">
        <v>2001</v>
      </c>
      <c r="B1975">
        <v>0.999739202189716</v>
      </c>
      <c r="C1975">
        <v>1.1850458093532</v>
      </c>
      <c r="D1975">
        <v>0.474585456380182</v>
      </c>
      <c r="E1975">
        <v>0.228512886776364</v>
      </c>
      <c r="F1975">
        <v>0.143227501615077</v>
      </c>
      <c r="G1975">
        <v>0.0764126090992519</v>
      </c>
      <c r="H1975">
        <v>0.07602772022914241</v>
      </c>
      <c r="I1975">
        <v>0.07138347249607201</v>
      </c>
      <c r="J1975">
        <v>0.171557731339611</v>
      </c>
      <c r="K1975">
        <v>0.12047690147622</v>
      </c>
      <c r="L1975">
        <v>10732.2581460786</v>
      </c>
      <c r="M1975">
        <v>250</v>
      </c>
      <c r="N1975">
        <v>42.9793156332765</v>
      </c>
      <c r="O1975">
        <v>42.9262866732222</v>
      </c>
      <c r="P1975">
        <v>-1.27136578935369</v>
      </c>
      <c r="Q1975">
        <v>0.126799829243208</v>
      </c>
      <c r="R1975">
        <v>0.963380346054552</v>
      </c>
      <c r="S1975" t="s">
        <v>4168</v>
      </c>
      <c r="T1975" t="s">
        <v>4362</v>
      </c>
      <c r="U1975" t="s">
        <v>4362</v>
      </c>
      <c r="V1975" t="s">
        <v>4362</v>
      </c>
      <c r="W1975" t="s">
        <v>6332</v>
      </c>
      <c r="X1975">
        <v>2</v>
      </c>
      <c r="Y1975" t="s">
        <v>8496</v>
      </c>
      <c r="Z1975" t="s">
        <v>10663</v>
      </c>
      <c r="AA1975">
        <v>0.2994400247903798</v>
      </c>
      <c r="AB1975">
        <f>HYPERLINK("Melting_Curves/meltCurve_P76298_flhA.pdf", "Melting_Curves/meltCurve_P76298_flhA.pdf")</f>
        <v>0</v>
      </c>
    </row>
    <row r="1976" spans="1:28">
      <c r="A1976" t="s">
        <v>2002</v>
      </c>
      <c r="B1976">
        <v>0.999739202189716</v>
      </c>
      <c r="C1976">
        <v>0.869843325978519</v>
      </c>
      <c r="D1976">
        <v>0.9730181358851721</v>
      </c>
      <c r="E1976">
        <v>0.851530228346696</v>
      </c>
      <c r="F1976">
        <v>0.775652275996784</v>
      </c>
      <c r="G1976">
        <v>0.751901523127865</v>
      </c>
      <c r="H1976">
        <v>0.577614118908667</v>
      </c>
      <c r="I1976">
        <v>0.530846098140756</v>
      </c>
      <c r="J1976">
        <v>0.495600348642167</v>
      </c>
      <c r="K1976">
        <v>0.360376440754338</v>
      </c>
      <c r="L1976">
        <v>348.390613545407</v>
      </c>
      <c r="M1976">
        <v>5.61085413230329</v>
      </c>
      <c r="N1976">
        <v>62.0922599877019</v>
      </c>
      <c r="O1976">
        <v>55.5497888240741</v>
      </c>
      <c r="P1976">
        <v>-0.0253551761774148</v>
      </c>
      <c r="Q1976">
        <v>0</v>
      </c>
      <c r="R1976">
        <v>0.958082088513322</v>
      </c>
      <c r="S1976" t="s">
        <v>4169</v>
      </c>
      <c r="T1976" t="s">
        <v>4362</v>
      </c>
      <c r="U1976" t="s">
        <v>4362</v>
      </c>
      <c r="V1976" t="s">
        <v>4362</v>
      </c>
      <c r="W1976" t="s">
        <v>6333</v>
      </c>
      <c r="X1976">
        <v>1</v>
      </c>
      <c r="Y1976" t="s">
        <v>8497</v>
      </c>
      <c r="Z1976" t="s">
        <v>10664</v>
      </c>
      <c r="AA1976">
        <v>0.7269062553729501</v>
      </c>
      <c r="AB1976">
        <f>HYPERLINK("Melting_Curves/meltCurve_P76299_flhB.pdf", "Melting_Curves/meltCurve_P76299_flhB.pdf")</f>
        <v>0</v>
      </c>
    </row>
    <row r="1977" spans="1:28">
      <c r="A1977" t="s">
        <v>2003</v>
      </c>
      <c r="B1977">
        <v>0.999739202189716</v>
      </c>
      <c r="C1977">
        <v>1.20256375937929</v>
      </c>
      <c r="D1977">
        <v>0.6139685001077611</v>
      </c>
      <c r="E1977">
        <v>0.685546495355919</v>
      </c>
      <c r="F1977">
        <v>0.614666949322236</v>
      </c>
      <c r="G1977">
        <v>0.420458394344407</v>
      </c>
      <c r="H1977">
        <v>0.372725539169344</v>
      </c>
      <c r="I1977">
        <v>0.288924741255824</v>
      </c>
      <c r="J1977">
        <v>0.365364044103496</v>
      </c>
      <c r="K1977">
        <v>0.338267517369399</v>
      </c>
      <c r="L1977">
        <v>594.214945433152</v>
      </c>
      <c r="M1977">
        <v>12.6354621047919</v>
      </c>
      <c r="N1977">
        <v>51.0377989004926</v>
      </c>
      <c r="O1977">
        <v>45.896276987709</v>
      </c>
      <c r="P1977">
        <v>-0.0471735236790519</v>
      </c>
      <c r="Q1977">
        <v>0.314734372829287</v>
      </c>
      <c r="R1977">
        <v>0.837779807961323</v>
      </c>
      <c r="S1977" t="s">
        <v>4170</v>
      </c>
      <c r="T1977" t="s">
        <v>4362</v>
      </c>
      <c r="U1977" t="s">
        <v>4362</v>
      </c>
      <c r="V1977" t="s">
        <v>4362</v>
      </c>
      <c r="W1977" t="s">
        <v>6334</v>
      </c>
      <c r="X1977">
        <v>2</v>
      </c>
      <c r="Y1977" t="s">
        <v>8498</v>
      </c>
      <c r="Z1977" t="s">
        <v>10665</v>
      </c>
      <c r="AA1977">
        <v>0.5644784555658847</v>
      </c>
      <c r="AB1977">
        <f>HYPERLINK("Melting_Curves/meltCurve_P76308_yecR.pdf", "Melting_Curves/meltCurve_P76308_yecR.pdf")</f>
        <v>0</v>
      </c>
    </row>
    <row r="1978" spans="1:28">
      <c r="A1978" t="s">
        <v>2004</v>
      </c>
      <c r="B1978">
        <v>0.999739202189716</v>
      </c>
      <c r="C1978">
        <v>0.908234170250239</v>
      </c>
      <c r="D1978">
        <v>0.9727599415266019</v>
      </c>
      <c r="E1978">
        <v>0.912381391983333</v>
      </c>
      <c r="F1978">
        <v>0.897487157634717</v>
      </c>
      <c r="G1978">
        <v>0.83675844297667</v>
      </c>
      <c r="H1978">
        <v>0.715109017668456</v>
      </c>
      <c r="I1978">
        <v>0.745013582929856</v>
      </c>
      <c r="J1978">
        <v>0.706233351377097</v>
      </c>
      <c r="K1978">
        <v>0.59420988291716</v>
      </c>
      <c r="L1978">
        <v>287.213780034498</v>
      </c>
      <c r="M1978">
        <v>3.77756945798047</v>
      </c>
      <c r="O1978">
        <v>61.2541208086268</v>
      </c>
      <c r="P1978">
        <v>-0.0156553084095415</v>
      </c>
      <c r="Q1978">
        <v>0</v>
      </c>
      <c r="R1978">
        <v>0.9263081571373279</v>
      </c>
      <c r="S1978" t="s">
        <v>4171</v>
      </c>
      <c r="T1978" t="s">
        <v>4362</v>
      </c>
      <c r="U1978" t="s">
        <v>4362</v>
      </c>
      <c r="V1978" t="s">
        <v>4362</v>
      </c>
      <c r="W1978" t="s">
        <v>6335</v>
      </c>
      <c r="X1978">
        <v>11</v>
      </c>
      <c r="Y1978" t="s">
        <v>8499</v>
      </c>
      <c r="Z1978" t="s">
        <v>10666</v>
      </c>
      <c r="AA1978">
        <v>0.8344983266965185</v>
      </c>
      <c r="AB1978">
        <f>HYPERLINK("Melting_Curves/meltCurve_P76316_dcyD.pdf", "Melting_Curves/meltCurve_P76316_dcyD.pdf")</f>
        <v>0</v>
      </c>
    </row>
    <row r="1979" spans="1:28">
      <c r="A1979" t="s">
        <v>2005</v>
      </c>
      <c r="B1979">
        <v>0.999739202189716</v>
      </c>
      <c r="C1979">
        <v>1.03223665934122</v>
      </c>
      <c r="D1979">
        <v>1.10634418966813</v>
      </c>
      <c r="E1979">
        <v>1.08823268780636</v>
      </c>
      <c r="F1979">
        <v>0.9696517682133849</v>
      </c>
      <c r="G1979">
        <v>0.804886378318031</v>
      </c>
      <c r="H1979">
        <v>0.6679365172887211</v>
      </c>
      <c r="I1979">
        <v>0.50609782348939</v>
      </c>
      <c r="J1979">
        <v>0.428564625535221</v>
      </c>
      <c r="K1979">
        <v>0.378696757481492</v>
      </c>
      <c r="L1979">
        <v>1092.69345820514</v>
      </c>
      <c r="M1979">
        <v>19.1781618946486</v>
      </c>
      <c r="N1979">
        <v>60.9233893463568</v>
      </c>
      <c r="O1979">
        <v>56.3672939143808</v>
      </c>
      <c r="P1979">
        <v>-0.0548066045039405</v>
      </c>
      <c r="Q1979">
        <v>0.355687800841954</v>
      </c>
      <c r="R1979">
        <v>0.966446065548203</v>
      </c>
      <c r="S1979" t="s">
        <v>4172</v>
      </c>
      <c r="T1979" t="s">
        <v>4362</v>
      </c>
      <c r="U1979" t="s">
        <v>4362</v>
      </c>
      <c r="V1979" t="s">
        <v>4362</v>
      </c>
      <c r="W1979" t="s">
        <v>6336</v>
      </c>
      <c r="X1979">
        <v>4</v>
      </c>
      <c r="Y1979" t="s">
        <v>8500</v>
      </c>
      <c r="Z1979" t="s">
        <v>10667</v>
      </c>
      <c r="AA1979">
        <v>0.7904829501423735</v>
      </c>
      <c r="AB1979">
        <f>HYPERLINK("Melting_Curves/meltCurve_P76318_yedK.pdf", "Melting_Curves/meltCurve_P76318_yedK.pdf")</f>
        <v>0</v>
      </c>
    </row>
    <row r="1980" spans="1:28">
      <c r="A1980" t="s">
        <v>2006</v>
      </c>
      <c r="B1980">
        <v>0.999739202189716</v>
      </c>
      <c r="C1980">
        <v>0.615094492558186</v>
      </c>
      <c r="D1980">
        <v>0.821758885180867</v>
      </c>
      <c r="E1980">
        <v>0.227073227945396</v>
      </c>
      <c r="F1980">
        <v>0.09200655556559049</v>
      </c>
      <c r="G1980">
        <v>0.053143218904609</v>
      </c>
      <c r="H1980">
        <v>0.0443685141789752</v>
      </c>
      <c r="I1980">
        <v>0.0353901666407186</v>
      </c>
      <c r="J1980">
        <v>0.0308236502310212</v>
      </c>
      <c r="K1980">
        <v>0.022995343429276</v>
      </c>
      <c r="L1980">
        <v>691.8149714723791</v>
      </c>
      <c r="M1980">
        <v>15.6623236591458</v>
      </c>
      <c r="N1980">
        <v>44.2061789795885</v>
      </c>
      <c r="O1980">
        <v>43.469365370348</v>
      </c>
      <c r="P1980">
        <v>-0.0895212677602317</v>
      </c>
      <c r="Q1980">
        <v>0.0062516005210735</v>
      </c>
      <c r="R1980">
        <v>0.912237941275307</v>
      </c>
      <c r="S1980" t="s">
        <v>4173</v>
      </c>
      <c r="T1980" t="s">
        <v>4362</v>
      </c>
      <c r="U1980" t="s">
        <v>4362</v>
      </c>
      <c r="V1980" t="s">
        <v>4362</v>
      </c>
      <c r="W1980" t="s">
        <v>6337</v>
      </c>
      <c r="X1980">
        <v>6</v>
      </c>
      <c r="Y1980" t="s">
        <v>8501</v>
      </c>
      <c r="Z1980" t="s">
        <v>10668</v>
      </c>
      <c r="AA1980">
        <v>0.2661506303504201</v>
      </c>
      <c r="AB1980">
        <f>HYPERLINK("Melting_Curves/meltCurve_P76329_yedP.pdf", "Melting_Curves/meltCurve_P76329_yedP.pdf")</f>
        <v>0</v>
      </c>
    </row>
    <row r="1981" spans="1:28">
      <c r="A1981" t="s">
        <v>2007</v>
      </c>
      <c r="B1981">
        <v>0.999739202189716</v>
      </c>
      <c r="C1981">
        <v>1.22776165444447</v>
      </c>
      <c r="D1981">
        <v>0.598459129575855</v>
      </c>
      <c r="E1981">
        <v>0.386031279124074</v>
      </c>
      <c r="F1981">
        <v>0.262672445509339</v>
      </c>
      <c r="G1981">
        <v>0.169425123672964</v>
      </c>
      <c r="H1981">
        <v>0.143227189229773</v>
      </c>
      <c r="I1981">
        <v>0.120956383859993</v>
      </c>
      <c r="J1981">
        <v>0.105302128547691</v>
      </c>
      <c r="K1981">
        <v>0.0914240509899418</v>
      </c>
      <c r="L1981">
        <v>1096.21064897893</v>
      </c>
      <c r="M1981">
        <v>24.7191855158346</v>
      </c>
      <c r="N1981">
        <v>44.9427009735711</v>
      </c>
      <c r="O1981">
        <v>44.0593771660972</v>
      </c>
      <c r="P1981">
        <v>-0.120656904473742</v>
      </c>
      <c r="Q1981">
        <v>0.139778566414109</v>
      </c>
      <c r="R1981">
        <v>0.927522926093006</v>
      </c>
      <c r="S1981" t="s">
        <v>4174</v>
      </c>
      <c r="T1981" t="s">
        <v>4362</v>
      </c>
      <c r="U1981" t="s">
        <v>4362</v>
      </c>
      <c r="V1981" t="s">
        <v>4362</v>
      </c>
      <c r="W1981" t="s">
        <v>6338</v>
      </c>
      <c r="X1981">
        <v>4</v>
      </c>
      <c r="Y1981" t="s">
        <v>8502</v>
      </c>
      <c r="Z1981" t="s">
        <v>10669</v>
      </c>
      <c r="AA1981">
        <v>0.3576594563785168</v>
      </c>
      <c r="AB1981">
        <f>HYPERLINK("Melting_Curves/meltCurve_P76330_yedQ.pdf", "Melting_Curves/meltCurve_P76330_yedQ.pdf")</f>
        <v>0</v>
      </c>
    </row>
    <row r="1982" spans="1:28">
      <c r="A1982" t="s">
        <v>2008</v>
      </c>
      <c r="B1982">
        <v>0.999739202189716</v>
      </c>
      <c r="C1982">
        <v>0.757944184346165</v>
      </c>
      <c r="D1982">
        <v>0.673617394778941</v>
      </c>
      <c r="E1982">
        <v>0.377386684044293</v>
      </c>
      <c r="F1982">
        <v>0.280992720784809</v>
      </c>
      <c r="G1982">
        <v>0.196325799655306</v>
      </c>
      <c r="H1982">
        <v>0.17775301723196</v>
      </c>
      <c r="I1982">
        <v>0.13028282758915</v>
      </c>
      <c r="J1982">
        <v>0.105635811694367</v>
      </c>
      <c r="K1982">
        <v>0.107859971092695</v>
      </c>
      <c r="L1982">
        <v>567.219747496989</v>
      </c>
      <c r="M1982">
        <v>12.8287646582579</v>
      </c>
      <c r="N1982">
        <v>45.0601820370782</v>
      </c>
      <c r="O1982">
        <v>43.1816528403182</v>
      </c>
      <c r="P1982">
        <v>-0.0663397024096006</v>
      </c>
      <c r="Q1982">
        <v>0.10696772673522</v>
      </c>
      <c r="R1982">
        <v>0.98595250779458</v>
      </c>
      <c r="S1982" t="s">
        <v>4175</v>
      </c>
      <c r="T1982" t="s">
        <v>4362</v>
      </c>
      <c r="U1982" t="s">
        <v>4362</v>
      </c>
      <c r="V1982" t="s">
        <v>4362</v>
      </c>
      <c r="W1982" t="s">
        <v>6339</v>
      </c>
      <c r="X1982">
        <v>1</v>
      </c>
      <c r="Y1982" t="s">
        <v>8503</v>
      </c>
      <c r="Z1982" t="s">
        <v>10670</v>
      </c>
      <c r="AA1982">
        <v>0.3517257623203067</v>
      </c>
      <c r="AB1982">
        <f>HYPERLINK("Melting_Curves/meltCurve_P76340_yedW.pdf", "Melting_Curves/meltCurve_P76340_yedW.pdf")</f>
        <v>0</v>
      </c>
    </row>
    <row r="1983" spans="1:28">
      <c r="A1983" t="s">
        <v>2009</v>
      </c>
      <c r="B1983">
        <v>0.999739202189716</v>
      </c>
      <c r="C1983">
        <v>1.03757375180265</v>
      </c>
      <c r="D1983">
        <v>0.9919862030876569</v>
      </c>
      <c r="E1983">
        <v>0.9996854783968721</v>
      </c>
      <c r="F1983">
        <v>0.988788066455652</v>
      </c>
      <c r="G1983">
        <v>0.853542890419361</v>
      </c>
      <c r="H1983">
        <v>0.623640759874548</v>
      </c>
      <c r="I1983">
        <v>0.548976138359895</v>
      </c>
      <c r="J1983">
        <v>0.53335652444367</v>
      </c>
      <c r="K1983">
        <v>0.491324400990544</v>
      </c>
      <c r="L1983">
        <v>1724.8561896785</v>
      </c>
      <c r="M1983">
        <v>31.2077874812373</v>
      </c>
      <c r="O1983">
        <v>55.0446004925171</v>
      </c>
      <c r="P1983">
        <v>-0.06916868380927781</v>
      </c>
      <c r="Q1983">
        <v>0.512001123696794</v>
      </c>
      <c r="R1983">
        <v>0.99476984983012</v>
      </c>
      <c r="S1983" t="s">
        <v>4176</v>
      </c>
      <c r="T1983" t="s">
        <v>4362</v>
      </c>
      <c r="U1983" t="s">
        <v>4362</v>
      </c>
      <c r="V1983" t="s">
        <v>4362</v>
      </c>
      <c r="W1983" t="s">
        <v>6340</v>
      </c>
      <c r="X1983">
        <v>2</v>
      </c>
      <c r="Y1983" t="s">
        <v>8504</v>
      </c>
      <c r="Z1983" t="s">
        <v>10671</v>
      </c>
      <c r="AA1983">
        <v>0.812079992269401</v>
      </c>
      <c r="AB1983">
        <f>HYPERLINK("Melting_Curves/meltCurve_P76341_hiuH.pdf", "Melting_Curves/meltCurve_P76341_hiuH.pdf")</f>
        <v>0</v>
      </c>
    </row>
    <row r="1984" spans="1:28">
      <c r="A1984" t="s">
        <v>2010</v>
      </c>
      <c r="B1984">
        <v>0.999739202189716</v>
      </c>
      <c r="C1984">
        <v>1.02537105178088</v>
      </c>
      <c r="D1984">
        <v>0.760712570487855</v>
      </c>
      <c r="E1984">
        <v>0.713453790572333</v>
      </c>
      <c r="F1984">
        <v>0.596415020369338</v>
      </c>
      <c r="G1984">
        <v>0.406086130953575</v>
      </c>
      <c r="H1984">
        <v>0.370778274577344</v>
      </c>
      <c r="I1984">
        <v>0.195153655841028</v>
      </c>
      <c r="J1984">
        <v>0.125329439374734</v>
      </c>
      <c r="K1984">
        <v>0.0806748011228773</v>
      </c>
      <c r="L1984">
        <v>458.645772267351</v>
      </c>
      <c r="M1984">
        <v>8.85217065665258</v>
      </c>
      <c r="N1984">
        <v>51.8116730403148</v>
      </c>
      <c r="O1984">
        <v>49.3719414837755</v>
      </c>
      <c r="P1984">
        <v>-0.0448585503039545</v>
      </c>
      <c r="Q1984">
        <v>0</v>
      </c>
      <c r="R1984">
        <v>0.973933219083441</v>
      </c>
      <c r="S1984" t="s">
        <v>4177</v>
      </c>
      <c r="T1984" t="s">
        <v>4362</v>
      </c>
      <c r="U1984" t="s">
        <v>4362</v>
      </c>
      <c r="V1984" t="s">
        <v>4362</v>
      </c>
      <c r="W1984" t="s">
        <v>6341</v>
      </c>
      <c r="X1984">
        <v>7</v>
      </c>
      <c r="Y1984" t="s">
        <v>8505</v>
      </c>
      <c r="Z1984" t="s">
        <v>10672</v>
      </c>
      <c r="AA1984">
        <v>0.5226570792998714</v>
      </c>
      <c r="AB1984">
        <f>HYPERLINK("Melting_Curves/meltCurve_P76342_msrP.pdf", "Melting_Curves/meltCurve_P76342_msrP.pdf")</f>
        <v>0</v>
      </c>
    </row>
    <row r="1985" spans="1:28">
      <c r="A1985" t="s">
        <v>2011</v>
      </c>
      <c r="B1985">
        <v>0.999739202189716</v>
      </c>
      <c r="C1985">
        <v>0.927649753227183</v>
      </c>
      <c r="D1985">
        <v>0.946955872887951</v>
      </c>
      <c r="E1985">
        <v>0.979512245874099</v>
      </c>
      <c r="F1985">
        <v>0.918359995646549</v>
      </c>
      <c r="G1985">
        <v>0.768882649162332</v>
      </c>
      <c r="H1985">
        <v>0.779812397185197</v>
      </c>
      <c r="I1985">
        <v>0.692931939873183</v>
      </c>
      <c r="J1985">
        <v>0.5858221217615041</v>
      </c>
      <c r="K1985">
        <v>0.52694988950874</v>
      </c>
      <c r="L1985">
        <v>396.623776903771</v>
      </c>
      <c r="M1985">
        <v>5.78896613417472</v>
      </c>
      <c r="O1985">
        <v>61.6628641347615</v>
      </c>
      <c r="P1985">
        <v>-0.023556553881929</v>
      </c>
      <c r="Q1985">
        <v>0</v>
      </c>
      <c r="R1985">
        <v>0.956336803781148</v>
      </c>
      <c r="S1985" t="s">
        <v>4178</v>
      </c>
      <c r="T1985" t="s">
        <v>4362</v>
      </c>
      <c r="U1985" t="s">
        <v>4362</v>
      </c>
      <c r="V1985" t="s">
        <v>4362</v>
      </c>
      <c r="W1985" t="s">
        <v>6342</v>
      </c>
      <c r="X1985">
        <v>2</v>
      </c>
      <c r="Y1985" t="s">
        <v>8506</v>
      </c>
      <c r="Z1985" t="s">
        <v>10673</v>
      </c>
      <c r="AA1985">
        <v>0.8255274872179343</v>
      </c>
      <c r="AB1985">
        <f>HYPERLINK("Melting_Curves/meltCurve_P76344_zinT.pdf", "Melting_Curves/meltCurve_P76344_zinT.pdf")</f>
        <v>0</v>
      </c>
    </row>
    <row r="1986" spans="1:28">
      <c r="A1986" t="s">
        <v>2012</v>
      </c>
      <c r="B1986">
        <v>0.999739202189716</v>
      </c>
      <c r="C1986">
        <v>0.788646122230354</v>
      </c>
      <c r="D1986">
        <v>0.728574401705667</v>
      </c>
      <c r="E1986">
        <v>0.442774949109752</v>
      </c>
      <c r="F1986">
        <v>0.263534912340477</v>
      </c>
      <c r="G1986">
        <v>0.161710050971998</v>
      </c>
      <c r="H1986">
        <v>0.132978839931692</v>
      </c>
      <c r="I1986">
        <v>0.103084175618956</v>
      </c>
      <c r="J1986">
        <v>0.106253583837714</v>
      </c>
      <c r="K1986">
        <v>0.0952566830555507</v>
      </c>
      <c r="L1986">
        <v>599.715514879411</v>
      </c>
      <c r="M1986">
        <v>13.2884159556476</v>
      </c>
      <c r="N1986">
        <v>45.7225009268571</v>
      </c>
      <c r="O1986">
        <v>44.1453746900231</v>
      </c>
      <c r="P1986">
        <v>-0.0693194684815896</v>
      </c>
      <c r="Q1986">
        <v>0.0790060478786984</v>
      </c>
      <c r="R1986">
        <v>0.990413863920505</v>
      </c>
      <c r="S1986" t="s">
        <v>4179</v>
      </c>
      <c r="T1986" t="s">
        <v>4362</v>
      </c>
      <c r="U1986" t="s">
        <v>4362</v>
      </c>
      <c r="V1986" t="s">
        <v>4362</v>
      </c>
      <c r="W1986" t="s">
        <v>6343</v>
      </c>
      <c r="X1986">
        <v>3</v>
      </c>
      <c r="Y1986" t="s">
        <v>8507</v>
      </c>
      <c r="Z1986" t="s">
        <v>10674</v>
      </c>
      <c r="AA1986">
        <v>0.3561847832131313</v>
      </c>
      <c r="AB1986">
        <f>HYPERLINK("Melting_Curves/meltCurve_P76346_mtfA.pdf", "Melting_Curves/meltCurve_P76346_mtfA.pdf")</f>
        <v>0</v>
      </c>
    </row>
    <row r="1987" spans="1:28">
      <c r="A1987" t="s">
        <v>2013</v>
      </c>
      <c r="B1987">
        <v>0.999739202189716</v>
      </c>
      <c r="C1987">
        <v>0.866067767535</v>
      </c>
      <c r="D1987">
        <v>0.9799938786508</v>
      </c>
      <c r="E1987">
        <v>0.873117538294512</v>
      </c>
      <c r="F1987">
        <v>0.810082058273245</v>
      </c>
      <c r="G1987">
        <v>0.643435827710249</v>
      </c>
      <c r="H1987">
        <v>0.568663644189901</v>
      </c>
      <c r="I1987">
        <v>0.476095256767731</v>
      </c>
      <c r="J1987">
        <v>0.472582170776515</v>
      </c>
      <c r="K1987">
        <v>0.31277803300416</v>
      </c>
      <c r="L1987">
        <v>378.187834717428</v>
      </c>
      <c r="M1987">
        <v>6.26424559563678</v>
      </c>
      <c r="N1987">
        <v>60.3724468952072</v>
      </c>
      <c r="O1987">
        <v>55.0944852881863</v>
      </c>
      <c r="P1987">
        <v>-0.0285038930129913</v>
      </c>
      <c r="Q1987">
        <v>0</v>
      </c>
      <c r="R1987">
        <v>0.960247561029679</v>
      </c>
      <c r="S1987" t="s">
        <v>4180</v>
      </c>
      <c r="T1987" t="s">
        <v>4362</v>
      </c>
      <c r="U1987" t="s">
        <v>4362</v>
      </c>
      <c r="V1987" t="s">
        <v>4362</v>
      </c>
      <c r="W1987" t="s">
        <v>6344</v>
      </c>
      <c r="X1987">
        <v>9</v>
      </c>
      <c r="Y1987" t="s">
        <v>8508</v>
      </c>
      <c r="Z1987" t="s">
        <v>10675</v>
      </c>
      <c r="AA1987">
        <v>0.7083527931583482</v>
      </c>
      <c r="AB1987">
        <f>HYPERLINK("Melting_Curves/meltCurve_P76372_wzzB.pdf", "Melting_Curves/meltCurve_P76372_wzzB.pdf")</f>
        <v>0</v>
      </c>
    </row>
    <row r="1988" spans="1:28">
      <c r="A1988" t="s">
        <v>2014</v>
      </c>
      <c r="B1988">
        <v>0.999739202189716</v>
      </c>
      <c r="C1988">
        <v>0.982129043235466</v>
      </c>
      <c r="D1988">
        <v>0.659254741303358</v>
      </c>
      <c r="E1988">
        <v>0.570724501949611</v>
      </c>
      <c r="F1988">
        <v>0.47763851807091</v>
      </c>
      <c r="G1988">
        <v>0.360925999386913</v>
      </c>
      <c r="H1988">
        <v>0.347088749328763</v>
      </c>
      <c r="I1988">
        <v>0.321420809136138</v>
      </c>
      <c r="J1988">
        <v>0.286433876501864</v>
      </c>
      <c r="K1988">
        <v>0.231279008194028</v>
      </c>
      <c r="L1988">
        <v>576.835691218325</v>
      </c>
      <c r="M1988">
        <v>12.7332616427621</v>
      </c>
      <c r="N1988">
        <v>48.3220410675182</v>
      </c>
      <c r="O1988">
        <v>44.2277525830291</v>
      </c>
      <c r="P1988">
        <v>-0.0522338821737217</v>
      </c>
      <c r="Q1988">
        <v>0.27442161320374</v>
      </c>
      <c r="R1988">
        <v>0.963997158911901</v>
      </c>
      <c r="S1988" t="s">
        <v>4181</v>
      </c>
      <c r="T1988" t="s">
        <v>4362</v>
      </c>
      <c r="U1988" t="s">
        <v>4362</v>
      </c>
      <c r="V1988" t="s">
        <v>4362</v>
      </c>
      <c r="W1988" t="s">
        <v>6345</v>
      </c>
      <c r="X1988">
        <v>4</v>
      </c>
      <c r="Y1988" t="s">
        <v>8509</v>
      </c>
      <c r="Z1988" t="s">
        <v>10676</v>
      </c>
      <c r="AA1988">
        <v>0.4985235868159156</v>
      </c>
      <c r="AB1988">
        <f>HYPERLINK("Melting_Curves/meltCurve_P76389_yegH.pdf", "Melting_Curves/meltCurve_P76389_yegH.pdf")</f>
        <v>0</v>
      </c>
    </row>
    <row r="1989" spans="1:28">
      <c r="A1989" t="s">
        <v>2015</v>
      </c>
      <c r="B1989">
        <v>0.999739202189716</v>
      </c>
      <c r="C1989">
        <v>0.968481516556687</v>
      </c>
      <c r="D1989">
        <v>0.866886256878075</v>
      </c>
      <c r="E1989">
        <v>1.02994493577023</v>
      </c>
      <c r="F1989">
        <v>0.900028184351512</v>
      </c>
      <c r="G1989">
        <v>0.873943921729854</v>
      </c>
      <c r="H1989">
        <v>0.84383777071697</v>
      </c>
      <c r="I1989">
        <v>0.736235043069322</v>
      </c>
      <c r="J1989">
        <v>0.585113441448373</v>
      </c>
      <c r="K1989">
        <v>0.557426896153822</v>
      </c>
      <c r="L1989">
        <v>490.409908269104</v>
      </c>
      <c r="M1989">
        <v>7.12392408706566</v>
      </c>
      <c r="O1989">
        <v>64.03391357469761</v>
      </c>
      <c r="P1989">
        <v>-0.0278614379635073</v>
      </c>
      <c r="Q1989">
        <v>0</v>
      </c>
      <c r="R1989">
        <v>0.89984293518757</v>
      </c>
      <c r="S1989" t="s">
        <v>4182</v>
      </c>
      <c r="T1989" t="s">
        <v>4362</v>
      </c>
      <c r="U1989" t="s">
        <v>4362</v>
      </c>
      <c r="V1989" t="s">
        <v>4362</v>
      </c>
      <c r="W1989" t="s">
        <v>6346</v>
      </c>
      <c r="X1989">
        <v>1</v>
      </c>
      <c r="Y1989" t="s">
        <v>8510</v>
      </c>
      <c r="Z1989" t="s">
        <v>10677</v>
      </c>
      <c r="AA1989">
        <v>0.8582619679130901</v>
      </c>
      <c r="AB1989">
        <f>HYPERLINK("Melting_Curves/meltCurve_P76394_yegJ.pdf", "Melting_Curves/meltCurve_P76394_yegJ.pdf")</f>
        <v>0</v>
      </c>
    </row>
    <row r="1990" spans="1:28">
      <c r="A1990" t="s">
        <v>2016</v>
      </c>
      <c r="B1990">
        <v>0.999739202189716</v>
      </c>
      <c r="C1990">
        <v>0.998749350320333</v>
      </c>
      <c r="D1990">
        <v>0.912201974583156</v>
      </c>
      <c r="E1990">
        <v>0.955267825389234</v>
      </c>
      <c r="F1990">
        <v>0.628930664538041</v>
      </c>
      <c r="G1990">
        <v>0.417440830233846</v>
      </c>
      <c r="H1990">
        <v>0.361595675439192</v>
      </c>
      <c r="I1990">
        <v>0.310483846931296</v>
      </c>
      <c r="J1990">
        <v>0.307029895894853</v>
      </c>
      <c r="K1990">
        <v>0.285149804136164</v>
      </c>
      <c r="L1990">
        <v>1276.63135357064</v>
      </c>
      <c r="M1990">
        <v>25.4478301073272</v>
      </c>
      <c r="N1990">
        <v>52.1035990967331</v>
      </c>
      <c r="O1990">
        <v>49.8598980979967</v>
      </c>
      <c r="P1990">
        <v>-0.0885707505851774</v>
      </c>
      <c r="Q1990">
        <v>0.305862527742368</v>
      </c>
      <c r="R1990">
        <v>0.989293809086892</v>
      </c>
      <c r="S1990" t="s">
        <v>4183</v>
      </c>
      <c r="T1990" t="s">
        <v>4362</v>
      </c>
      <c r="U1990" t="s">
        <v>4362</v>
      </c>
      <c r="V1990" t="s">
        <v>4362</v>
      </c>
      <c r="W1990" t="s">
        <v>6347</v>
      </c>
      <c r="X1990">
        <v>6</v>
      </c>
      <c r="Y1990" t="s">
        <v>8511</v>
      </c>
      <c r="Z1990" t="s">
        <v>10678</v>
      </c>
      <c r="AA1990">
        <v>0.6163893547938213</v>
      </c>
      <c r="AB1990">
        <f>HYPERLINK("Melting_Curves/meltCurve_P76397_mdtA.pdf", "Melting_Curves/meltCurve_P76397_mdtA.pdf")</f>
        <v>0</v>
      </c>
    </row>
    <row r="1991" spans="1:28">
      <c r="A1991" t="s">
        <v>2017</v>
      </c>
      <c r="B1991">
        <v>0.999739202189716</v>
      </c>
      <c r="C1991">
        <v>1.14509225869033</v>
      </c>
      <c r="D1991">
        <v>0.486527454969717</v>
      </c>
      <c r="E1991">
        <v>0.321835047092052</v>
      </c>
      <c r="F1991">
        <v>0.149235194478864</v>
      </c>
      <c r="G1991">
        <v>0.06639151643496299</v>
      </c>
      <c r="H1991">
        <v>0.0513393260394241</v>
      </c>
      <c r="I1991">
        <v>0.0584965637456875</v>
      </c>
      <c r="J1991">
        <v>0.0503532573954446</v>
      </c>
      <c r="K1991">
        <v>0.047943432352866</v>
      </c>
      <c r="L1991">
        <v>1172.82704386353</v>
      </c>
      <c r="M1991">
        <v>26.937110403913</v>
      </c>
      <c r="N1991">
        <v>43.8036770664243</v>
      </c>
      <c r="O1991">
        <v>43.3016183319076</v>
      </c>
      <c r="P1991">
        <v>-0.143860106133031</v>
      </c>
      <c r="Q1991">
        <v>0.07498420619347421</v>
      </c>
      <c r="R1991">
        <v>0.947333317934332</v>
      </c>
      <c r="S1991" t="s">
        <v>4184</v>
      </c>
      <c r="T1991" t="s">
        <v>4362</v>
      </c>
      <c r="U1991" t="s">
        <v>4362</v>
      </c>
      <c r="V1991" t="s">
        <v>4362</v>
      </c>
      <c r="W1991" t="s">
        <v>6348</v>
      </c>
      <c r="X1991">
        <v>1</v>
      </c>
      <c r="Y1991" t="s">
        <v>8512</v>
      </c>
      <c r="Z1991" t="s">
        <v>10679</v>
      </c>
      <c r="AA1991">
        <v>0.283107052552469</v>
      </c>
      <c r="AB1991">
        <f>HYPERLINK("Melting_Curves/meltCurve_P76398_mdtB.pdf", "Melting_Curves/meltCurve_P76398_mdtB.pdf")</f>
        <v>0</v>
      </c>
    </row>
    <row r="1992" spans="1:28">
      <c r="A1992" t="s">
        <v>2018</v>
      </c>
      <c r="B1992">
        <v>0.999739202189716</v>
      </c>
      <c r="C1992">
        <v>0.976066044853024</v>
      </c>
      <c r="D1992">
        <v>1.08167624531118</v>
      </c>
      <c r="E1992">
        <v>1.27537217066895</v>
      </c>
      <c r="F1992">
        <v>0.819528549607804</v>
      </c>
      <c r="G1992">
        <v>0.438242075555127</v>
      </c>
      <c r="H1992">
        <v>0.153422657708367</v>
      </c>
      <c r="I1992">
        <v>0.0957925663901838</v>
      </c>
      <c r="J1992">
        <v>0.0835963856608174</v>
      </c>
      <c r="K1992">
        <v>0.111123451777215</v>
      </c>
      <c r="L1992">
        <v>1791.3790756574</v>
      </c>
      <c r="M1992">
        <v>33.8642804476737</v>
      </c>
      <c r="N1992">
        <v>53.2272631240033</v>
      </c>
      <c r="O1992">
        <v>52.7153344753791</v>
      </c>
      <c r="P1992">
        <v>-0.14545615554418</v>
      </c>
      <c r="Q1992">
        <v>0.0942977344769851</v>
      </c>
      <c r="R1992">
        <v>0.954519019240774</v>
      </c>
      <c r="S1992" t="s">
        <v>4185</v>
      </c>
      <c r="T1992" t="s">
        <v>4362</v>
      </c>
      <c r="U1992" t="s">
        <v>4362</v>
      </c>
      <c r="V1992" t="s">
        <v>4362</v>
      </c>
      <c r="W1992" t="s">
        <v>6349</v>
      </c>
      <c r="X1992">
        <v>11</v>
      </c>
      <c r="Y1992" t="s">
        <v>8513</v>
      </c>
      <c r="Z1992" t="s">
        <v>10680</v>
      </c>
      <c r="AA1992">
        <v>0.5788554608691476</v>
      </c>
      <c r="AB1992">
        <f>HYPERLINK("Melting_Curves/meltCurve_P76402_yegP.pdf", "Melting_Curves/meltCurve_P76402_yegP.pdf")</f>
        <v>0</v>
      </c>
    </row>
    <row r="1993" spans="1:28">
      <c r="A1993" t="s">
        <v>2019</v>
      </c>
      <c r="B1993">
        <v>0.999739202189716</v>
      </c>
      <c r="C1993">
        <v>1.11598708977524</v>
      </c>
      <c r="D1993">
        <v>0.8673731290211391</v>
      </c>
      <c r="E1993">
        <v>0.447412109113309</v>
      </c>
      <c r="F1993">
        <v>0.263694668300634</v>
      </c>
      <c r="G1993">
        <v>0.155753968731404</v>
      </c>
      <c r="H1993">
        <v>0.100517059071997</v>
      </c>
      <c r="I1993">
        <v>0.0591857381887281</v>
      </c>
      <c r="J1993">
        <v>0.0512499958300477</v>
      </c>
      <c r="K1993">
        <v>0.0357377002984556</v>
      </c>
      <c r="L1993">
        <v>1039.32590714856</v>
      </c>
      <c r="M1993">
        <v>22.455830336804</v>
      </c>
      <c r="N1993">
        <v>46.6110164042606</v>
      </c>
      <c r="O1993">
        <v>45.9207679311525</v>
      </c>
      <c r="P1993">
        <v>-0.113323394299713</v>
      </c>
      <c r="Q1993">
        <v>0.07306207637253651</v>
      </c>
      <c r="R1993">
        <v>0.981462358144029</v>
      </c>
      <c r="S1993" t="s">
        <v>4186</v>
      </c>
      <c r="T1993" t="s">
        <v>4362</v>
      </c>
      <c r="U1993" t="s">
        <v>4362</v>
      </c>
      <c r="V1993" t="s">
        <v>4362</v>
      </c>
      <c r="W1993" t="s">
        <v>6350</v>
      </c>
      <c r="X1993">
        <v>4</v>
      </c>
      <c r="Y1993" t="s">
        <v>8514</v>
      </c>
      <c r="Z1993" t="s">
        <v>10681</v>
      </c>
      <c r="AA1993">
        <v>0.3694808128634807</v>
      </c>
      <c r="AB1993">
        <f>HYPERLINK("Melting_Curves/meltCurve_P76403_yegQ.pdf", "Melting_Curves/meltCurve_P76403_yegQ.pdf")</f>
        <v>0</v>
      </c>
    </row>
    <row r="1994" spans="1:28">
      <c r="A1994" t="s">
        <v>2020</v>
      </c>
      <c r="B1994">
        <v>0.999739202189716</v>
      </c>
      <c r="C1994">
        <v>0.9310818596046651</v>
      </c>
      <c r="D1994">
        <v>0.913065761825684</v>
      </c>
      <c r="E1994">
        <v>0.784998142538572</v>
      </c>
      <c r="F1994">
        <v>0.815469963778653</v>
      </c>
      <c r="G1994">
        <v>0.625036879413612</v>
      </c>
      <c r="H1994">
        <v>0.518591328093207</v>
      </c>
      <c r="I1994">
        <v>0.476682753203733</v>
      </c>
      <c r="J1994">
        <v>0.466435040600233</v>
      </c>
      <c r="K1994">
        <v>0.370061380387954</v>
      </c>
      <c r="L1994">
        <v>390.128886168831</v>
      </c>
      <c r="M1994">
        <v>7.06133599701848</v>
      </c>
      <c r="N1994">
        <v>59.9005813619221</v>
      </c>
      <c r="O1994">
        <v>51.3306625485205</v>
      </c>
      <c r="P1994">
        <v>-0.0271814120409391</v>
      </c>
      <c r="Q1994">
        <v>0.211062038871954</v>
      </c>
      <c r="R1994">
        <v>0.9731403864313219</v>
      </c>
      <c r="S1994" t="s">
        <v>4187</v>
      </c>
      <c r="T1994" t="s">
        <v>4362</v>
      </c>
      <c r="U1994" t="s">
        <v>4362</v>
      </c>
      <c r="V1994" t="s">
        <v>4362</v>
      </c>
      <c r="W1994" t="s">
        <v>6351</v>
      </c>
      <c r="X1994">
        <v>3</v>
      </c>
      <c r="Y1994" t="s">
        <v>8515</v>
      </c>
      <c r="Z1994" t="s">
        <v>10682</v>
      </c>
      <c r="AA1994">
        <v>0.6909572763996381</v>
      </c>
      <c r="AB1994">
        <f>HYPERLINK("Melting_Curves/meltCurve_P76406_yegR.pdf", "Melting_Curves/meltCurve_P76406_yegR.pdf")</f>
        <v>0</v>
      </c>
    </row>
    <row r="1995" spans="1:28">
      <c r="A1995" t="s">
        <v>2021</v>
      </c>
      <c r="B1995">
        <v>0.999739202189716</v>
      </c>
      <c r="C1995">
        <v>0.816670496156145</v>
      </c>
      <c r="D1995">
        <v>1.00906409321779</v>
      </c>
      <c r="E1995">
        <v>0.712620008252895</v>
      </c>
      <c r="F1995">
        <v>0.602498326466098</v>
      </c>
      <c r="G1995">
        <v>0.415153858668601</v>
      </c>
      <c r="H1995">
        <v>0.306170543284827</v>
      </c>
      <c r="I1995">
        <v>0.209475578479657</v>
      </c>
      <c r="J1995">
        <v>0.181588741789755</v>
      </c>
      <c r="K1995">
        <v>0.162787548943456</v>
      </c>
      <c r="L1995">
        <v>543.9935892482069</v>
      </c>
      <c r="M1995">
        <v>10.6551978935476</v>
      </c>
      <c r="N1995">
        <v>51.9848824714523</v>
      </c>
      <c r="O1995">
        <v>49.3545075192049</v>
      </c>
      <c r="P1995">
        <v>-0.0493052676705395</v>
      </c>
      <c r="Q1995">
        <v>0.0868270911987465</v>
      </c>
      <c r="R1995">
        <v>0.9634091759671159</v>
      </c>
      <c r="S1995" t="s">
        <v>4188</v>
      </c>
      <c r="T1995" t="s">
        <v>4362</v>
      </c>
      <c r="U1995" t="s">
        <v>4362</v>
      </c>
      <c r="V1995" t="s">
        <v>4362</v>
      </c>
      <c r="W1995" t="s">
        <v>6352</v>
      </c>
      <c r="X1995">
        <v>12</v>
      </c>
      <c r="Y1995" t="s">
        <v>8516</v>
      </c>
      <c r="Z1995" t="s">
        <v>10683</v>
      </c>
      <c r="AA1995">
        <v>0.5409602409199012</v>
      </c>
      <c r="AB1995">
        <f>HYPERLINK("Melting_Curves/meltCurve_P76407_yegS.pdf", "Melting_Curves/meltCurve_P76407_yegS.pdf")</f>
        <v>0</v>
      </c>
    </row>
    <row r="1996" spans="1:28">
      <c r="A1996" t="s">
        <v>2022</v>
      </c>
      <c r="B1996">
        <v>0.999739202189716</v>
      </c>
      <c r="C1996">
        <v>0.960692150424205</v>
      </c>
      <c r="D1996">
        <v>0.78904284296771</v>
      </c>
      <c r="E1996">
        <v>0.770891981237615</v>
      </c>
      <c r="F1996">
        <v>0.589983168983218</v>
      </c>
      <c r="G1996">
        <v>0.403336192465064</v>
      </c>
      <c r="H1996">
        <v>0.211807993718121</v>
      </c>
      <c r="I1996">
        <v>0.143381507722727</v>
      </c>
      <c r="J1996">
        <v>0.122730615557608</v>
      </c>
      <c r="K1996">
        <v>0.125897480081649</v>
      </c>
      <c r="L1996">
        <v>519.370229912753</v>
      </c>
      <c r="M1996">
        <v>10.1209952175281</v>
      </c>
      <c r="N1996">
        <v>51.3612968452247</v>
      </c>
      <c r="O1996">
        <v>49.4336240320868</v>
      </c>
      <c r="P1996">
        <v>-0.0509816343264157</v>
      </c>
      <c r="Q1996">
        <v>0.0044311866688422</v>
      </c>
      <c r="R1996">
        <v>0.986818850020399</v>
      </c>
      <c r="S1996" t="s">
        <v>4189</v>
      </c>
      <c r="T1996" t="s">
        <v>4362</v>
      </c>
      <c r="U1996" t="s">
        <v>4362</v>
      </c>
      <c r="V1996" t="s">
        <v>4362</v>
      </c>
      <c r="W1996" t="s">
        <v>6353</v>
      </c>
      <c r="X1996">
        <v>6</v>
      </c>
      <c r="Y1996" t="s">
        <v>8517</v>
      </c>
      <c r="Z1996" t="s">
        <v>10684</v>
      </c>
      <c r="AA1996">
        <v>0.5084706812201628</v>
      </c>
      <c r="AB1996">
        <f>HYPERLINK("Melting_Curves/meltCurve_P76418_yegU.pdf", "Melting_Curves/meltCurve_P76418_yegU.pdf")</f>
        <v>0</v>
      </c>
    </row>
    <row r="1997" spans="1:28">
      <c r="A1997" t="s">
        <v>2023</v>
      </c>
      <c r="B1997">
        <v>0.999739202189716</v>
      </c>
      <c r="C1997">
        <v>0.756685736292058</v>
      </c>
      <c r="D1997">
        <v>0.564358446301458</v>
      </c>
      <c r="E1997">
        <v>0.427478853327514</v>
      </c>
      <c r="F1997">
        <v>0.402426762892302</v>
      </c>
      <c r="G1997">
        <v>0.257768321345364</v>
      </c>
      <c r="H1997">
        <v>0.212251996335224</v>
      </c>
      <c r="I1997">
        <v>0.15409151754533</v>
      </c>
      <c r="J1997">
        <v>0.104147401206844</v>
      </c>
      <c r="K1997">
        <v>0.117985239995642</v>
      </c>
      <c r="L1997">
        <v>425.731245301508</v>
      </c>
      <c r="M1997">
        <v>9.528266553176961</v>
      </c>
      <c r="N1997">
        <v>45.6620798949988</v>
      </c>
      <c r="O1997">
        <v>42.8456359728835</v>
      </c>
      <c r="P1997">
        <v>-0.0504791680384139</v>
      </c>
      <c r="Q1997">
        <v>0.0925747691303406</v>
      </c>
      <c r="R1997">
        <v>0.96795800738214</v>
      </c>
      <c r="S1997" t="s">
        <v>4190</v>
      </c>
      <c r="T1997" t="s">
        <v>4362</v>
      </c>
      <c r="U1997" t="s">
        <v>4362</v>
      </c>
      <c r="V1997" t="s">
        <v>4362</v>
      </c>
      <c r="W1997" t="s">
        <v>6354</v>
      </c>
      <c r="X1997">
        <v>1</v>
      </c>
      <c r="Y1997" t="s">
        <v>8518</v>
      </c>
      <c r="Z1997" t="s">
        <v>10685</v>
      </c>
      <c r="AA1997">
        <v>0.374607069882448</v>
      </c>
      <c r="AB1997">
        <f>HYPERLINK("Melting_Curves/meltCurve_P76419_yegV.pdf", "Melting_Curves/meltCurve_P76419_yegV.pdf")</f>
        <v>0</v>
      </c>
    </row>
    <row r="1998" spans="1:28">
      <c r="A1998" t="s">
        <v>2024</v>
      </c>
      <c r="B1998">
        <v>0.999739202189716</v>
      </c>
      <c r="C1998">
        <v>0.951965504478137</v>
      </c>
      <c r="D1998">
        <v>0.728878169821721</v>
      </c>
      <c r="E1998">
        <v>0.6293931242685979</v>
      </c>
      <c r="F1998">
        <v>0.469208183776454</v>
      </c>
      <c r="G1998">
        <v>0.293655232988232</v>
      </c>
      <c r="H1998">
        <v>0.207898498451771</v>
      </c>
      <c r="I1998">
        <v>0.138605002396155</v>
      </c>
      <c r="J1998">
        <v>0.122589109129405</v>
      </c>
      <c r="K1998">
        <v>0.09753592453805229</v>
      </c>
      <c r="L1998">
        <v>493.81832450373</v>
      </c>
      <c r="M1998">
        <v>10.1663168671186</v>
      </c>
      <c r="N1998">
        <v>48.9953171313317</v>
      </c>
      <c r="O1998">
        <v>46.8069705925402</v>
      </c>
      <c r="P1998">
        <v>-0.0520500719725556</v>
      </c>
      <c r="Q1998">
        <v>0.0418578646103652</v>
      </c>
      <c r="R1998">
        <v>0.991332691133843</v>
      </c>
      <c r="S1998" t="s">
        <v>4191</v>
      </c>
      <c r="T1998" t="s">
        <v>4362</v>
      </c>
      <c r="U1998" t="s">
        <v>4362</v>
      </c>
      <c r="V1998" t="s">
        <v>4362</v>
      </c>
      <c r="W1998" t="s">
        <v>6355</v>
      </c>
      <c r="X1998">
        <v>8</v>
      </c>
      <c r="Y1998" t="s">
        <v>8519</v>
      </c>
      <c r="Z1998" t="s">
        <v>10686</v>
      </c>
      <c r="AA1998">
        <v>0.4476152443578331</v>
      </c>
      <c r="AB1998">
        <f>HYPERLINK("Melting_Curves/meltCurve_P76440_preT.pdf", "Melting_Curves/meltCurve_P76440_preT.pdf")</f>
        <v>0</v>
      </c>
    </row>
    <row r="1999" spans="1:28">
      <c r="A1999" t="s">
        <v>2025</v>
      </c>
      <c r="B1999">
        <v>0.999739202189716</v>
      </c>
      <c r="C1999">
        <v>1.01227574945459</v>
      </c>
      <c r="D1999">
        <v>0.601716318681215</v>
      </c>
      <c r="E1999">
        <v>0.535028229645416</v>
      </c>
      <c r="F1999">
        <v>0.475438060344532</v>
      </c>
      <c r="G1999">
        <v>0.321561793972364</v>
      </c>
      <c r="H1999">
        <v>0.287364764258649</v>
      </c>
      <c r="I1999">
        <v>0.232330704215468</v>
      </c>
      <c r="J1999">
        <v>0.184211010670236</v>
      </c>
      <c r="K1999">
        <v>0.227047279796352</v>
      </c>
      <c r="L1999">
        <v>554.644635130946</v>
      </c>
      <c r="M1999">
        <v>12.1821923024379</v>
      </c>
      <c r="N1999">
        <v>47.6326800275431</v>
      </c>
      <c r="O1999">
        <v>44.354401673073</v>
      </c>
      <c r="P1999">
        <v>-0.0543915233331551</v>
      </c>
      <c r="Q1999">
        <v>0.208039094101151</v>
      </c>
      <c r="R1999">
        <v>0.944121339170656</v>
      </c>
      <c r="S1999" t="s">
        <v>4192</v>
      </c>
      <c r="T1999" t="s">
        <v>4362</v>
      </c>
      <c r="U1999" t="s">
        <v>4362</v>
      </c>
      <c r="V1999" t="s">
        <v>4362</v>
      </c>
      <c r="W1999" t="s">
        <v>6356</v>
      </c>
      <c r="X1999">
        <v>1</v>
      </c>
      <c r="Y1999" t="s">
        <v>8520</v>
      </c>
      <c r="Z1999" t="s">
        <v>10687</v>
      </c>
      <c r="AA1999">
        <v>0.4604520840112321</v>
      </c>
      <c r="AB1999">
        <f>HYPERLINK("Melting_Curves/meltCurve_P76491_yfbR.pdf", "Melting_Curves/meltCurve_P76491_yfbR.pdf")</f>
        <v>0</v>
      </c>
    </row>
    <row r="2000" spans="1:28">
      <c r="A2000" t="s">
        <v>2026</v>
      </c>
      <c r="B2000">
        <v>0.999739202189716</v>
      </c>
      <c r="C2000">
        <v>2.70536280326914</v>
      </c>
      <c r="D2000">
        <v>0.205791087504583</v>
      </c>
      <c r="E2000">
        <v>0.182174535767123</v>
      </c>
      <c r="F2000">
        <v>0.119675816574002</v>
      </c>
      <c r="G2000">
        <v>0.06710934663480481</v>
      </c>
      <c r="H2000">
        <v>0.0451510625842173</v>
      </c>
      <c r="I2000">
        <v>0.0345879844401529</v>
      </c>
      <c r="J2000">
        <v>0.0448750640927166</v>
      </c>
      <c r="K2000">
        <v>0.0404465195789286</v>
      </c>
      <c r="L2000">
        <v>10672.0133654632</v>
      </c>
      <c r="M2000">
        <v>250</v>
      </c>
      <c r="N2000">
        <v>42.7163427756952</v>
      </c>
      <c r="O2000">
        <v>42.6853218690843</v>
      </c>
      <c r="P2000">
        <v>-1.35250156589055</v>
      </c>
      <c r="Q2000">
        <v>0.0762885698386592</v>
      </c>
      <c r="R2000">
        <v>0.545868103579354</v>
      </c>
      <c r="S2000" t="s">
        <v>4193</v>
      </c>
      <c r="T2000" t="s">
        <v>4362</v>
      </c>
      <c r="U2000" t="s">
        <v>4362</v>
      </c>
      <c r="V2000" t="s">
        <v>4362</v>
      </c>
      <c r="W2000" t="s">
        <v>6357</v>
      </c>
      <c r="X2000">
        <v>1</v>
      </c>
      <c r="Y2000" t="s">
        <v>8521</v>
      </c>
      <c r="Z2000" t="s">
        <v>10688</v>
      </c>
      <c r="AA2000">
        <v>0.2514951046766913</v>
      </c>
      <c r="AB2000">
        <f>HYPERLINK("Melting_Curves/meltCurve_P76501_yfcR.pdf", "Melting_Curves/meltCurve_P76501_yfcR.pdf")</f>
        <v>0</v>
      </c>
    </row>
    <row r="2001" spans="1:28">
      <c r="A2001" t="s">
        <v>2027</v>
      </c>
      <c r="B2001">
        <v>0.999739202189716</v>
      </c>
      <c r="C2001">
        <v>0.966364835752579</v>
      </c>
      <c r="D2001">
        <v>0.949120032366787</v>
      </c>
      <c r="E2001">
        <v>0.831117724469343</v>
      </c>
      <c r="F2001">
        <v>0.542052489819782</v>
      </c>
      <c r="G2001">
        <v>0.401075533354613</v>
      </c>
      <c r="H2001">
        <v>0.238738697497424</v>
      </c>
      <c r="I2001">
        <v>0.186093067799819</v>
      </c>
      <c r="J2001">
        <v>0.149385588878328</v>
      </c>
      <c r="K2001">
        <v>0.166837702359796</v>
      </c>
      <c r="L2001">
        <v>789.3578810382691</v>
      </c>
      <c r="M2001">
        <v>15.6780984535011</v>
      </c>
      <c r="N2001">
        <v>51.3922255352532</v>
      </c>
      <c r="O2001">
        <v>49.5500363003274</v>
      </c>
      <c r="P2001">
        <v>-0.06831676802511261</v>
      </c>
      <c r="Q2001">
        <v>0.136423121263264</v>
      </c>
      <c r="R2001">
        <v>0.99675498436989</v>
      </c>
      <c r="S2001" t="s">
        <v>4194</v>
      </c>
      <c r="T2001" t="s">
        <v>4362</v>
      </c>
      <c r="U2001" t="s">
        <v>4362</v>
      </c>
      <c r="V2001" t="s">
        <v>4362</v>
      </c>
      <c r="W2001" t="s">
        <v>6358</v>
      </c>
      <c r="X2001">
        <v>3</v>
      </c>
      <c r="Y2001" t="s">
        <v>8522</v>
      </c>
      <c r="Z2001" t="s">
        <v>10689</v>
      </c>
      <c r="AA2001">
        <v>0.5373983971654821</v>
      </c>
      <c r="AB2001">
        <f>HYPERLINK("Melting_Curves/meltCurve_P76502_sixA.pdf", "Melting_Curves/meltCurve_P76502_sixA.pdf")</f>
        <v>0</v>
      </c>
    </row>
    <row r="2002" spans="1:28">
      <c r="A2002" t="s">
        <v>2028</v>
      </c>
      <c r="B2002">
        <v>0.999739202189716</v>
      </c>
      <c r="C2002">
        <v>0.987185774027784</v>
      </c>
      <c r="D2002">
        <v>0.566658327137692</v>
      </c>
      <c r="E2002">
        <v>0.64417827037557</v>
      </c>
      <c r="F2002">
        <v>0.396836260824479</v>
      </c>
      <c r="G2002">
        <v>0.292991129479998</v>
      </c>
      <c r="H2002">
        <v>0.24546772521541</v>
      </c>
      <c r="I2002">
        <v>0.182382201375334</v>
      </c>
      <c r="J2002">
        <v>0.151703403410724</v>
      </c>
      <c r="K2002">
        <v>0.149151552515883</v>
      </c>
      <c r="L2002">
        <v>493.816013145326</v>
      </c>
      <c r="M2002">
        <v>10.582612180509</v>
      </c>
      <c r="N2002">
        <v>47.8940382794753</v>
      </c>
      <c r="O2002">
        <v>45.0891776822705</v>
      </c>
      <c r="P2002">
        <v>-0.0517091384584469</v>
      </c>
      <c r="Q2002">
        <v>0.11907951609813</v>
      </c>
      <c r="R2002">
        <v>0.943032739051049</v>
      </c>
      <c r="S2002" t="s">
        <v>4195</v>
      </c>
      <c r="T2002" t="s">
        <v>4362</v>
      </c>
      <c r="U2002" t="s">
        <v>4362</v>
      </c>
      <c r="V2002" t="s">
        <v>4362</v>
      </c>
      <c r="W2002" t="s">
        <v>5547</v>
      </c>
      <c r="X2002">
        <v>3</v>
      </c>
      <c r="Y2002" t="s">
        <v>8523</v>
      </c>
      <c r="Z2002" t="s">
        <v>10690</v>
      </c>
      <c r="AA2002">
        <v>0.4386362128883253</v>
      </c>
      <c r="AB2002">
        <f>HYPERLINK("Melting_Curves/meltCurve_P76503_fadI.pdf", "Melting_Curves/meltCurve_P76503_fadI.pdf")</f>
        <v>0</v>
      </c>
    </row>
    <row r="2003" spans="1:28">
      <c r="A2003" t="s">
        <v>2029</v>
      </c>
      <c r="B2003">
        <v>0.999739202189716</v>
      </c>
      <c r="C2003">
        <v>0.92826063642136</v>
      </c>
      <c r="D2003">
        <v>0.907101166981676</v>
      </c>
      <c r="E2003">
        <v>0.9714180603942369</v>
      </c>
      <c r="F2003">
        <v>1.1111463608411</v>
      </c>
      <c r="G2003">
        <v>1.03194122681922</v>
      </c>
      <c r="H2003">
        <v>0.9032651904785109</v>
      </c>
      <c r="I2003">
        <v>0.914968539794055</v>
      </c>
      <c r="J2003">
        <v>0.907101413653697</v>
      </c>
      <c r="K2003">
        <v>0.8353934755750611</v>
      </c>
      <c r="L2003">
        <v>14251.6757522545</v>
      </c>
      <c r="M2003">
        <v>250</v>
      </c>
      <c r="O2003">
        <v>57.0030783302875</v>
      </c>
      <c r="P2003">
        <v>-0.125189438190336</v>
      </c>
      <c r="Q2003">
        <v>0.8858211130286729</v>
      </c>
      <c r="R2003">
        <v>0.434978123873985</v>
      </c>
      <c r="S2003" t="s">
        <v>4196</v>
      </c>
      <c r="T2003" t="s">
        <v>4362</v>
      </c>
      <c r="U2003" t="s">
        <v>4362</v>
      </c>
      <c r="V2003" t="s">
        <v>4362</v>
      </c>
      <c r="W2003" t="s">
        <v>6359</v>
      </c>
      <c r="X2003">
        <v>5</v>
      </c>
      <c r="Y2003" t="s">
        <v>8524</v>
      </c>
      <c r="Z2003" t="s">
        <v>10691</v>
      </c>
      <c r="AA2003">
        <v>0.9619773055400245</v>
      </c>
      <c r="AB2003">
        <f>HYPERLINK("Melting_Curves/meltCurve_P76506_mlaA.pdf", "Melting_Curves/meltCurve_P76506_mlaA.pdf")</f>
        <v>0</v>
      </c>
    </row>
    <row r="2004" spans="1:28">
      <c r="A2004" t="s">
        <v>2030</v>
      </c>
      <c r="B2004">
        <v>0.999739202189716</v>
      </c>
      <c r="C2004">
        <v>1.09244047680578</v>
      </c>
      <c r="D2004">
        <v>0.9777699010768141</v>
      </c>
      <c r="E2004">
        <v>0.9876102556508189</v>
      </c>
      <c r="F2004">
        <v>0.660861097281022</v>
      </c>
      <c r="G2004">
        <v>0.55271961076149</v>
      </c>
      <c r="H2004">
        <v>0.596724747559799</v>
      </c>
      <c r="I2004">
        <v>0.379619635408724</v>
      </c>
      <c r="J2004">
        <v>0.382739229736104</v>
      </c>
      <c r="K2004">
        <v>0.206773491045669</v>
      </c>
      <c r="L2004">
        <v>586.459555300125</v>
      </c>
      <c r="M2004">
        <v>10.7538657433241</v>
      </c>
      <c r="N2004">
        <v>57.0259317173642</v>
      </c>
      <c r="O2004">
        <v>52.7504869860208</v>
      </c>
      <c r="P2004">
        <v>-0.0414284449036536</v>
      </c>
      <c r="Q2004">
        <v>0.187430196646325</v>
      </c>
      <c r="R2004">
        <v>0.9313849775905449</v>
      </c>
      <c r="S2004" t="s">
        <v>4197</v>
      </c>
      <c r="T2004" t="s">
        <v>4362</v>
      </c>
      <c r="U2004" t="s">
        <v>4362</v>
      </c>
      <c r="V2004" t="s">
        <v>4362</v>
      </c>
      <c r="W2004" t="s">
        <v>6360</v>
      </c>
      <c r="X2004">
        <v>1</v>
      </c>
      <c r="Y2004" t="s">
        <v>8525</v>
      </c>
      <c r="Z2004" t="s">
        <v>10692</v>
      </c>
      <c r="AA2004">
        <v>0.674963679454715</v>
      </c>
      <c r="AB2004">
        <f>HYPERLINK("Melting_Curves/meltCurve_P76513_yfdQ.pdf", "Melting_Curves/meltCurve_P76513_yfdQ.pdf")</f>
        <v>0</v>
      </c>
    </row>
    <row r="2005" spans="1:28">
      <c r="A2005" t="s">
        <v>2031</v>
      </c>
      <c r="B2005">
        <v>0.999739202189716</v>
      </c>
      <c r="C2005">
        <v>0.977788489661878</v>
      </c>
      <c r="D2005">
        <v>1.03168526081591</v>
      </c>
      <c r="E2005">
        <v>0.653235003439846</v>
      </c>
      <c r="F2005">
        <v>0.239647642407956</v>
      </c>
      <c r="G2005">
        <v>0.102528132284069</v>
      </c>
      <c r="H2005">
        <v>0.0679029672031821</v>
      </c>
      <c r="I2005">
        <v>0.0564288897577426</v>
      </c>
      <c r="J2005">
        <v>0.055915309527209</v>
      </c>
      <c r="K2005">
        <v>0.0530458250540663</v>
      </c>
      <c r="L2005">
        <v>1428.29528682524</v>
      </c>
      <c r="M2005">
        <v>30.0119243788077</v>
      </c>
      <c r="N2005">
        <v>47.7996374716017</v>
      </c>
      <c r="O2005">
        <v>47.381132901483</v>
      </c>
      <c r="P2005">
        <v>-0.148630501025013</v>
      </c>
      <c r="Q2005">
        <v>0.0614083586722718</v>
      </c>
      <c r="R2005">
        <v>0.99649257701317</v>
      </c>
      <c r="S2005" t="s">
        <v>4198</v>
      </c>
      <c r="T2005" t="s">
        <v>4362</v>
      </c>
      <c r="U2005" t="s">
        <v>4362</v>
      </c>
      <c r="V2005" t="s">
        <v>4362</v>
      </c>
      <c r="W2005" t="s">
        <v>6361</v>
      </c>
      <c r="X2005">
        <v>7</v>
      </c>
      <c r="Y2005" t="s">
        <v>8526</v>
      </c>
      <c r="Z2005" t="s">
        <v>10693</v>
      </c>
      <c r="AA2005">
        <v>0.398272117540975</v>
      </c>
      <c r="AB2005">
        <f>HYPERLINK("Melting_Curves/meltCurve_P76535_murQ.pdf", "Melting_Curves/meltCurve_P76535_murQ.pdf")</f>
        <v>0</v>
      </c>
    </row>
    <row r="2006" spans="1:28">
      <c r="A2006" t="s">
        <v>2032</v>
      </c>
      <c r="B2006">
        <v>0.999739202189716</v>
      </c>
      <c r="C2006">
        <v>0.893898823414073</v>
      </c>
      <c r="D2006">
        <v>0.759921582342334</v>
      </c>
      <c r="E2006">
        <v>0.653492561911491</v>
      </c>
      <c r="F2006">
        <v>0.5534322582449041</v>
      </c>
      <c r="G2006">
        <v>0.384312385865405</v>
      </c>
      <c r="H2006">
        <v>0.33621406412786</v>
      </c>
      <c r="I2006">
        <v>0.263506471617464</v>
      </c>
      <c r="J2006">
        <v>0.253667628476939</v>
      </c>
      <c r="K2006">
        <v>0.208749452996404</v>
      </c>
      <c r="L2006">
        <v>427.220807380031</v>
      </c>
      <c r="M2006">
        <v>8.76912100976317</v>
      </c>
      <c r="N2006">
        <v>50.7399804884667</v>
      </c>
      <c r="O2006">
        <v>46.384427053827</v>
      </c>
      <c r="P2006">
        <v>-0.0403282853045303</v>
      </c>
      <c r="Q2006">
        <v>0.147414294822717</v>
      </c>
      <c r="R2006">
        <v>0.991732045226978</v>
      </c>
      <c r="S2006" t="s">
        <v>4199</v>
      </c>
      <c r="T2006" t="s">
        <v>4362</v>
      </c>
      <c r="U2006" t="s">
        <v>4362</v>
      </c>
      <c r="V2006" t="s">
        <v>4362</v>
      </c>
      <c r="W2006" t="s">
        <v>6362</v>
      </c>
      <c r="X2006">
        <v>10</v>
      </c>
      <c r="Y2006" t="s">
        <v>8527</v>
      </c>
      <c r="Z2006" t="s">
        <v>10694</v>
      </c>
      <c r="AA2006">
        <v>0.517844253214772</v>
      </c>
      <c r="AB2006">
        <f>HYPERLINK("Melting_Curves/meltCurve_P76536_yfeX.pdf", "Melting_Curves/meltCurve_P76536_yfeX.pdf")</f>
        <v>0</v>
      </c>
    </row>
    <row r="2007" spans="1:28">
      <c r="A2007" t="s">
        <v>2033</v>
      </c>
      <c r="B2007">
        <v>0.999739202189716</v>
      </c>
      <c r="C2007">
        <v>0.806947119589096</v>
      </c>
      <c r="D2007">
        <v>1.32579623874195</v>
      </c>
      <c r="E2007">
        <v>0.878881250237891</v>
      </c>
      <c r="F2007">
        <v>0.914439484003073</v>
      </c>
      <c r="G2007">
        <v>0.81280542458732</v>
      </c>
      <c r="H2007">
        <v>0.687315436389599</v>
      </c>
      <c r="I2007">
        <v>0.677450791512092</v>
      </c>
      <c r="J2007">
        <v>0.637897262914619</v>
      </c>
      <c r="K2007">
        <v>0.488232675185806</v>
      </c>
      <c r="L2007">
        <v>669.290008324541</v>
      </c>
      <c r="M2007">
        <v>11.7244223940399</v>
      </c>
      <c r="O2007">
        <v>55.5003134103835</v>
      </c>
      <c r="P2007">
        <v>-0.0282122374800571</v>
      </c>
      <c r="Q2007">
        <v>0.465943794098116</v>
      </c>
      <c r="R2007">
        <v>0.654412218191616</v>
      </c>
      <c r="S2007" t="s">
        <v>4200</v>
      </c>
      <c r="T2007" t="s">
        <v>4362</v>
      </c>
      <c r="U2007" t="s">
        <v>4362</v>
      </c>
      <c r="V2007" t="s">
        <v>4362</v>
      </c>
      <c r="W2007" t="s">
        <v>6363</v>
      </c>
      <c r="X2007">
        <v>5</v>
      </c>
      <c r="Y2007" t="s">
        <v>8528</v>
      </c>
      <c r="Z2007" t="s">
        <v>10695</v>
      </c>
      <c r="AA2007">
        <v>0.8254149080601735</v>
      </c>
      <c r="AB2007">
        <f>HYPERLINK("Melting_Curves/meltCurve_P76537_yfeY.pdf", "Melting_Curves/meltCurve_P76537_yfeY.pdf")</f>
        <v>0</v>
      </c>
    </row>
    <row r="2008" spans="1:28">
      <c r="A2008" t="s">
        <v>2034</v>
      </c>
      <c r="B2008">
        <v>0.999739202189716</v>
      </c>
      <c r="C2008">
        <v>1.69760189127179</v>
      </c>
      <c r="D2008">
        <v>1.18733992601883</v>
      </c>
      <c r="E2008">
        <v>0.8196664449057079</v>
      </c>
      <c r="F2008">
        <v>0.381418730378942</v>
      </c>
      <c r="G2008">
        <v>0.190770683299615</v>
      </c>
      <c r="H2008">
        <v>0.215698440305316</v>
      </c>
      <c r="I2008">
        <v>0.226897042929134</v>
      </c>
      <c r="J2008">
        <v>0.252553275139527</v>
      </c>
      <c r="K2008">
        <v>0.5774393774034829</v>
      </c>
      <c r="L2008">
        <v>2327.86758082572</v>
      </c>
      <c r="M2008">
        <v>48.7827191472945</v>
      </c>
      <c r="N2008">
        <v>48.615572200375</v>
      </c>
      <c r="O2008">
        <v>47.6391182419969</v>
      </c>
      <c r="P2008">
        <v>-0.18006636450235</v>
      </c>
      <c r="Q2008">
        <v>0.296620203949162</v>
      </c>
      <c r="R2008">
        <v>0.732859625876048</v>
      </c>
      <c r="S2008" t="s">
        <v>4201</v>
      </c>
      <c r="T2008" t="s">
        <v>4362</v>
      </c>
      <c r="U2008" t="s">
        <v>4362</v>
      </c>
      <c r="V2008" t="s">
        <v>4362</v>
      </c>
      <c r="W2008" t="s">
        <v>6364</v>
      </c>
      <c r="X2008">
        <v>1</v>
      </c>
      <c r="Y2008" t="s">
        <v>8529</v>
      </c>
      <c r="Z2008" t="s">
        <v>10696</v>
      </c>
      <c r="AA2008">
        <v>0.5494959881728338</v>
      </c>
      <c r="AB2008">
        <f>HYPERLINK("Melting_Curves/meltCurve_P76539_ypeA.pdf", "Melting_Curves/meltCurve_P76539_ypeA.pdf")</f>
        <v>0</v>
      </c>
    </row>
    <row r="2009" spans="1:28">
      <c r="A2009" t="s">
        <v>2035</v>
      </c>
      <c r="B2009">
        <v>0.999739202189716</v>
      </c>
      <c r="C2009">
        <v>0.9945039369179119</v>
      </c>
      <c r="D2009">
        <v>0.763621264475225</v>
      </c>
      <c r="E2009">
        <v>1.0375054866083</v>
      </c>
      <c r="F2009">
        <v>0.950988262281468</v>
      </c>
      <c r="G2009">
        <v>0.850354655324705</v>
      </c>
      <c r="H2009">
        <v>0.8874183272438489</v>
      </c>
      <c r="I2009">
        <v>0.773330208533184</v>
      </c>
      <c r="J2009">
        <v>0.721027066122171</v>
      </c>
      <c r="K2009">
        <v>0.621089181865764</v>
      </c>
      <c r="L2009">
        <v>388.664152127647</v>
      </c>
      <c r="M2009">
        <v>5.16829098094541</v>
      </c>
      <c r="O2009">
        <v>66.13133371904929</v>
      </c>
      <c r="P2009">
        <v>-0.019644828699323</v>
      </c>
      <c r="Q2009">
        <v>0</v>
      </c>
      <c r="R2009">
        <v>0.657624444063269</v>
      </c>
      <c r="S2009" t="s">
        <v>4202</v>
      </c>
      <c r="T2009" t="s">
        <v>4362</v>
      </c>
      <c r="U2009" t="s">
        <v>4362</v>
      </c>
      <c r="V2009" t="s">
        <v>4362</v>
      </c>
      <c r="W2009" t="s">
        <v>6365</v>
      </c>
      <c r="X2009">
        <v>4</v>
      </c>
      <c r="Y2009" t="s">
        <v>8530</v>
      </c>
      <c r="Z2009" t="s">
        <v>10697</v>
      </c>
      <c r="AA2009">
        <v>0.8784759180385661</v>
      </c>
      <c r="AB2009">
        <f>HYPERLINK("Melting_Curves/meltCurve_P76541_eutL.pdf", "Melting_Curves/meltCurve_P76541_eutL.pdf")</f>
        <v>0</v>
      </c>
    </row>
    <row r="2010" spans="1:28">
      <c r="A2010" t="s">
        <v>2036</v>
      </c>
      <c r="B2010">
        <v>0.999739202189716</v>
      </c>
      <c r="C2010">
        <v>1.19056310681696</v>
      </c>
      <c r="D2010">
        <v>0.984104864957015</v>
      </c>
      <c r="E2010">
        <v>0.775710044242327</v>
      </c>
      <c r="F2010">
        <v>0.829414808710968</v>
      </c>
      <c r="G2010">
        <v>0.741001252230731</v>
      </c>
      <c r="H2010">
        <v>0.714944397269059</v>
      </c>
      <c r="I2010">
        <v>0.641830245148229</v>
      </c>
      <c r="J2010">
        <v>0.653193272666396</v>
      </c>
      <c r="K2010">
        <v>0.518637095320603</v>
      </c>
      <c r="L2010">
        <v>530.94112802359</v>
      </c>
      <c r="M2010">
        <v>10.1335091527812</v>
      </c>
      <c r="O2010">
        <v>50.477003080986</v>
      </c>
      <c r="P2010">
        <v>-0.0229228139861869</v>
      </c>
      <c r="Q2010">
        <v>0.543478942797668</v>
      </c>
      <c r="R2010">
        <v>0.811682107697818</v>
      </c>
      <c r="S2010" t="s">
        <v>4203</v>
      </c>
      <c r="T2010" t="s">
        <v>4362</v>
      </c>
      <c r="U2010" t="s">
        <v>4362</v>
      </c>
      <c r="V2010" t="s">
        <v>4362</v>
      </c>
      <c r="W2010" t="s">
        <v>6366</v>
      </c>
      <c r="X2010">
        <v>8</v>
      </c>
      <c r="Y2010" t="s">
        <v>8531</v>
      </c>
      <c r="Z2010" t="s">
        <v>10698</v>
      </c>
      <c r="AA2010">
        <v>0.7891170771977074</v>
      </c>
      <c r="AB2010">
        <f>HYPERLINK("Melting_Curves/meltCurve_P76550_yffS.pdf", "Melting_Curves/meltCurve_P76550_yffS.pdf")</f>
        <v>0</v>
      </c>
    </row>
    <row r="2011" spans="1:28">
      <c r="A2011" t="s">
        <v>2037</v>
      </c>
      <c r="B2011">
        <v>0.999739202189716</v>
      </c>
      <c r="C2011">
        <v>0.990322898807072</v>
      </c>
      <c r="D2011">
        <v>0.94923647644933</v>
      </c>
      <c r="E2011">
        <v>0.956600715383515</v>
      </c>
      <c r="F2011">
        <v>0.924288397873811</v>
      </c>
      <c r="G2011">
        <v>0.667475532954804</v>
      </c>
      <c r="H2011">
        <v>0.426194472295711</v>
      </c>
      <c r="I2011">
        <v>0.267182925105117</v>
      </c>
      <c r="J2011">
        <v>0.211063999752936</v>
      </c>
      <c r="K2011">
        <v>0.171659876587217</v>
      </c>
      <c r="L2011">
        <v>1092.89010514832</v>
      </c>
      <c r="M2011">
        <v>19.805972093814</v>
      </c>
      <c r="N2011">
        <v>56.2267755603746</v>
      </c>
      <c r="O2011">
        <v>54.6265429239893</v>
      </c>
      <c r="P2011">
        <v>-0.07666679346174871</v>
      </c>
      <c r="Q2011">
        <v>0.154214659214426</v>
      </c>
      <c r="R2011">
        <v>0.996439466359633</v>
      </c>
      <c r="S2011" t="s">
        <v>4204</v>
      </c>
      <c r="T2011" t="s">
        <v>4362</v>
      </c>
      <c r="U2011" t="s">
        <v>4362</v>
      </c>
      <c r="V2011" t="s">
        <v>4362</v>
      </c>
      <c r="W2011" t="s">
        <v>6367</v>
      </c>
      <c r="X2011">
        <v>4</v>
      </c>
      <c r="Y2011" t="s">
        <v>8532</v>
      </c>
      <c r="Z2011" t="s">
        <v>10699</v>
      </c>
      <c r="AA2011">
        <v>0.6763062232006788</v>
      </c>
      <c r="AB2011">
        <f>HYPERLINK("Melting_Curves/meltCurve_P76555_eutQ.pdf", "Melting_Curves/meltCurve_P76555_eutQ.pdf")</f>
        <v>0</v>
      </c>
    </row>
    <row r="2012" spans="1:28">
      <c r="A2012" t="s">
        <v>2038</v>
      </c>
      <c r="B2012">
        <v>0.999739202189716</v>
      </c>
      <c r="C2012">
        <v>1.70871662523437</v>
      </c>
      <c r="D2012">
        <v>1.45369879326635</v>
      </c>
      <c r="E2012">
        <v>2.06696367593344</v>
      </c>
      <c r="F2012">
        <v>0.9375256763457051</v>
      </c>
      <c r="G2012">
        <v>1.16569318727981</v>
      </c>
      <c r="H2012">
        <v>0.642236036857602</v>
      </c>
      <c r="I2012">
        <v>0.433477826904131</v>
      </c>
      <c r="J2012">
        <v>0.157969015378896</v>
      </c>
      <c r="K2012">
        <v>0.112071674665045</v>
      </c>
      <c r="L2012">
        <v>1782.33226886463</v>
      </c>
      <c r="M2012">
        <v>30.085399696169</v>
      </c>
      <c r="N2012">
        <v>59.6618544134137</v>
      </c>
      <c r="O2012">
        <v>58.9825400249672</v>
      </c>
      <c r="P2012">
        <v>-0.115364937850651</v>
      </c>
      <c r="Q2012">
        <v>0.0953122710963958</v>
      </c>
      <c r="R2012">
        <v>0.499054994167724</v>
      </c>
      <c r="S2012" t="s">
        <v>4205</v>
      </c>
      <c r="T2012" t="s">
        <v>4362</v>
      </c>
      <c r="U2012" t="s">
        <v>4362</v>
      </c>
      <c r="V2012" t="s">
        <v>4362</v>
      </c>
      <c r="W2012" t="s">
        <v>6368</v>
      </c>
      <c r="X2012">
        <v>28</v>
      </c>
      <c r="Y2012" t="s">
        <v>8533</v>
      </c>
      <c r="Z2012" t="s">
        <v>10700</v>
      </c>
      <c r="AA2012">
        <v>0.770162883634655</v>
      </c>
      <c r="AB2012">
        <f>HYPERLINK("Melting_Curves/meltCurve_P76558_maeB.pdf", "Melting_Curves/meltCurve_P76558_maeB.pdf")</f>
        <v>0</v>
      </c>
    </row>
    <row r="2013" spans="1:28">
      <c r="A2013" t="s">
        <v>2039</v>
      </c>
      <c r="B2013">
        <v>0.999739202189716</v>
      </c>
      <c r="C2013">
        <v>0.788954977775465</v>
      </c>
      <c r="D2013">
        <v>0.632542239072265</v>
      </c>
      <c r="E2013">
        <v>0.511146925111348</v>
      </c>
      <c r="F2013">
        <v>0.492921784862646</v>
      </c>
      <c r="G2013">
        <v>0.343781008896478</v>
      </c>
      <c r="H2013">
        <v>0.150057220912948</v>
      </c>
      <c r="I2013">
        <v>0.0962475340999899</v>
      </c>
      <c r="J2013">
        <v>0.08575776765087401</v>
      </c>
      <c r="K2013">
        <v>0.0658623140951979</v>
      </c>
      <c r="L2013">
        <v>388.403559070292</v>
      </c>
      <c r="M2013">
        <v>8.17101215581517</v>
      </c>
      <c r="N2013">
        <v>47.5343503726192</v>
      </c>
      <c r="O2013">
        <v>44.9417071268126</v>
      </c>
      <c r="P2013">
        <v>-0.0455008894812481</v>
      </c>
      <c r="Q2013">
        <v>0</v>
      </c>
      <c r="R2013">
        <v>0.963775400646199</v>
      </c>
      <c r="S2013" t="s">
        <v>4206</v>
      </c>
      <c r="T2013" t="s">
        <v>4362</v>
      </c>
      <c r="U2013" t="s">
        <v>4362</v>
      </c>
      <c r="V2013" t="s">
        <v>4362</v>
      </c>
      <c r="W2013" t="s">
        <v>6369</v>
      </c>
      <c r="X2013">
        <v>4</v>
      </c>
      <c r="Y2013" t="s">
        <v>8534</v>
      </c>
      <c r="Z2013" t="s">
        <v>10701</v>
      </c>
      <c r="AA2013">
        <v>0.4043319389830993</v>
      </c>
      <c r="AB2013">
        <f>HYPERLINK("Melting_Curves/meltCurve_P76559_ypfG.pdf", "Melting_Curves/meltCurve_P76559_ypfG.pdf")</f>
        <v>0</v>
      </c>
    </row>
    <row r="2014" spans="1:28">
      <c r="A2014" t="s">
        <v>2040</v>
      </c>
      <c r="B2014">
        <v>0.999739202189716</v>
      </c>
      <c r="C2014">
        <v>0.929467864093933</v>
      </c>
      <c r="D2014">
        <v>0.80226728620256</v>
      </c>
      <c r="E2014">
        <v>0.577300308235173</v>
      </c>
      <c r="F2014">
        <v>0.418209915107702</v>
      </c>
      <c r="G2014">
        <v>0.26010157725981</v>
      </c>
      <c r="H2014">
        <v>0.216205905725991</v>
      </c>
      <c r="I2014">
        <v>0.161208847186146</v>
      </c>
      <c r="J2014">
        <v>0.151306007484875</v>
      </c>
      <c r="K2014">
        <v>0.138706330528784</v>
      </c>
      <c r="L2014">
        <v>609.630259900934</v>
      </c>
      <c r="M2014">
        <v>12.9311108784545</v>
      </c>
      <c r="N2014">
        <v>48.2037857498329</v>
      </c>
      <c r="O2014">
        <v>46.059690001896</v>
      </c>
      <c r="P2014">
        <v>-0.0615169776978171</v>
      </c>
      <c r="Q2014">
        <v>0.123681790917433</v>
      </c>
      <c r="R2014">
        <v>0.998342075339254</v>
      </c>
      <c r="S2014" t="s">
        <v>4207</v>
      </c>
      <c r="T2014" t="s">
        <v>4362</v>
      </c>
      <c r="U2014" t="s">
        <v>4362</v>
      </c>
      <c r="V2014" t="s">
        <v>4362</v>
      </c>
      <c r="W2014" t="s">
        <v>6370</v>
      </c>
      <c r="X2014">
        <v>5</v>
      </c>
      <c r="Y2014" t="s">
        <v>8535</v>
      </c>
      <c r="Z2014" t="s">
        <v>10702</v>
      </c>
      <c r="AA2014">
        <v>0.4453639349932345</v>
      </c>
      <c r="AB2014">
        <f>HYPERLINK("Melting_Curves/meltCurve_P76561_ypfH.pdf", "Melting_Curves/meltCurve_P76561_ypfH.pdf")</f>
        <v>0</v>
      </c>
    </row>
    <row r="2015" spans="1:28">
      <c r="A2015" t="s">
        <v>2041</v>
      </c>
      <c r="B2015">
        <v>0.999739202189716</v>
      </c>
      <c r="C2015">
        <v>0.848141293579439</v>
      </c>
      <c r="D2015">
        <v>0.937984352978394</v>
      </c>
      <c r="E2015">
        <v>0.918618493605047</v>
      </c>
      <c r="F2015">
        <v>1.13691649432773</v>
      </c>
      <c r="G2015">
        <v>0.834690105759568</v>
      </c>
      <c r="H2015">
        <v>0.619661820183541</v>
      </c>
      <c r="I2015">
        <v>0.73287282061842</v>
      </c>
      <c r="J2015">
        <v>0.564810481925242</v>
      </c>
      <c r="K2015">
        <v>0.579776827428477</v>
      </c>
      <c r="L2015">
        <v>13462.9784142075</v>
      </c>
      <c r="M2015">
        <v>250</v>
      </c>
      <c r="O2015">
        <v>53.8484453015716</v>
      </c>
      <c r="P2015">
        <v>-0.436084288323155</v>
      </c>
      <c r="Q2015">
        <v>0.624280469468929</v>
      </c>
      <c r="R2015">
        <v>0.78770544688613</v>
      </c>
      <c r="S2015" t="s">
        <v>4208</v>
      </c>
      <c r="T2015" t="s">
        <v>4362</v>
      </c>
      <c r="U2015" t="s">
        <v>4362</v>
      </c>
      <c r="V2015" t="s">
        <v>4362</v>
      </c>
      <c r="W2015" t="s">
        <v>6371</v>
      </c>
      <c r="X2015">
        <v>4</v>
      </c>
      <c r="Y2015" t="s">
        <v>8536</v>
      </c>
      <c r="Z2015" t="s">
        <v>10703</v>
      </c>
      <c r="AA2015">
        <v>0.8353690813707584</v>
      </c>
      <c r="AB2015">
        <f>HYPERLINK("Melting_Curves/meltCurve_P76569_yfgD.pdf", "Melting_Curves/meltCurve_P76569_yfgD.pdf")</f>
        <v>0</v>
      </c>
    </row>
    <row r="2016" spans="1:28">
      <c r="A2016" t="s">
        <v>2042</v>
      </c>
      <c r="B2016">
        <v>0.999739202189716</v>
      </c>
      <c r="C2016">
        <v>1.10683373116688</v>
      </c>
      <c r="D2016">
        <v>0.736642305685508</v>
      </c>
      <c r="E2016">
        <v>0.833648140910254</v>
      </c>
      <c r="F2016">
        <v>0.642725312708416</v>
      </c>
      <c r="G2016">
        <v>0.525173593689675</v>
      </c>
      <c r="H2016">
        <v>0.436585097083045</v>
      </c>
      <c r="I2016">
        <v>0.546588247698905</v>
      </c>
      <c r="J2016">
        <v>0.439377863290431</v>
      </c>
      <c r="K2016">
        <v>0.623762684568313</v>
      </c>
      <c r="L2016">
        <v>732.794300062433</v>
      </c>
      <c r="M2016">
        <v>15.717890317696</v>
      </c>
      <c r="O2016">
        <v>45.8866010139678</v>
      </c>
      <c r="P2016">
        <v>-0.0426964753648566</v>
      </c>
      <c r="Q2016">
        <v>0.5014520670088251</v>
      </c>
      <c r="R2016">
        <v>0.829893072045592</v>
      </c>
      <c r="S2016" t="s">
        <v>4209</v>
      </c>
      <c r="T2016" t="s">
        <v>4362</v>
      </c>
      <c r="U2016" t="s">
        <v>4362</v>
      </c>
      <c r="V2016" t="s">
        <v>4362</v>
      </c>
      <c r="W2016" t="s">
        <v>6372</v>
      </c>
      <c r="X2016">
        <v>1</v>
      </c>
      <c r="Y2016" t="s">
        <v>8537</v>
      </c>
      <c r="Z2016" t="s">
        <v>10704</v>
      </c>
      <c r="AA2016">
        <v>0.6717313498299922</v>
      </c>
      <c r="AB2016">
        <f>HYPERLINK("Melting_Curves/meltCurve_P76573_yfgI.pdf", "Melting_Curves/meltCurve_P76573_yfgI.pdf")</f>
        <v>0</v>
      </c>
    </row>
    <row r="2017" spans="1:28">
      <c r="A2017" t="s">
        <v>2043</v>
      </c>
      <c r="B2017">
        <v>0.999739202189716</v>
      </c>
      <c r="C2017">
        <v>1.08914320899155</v>
      </c>
      <c r="D2017">
        <v>0.739031875009133</v>
      </c>
      <c r="E2017">
        <v>1.03641556866696</v>
      </c>
      <c r="F2017">
        <v>0.696346906546765</v>
      </c>
      <c r="G2017">
        <v>0.651093827394658</v>
      </c>
      <c r="H2017">
        <v>0.6057939324752</v>
      </c>
      <c r="I2017">
        <v>0.556557257207853</v>
      </c>
      <c r="J2017">
        <v>0.408224982830213</v>
      </c>
      <c r="K2017">
        <v>0.512204695468899</v>
      </c>
      <c r="L2017">
        <v>551.83273383291</v>
      </c>
      <c r="M2017">
        <v>10.5911081637596</v>
      </c>
      <c r="N2017">
        <v>63.0318125446136</v>
      </c>
      <c r="O2017">
        <v>50.348789009219</v>
      </c>
      <c r="P2017">
        <v>-0.0304978130405294</v>
      </c>
      <c r="Q2017">
        <v>0.420295274675843</v>
      </c>
      <c r="R2017">
        <v>0.804825696754595</v>
      </c>
      <c r="S2017" t="s">
        <v>4210</v>
      </c>
      <c r="T2017" t="s">
        <v>4362</v>
      </c>
      <c r="U2017" t="s">
        <v>4362</v>
      </c>
      <c r="V2017" t="s">
        <v>4362</v>
      </c>
      <c r="W2017" t="s">
        <v>6373</v>
      </c>
      <c r="X2017">
        <v>3</v>
      </c>
      <c r="Y2017" t="s">
        <v>8538</v>
      </c>
      <c r="Z2017" t="s">
        <v>10705</v>
      </c>
      <c r="AA2017">
        <v>0.7269275975787634</v>
      </c>
      <c r="AB2017">
        <f>HYPERLINK("Melting_Curves/meltCurve_P76575_yfgJ.pdf", "Melting_Curves/meltCurve_P76575_yfgJ.pdf")</f>
        <v>0</v>
      </c>
    </row>
    <row r="2018" spans="1:28">
      <c r="A2018" t="s">
        <v>2044</v>
      </c>
      <c r="B2018">
        <v>0.999739202189716</v>
      </c>
      <c r="C2018">
        <v>1.10636433713781</v>
      </c>
      <c r="D2018">
        <v>1.00162680573891</v>
      </c>
      <c r="E2018">
        <v>0.955151690001743</v>
      </c>
      <c r="F2018">
        <v>1.03689097316812</v>
      </c>
      <c r="G2018">
        <v>0.636917719361862</v>
      </c>
      <c r="H2018">
        <v>0.406432626107753</v>
      </c>
      <c r="I2018">
        <v>0.221473445047077</v>
      </c>
      <c r="J2018">
        <v>0.137687362744742</v>
      </c>
      <c r="K2018">
        <v>0.0935474556111921</v>
      </c>
      <c r="L2018">
        <v>1295.29004098122</v>
      </c>
      <c r="M2018">
        <v>23.3639701822466</v>
      </c>
      <c r="N2018">
        <v>55.987647052713</v>
      </c>
      <c r="O2018">
        <v>55.0382861916715</v>
      </c>
      <c r="P2018">
        <v>-0.0952803750734454</v>
      </c>
      <c r="Q2018">
        <v>0.102211435549417</v>
      </c>
      <c r="R2018">
        <v>0.979640340031813</v>
      </c>
      <c r="S2018" t="s">
        <v>4211</v>
      </c>
      <c r="T2018" t="s">
        <v>4362</v>
      </c>
      <c r="U2018" t="s">
        <v>4362</v>
      </c>
      <c r="V2018" t="s">
        <v>4362</v>
      </c>
      <c r="W2018" t="s">
        <v>6374</v>
      </c>
      <c r="X2018">
        <v>6</v>
      </c>
      <c r="Y2018" t="s">
        <v>8539</v>
      </c>
      <c r="Z2018" t="s">
        <v>10706</v>
      </c>
      <c r="AA2018">
        <v>0.6622574730686578</v>
      </c>
      <c r="AB2018">
        <f>HYPERLINK("Melting_Curves/meltCurve_P76576_yfgM.pdf", "Melting_Curves/meltCurve_P76576_yfgM.pdf")</f>
        <v>0</v>
      </c>
    </row>
    <row r="2019" spans="1:28">
      <c r="A2019" t="s">
        <v>2045</v>
      </c>
      <c r="B2019">
        <v>0.999739202189716</v>
      </c>
      <c r="C2019">
        <v>1.55759564547003</v>
      </c>
      <c r="D2019">
        <v>1.02518300666032</v>
      </c>
      <c r="E2019">
        <v>1.25769278352602</v>
      </c>
      <c r="F2019">
        <v>0.770315168418955</v>
      </c>
      <c r="G2019">
        <v>0.588414690988648</v>
      </c>
      <c r="H2019">
        <v>0.278968372898642</v>
      </c>
      <c r="I2019">
        <v>0.163413744485748</v>
      </c>
      <c r="J2019">
        <v>0.132582156794362</v>
      </c>
      <c r="K2019">
        <v>0.100142870128096</v>
      </c>
      <c r="L2019">
        <v>1308.28766852982</v>
      </c>
      <c r="M2019">
        <v>24.2654623388521</v>
      </c>
      <c r="N2019">
        <v>54.4645373690112</v>
      </c>
      <c r="O2019">
        <v>53.5534560592097</v>
      </c>
      <c r="P2019">
        <v>-0.10099086683299</v>
      </c>
      <c r="Q2019">
        <v>0.108473103981569</v>
      </c>
      <c r="R2019">
        <v>0.8336756458053169</v>
      </c>
      <c r="S2019" t="s">
        <v>4212</v>
      </c>
      <c r="T2019" t="s">
        <v>4362</v>
      </c>
      <c r="U2019" t="s">
        <v>4362</v>
      </c>
      <c r="V2019" t="s">
        <v>4362</v>
      </c>
      <c r="W2019" t="s">
        <v>6375</v>
      </c>
      <c r="X2019">
        <v>37</v>
      </c>
      <c r="Y2019" t="s">
        <v>8540</v>
      </c>
      <c r="Z2019" t="s">
        <v>10707</v>
      </c>
      <c r="AA2019">
        <v>0.6193420799239021</v>
      </c>
      <c r="AB2019">
        <f>HYPERLINK("Melting_Curves/meltCurve_P76578_yfhM.pdf", "Melting_Curves/meltCurve_P76578_yfhM.pdf")</f>
        <v>0</v>
      </c>
    </row>
    <row r="2020" spans="1:28">
      <c r="A2020" t="s">
        <v>2046</v>
      </c>
      <c r="B2020">
        <v>0.999739202189716</v>
      </c>
      <c r="C2020">
        <v>0.808816705835015</v>
      </c>
      <c r="D2020">
        <v>1.02212966914219</v>
      </c>
      <c r="E2020">
        <v>0.852993954352313</v>
      </c>
      <c r="F2020">
        <v>0.831307038001626</v>
      </c>
      <c r="G2020">
        <v>0.54826728717352</v>
      </c>
      <c r="H2020">
        <v>0.124559219427469</v>
      </c>
      <c r="I2020">
        <v>0</v>
      </c>
      <c r="J2020">
        <v>0.0561179737463216</v>
      </c>
      <c r="K2020">
        <v>0</v>
      </c>
      <c r="L2020">
        <v>1330.2102156547</v>
      </c>
      <c r="M2020">
        <v>24.750464609882</v>
      </c>
      <c r="N2020">
        <v>53.7448622592267</v>
      </c>
      <c r="O2020">
        <v>53.3976925523561</v>
      </c>
      <c r="P2020">
        <v>-0.115879590390284</v>
      </c>
      <c r="Q2020">
        <v>0</v>
      </c>
      <c r="R2020">
        <v>0.963064813113099</v>
      </c>
      <c r="S2020" t="s">
        <v>4213</v>
      </c>
      <c r="T2020" t="s">
        <v>4362</v>
      </c>
      <c r="U2020" t="s">
        <v>4362</v>
      </c>
      <c r="V2020" t="s">
        <v>4362</v>
      </c>
      <c r="W2020" t="s">
        <v>6376</v>
      </c>
      <c r="X2020">
        <v>1</v>
      </c>
      <c r="Y2020" t="s">
        <v>8541</v>
      </c>
      <c r="Z2020" t="s">
        <v>10708</v>
      </c>
      <c r="AA2020">
        <v>0.5670746054366204</v>
      </c>
      <c r="AB2020">
        <f>HYPERLINK("Melting_Curves/meltCurve_P76584_yphB.pdf", "Melting_Curves/meltCurve_P76584_yphB.pdf")</f>
        <v>0</v>
      </c>
    </row>
    <row r="2021" spans="1:28">
      <c r="A2021" t="s">
        <v>2047</v>
      </c>
      <c r="B2021">
        <v>0.999739202189716</v>
      </c>
      <c r="C2021">
        <v>0.762469159719777</v>
      </c>
      <c r="D2021">
        <v>0.6532858955527791</v>
      </c>
      <c r="E2021">
        <v>0.493323175436037</v>
      </c>
      <c r="F2021">
        <v>0.354029320696922</v>
      </c>
      <c r="G2021">
        <v>0.201385226209205</v>
      </c>
      <c r="H2021">
        <v>0.08978382742171</v>
      </c>
      <c r="I2021">
        <v>0.062359983522403</v>
      </c>
      <c r="J2021">
        <v>0.0577659610374207</v>
      </c>
      <c r="K2021">
        <v>0.0615622691258305</v>
      </c>
      <c r="L2021">
        <v>453.502298450531</v>
      </c>
      <c r="M2021">
        <v>9.820003735634719</v>
      </c>
      <c r="N2021">
        <v>46.1814792433826</v>
      </c>
      <c r="O2021">
        <v>44.3885897303533</v>
      </c>
      <c r="P2021">
        <v>-0.055335860088746</v>
      </c>
      <c r="Q2021">
        <v>0</v>
      </c>
      <c r="R2021">
        <v>0.985758509335292</v>
      </c>
      <c r="S2021" t="s">
        <v>4214</v>
      </c>
      <c r="T2021" t="s">
        <v>4362</v>
      </c>
      <c r="U2021" t="s">
        <v>4362</v>
      </c>
      <c r="V2021" t="s">
        <v>4362</v>
      </c>
      <c r="W2021" t="s">
        <v>6377</v>
      </c>
      <c r="X2021">
        <v>4</v>
      </c>
      <c r="Y2021" t="s">
        <v>8542</v>
      </c>
      <c r="Z2021" t="s">
        <v>10709</v>
      </c>
      <c r="AA2021">
        <v>0.352960958281489</v>
      </c>
      <c r="AB2021">
        <f>HYPERLINK("Melting_Curves/meltCurve_P76594_pka.pdf", "Melting_Curves/meltCurve_P76594_pka.pdf")</f>
        <v>0</v>
      </c>
    </row>
    <row r="2022" spans="1:28">
      <c r="A2022" t="s">
        <v>2048</v>
      </c>
      <c r="B2022">
        <v>0.999739202189716</v>
      </c>
      <c r="C2022">
        <v>1.02777444942087</v>
      </c>
      <c r="D2022">
        <v>0.78385125817174</v>
      </c>
      <c r="E2022">
        <v>0.209157690531644</v>
      </c>
      <c r="F2022">
        <v>0.152055694088018</v>
      </c>
      <c r="G2022">
        <v>0.0896343116120949</v>
      </c>
      <c r="H2022">
        <v>0.0667500472541067</v>
      </c>
      <c r="I2022">
        <v>0.0472295647462132</v>
      </c>
      <c r="J2022">
        <v>0.0469431541657659</v>
      </c>
      <c r="K2022">
        <v>0.0405171581319974</v>
      </c>
      <c r="L2022">
        <v>1591.33238379941</v>
      </c>
      <c r="M2022">
        <v>35.7974503583704</v>
      </c>
      <c r="N2022">
        <v>44.6399826678154</v>
      </c>
      <c r="O2022">
        <v>44.3157498667322</v>
      </c>
      <c r="P2022">
        <v>-0.1879413594232</v>
      </c>
      <c r="Q2022">
        <v>0.069348780953845</v>
      </c>
      <c r="R2022">
        <v>0.994405097272281</v>
      </c>
      <c r="S2022" t="s">
        <v>4215</v>
      </c>
      <c r="T2022" t="s">
        <v>4362</v>
      </c>
      <c r="U2022" t="s">
        <v>4362</v>
      </c>
      <c r="V2022" t="s">
        <v>4362</v>
      </c>
      <c r="W2022" t="s">
        <v>6378</v>
      </c>
      <c r="X2022">
        <v>9</v>
      </c>
      <c r="Y2022" t="s">
        <v>8543</v>
      </c>
      <c r="Z2022" t="s">
        <v>10710</v>
      </c>
      <c r="AA2022">
        <v>0.304175898252596</v>
      </c>
      <c r="AB2022">
        <f>HYPERLINK("Melting_Curves/meltCurve_P76621_csiD.pdf", "Melting_Curves/meltCurve_P76621_csiD.pdf")</f>
        <v>0</v>
      </c>
    </row>
    <row r="2023" spans="1:28">
      <c r="A2023" t="s">
        <v>2049</v>
      </c>
      <c r="B2023">
        <v>0.999739202189716</v>
      </c>
      <c r="C2023">
        <v>0.88209073616651</v>
      </c>
      <c r="D2023">
        <v>0.766521789936686</v>
      </c>
      <c r="E2023">
        <v>0.633487915353684</v>
      </c>
      <c r="F2023">
        <v>0.521308542700526</v>
      </c>
      <c r="G2023">
        <v>0.393412618220043</v>
      </c>
      <c r="H2023">
        <v>0.26054005141719</v>
      </c>
      <c r="I2023">
        <v>0.258101642350097</v>
      </c>
      <c r="J2023">
        <v>0.19963843032376</v>
      </c>
      <c r="K2023">
        <v>0.207391378325926</v>
      </c>
      <c r="L2023">
        <v>443.774089734295</v>
      </c>
      <c r="M2023">
        <v>9.16801173836309</v>
      </c>
      <c r="N2023">
        <v>50.0573834054567</v>
      </c>
      <c r="O2023">
        <v>46.2685718057936</v>
      </c>
      <c r="P2023">
        <v>-0.0430970096687722</v>
      </c>
      <c r="Q2023">
        <v>0.130591149536196</v>
      </c>
      <c r="R2023">
        <v>0.992374317907015</v>
      </c>
      <c r="S2023" t="s">
        <v>4216</v>
      </c>
      <c r="T2023" t="s">
        <v>4362</v>
      </c>
      <c r="U2023" t="s">
        <v>4362</v>
      </c>
      <c r="V2023" t="s">
        <v>4362</v>
      </c>
      <c r="W2023" t="s">
        <v>6379</v>
      </c>
      <c r="X2023">
        <v>3</v>
      </c>
      <c r="Y2023" t="s">
        <v>8544</v>
      </c>
      <c r="Z2023" t="s">
        <v>10711</v>
      </c>
      <c r="AA2023">
        <v>0.4985613517573295</v>
      </c>
      <c r="AB2023">
        <f>HYPERLINK("Melting_Curves/meltCurve_P76641_guaD.pdf", "Melting_Curves/meltCurve_P76641_guaD.pdf")</f>
        <v>0</v>
      </c>
    </row>
    <row r="2024" spans="1:28">
      <c r="A2024" t="s">
        <v>2050</v>
      </c>
      <c r="B2024">
        <v>0.999739202189716</v>
      </c>
      <c r="C2024">
        <v>0.878318111925935</v>
      </c>
      <c r="D2024">
        <v>0.612802883796423</v>
      </c>
      <c r="E2024">
        <v>0.583788496678104</v>
      </c>
      <c r="F2024">
        <v>0.463709440501343</v>
      </c>
      <c r="G2024">
        <v>0.322841474343833</v>
      </c>
      <c r="H2024">
        <v>0.273405557733512</v>
      </c>
      <c r="I2024">
        <v>0.232773456461549</v>
      </c>
      <c r="J2024">
        <v>0.21494984774133</v>
      </c>
      <c r="K2024">
        <v>0.2086393333119</v>
      </c>
      <c r="L2024">
        <v>452.750117275924</v>
      </c>
      <c r="M2024">
        <v>9.86676749598732</v>
      </c>
      <c r="N2024">
        <v>47.9651378907372</v>
      </c>
      <c r="O2024">
        <v>44.1207034459404</v>
      </c>
      <c r="P2024">
        <v>-0.0462051712559541</v>
      </c>
      <c r="Q2024">
        <v>0.173969646900718</v>
      </c>
      <c r="R2024">
        <v>0.972717202496729</v>
      </c>
      <c r="S2024" t="s">
        <v>4217</v>
      </c>
      <c r="T2024" t="s">
        <v>4362</v>
      </c>
      <c r="U2024" t="s">
        <v>4362</v>
      </c>
      <c r="V2024" t="s">
        <v>4362</v>
      </c>
      <c r="W2024" t="s">
        <v>6380</v>
      </c>
      <c r="X2024">
        <v>17</v>
      </c>
      <c r="Y2024" t="s">
        <v>8545</v>
      </c>
      <c r="Z2024" t="s">
        <v>10712</v>
      </c>
      <c r="AA2024">
        <v>0.45793599732762</v>
      </c>
      <c r="AB2024">
        <f>HYPERLINK("Melting_Curves/meltCurve_P76658_hldE.pdf", "Melting_Curves/meltCurve_P76658_hldE.pdf")</f>
        <v>0</v>
      </c>
    </row>
    <row r="2025" spans="1:28">
      <c r="A2025" t="s">
        <v>2051</v>
      </c>
      <c r="B2025">
        <v>0.999739202189716</v>
      </c>
      <c r="C2025">
        <v>0.717764826922796</v>
      </c>
      <c r="D2025">
        <v>0.520605909874404</v>
      </c>
      <c r="E2025">
        <v>0.38663460514792</v>
      </c>
      <c r="F2025">
        <v>0.258113469639827</v>
      </c>
      <c r="G2025">
        <v>0.16880372677263</v>
      </c>
      <c r="H2025">
        <v>0.0764933313680238</v>
      </c>
      <c r="I2025">
        <v>0.0799100570251029</v>
      </c>
      <c r="J2025">
        <v>0.0544682334731207</v>
      </c>
      <c r="K2025">
        <v>0.0282354162811835</v>
      </c>
      <c r="L2025">
        <v>483.424731816079</v>
      </c>
      <c r="M2025">
        <v>10.9961997746974</v>
      </c>
      <c r="N2025">
        <v>44.2021134245814</v>
      </c>
      <c r="O2025">
        <v>42.5839812017253</v>
      </c>
      <c r="P2025">
        <v>-0.06271242963075289</v>
      </c>
      <c r="Q2025">
        <v>0.0288852206974125</v>
      </c>
      <c r="R2025">
        <v>0.979720750559561</v>
      </c>
      <c r="S2025" t="s">
        <v>4218</v>
      </c>
      <c r="T2025" t="s">
        <v>4362</v>
      </c>
      <c r="U2025" t="s">
        <v>4362</v>
      </c>
      <c r="V2025" t="s">
        <v>4362</v>
      </c>
      <c r="W2025" t="s">
        <v>6381</v>
      </c>
      <c r="X2025">
        <v>1</v>
      </c>
      <c r="Y2025" t="s">
        <v>8546</v>
      </c>
      <c r="Z2025" t="s">
        <v>10713</v>
      </c>
      <c r="AA2025">
        <v>0.2984077173303621</v>
      </c>
      <c r="AB2025">
        <f>HYPERLINK("Melting_Curves/meltCurve_P76909_ynjD.pdf", "Melting_Curves/meltCurve_P76909_ynjD.pdf")</f>
        <v>0</v>
      </c>
    </row>
    <row r="2026" spans="1:28">
      <c r="A2026" t="s">
        <v>2052</v>
      </c>
      <c r="B2026">
        <v>0.999739202189716</v>
      </c>
      <c r="C2026">
        <v>1.03151134620242</v>
      </c>
      <c r="D2026">
        <v>0.4310964891941</v>
      </c>
      <c r="E2026">
        <v>0.851148584626511</v>
      </c>
      <c r="F2026">
        <v>0.655594407095808</v>
      </c>
      <c r="G2026">
        <v>0.421409105863245</v>
      </c>
      <c r="H2026">
        <v>0.417587089274387</v>
      </c>
      <c r="I2026">
        <v>0.257932485370044</v>
      </c>
      <c r="J2026">
        <v>0.174162204618675</v>
      </c>
      <c r="K2026">
        <v>0.141161902727259</v>
      </c>
      <c r="L2026">
        <v>356.142879635907</v>
      </c>
      <c r="M2026">
        <v>6.80753900871075</v>
      </c>
      <c r="N2026">
        <v>52.3159513320245</v>
      </c>
      <c r="O2026">
        <v>48.3584266376307</v>
      </c>
      <c r="P2026">
        <v>-0.0352653880197406</v>
      </c>
      <c r="Q2026">
        <v>0</v>
      </c>
      <c r="R2026">
        <v>0.785805994803766</v>
      </c>
      <c r="S2026" t="s">
        <v>4219</v>
      </c>
      <c r="T2026" t="s">
        <v>4362</v>
      </c>
      <c r="U2026" t="s">
        <v>4362</v>
      </c>
      <c r="V2026" t="s">
        <v>4362</v>
      </c>
      <c r="W2026" t="s">
        <v>6382</v>
      </c>
      <c r="X2026">
        <v>2</v>
      </c>
      <c r="Y2026" t="s">
        <v>8547</v>
      </c>
      <c r="Z2026" t="s">
        <v>10714</v>
      </c>
      <c r="AA2026">
        <v>0.5364843834161656</v>
      </c>
      <c r="AB2026">
        <f>HYPERLINK("Melting_Curves/meltCurve_P77129_ylbE.pdf", "Melting_Curves/meltCurve_P77129_ylbE.pdf")</f>
        <v>0</v>
      </c>
    </row>
    <row r="2027" spans="1:28">
      <c r="A2027" t="s">
        <v>2053</v>
      </c>
      <c r="B2027">
        <v>0.999739202189716</v>
      </c>
      <c r="C2027">
        <v>0.993558696314216</v>
      </c>
      <c r="D2027">
        <v>0.801854641723717</v>
      </c>
      <c r="E2027">
        <v>0.386491942317232</v>
      </c>
      <c r="F2027">
        <v>0.193111627899401</v>
      </c>
      <c r="G2027">
        <v>0.125383531317324</v>
      </c>
      <c r="H2027">
        <v>0.112761898048093</v>
      </c>
      <c r="I2027">
        <v>0.0663846012862802</v>
      </c>
      <c r="J2027">
        <v>0.07409300560235881</v>
      </c>
      <c r="K2027">
        <v>0.0632278675020687</v>
      </c>
      <c r="L2027">
        <v>1059.72231725533</v>
      </c>
      <c r="M2027">
        <v>23.3650865648138</v>
      </c>
      <c r="N2027">
        <v>45.7135995551859</v>
      </c>
      <c r="O2027">
        <v>45.026636284337</v>
      </c>
      <c r="P2027">
        <v>-0.11886700503398</v>
      </c>
      <c r="Q2027">
        <v>0.083746210224657</v>
      </c>
      <c r="R2027">
        <v>0.997521062141203</v>
      </c>
      <c r="S2027" t="s">
        <v>4220</v>
      </c>
      <c r="T2027" t="s">
        <v>4362</v>
      </c>
      <c r="U2027" t="s">
        <v>4362</v>
      </c>
      <c r="V2027" t="s">
        <v>4362</v>
      </c>
      <c r="W2027" t="s">
        <v>6383</v>
      </c>
      <c r="X2027">
        <v>7</v>
      </c>
      <c r="Y2027" t="s">
        <v>8548</v>
      </c>
      <c r="Z2027" t="s">
        <v>10715</v>
      </c>
      <c r="AA2027">
        <v>0.3476032438199213</v>
      </c>
      <c r="AB2027">
        <f>HYPERLINK("Melting_Curves/meltCurve_P77148_ydhS.pdf", "Melting_Curves/meltCurve_P77148_ydhS.pdf")</f>
        <v>0</v>
      </c>
    </row>
    <row r="2028" spans="1:28">
      <c r="A2028" t="s">
        <v>2054</v>
      </c>
      <c r="B2028">
        <v>0.999739202189716</v>
      </c>
      <c r="C2028">
        <v>1.01528566388427</v>
      </c>
      <c r="D2028">
        <v>0.701412029538381</v>
      </c>
      <c r="E2028">
        <v>0.978817956916335</v>
      </c>
      <c r="F2028">
        <v>0.76258191919718</v>
      </c>
      <c r="G2028">
        <v>0.674850512269946</v>
      </c>
      <c r="H2028">
        <v>0.715020162281587</v>
      </c>
      <c r="I2028">
        <v>0.569042277125843</v>
      </c>
      <c r="J2028">
        <v>0.543845450305263</v>
      </c>
      <c r="K2028">
        <v>0.390925801853231</v>
      </c>
      <c r="L2028">
        <v>299.588263001705</v>
      </c>
      <c r="M2028">
        <v>4.64323674028376</v>
      </c>
      <c r="N2028">
        <v>64.52142815552121</v>
      </c>
      <c r="O2028">
        <v>55.2941841726969</v>
      </c>
      <c r="P2028">
        <v>-0.0211586829568067</v>
      </c>
      <c r="Q2028">
        <v>0</v>
      </c>
      <c r="R2028">
        <v>0.802461060880897</v>
      </c>
      <c r="S2028" t="s">
        <v>4221</v>
      </c>
      <c r="T2028" t="s">
        <v>4362</v>
      </c>
      <c r="U2028" t="s">
        <v>4362</v>
      </c>
      <c r="V2028" t="s">
        <v>4362</v>
      </c>
      <c r="W2028" t="s">
        <v>6384</v>
      </c>
      <c r="X2028">
        <v>3</v>
      </c>
      <c r="Y2028" t="s">
        <v>8549</v>
      </c>
      <c r="Z2028" t="s">
        <v>10716</v>
      </c>
      <c r="AA2028">
        <v>0.7399458954598543</v>
      </c>
      <c r="AB2028">
        <f>HYPERLINK("Melting_Curves/meltCurve_P77150_pdxY.pdf", "Melting_Curves/meltCurve_P77150_pdxY.pdf")</f>
        <v>0</v>
      </c>
    </row>
    <row r="2029" spans="1:28">
      <c r="A2029" t="s">
        <v>2055</v>
      </c>
      <c r="B2029">
        <v>0.999739202189716</v>
      </c>
      <c r="C2029">
        <v>0.807722683768387</v>
      </c>
      <c r="D2029">
        <v>1.1205198807105</v>
      </c>
      <c r="E2029">
        <v>1.02268087799619</v>
      </c>
      <c r="F2029">
        <v>0.799666210091339</v>
      </c>
      <c r="G2029">
        <v>0.551211293300254</v>
      </c>
      <c r="H2029">
        <v>0.392364679886514</v>
      </c>
      <c r="I2029">
        <v>0.305512929557299</v>
      </c>
      <c r="J2029">
        <v>0.256695495091466</v>
      </c>
      <c r="K2029">
        <v>0.200156942098218</v>
      </c>
      <c r="L2029">
        <v>1092.60728321703</v>
      </c>
      <c r="M2029">
        <v>20.543075836296</v>
      </c>
      <c r="N2029">
        <v>54.8105762881363</v>
      </c>
      <c r="O2029">
        <v>52.6898669288024</v>
      </c>
      <c r="P2029">
        <v>-0.07524958626231031</v>
      </c>
      <c r="Q2029">
        <v>0.228007600626432</v>
      </c>
      <c r="R2029">
        <v>0.944238690713793</v>
      </c>
      <c r="S2029" t="s">
        <v>4222</v>
      </c>
      <c r="T2029" t="s">
        <v>4362</v>
      </c>
      <c r="U2029" t="s">
        <v>4362</v>
      </c>
      <c r="V2029" t="s">
        <v>4362</v>
      </c>
      <c r="W2029" t="s">
        <v>5024</v>
      </c>
      <c r="X2029">
        <v>2</v>
      </c>
      <c r="Y2029" t="s">
        <v>8550</v>
      </c>
      <c r="Z2029" t="s">
        <v>10717</v>
      </c>
      <c r="AA2029">
        <v>0.6538267326896405</v>
      </c>
      <c r="AB2029">
        <f>HYPERLINK("Melting_Curves/meltCurve_P77161_glxR.pdf", "Melting_Curves/meltCurve_P77161_glxR.pdf")</f>
        <v>0</v>
      </c>
    </row>
    <row r="2030" spans="1:28">
      <c r="A2030" t="s">
        <v>2056</v>
      </c>
      <c r="B2030">
        <v>0.999739202189716</v>
      </c>
      <c r="C2030">
        <v>1.29074513416466</v>
      </c>
      <c r="D2030">
        <v>0.604887523184049</v>
      </c>
      <c r="E2030">
        <v>1.04440360008646</v>
      </c>
      <c r="F2030">
        <v>0.773761802308341</v>
      </c>
      <c r="G2030">
        <v>0.631285276600244</v>
      </c>
      <c r="H2030">
        <v>0.697497796318419</v>
      </c>
      <c r="I2030">
        <v>0.602593282216193</v>
      </c>
      <c r="J2030">
        <v>0.639987054709885</v>
      </c>
      <c r="K2030">
        <v>0.663124024175894</v>
      </c>
      <c r="L2030">
        <v>702.3542760838141</v>
      </c>
      <c r="M2030">
        <v>14.3436504312469</v>
      </c>
      <c r="O2030">
        <v>48.0439552384125</v>
      </c>
      <c r="P2030">
        <v>-0.0282937749862251</v>
      </c>
      <c r="Q2030">
        <v>0.620966427041121</v>
      </c>
      <c r="R2030">
        <v>0.49642178239154</v>
      </c>
      <c r="S2030" t="s">
        <v>4223</v>
      </c>
      <c r="T2030" t="s">
        <v>4362</v>
      </c>
      <c r="U2030" t="s">
        <v>4362</v>
      </c>
      <c r="V2030" t="s">
        <v>4362</v>
      </c>
      <c r="W2030" t="s">
        <v>6385</v>
      </c>
      <c r="X2030">
        <v>1</v>
      </c>
      <c r="Y2030" t="s">
        <v>8551</v>
      </c>
      <c r="Z2030" t="s">
        <v>10718</v>
      </c>
      <c r="AA2030">
        <v>0.7808998423636336</v>
      </c>
      <c r="AB2030">
        <f>HYPERLINK("Melting_Curves/meltCurve_P77162_ykfB.pdf", "Melting_Curves/meltCurve_P77162_ykfB.pdf")</f>
        <v>0</v>
      </c>
    </row>
    <row r="2031" spans="1:28">
      <c r="A2031" t="s">
        <v>2057</v>
      </c>
      <c r="B2031">
        <v>0.999739202189716</v>
      </c>
      <c r="C2031">
        <v>0.879266526203585</v>
      </c>
      <c r="D2031">
        <v>0.748625073461583</v>
      </c>
      <c r="E2031">
        <v>0.883066334377526</v>
      </c>
      <c r="F2031">
        <v>0.8630819842577701</v>
      </c>
      <c r="G2031">
        <v>0.5865843516866009</v>
      </c>
      <c r="H2031">
        <v>0.496146741778437</v>
      </c>
      <c r="I2031">
        <v>0.642716574185287</v>
      </c>
      <c r="J2031">
        <v>0.569090844936065</v>
      </c>
      <c r="K2031">
        <v>0.586006921347085</v>
      </c>
      <c r="L2031">
        <v>337.617495182954</v>
      </c>
      <c r="M2031">
        <v>6.81654136831926</v>
      </c>
      <c r="O2031">
        <v>45.7911306981546</v>
      </c>
      <c r="P2031">
        <v>-0.0195003214553717</v>
      </c>
      <c r="Q2031">
        <v>0.477083144194688</v>
      </c>
      <c r="R2031">
        <v>0.735322110680494</v>
      </c>
      <c r="S2031" t="s">
        <v>4224</v>
      </c>
      <c r="T2031" t="s">
        <v>4362</v>
      </c>
      <c r="U2031" t="s">
        <v>4362</v>
      </c>
      <c r="V2031" t="s">
        <v>4362</v>
      </c>
      <c r="W2031" t="s">
        <v>6386</v>
      </c>
      <c r="X2031">
        <v>3</v>
      </c>
      <c r="Y2031" t="s">
        <v>8552</v>
      </c>
      <c r="Z2031" t="s">
        <v>10719</v>
      </c>
      <c r="AA2031">
        <v>0.7209522344013236</v>
      </c>
      <c r="AB2031">
        <f>HYPERLINK("Melting_Curves/meltCurve_P77173_zipA.pdf", "Melting_Curves/meltCurve_P77173_zipA.pdf")</f>
        <v>0</v>
      </c>
    </row>
    <row r="2032" spans="1:28">
      <c r="A2032" t="s">
        <v>2058</v>
      </c>
      <c r="B2032">
        <v>0.999739202189716</v>
      </c>
      <c r="C2032">
        <v>1.01551006744719</v>
      </c>
      <c r="D2032">
        <v>0.978604059191218</v>
      </c>
      <c r="E2032">
        <v>1.01491246099803</v>
      </c>
      <c r="F2032">
        <v>0.889797790109732</v>
      </c>
      <c r="G2032">
        <v>0.794930392924981</v>
      </c>
      <c r="H2032">
        <v>0.768699356884076</v>
      </c>
      <c r="I2032">
        <v>0.69043979890528</v>
      </c>
      <c r="J2032">
        <v>0.690986539469036</v>
      </c>
      <c r="K2032">
        <v>0.629446656146776</v>
      </c>
      <c r="L2032">
        <v>793.2768897923891</v>
      </c>
      <c r="M2032">
        <v>14.731529684599</v>
      </c>
      <c r="O2032">
        <v>52.885838694662</v>
      </c>
      <c r="P2032">
        <v>-0.0252528955382262</v>
      </c>
      <c r="Q2032">
        <v>0.637410143938097</v>
      </c>
      <c r="R2032">
        <v>0.972046096371884</v>
      </c>
      <c r="S2032" t="s">
        <v>4225</v>
      </c>
      <c r="T2032" t="s">
        <v>4362</v>
      </c>
      <c r="U2032" t="s">
        <v>4362</v>
      </c>
      <c r="V2032" t="s">
        <v>4362</v>
      </c>
      <c r="W2032" t="s">
        <v>6387</v>
      </c>
      <c r="X2032">
        <v>9</v>
      </c>
      <c r="Y2032" t="s">
        <v>8553</v>
      </c>
      <c r="Z2032" t="s">
        <v>10720</v>
      </c>
      <c r="AA2032">
        <v>0.8471050198533187</v>
      </c>
      <c r="AB2032">
        <f>HYPERLINK("Melting_Curves/meltCurve_P77181_paaY.pdf", "Melting_Curves/meltCurve_P77181_paaY.pdf")</f>
        <v>0</v>
      </c>
    </row>
    <row r="2033" spans="1:28">
      <c r="A2033" t="s">
        <v>2059</v>
      </c>
      <c r="B2033">
        <v>0.999739202189716</v>
      </c>
      <c r="C2033">
        <v>1.29865512929159</v>
      </c>
      <c r="D2033">
        <v>0.728004089027901</v>
      </c>
      <c r="E2033">
        <v>0.529951159509399</v>
      </c>
      <c r="F2033">
        <v>0.376375036854981</v>
      </c>
      <c r="G2033">
        <v>0.233583506760613</v>
      </c>
      <c r="H2033">
        <v>0.222692870050437</v>
      </c>
      <c r="I2033">
        <v>0.1869535661494</v>
      </c>
      <c r="J2033">
        <v>0.157488683624605</v>
      </c>
      <c r="K2033">
        <v>0.157679108295169</v>
      </c>
      <c r="L2033">
        <v>942.74544026696</v>
      </c>
      <c r="M2033">
        <v>20.4669760768981</v>
      </c>
      <c r="N2033">
        <v>47.1329916807416</v>
      </c>
      <c r="O2033">
        <v>45.6288198960097</v>
      </c>
      <c r="P2033">
        <v>-0.091285448403612</v>
      </c>
      <c r="Q2033">
        <v>0.185981649104835</v>
      </c>
      <c r="R2033">
        <v>0.908892293798842</v>
      </c>
      <c r="S2033" t="s">
        <v>4226</v>
      </c>
      <c r="T2033" t="s">
        <v>4362</v>
      </c>
      <c r="U2033" t="s">
        <v>4362</v>
      </c>
      <c r="V2033" t="s">
        <v>4362</v>
      </c>
      <c r="W2033" t="s">
        <v>6388</v>
      </c>
      <c r="X2033">
        <v>3</v>
      </c>
      <c r="Y2033" t="s">
        <v>8554</v>
      </c>
      <c r="Z2033" t="s">
        <v>10721</v>
      </c>
      <c r="AA2033">
        <v>0.4420188882361238</v>
      </c>
      <c r="AB2033">
        <f>HYPERLINK("Melting_Curves/meltCurve_P77182_mnmC.pdf", "Melting_Curves/meltCurve_P77182_mnmC.pdf")</f>
        <v>0</v>
      </c>
    </row>
    <row r="2034" spans="1:28">
      <c r="A2034" t="s">
        <v>2060</v>
      </c>
      <c r="B2034">
        <v>0.999739202189716</v>
      </c>
      <c r="C2034">
        <v>0.97761015746154</v>
      </c>
      <c r="D2034">
        <v>0.947581278563186</v>
      </c>
      <c r="E2034">
        <v>0.900593065664364</v>
      </c>
      <c r="F2034">
        <v>0.899345780017661</v>
      </c>
      <c r="G2034">
        <v>0.788696742308163</v>
      </c>
      <c r="H2034">
        <v>0.795338263243717</v>
      </c>
      <c r="I2034">
        <v>0.699697305706341</v>
      </c>
      <c r="J2034">
        <v>0.732974373883203</v>
      </c>
      <c r="K2034">
        <v>0.51046644857613</v>
      </c>
      <c r="L2034">
        <v>332.470720256103</v>
      </c>
      <c r="M2034">
        <v>4.59839898945974</v>
      </c>
      <c r="O2034">
        <v>61.8045006096895</v>
      </c>
      <c r="P2034">
        <v>-0.0187519376020494</v>
      </c>
      <c r="Q2034">
        <v>0</v>
      </c>
      <c r="R2034">
        <v>0.912116960090248</v>
      </c>
      <c r="S2034" t="s">
        <v>4227</v>
      </c>
      <c r="T2034" t="s">
        <v>4362</v>
      </c>
      <c r="U2034" t="s">
        <v>4362</v>
      </c>
      <c r="V2034" t="s">
        <v>4362</v>
      </c>
      <c r="W2034" t="s">
        <v>6389</v>
      </c>
      <c r="X2034">
        <v>14</v>
      </c>
      <c r="Y2034" t="s">
        <v>8555</v>
      </c>
      <c r="Z2034" t="s">
        <v>10722</v>
      </c>
      <c r="AA2034">
        <v>0.8328203171119147</v>
      </c>
      <c r="AB2034">
        <f>HYPERLINK("Melting_Curves/meltCurve_P77202_dsbG.pdf", "Melting_Curves/meltCurve_P77202_dsbG.pdf")</f>
        <v>0</v>
      </c>
    </row>
    <row r="2035" spans="1:28">
      <c r="A2035" t="s">
        <v>2061</v>
      </c>
      <c r="B2035">
        <v>0.999739202189716</v>
      </c>
      <c r="C2035">
        <v>1.15878101782808</v>
      </c>
      <c r="D2035">
        <v>0.870383114482299</v>
      </c>
      <c r="E2035">
        <v>0.870790118304364</v>
      </c>
      <c r="F2035">
        <v>0.7228147315197609</v>
      </c>
      <c r="G2035">
        <v>0.470393513107661</v>
      </c>
      <c r="H2035">
        <v>0.408929284295701</v>
      </c>
      <c r="I2035">
        <v>0.338954851107445</v>
      </c>
      <c r="J2035">
        <v>0.359232212588717</v>
      </c>
      <c r="K2035">
        <v>0.237802428622626</v>
      </c>
      <c r="L2035">
        <v>766.049513850571</v>
      </c>
      <c r="M2035">
        <v>14.9427218963942</v>
      </c>
      <c r="N2035">
        <v>54.0903069527153</v>
      </c>
      <c r="O2035">
        <v>50.3738472970167</v>
      </c>
      <c r="P2035">
        <v>-0.0540774303904512</v>
      </c>
      <c r="Q2035">
        <v>0.270866736375047</v>
      </c>
      <c r="R2035">
        <v>0.950800302305611</v>
      </c>
      <c r="S2035" t="s">
        <v>4228</v>
      </c>
      <c r="T2035" t="s">
        <v>4362</v>
      </c>
      <c r="U2035" t="s">
        <v>4362</v>
      </c>
      <c r="V2035" t="s">
        <v>4362</v>
      </c>
      <c r="W2035" t="s">
        <v>6390</v>
      </c>
      <c r="X2035">
        <v>12</v>
      </c>
      <c r="Y2035" t="s">
        <v>8556</v>
      </c>
      <c r="Z2035" t="s">
        <v>10723</v>
      </c>
      <c r="AA2035">
        <v>0.6321613936586737</v>
      </c>
      <c r="AB2035">
        <f>HYPERLINK("Melting_Curves/meltCurve_P77212_rclA.pdf", "Melting_Curves/meltCurve_P77212_rclA.pdf")</f>
        <v>0</v>
      </c>
    </row>
    <row r="2036" spans="1:28">
      <c r="A2036" t="s">
        <v>2062</v>
      </c>
      <c r="B2036">
        <v>0.999739202189716</v>
      </c>
      <c r="C2036">
        <v>0.799072039473302</v>
      </c>
      <c r="D2036">
        <v>0.858862441128812</v>
      </c>
      <c r="E2036">
        <v>0.549632044712649</v>
      </c>
      <c r="F2036">
        <v>0.410281300186478</v>
      </c>
      <c r="G2036">
        <v>0.248358010020798</v>
      </c>
      <c r="H2036">
        <v>0.189255686165865</v>
      </c>
      <c r="I2036">
        <v>0.15763842093706</v>
      </c>
      <c r="J2036">
        <v>0.13241495265144</v>
      </c>
      <c r="K2036">
        <v>0.204764574366871</v>
      </c>
      <c r="L2036">
        <v>590.110786034349</v>
      </c>
      <c r="M2036">
        <v>12.6256889720427</v>
      </c>
      <c r="N2036">
        <v>47.8735586632483</v>
      </c>
      <c r="O2036">
        <v>45.6128862879884</v>
      </c>
      <c r="P2036">
        <v>-0.0602638301242847</v>
      </c>
      <c r="Q2036">
        <v>0.129310615657466</v>
      </c>
      <c r="R2036">
        <v>0.9739105391017659</v>
      </c>
      <c r="S2036" t="s">
        <v>4229</v>
      </c>
      <c r="T2036" t="s">
        <v>4362</v>
      </c>
      <c r="U2036" t="s">
        <v>4362</v>
      </c>
      <c r="V2036" t="s">
        <v>4362</v>
      </c>
      <c r="W2036" t="s">
        <v>6391</v>
      </c>
      <c r="X2036">
        <v>8</v>
      </c>
      <c r="Y2036" t="s">
        <v>8557</v>
      </c>
      <c r="Z2036" t="s">
        <v>10724</v>
      </c>
      <c r="AA2036">
        <v>0.4386082826341694</v>
      </c>
      <c r="AB2036">
        <f>HYPERLINK("Melting_Curves/meltCurve_P77213_ybdK.pdf", "Melting_Curves/meltCurve_P77213_ybdK.pdf")</f>
        <v>0</v>
      </c>
    </row>
    <row r="2037" spans="1:28">
      <c r="A2037" t="s">
        <v>2063</v>
      </c>
      <c r="B2037">
        <v>0.999739202189716</v>
      </c>
      <c r="C2037">
        <v>1.52544065753933</v>
      </c>
      <c r="D2037">
        <v>1.29016496381566</v>
      </c>
      <c r="E2037">
        <v>0.5773367899258131</v>
      </c>
      <c r="F2037">
        <v>0.235682841007284</v>
      </c>
      <c r="G2037">
        <v>0.157244069189995</v>
      </c>
      <c r="H2037">
        <v>0.127724674856713</v>
      </c>
      <c r="I2037">
        <v>0.100280880833541</v>
      </c>
      <c r="J2037">
        <v>0.0883371203365439</v>
      </c>
      <c r="K2037">
        <v>0.0826736867171796</v>
      </c>
      <c r="L2037">
        <v>4193.55115033118</v>
      </c>
      <c r="M2037">
        <v>89.9314520794405</v>
      </c>
      <c r="N2037">
        <v>46.789500643209</v>
      </c>
      <c r="O2037">
        <v>46.60748565481</v>
      </c>
      <c r="P2037">
        <v>-0.41888527155466</v>
      </c>
      <c r="Q2037">
        <v>0.131641400134274</v>
      </c>
      <c r="R2037">
        <v>0.86328672282713</v>
      </c>
      <c r="S2037" t="s">
        <v>4230</v>
      </c>
      <c r="T2037" t="s">
        <v>4362</v>
      </c>
      <c r="U2037" t="s">
        <v>4362</v>
      </c>
      <c r="V2037" t="s">
        <v>4362</v>
      </c>
      <c r="W2037" t="s">
        <v>6392</v>
      </c>
      <c r="X2037">
        <v>4</v>
      </c>
      <c r="Y2037" t="s">
        <v>8558</v>
      </c>
      <c r="Z2037" t="s">
        <v>10725</v>
      </c>
      <c r="AA2037">
        <v>0.4109497928558619</v>
      </c>
      <c r="AB2037">
        <f>HYPERLINK("Melting_Curves/meltCurve_P77215_rhmD.pdf", "Melting_Curves/meltCurve_P77215_rhmD.pdf")</f>
        <v>0</v>
      </c>
    </row>
    <row r="2038" spans="1:28">
      <c r="A2038" t="s">
        <v>2064</v>
      </c>
      <c r="B2038">
        <v>0.999739202189716</v>
      </c>
      <c r="C2038">
        <v>1.20133319307964</v>
      </c>
      <c r="D2038">
        <v>1.15350998077229</v>
      </c>
      <c r="E2038">
        <v>1.02588754646424</v>
      </c>
      <c r="F2038">
        <v>0.65251695082884</v>
      </c>
      <c r="G2038">
        <v>0.180396040356098</v>
      </c>
      <c r="H2038">
        <v>0.115166932022955</v>
      </c>
      <c r="I2038">
        <v>0.086733021468952</v>
      </c>
      <c r="J2038">
        <v>0.07874953319983501</v>
      </c>
      <c r="K2038">
        <v>0.071195756571465</v>
      </c>
      <c r="L2038">
        <v>2151.64864863506</v>
      </c>
      <c r="M2038">
        <v>42.333823847235</v>
      </c>
      <c r="N2038">
        <v>51.0595407967877</v>
      </c>
      <c r="O2038">
        <v>50.7127362415689</v>
      </c>
      <c r="P2038">
        <v>-0.190308231280904</v>
      </c>
      <c r="Q2038">
        <v>0.0881017218266188</v>
      </c>
      <c r="R2038">
        <v>0.9696804704954179</v>
      </c>
      <c r="S2038" t="s">
        <v>4231</v>
      </c>
      <c r="T2038" t="s">
        <v>4362</v>
      </c>
      <c r="U2038" t="s">
        <v>4362</v>
      </c>
      <c r="V2038" t="s">
        <v>4362</v>
      </c>
      <c r="W2038" t="s">
        <v>6393</v>
      </c>
      <c r="X2038">
        <v>12</v>
      </c>
      <c r="Y2038" t="s">
        <v>8559</v>
      </c>
      <c r="Z2038" t="s">
        <v>10726</v>
      </c>
      <c r="AA2038">
        <v>0.5112136909355628</v>
      </c>
      <c r="AB2038">
        <f>HYPERLINK("Melting_Curves/meltCurve_P77243_prpD.pdf", "Melting_Curves/meltCurve_P77243_prpD.pdf")</f>
        <v>0</v>
      </c>
    </row>
    <row r="2039" spans="1:28">
      <c r="A2039" t="s">
        <v>2065</v>
      </c>
      <c r="B2039">
        <v>0.999739202189716</v>
      </c>
      <c r="C2039">
        <v>1.15910411303691</v>
      </c>
      <c r="D2039">
        <v>0.920272895711519</v>
      </c>
      <c r="E2039">
        <v>0.821544416467194</v>
      </c>
      <c r="F2039">
        <v>0.374769171805017</v>
      </c>
      <c r="G2039">
        <v>0.254949408251696</v>
      </c>
      <c r="H2039">
        <v>0.0936077710819663</v>
      </c>
      <c r="I2039">
        <v>0.0354994962684541</v>
      </c>
      <c r="J2039">
        <v>0.0368794662393926</v>
      </c>
      <c r="K2039">
        <v>0.0316860555652098</v>
      </c>
      <c r="L2039">
        <v>1024.26063026395</v>
      </c>
      <c r="M2039">
        <v>20.7433422454021</v>
      </c>
      <c r="N2039">
        <v>49.5612642666973</v>
      </c>
      <c r="O2039">
        <v>48.925785069111</v>
      </c>
      <c r="P2039">
        <v>-0.102079727722026</v>
      </c>
      <c r="Q2039">
        <v>0.0369559411909469</v>
      </c>
      <c r="R2039">
        <v>0.978446782475352</v>
      </c>
      <c r="S2039" t="s">
        <v>4232</v>
      </c>
      <c r="T2039" t="s">
        <v>4362</v>
      </c>
      <c r="U2039" t="s">
        <v>4362</v>
      </c>
      <c r="V2039" t="s">
        <v>4362</v>
      </c>
      <c r="W2039" t="s">
        <v>6394</v>
      </c>
      <c r="X2039">
        <v>1</v>
      </c>
      <c r="Y2039" t="s">
        <v>8560</v>
      </c>
      <c r="Z2039" t="s">
        <v>10727</v>
      </c>
      <c r="AA2039">
        <v>0.4461819972295042</v>
      </c>
      <c r="AB2039">
        <f>HYPERLINK("Melting_Curves/meltCurve_P77245_murR.pdf", "Melting_Curves/meltCurve_P77245_murR.pdf")</f>
        <v>0</v>
      </c>
    </row>
    <row r="2040" spans="1:28">
      <c r="A2040" t="s">
        <v>2066</v>
      </c>
      <c r="B2040">
        <v>0.999739202189716</v>
      </c>
      <c r="C2040">
        <v>0.939088556047746</v>
      </c>
      <c r="D2040">
        <v>0.755533763894511</v>
      </c>
      <c r="E2040">
        <v>0.572207661221076</v>
      </c>
      <c r="F2040">
        <v>0.314120873352308</v>
      </c>
      <c r="G2040">
        <v>0.101447053113993</v>
      </c>
      <c r="H2040">
        <v>0.0494359247280084</v>
      </c>
      <c r="I2040">
        <v>0.0316275775502858</v>
      </c>
      <c r="J2040">
        <v>0.0270611078910902</v>
      </c>
      <c r="K2040">
        <v>0.02099226114847</v>
      </c>
      <c r="L2040">
        <v>687.219107169335</v>
      </c>
      <c r="M2040">
        <v>14.5823671517639</v>
      </c>
      <c r="N2040">
        <v>47.1267145481009</v>
      </c>
      <c r="O2040">
        <v>46.2670503094966</v>
      </c>
      <c r="P2040">
        <v>-0.0788034337213689</v>
      </c>
      <c r="Q2040">
        <v>0</v>
      </c>
      <c r="R2040">
        <v>0.995786709658379</v>
      </c>
      <c r="S2040" t="s">
        <v>4233</v>
      </c>
      <c r="T2040" t="s">
        <v>4362</v>
      </c>
      <c r="U2040" t="s">
        <v>4362</v>
      </c>
      <c r="V2040" t="s">
        <v>4362</v>
      </c>
      <c r="W2040" t="s">
        <v>6395</v>
      </c>
      <c r="X2040">
        <v>7</v>
      </c>
      <c r="Y2040" t="s">
        <v>8561</v>
      </c>
      <c r="Z2040" t="s">
        <v>10728</v>
      </c>
      <c r="AA2040">
        <v>0.3611543488181351</v>
      </c>
      <c r="AB2040">
        <f>HYPERLINK("Melting_Curves/meltCurve_P77247_yniC.pdf", "Melting_Curves/meltCurve_P77247_yniC.pdf")</f>
        <v>0</v>
      </c>
    </row>
    <row r="2041" spans="1:28">
      <c r="A2041" t="s">
        <v>2067</v>
      </c>
      <c r="B2041">
        <v>0.999739202189716</v>
      </c>
      <c r="C2041">
        <v>0.9923462747002449</v>
      </c>
      <c r="D2041">
        <v>0.89471839375744</v>
      </c>
      <c r="E2041">
        <v>0.870386415209622</v>
      </c>
      <c r="F2041">
        <v>0.768052875432795</v>
      </c>
      <c r="G2041">
        <v>0.641296155719005</v>
      </c>
      <c r="H2041">
        <v>0.452424748268507</v>
      </c>
      <c r="I2041">
        <v>0.334111367696539</v>
      </c>
      <c r="J2041">
        <v>0.240752575992178</v>
      </c>
      <c r="K2041">
        <v>0.189172193494945</v>
      </c>
      <c r="L2041">
        <v>521.331676474594</v>
      </c>
      <c r="M2041">
        <v>9.22914175554307</v>
      </c>
      <c r="N2041">
        <v>56.4875507350362</v>
      </c>
      <c r="O2041">
        <v>54.0253887711954</v>
      </c>
      <c r="P2041">
        <v>-0.0427356248853653</v>
      </c>
      <c r="Q2041">
        <v>0</v>
      </c>
      <c r="R2041">
        <v>0.995306162411885</v>
      </c>
      <c r="S2041" t="s">
        <v>4234</v>
      </c>
      <c r="T2041" t="s">
        <v>4362</v>
      </c>
      <c r="U2041" t="s">
        <v>4362</v>
      </c>
      <c r="V2041" t="s">
        <v>4362</v>
      </c>
      <c r="W2041" t="s">
        <v>6396</v>
      </c>
      <c r="X2041">
        <v>6</v>
      </c>
      <c r="Y2041" t="s">
        <v>8562</v>
      </c>
      <c r="Z2041" t="s">
        <v>10729</v>
      </c>
      <c r="AA2041">
        <v>0.6495925963214744</v>
      </c>
      <c r="AB2041">
        <f>HYPERLINK("Melting_Curves/meltCurve_P77252_ykgE.pdf", "Melting_Curves/meltCurve_P77252_ykgE.pdf")</f>
        <v>0</v>
      </c>
    </row>
    <row r="2042" spans="1:28">
      <c r="A2042" t="s">
        <v>2068</v>
      </c>
      <c r="B2042">
        <v>0.999739202189716</v>
      </c>
      <c r="C2042">
        <v>0.9217578487643669</v>
      </c>
      <c r="D2042">
        <v>0.666101772484457</v>
      </c>
      <c r="E2042">
        <v>0.765854554516431</v>
      </c>
      <c r="F2042">
        <v>0.52002240868239</v>
      </c>
      <c r="G2042">
        <v>0.248434322080939</v>
      </c>
      <c r="H2042">
        <v>0.193576793647139</v>
      </c>
      <c r="I2042">
        <v>0.111186440576436</v>
      </c>
      <c r="J2042">
        <v>0.122768165637925</v>
      </c>
      <c r="K2042">
        <v>0.0841196570922481</v>
      </c>
      <c r="L2042">
        <v>484.889651551062</v>
      </c>
      <c r="M2042">
        <v>9.78013960090235</v>
      </c>
      <c r="N2042">
        <v>49.5790059834515</v>
      </c>
      <c r="O2042">
        <v>47.6395233680425</v>
      </c>
      <c r="P2042">
        <v>-0.0513508616675599</v>
      </c>
      <c r="Q2042">
        <v>0</v>
      </c>
      <c r="R2042">
        <v>0.959502561924529</v>
      </c>
      <c r="S2042" t="s">
        <v>4235</v>
      </c>
      <c r="T2042" t="s">
        <v>4362</v>
      </c>
      <c r="U2042" t="s">
        <v>4362</v>
      </c>
      <c r="V2042" t="s">
        <v>4362</v>
      </c>
      <c r="W2042" t="s">
        <v>6397</v>
      </c>
      <c r="X2042">
        <v>2</v>
      </c>
      <c r="Y2042" t="s">
        <v>8563</v>
      </c>
      <c r="Z2042" t="s">
        <v>10730</v>
      </c>
      <c r="AA2042">
        <v>0.4554079297291322</v>
      </c>
      <c r="AB2042">
        <f>HYPERLINK("Melting_Curves/meltCurve_P77256_ydjG.pdf", "Melting_Curves/meltCurve_P77256_ydjG.pdf")</f>
        <v>0</v>
      </c>
    </row>
    <row r="2043" spans="1:28">
      <c r="A2043" t="s">
        <v>2069</v>
      </c>
      <c r="B2043">
        <v>0.999739202189716</v>
      </c>
      <c r="C2043">
        <v>0.820057745289216</v>
      </c>
      <c r="D2043">
        <v>0.534995070251894</v>
      </c>
      <c r="E2043">
        <v>0.481391992808736</v>
      </c>
      <c r="F2043">
        <v>0.33000631463237</v>
      </c>
      <c r="G2043">
        <v>0.220651092912525</v>
      </c>
      <c r="H2043">
        <v>0.178907356923747</v>
      </c>
      <c r="I2043">
        <v>0.165836628240495</v>
      </c>
      <c r="J2043">
        <v>0.126124918192614</v>
      </c>
      <c r="K2043">
        <v>0.109173856621497</v>
      </c>
      <c r="L2043">
        <v>501.906546623372</v>
      </c>
      <c r="M2043">
        <v>11.3119900689767</v>
      </c>
      <c r="N2043">
        <v>45.3983844643613</v>
      </c>
      <c r="O2043">
        <v>43.0506518385711</v>
      </c>
      <c r="P2043">
        <v>-0.0582795148644621</v>
      </c>
      <c r="Q2043">
        <v>0.113078742500045</v>
      </c>
      <c r="R2043">
        <v>0.975702943164114</v>
      </c>
      <c r="S2043" t="s">
        <v>4236</v>
      </c>
      <c r="T2043" t="s">
        <v>4362</v>
      </c>
      <c r="U2043" t="s">
        <v>4362</v>
      </c>
      <c r="V2043" t="s">
        <v>4362</v>
      </c>
      <c r="W2043" t="s">
        <v>6398</v>
      </c>
      <c r="X2043">
        <v>2</v>
      </c>
      <c r="Y2043" t="s">
        <v>8564</v>
      </c>
      <c r="Z2043" t="s">
        <v>10731</v>
      </c>
      <c r="AA2043">
        <v>0.3682159373415355</v>
      </c>
      <c r="AB2043">
        <f>HYPERLINK("Melting_Curves/meltCurve_P77257_lsrA.pdf", "Melting_Curves/meltCurve_P77257_lsrA.pdf")</f>
        <v>0</v>
      </c>
    </row>
    <row r="2044" spans="1:28">
      <c r="A2044" t="s">
        <v>2070</v>
      </c>
      <c r="B2044">
        <v>0.999739202189716</v>
      </c>
      <c r="C2044">
        <v>1.03586120663594</v>
      </c>
      <c r="D2044">
        <v>0.842226389445044</v>
      </c>
      <c r="E2044">
        <v>0.772208346662288</v>
      </c>
      <c r="F2044">
        <v>0.551698141539549</v>
      </c>
      <c r="G2044">
        <v>0.217056481393437</v>
      </c>
      <c r="H2044">
        <v>0.18689496117669</v>
      </c>
      <c r="I2044">
        <v>0.124533860749284</v>
      </c>
      <c r="J2044">
        <v>0.146815579978691</v>
      </c>
      <c r="K2044">
        <v>0.128109374363666</v>
      </c>
      <c r="L2044">
        <v>830.58090658815</v>
      </c>
      <c r="M2044">
        <v>16.806084069444</v>
      </c>
      <c r="N2044">
        <v>50.1178529218903</v>
      </c>
      <c r="O2044">
        <v>48.7376149447322</v>
      </c>
      <c r="P2044">
        <v>-0.0772350446482452</v>
      </c>
      <c r="Q2044">
        <v>0.104131924811952</v>
      </c>
      <c r="R2044">
        <v>0.984737939456424</v>
      </c>
      <c r="S2044" t="s">
        <v>4237</v>
      </c>
      <c r="T2044" t="s">
        <v>4362</v>
      </c>
      <c r="U2044" t="s">
        <v>4362</v>
      </c>
      <c r="V2044" t="s">
        <v>4362</v>
      </c>
      <c r="W2044" t="s">
        <v>6399</v>
      </c>
      <c r="X2044">
        <v>5</v>
      </c>
      <c r="Y2044" t="s">
        <v>8565</v>
      </c>
      <c r="Z2044" t="s">
        <v>10732</v>
      </c>
      <c r="AA2044">
        <v>0.4909881924088574</v>
      </c>
      <c r="AB2044">
        <f>HYPERLINK("Melting_Curves/meltCurve_P77258_nemA.pdf", "Melting_Curves/meltCurve_P77258_nemA.pdf")</f>
        <v>0</v>
      </c>
    </row>
    <row r="2045" spans="1:28">
      <c r="A2045" t="s">
        <v>2071</v>
      </c>
      <c r="B2045">
        <v>0.999739202189716</v>
      </c>
      <c r="C2045">
        <v>0.966450392809043</v>
      </c>
      <c r="D2045">
        <v>0.86898995168786</v>
      </c>
      <c r="E2045">
        <v>0.9283967604148839</v>
      </c>
      <c r="F2045">
        <v>0.910648589319166</v>
      </c>
      <c r="G2045">
        <v>0.72621555628776</v>
      </c>
      <c r="H2045">
        <v>0.62494144923034</v>
      </c>
      <c r="I2045">
        <v>0.577693035078751</v>
      </c>
      <c r="J2045">
        <v>0.59586024013434</v>
      </c>
      <c r="K2045">
        <v>0.435783069863881</v>
      </c>
      <c r="L2045">
        <v>378.550869424588</v>
      </c>
      <c r="M2045">
        <v>6.09257027656275</v>
      </c>
      <c r="N2045">
        <v>65.34757518171681</v>
      </c>
      <c r="O2045">
        <v>56.4361996191842</v>
      </c>
      <c r="P2045">
        <v>-0.0235664217290522</v>
      </c>
      <c r="Q2045">
        <v>0.129474735209694</v>
      </c>
      <c r="R2045">
        <v>0.935796471071708</v>
      </c>
      <c r="S2045" t="s">
        <v>4238</v>
      </c>
      <c r="T2045" t="s">
        <v>4362</v>
      </c>
      <c r="U2045" t="s">
        <v>4362</v>
      </c>
      <c r="V2045" t="s">
        <v>4362</v>
      </c>
      <c r="W2045" t="s">
        <v>6400</v>
      </c>
      <c r="X2045">
        <v>10</v>
      </c>
      <c r="Y2045" t="s">
        <v>8566</v>
      </c>
      <c r="Z2045" t="s">
        <v>10733</v>
      </c>
      <c r="AA2045">
        <v>0.7712329276600891</v>
      </c>
      <c r="AB2045">
        <f>HYPERLINK("Melting_Curves/meltCurve_P77269_yphF.pdf", "Melting_Curves/meltCurve_P77269_yphF.pdf")</f>
        <v>0</v>
      </c>
    </row>
    <row r="2046" spans="1:28">
      <c r="A2046" t="s">
        <v>2072</v>
      </c>
      <c r="B2046">
        <v>0.999739202189716</v>
      </c>
      <c r="C2046">
        <v>1.02811695286735</v>
      </c>
      <c r="D2046">
        <v>0.768304512728513</v>
      </c>
      <c r="E2046">
        <v>0.724308705733739</v>
      </c>
      <c r="F2046">
        <v>0.675555416072473</v>
      </c>
      <c r="G2046">
        <v>0.510993530058367</v>
      </c>
      <c r="H2046">
        <v>0.447374440009945</v>
      </c>
      <c r="I2046">
        <v>0.305202611735245</v>
      </c>
      <c r="J2046">
        <v>0.230191374298479</v>
      </c>
      <c r="K2046">
        <v>0.129344752273191</v>
      </c>
      <c r="L2046">
        <v>404.12526271579</v>
      </c>
      <c r="M2046">
        <v>7.4768666205467</v>
      </c>
      <c r="N2046">
        <v>54.0500831729482</v>
      </c>
      <c r="O2046">
        <v>50.5886155364957</v>
      </c>
      <c r="P2046">
        <v>-0.0370030904222047</v>
      </c>
      <c r="Q2046">
        <v>0</v>
      </c>
      <c r="R2046">
        <v>0.9646281019563701</v>
      </c>
      <c r="S2046" t="s">
        <v>4239</v>
      </c>
      <c r="T2046" t="s">
        <v>4362</v>
      </c>
      <c r="U2046" t="s">
        <v>4362</v>
      </c>
      <c r="V2046" t="s">
        <v>4362</v>
      </c>
      <c r="W2046" t="s">
        <v>6401</v>
      </c>
      <c r="X2046">
        <v>2</v>
      </c>
      <c r="Y2046" t="s">
        <v>8567</v>
      </c>
      <c r="Z2046" t="s">
        <v>10734</v>
      </c>
      <c r="AA2046">
        <v>0.5810505011478995</v>
      </c>
      <c r="AB2046">
        <f>HYPERLINK("Melting_Curves/meltCurve_P77272_murP.pdf", "Melting_Curves/meltCurve_P77272_murP.pdf")</f>
        <v>0</v>
      </c>
    </row>
    <row r="2047" spans="1:28">
      <c r="A2047" t="s">
        <v>2073</v>
      </c>
      <c r="B2047">
        <v>0.999739202189716</v>
      </c>
      <c r="C2047">
        <v>0.471446821285145</v>
      </c>
      <c r="D2047">
        <v>0.320844879889482</v>
      </c>
      <c r="E2047">
        <v>0.202009471487572</v>
      </c>
      <c r="F2047">
        <v>0.149872215086887</v>
      </c>
      <c r="G2047">
        <v>0.13919777923762</v>
      </c>
      <c r="H2047">
        <v>0.0901859848997176</v>
      </c>
      <c r="I2047">
        <v>0.08369283699310311</v>
      </c>
      <c r="J2047">
        <v>0.07248538766481601</v>
      </c>
      <c r="K2047">
        <v>0.0694775350194478</v>
      </c>
      <c r="L2047">
        <v>960.596360394634</v>
      </c>
      <c r="M2047">
        <v>24.0326394746845</v>
      </c>
      <c r="N2047">
        <v>40.403030151377</v>
      </c>
      <c r="O2047">
        <v>39.6968323523239</v>
      </c>
      <c r="P2047">
        <v>-0.134185509653628</v>
      </c>
      <c r="Q2047">
        <v>0.113429932866686</v>
      </c>
      <c r="R2047">
        <v>0.951643568220203</v>
      </c>
      <c r="S2047" t="s">
        <v>4240</v>
      </c>
      <c r="T2047" t="s">
        <v>4362</v>
      </c>
      <c r="U2047" t="s">
        <v>4362</v>
      </c>
      <c r="V2047" t="s">
        <v>4362</v>
      </c>
      <c r="W2047" t="s">
        <v>6402</v>
      </c>
      <c r="X2047">
        <v>3</v>
      </c>
      <c r="Y2047" t="s">
        <v>8568</v>
      </c>
      <c r="Z2047" t="s">
        <v>10735</v>
      </c>
      <c r="AA2047">
        <v>0.2134065067552387</v>
      </c>
      <c r="AB2047">
        <f>HYPERLINK("Melting_Curves/meltCurve_P77279_fetA.pdf", "Melting_Curves/meltCurve_P77279_fetA.pdf")</f>
        <v>0</v>
      </c>
    </row>
    <row r="2048" spans="1:28">
      <c r="A2048" t="s">
        <v>2074</v>
      </c>
      <c r="B2048">
        <v>0.999739202189716</v>
      </c>
      <c r="C2048">
        <v>1.0217395431121</v>
      </c>
      <c r="D2048">
        <v>0.850977095038147</v>
      </c>
      <c r="E2048">
        <v>1.01600843367288</v>
      </c>
      <c r="F2048">
        <v>0.950032153372663</v>
      </c>
      <c r="G2048">
        <v>0.796331309139832</v>
      </c>
      <c r="H2048">
        <v>0.749958832150185</v>
      </c>
      <c r="I2048">
        <v>0.625699133217188</v>
      </c>
      <c r="J2048">
        <v>0.527760464253819</v>
      </c>
      <c r="K2048">
        <v>0.503953454437416</v>
      </c>
      <c r="L2048">
        <v>632.246087048668</v>
      </c>
      <c r="M2048">
        <v>10.6591584974176</v>
      </c>
      <c r="N2048">
        <v>66.5470476927172</v>
      </c>
      <c r="O2048">
        <v>57.3414001232659</v>
      </c>
      <c r="P2048">
        <v>-0.0305435388983977</v>
      </c>
      <c r="Q2048">
        <v>0.343009084309356</v>
      </c>
      <c r="R2048">
        <v>0.927853026979128</v>
      </c>
      <c r="S2048" t="s">
        <v>4241</v>
      </c>
      <c r="T2048" t="s">
        <v>4362</v>
      </c>
      <c r="U2048" t="s">
        <v>4362</v>
      </c>
      <c r="V2048" t="s">
        <v>4362</v>
      </c>
      <c r="W2048" t="s">
        <v>6403</v>
      </c>
      <c r="X2048">
        <v>4</v>
      </c>
      <c r="Y2048" t="s">
        <v>8569</v>
      </c>
      <c r="Z2048" t="s">
        <v>10736</v>
      </c>
      <c r="AA2048">
        <v>0.8208228075612171</v>
      </c>
      <c r="AB2048">
        <f>HYPERLINK("Melting_Curves/meltCurve_P77285_rsxG.pdf", "Melting_Curves/meltCurve_P77285_rsxG.pdf")</f>
        <v>0</v>
      </c>
    </row>
    <row r="2049" spans="1:28">
      <c r="A2049" t="s">
        <v>2075</v>
      </c>
      <c r="B2049">
        <v>0.999739202189716</v>
      </c>
      <c r="C2049">
        <v>1.01468168252455</v>
      </c>
      <c r="D2049">
        <v>0.782663048031813</v>
      </c>
      <c r="E2049">
        <v>0.835117417913299</v>
      </c>
      <c r="F2049">
        <v>0.734966316859459</v>
      </c>
      <c r="G2049">
        <v>0.561443789918625</v>
      </c>
      <c r="H2049">
        <v>0.481726496307339</v>
      </c>
      <c r="I2049">
        <v>0.39797396099023</v>
      </c>
      <c r="J2049">
        <v>0.413676672006446</v>
      </c>
      <c r="K2049">
        <v>0.278416735059861</v>
      </c>
      <c r="L2049">
        <v>397.563464031998</v>
      </c>
      <c r="M2049">
        <v>7.29708210087708</v>
      </c>
      <c r="N2049">
        <v>57.0238436556483</v>
      </c>
      <c r="O2049">
        <v>50.8380731006678</v>
      </c>
      <c r="P2049">
        <v>-0.030952098282706</v>
      </c>
      <c r="Q2049">
        <v>0.138808891111693</v>
      </c>
      <c r="R2049">
        <v>0.957824278223478</v>
      </c>
      <c r="S2049" t="s">
        <v>4242</v>
      </c>
      <c r="T2049" t="s">
        <v>4362</v>
      </c>
      <c r="U2049" t="s">
        <v>4362</v>
      </c>
      <c r="V2049" t="s">
        <v>4362</v>
      </c>
      <c r="W2049" t="s">
        <v>6404</v>
      </c>
      <c r="X2049">
        <v>1</v>
      </c>
      <c r="Y2049" t="s">
        <v>8570</v>
      </c>
      <c r="Z2049" t="s">
        <v>10737</v>
      </c>
      <c r="AA2049">
        <v>0.6478326925083694</v>
      </c>
      <c r="AB2049">
        <f>HYPERLINK("Melting_Curves/meltCurve_P77286_ydeU.pdf", "Melting_Curves/meltCurve_P77286_ydeU.pdf")</f>
        <v>0</v>
      </c>
    </row>
    <row r="2050" spans="1:28">
      <c r="A2050" t="s">
        <v>2076</v>
      </c>
      <c r="B2050">
        <v>0.999739202189716</v>
      </c>
      <c r="C2050">
        <v>0.794796152785591</v>
      </c>
      <c r="D2050">
        <v>0.5235481845447481</v>
      </c>
      <c r="E2050">
        <v>0.370949795747492</v>
      </c>
      <c r="F2050">
        <v>0.331389253111759</v>
      </c>
      <c r="G2050">
        <v>0.183050084235033</v>
      </c>
      <c r="H2050">
        <v>0.140329184822411</v>
      </c>
      <c r="I2050">
        <v>0.115364354482422</v>
      </c>
      <c r="J2050">
        <v>0.154024945479875</v>
      </c>
      <c r="K2050">
        <v>0.127199037084843</v>
      </c>
      <c r="L2050">
        <v>591.594745504421</v>
      </c>
      <c r="M2050">
        <v>13.6682552400319</v>
      </c>
      <c r="N2050">
        <v>44.2688342954679</v>
      </c>
      <c r="O2050">
        <v>42.3874443134864</v>
      </c>
      <c r="P2050">
        <v>-0.0700420413507262</v>
      </c>
      <c r="Q2050">
        <v>0.131279983137588</v>
      </c>
      <c r="R2050">
        <v>0.978120511420719</v>
      </c>
      <c r="S2050" t="s">
        <v>4243</v>
      </c>
      <c r="T2050" t="s">
        <v>4362</v>
      </c>
      <c r="U2050" t="s">
        <v>4362</v>
      </c>
      <c r="V2050" t="s">
        <v>4362</v>
      </c>
      <c r="W2050" t="s">
        <v>6405</v>
      </c>
      <c r="X2050">
        <v>2</v>
      </c>
      <c r="Y2050" t="s">
        <v>8571</v>
      </c>
      <c r="Z2050" t="s">
        <v>10738</v>
      </c>
      <c r="AA2050">
        <v>0.3405165491611312</v>
      </c>
      <c r="AB2050">
        <f>HYPERLINK("Melting_Curves/meltCurve_P77293_yfdH.pdf", "Melting_Curves/meltCurve_P77293_yfdH.pdf")</f>
        <v>0</v>
      </c>
    </row>
    <row r="2051" spans="1:28">
      <c r="A2051" t="s">
        <v>2077</v>
      </c>
      <c r="B2051">
        <v>0.999739202189716</v>
      </c>
      <c r="C2051">
        <v>1.00726855572441</v>
      </c>
      <c r="D2051">
        <v>0.728952480389948</v>
      </c>
      <c r="E2051">
        <v>0.634166287661728</v>
      </c>
      <c r="F2051">
        <v>0.434000712951417</v>
      </c>
      <c r="G2051">
        <v>0.380577814603084</v>
      </c>
      <c r="H2051">
        <v>0.337708599105014</v>
      </c>
      <c r="I2051">
        <v>0.28266266800869</v>
      </c>
      <c r="J2051">
        <v>0.259664132857568</v>
      </c>
      <c r="K2051">
        <v>0.198755517755702</v>
      </c>
      <c r="L2051">
        <v>586.1061412201871</v>
      </c>
      <c r="M2051">
        <v>12.5638854452573</v>
      </c>
      <c r="N2051">
        <v>49.1120193040621</v>
      </c>
      <c r="O2051">
        <v>45.515578071595</v>
      </c>
      <c r="P2051">
        <v>-0.0528950274811602</v>
      </c>
      <c r="Q2051">
        <v>0.233657072729457</v>
      </c>
      <c r="R2051">
        <v>0.975530562757034</v>
      </c>
      <c r="S2051" t="s">
        <v>4244</v>
      </c>
      <c r="T2051" t="s">
        <v>4362</v>
      </c>
      <c r="U2051" t="s">
        <v>4362</v>
      </c>
      <c r="V2051" t="s">
        <v>4362</v>
      </c>
      <c r="W2051" t="s">
        <v>6406</v>
      </c>
      <c r="X2051">
        <v>2</v>
      </c>
      <c r="Y2051" t="s">
        <v>8572</v>
      </c>
      <c r="Z2051" t="s">
        <v>10739</v>
      </c>
      <c r="AA2051">
        <v>0.5039012234677481</v>
      </c>
      <c r="AB2051">
        <f>HYPERLINK("Melting_Curves/meltCurve_P77307_fetB.pdf", "Melting_Curves/meltCurve_P77307_fetB.pdf")</f>
        <v>0</v>
      </c>
    </row>
    <row r="2052" spans="1:28">
      <c r="A2052" t="s">
        <v>2078</v>
      </c>
      <c r="B2052">
        <v>0.999739202189716</v>
      </c>
      <c r="C2052">
        <v>0.760822240686038</v>
      </c>
      <c r="D2052">
        <v>0.464581967786815</v>
      </c>
      <c r="E2052">
        <v>0.361632011772838</v>
      </c>
      <c r="F2052">
        <v>0.273758202230383</v>
      </c>
      <c r="G2052">
        <v>0.162161225438265</v>
      </c>
      <c r="H2052">
        <v>0.155225414945302</v>
      </c>
      <c r="I2052">
        <v>0.10492874735164</v>
      </c>
      <c r="J2052">
        <v>0.06325291512869639</v>
      </c>
      <c r="K2052">
        <v>0.0778722339481375</v>
      </c>
      <c r="L2052">
        <v>566.825473681861</v>
      </c>
      <c r="M2052">
        <v>13.173689909265</v>
      </c>
      <c r="N2052">
        <v>43.7189325905575</v>
      </c>
      <c r="O2052">
        <v>42.0718744033007</v>
      </c>
      <c r="P2052">
        <v>-0.0709274790961358</v>
      </c>
      <c r="Q2052">
        <v>0.0940882494769064</v>
      </c>
      <c r="R2052">
        <v>0.973666951448047</v>
      </c>
      <c r="S2052" t="s">
        <v>4245</v>
      </c>
      <c r="T2052" t="s">
        <v>4362</v>
      </c>
      <c r="U2052" t="s">
        <v>4362</v>
      </c>
      <c r="V2052" t="s">
        <v>4362</v>
      </c>
      <c r="W2052" t="s">
        <v>6407</v>
      </c>
      <c r="X2052">
        <v>2</v>
      </c>
      <c r="Y2052" t="s">
        <v>8573</v>
      </c>
      <c r="Z2052" t="s">
        <v>10740</v>
      </c>
      <c r="AA2052">
        <v>0.3073689470682325</v>
      </c>
      <c r="AB2052">
        <f>HYPERLINK("Melting_Curves/meltCurve_P77316_ybdR.pdf", "Melting_Curves/meltCurve_P77316_ybdR.pdf")</f>
        <v>0</v>
      </c>
    </row>
    <row r="2053" spans="1:28">
      <c r="A2053" t="s">
        <v>2079</v>
      </c>
      <c r="B2053">
        <v>0.999739202189716</v>
      </c>
      <c r="C2053">
        <v>1.07126944777904</v>
      </c>
      <c r="D2053">
        <v>0.999850645906485</v>
      </c>
      <c r="E2053">
        <v>0.913194706508605</v>
      </c>
      <c r="F2053">
        <v>0.867118824263074</v>
      </c>
      <c r="G2053">
        <v>0.520701307902415</v>
      </c>
      <c r="H2053">
        <v>0.306555554285564</v>
      </c>
      <c r="I2053">
        <v>0.125049930119736</v>
      </c>
      <c r="J2053">
        <v>0.118146771353231</v>
      </c>
      <c r="K2053">
        <v>0.115943852212014</v>
      </c>
      <c r="L2053">
        <v>1136.89612509819</v>
      </c>
      <c r="M2053">
        <v>21.1366979912091</v>
      </c>
      <c r="N2053">
        <v>54.2841682601075</v>
      </c>
      <c r="O2053">
        <v>53.3132666041524</v>
      </c>
      <c r="P2053">
        <v>-0.0904082785763107</v>
      </c>
      <c r="Q2053">
        <v>0.0878736846344056</v>
      </c>
      <c r="R2053">
        <v>0.992290911945594</v>
      </c>
      <c r="S2053" t="s">
        <v>4246</v>
      </c>
      <c r="T2053" t="s">
        <v>4362</v>
      </c>
      <c r="U2053" t="s">
        <v>4362</v>
      </c>
      <c r="V2053" t="s">
        <v>4362</v>
      </c>
      <c r="W2053" t="s">
        <v>6408</v>
      </c>
      <c r="X2053">
        <v>10</v>
      </c>
      <c r="Y2053" t="s">
        <v>8574</v>
      </c>
      <c r="Z2053" t="s">
        <v>10741</v>
      </c>
      <c r="AA2053">
        <v>0.6086259524339434</v>
      </c>
      <c r="AB2053">
        <f>HYPERLINK("Melting_Curves/meltCurve_P77318_ydeN.pdf", "Melting_Curves/meltCurve_P77318_ydeN.pdf")</f>
        <v>0</v>
      </c>
    </row>
    <row r="2054" spans="1:28">
      <c r="A2054" t="s">
        <v>2080</v>
      </c>
      <c r="B2054">
        <v>0.999739202189716</v>
      </c>
      <c r="C2054">
        <v>0.8336141335639859</v>
      </c>
      <c r="D2054">
        <v>1.07641053320236</v>
      </c>
      <c r="E2054">
        <v>1.07736912746632</v>
      </c>
      <c r="F2054">
        <v>0.950730501216428</v>
      </c>
      <c r="G2054">
        <v>0.839208512912359</v>
      </c>
      <c r="H2054">
        <v>0.824437261808566</v>
      </c>
      <c r="I2054">
        <v>0.793073886837074</v>
      </c>
      <c r="J2054">
        <v>0.75139482285726</v>
      </c>
      <c r="K2054">
        <v>0.614630788031111</v>
      </c>
      <c r="L2054">
        <v>505.178703993894</v>
      </c>
      <c r="M2054">
        <v>7.47519518224347</v>
      </c>
      <c r="O2054">
        <v>63.2509439651132</v>
      </c>
      <c r="P2054">
        <v>-0.0217099802948019</v>
      </c>
      <c r="Q2054">
        <v>0.266276851861752</v>
      </c>
      <c r="R2054">
        <v>0.735463741146737</v>
      </c>
      <c r="S2054" t="s">
        <v>4247</v>
      </c>
      <c r="T2054" t="s">
        <v>4362</v>
      </c>
      <c r="U2054" t="s">
        <v>4362</v>
      </c>
      <c r="V2054" t="s">
        <v>4362</v>
      </c>
      <c r="W2054" t="s">
        <v>6409</v>
      </c>
      <c r="X2054">
        <v>2</v>
      </c>
      <c r="Y2054" t="s">
        <v>8575</v>
      </c>
      <c r="Z2054" t="s">
        <v>10742</v>
      </c>
      <c r="AA2054">
        <v>0.8884345273762048</v>
      </c>
      <c r="AB2054">
        <f>HYPERLINK("Melting_Curves/meltCurve_P77330_borD.pdf", "Melting_Curves/meltCurve_P77330_borD.pdf")</f>
        <v>0</v>
      </c>
    </row>
    <row r="2055" spans="1:28">
      <c r="A2055" t="s">
        <v>2081</v>
      </c>
      <c r="B2055">
        <v>0.999739202189716</v>
      </c>
      <c r="C2055">
        <v>1.04333097622236</v>
      </c>
      <c r="D2055">
        <v>1.04946958965464</v>
      </c>
      <c r="E2055">
        <v>0.93943576100392</v>
      </c>
      <c r="F2055">
        <v>0.629356615848381</v>
      </c>
      <c r="G2055">
        <v>0.5432577684621001</v>
      </c>
      <c r="H2055">
        <v>0.366021524982346</v>
      </c>
      <c r="I2055">
        <v>0.258655873098303</v>
      </c>
      <c r="J2055">
        <v>0.211898920685989</v>
      </c>
      <c r="K2055">
        <v>0.170894807559679</v>
      </c>
      <c r="L2055">
        <v>791.710415376158</v>
      </c>
      <c r="M2055">
        <v>15.0709234757022</v>
      </c>
      <c r="N2055">
        <v>53.9249769948553</v>
      </c>
      <c r="O2055">
        <v>51.6334389103226</v>
      </c>
      <c r="P2055">
        <v>-0.061213483871373</v>
      </c>
      <c r="Q2055">
        <v>0.161206214290865</v>
      </c>
      <c r="R2055">
        <v>0.981624655468506</v>
      </c>
      <c r="S2055" t="s">
        <v>4248</v>
      </c>
      <c r="T2055" t="s">
        <v>4362</v>
      </c>
      <c r="U2055" t="s">
        <v>4362</v>
      </c>
      <c r="V2055" t="s">
        <v>4362</v>
      </c>
      <c r="W2055" t="s">
        <v>6410</v>
      </c>
      <c r="X2055">
        <v>3</v>
      </c>
      <c r="Y2055" t="s">
        <v>8576</v>
      </c>
      <c r="Z2055" t="s">
        <v>10743</v>
      </c>
      <c r="AA2055">
        <v>0.6109191088429753</v>
      </c>
      <c r="AB2055">
        <f>HYPERLINK("Melting_Curves/meltCurve_P77335_hlyE.pdf", "Melting_Curves/meltCurve_P77335_hlyE.pdf")</f>
        <v>0</v>
      </c>
    </row>
    <row r="2056" spans="1:28">
      <c r="A2056" t="s">
        <v>2082</v>
      </c>
      <c r="B2056">
        <v>0.999739202189716</v>
      </c>
      <c r="C2056">
        <v>1.86978267047554</v>
      </c>
      <c r="D2056">
        <v>0.935918109286572</v>
      </c>
      <c r="E2056">
        <v>0.600994806104195</v>
      </c>
      <c r="F2056">
        <v>0.336090032458463</v>
      </c>
      <c r="G2056">
        <v>0.221570613562837</v>
      </c>
      <c r="H2056">
        <v>0.178456801278563</v>
      </c>
      <c r="I2056">
        <v>0.164687290102068</v>
      </c>
      <c r="J2056">
        <v>0.150862140592244</v>
      </c>
      <c r="K2056">
        <v>0.130190755447489</v>
      </c>
      <c r="L2056">
        <v>1431.81008925433</v>
      </c>
      <c r="M2056">
        <v>30.4539749296801</v>
      </c>
      <c r="N2056">
        <v>47.6756694144238</v>
      </c>
      <c r="O2056">
        <v>46.8142125964214</v>
      </c>
      <c r="P2056">
        <v>-0.134656128073401</v>
      </c>
      <c r="Q2056">
        <v>0.172025092036713</v>
      </c>
      <c r="R2056">
        <v>0.731175343746058</v>
      </c>
      <c r="S2056" t="s">
        <v>4249</v>
      </c>
      <c r="T2056" t="s">
        <v>4362</v>
      </c>
      <c r="U2056" t="s">
        <v>4362</v>
      </c>
      <c r="V2056" t="s">
        <v>4362</v>
      </c>
      <c r="W2056" t="s">
        <v>6411</v>
      </c>
      <c r="X2056">
        <v>9</v>
      </c>
      <c r="Y2056" t="s">
        <v>8577</v>
      </c>
      <c r="Z2056" t="s">
        <v>10744</v>
      </c>
      <c r="AA2056">
        <v>0.4531152356253765</v>
      </c>
      <c r="AB2056">
        <f>HYPERLINK("Melting_Curves/meltCurve_P77338_mscK.pdf", "Melting_Curves/meltCurve_P77338_mscK.pdf")</f>
        <v>0</v>
      </c>
    </row>
    <row r="2057" spans="1:28">
      <c r="A2057" t="s">
        <v>2083</v>
      </c>
      <c r="B2057">
        <v>0.999739202189716</v>
      </c>
      <c r="C2057">
        <v>1.12204048352448</v>
      </c>
      <c r="D2057">
        <v>1.08962789196954</v>
      </c>
      <c r="E2057">
        <v>0.959611086965597</v>
      </c>
      <c r="F2057">
        <v>0.264973666292864</v>
      </c>
      <c r="G2057">
        <v>0.136108103059664</v>
      </c>
      <c r="H2057">
        <v>0.117057917394473</v>
      </c>
      <c r="I2057">
        <v>0.08283695898734281</v>
      </c>
      <c r="J2057">
        <v>0.07176235490643459</v>
      </c>
      <c r="K2057">
        <v>0.051210317138679</v>
      </c>
      <c r="L2057">
        <v>2868.62049373551</v>
      </c>
      <c r="M2057">
        <v>58.5642796625354</v>
      </c>
      <c r="N2057">
        <v>49.1498010625553</v>
      </c>
      <c r="O2057">
        <v>48.9254023585624</v>
      </c>
      <c r="P2057">
        <v>-0.272199741936146</v>
      </c>
      <c r="Q2057">
        <v>0.0904026678427311</v>
      </c>
      <c r="R2057">
        <v>0.986919308382215</v>
      </c>
      <c r="S2057" t="s">
        <v>4250</v>
      </c>
      <c r="T2057" t="s">
        <v>4362</v>
      </c>
      <c r="U2057" t="s">
        <v>4362</v>
      </c>
      <c r="V2057" t="s">
        <v>4362</v>
      </c>
      <c r="W2057" t="s">
        <v>6412</v>
      </c>
      <c r="X2057">
        <v>15</v>
      </c>
      <c r="Y2057" t="s">
        <v>8578</v>
      </c>
      <c r="Z2057" t="s">
        <v>10745</v>
      </c>
      <c r="AA2057">
        <v>0.4551391042636174</v>
      </c>
      <c r="AB2057">
        <f>HYPERLINK("Melting_Curves/meltCurve_P77348_mppA.pdf", "Melting_Curves/meltCurve_P77348_mppA.pdf")</f>
        <v>0</v>
      </c>
    </row>
    <row r="2058" spans="1:28">
      <c r="A2058" t="s">
        <v>2084</v>
      </c>
      <c r="B2058">
        <v>0.999739202189716</v>
      </c>
      <c r="C2058">
        <v>0.801141566448155</v>
      </c>
      <c r="D2058">
        <v>0.812235925893508</v>
      </c>
      <c r="E2058">
        <v>0.509176684981313</v>
      </c>
      <c r="F2058">
        <v>0.457435848889938</v>
      </c>
      <c r="G2058">
        <v>0.291660512577095</v>
      </c>
      <c r="H2058">
        <v>0.240552297593184</v>
      </c>
      <c r="I2058">
        <v>0.213469278539825</v>
      </c>
      <c r="J2058">
        <v>0.179716952069291</v>
      </c>
      <c r="K2058">
        <v>0.151760363079118</v>
      </c>
      <c r="L2058">
        <v>481.509688382567</v>
      </c>
      <c r="M2058">
        <v>10.3039412861335</v>
      </c>
      <c r="N2058">
        <v>48.1107629729729</v>
      </c>
      <c r="O2058">
        <v>45.0731827657204</v>
      </c>
      <c r="P2058">
        <v>-0.049860206716579</v>
      </c>
      <c r="Q2058">
        <v>0.127951621133617</v>
      </c>
      <c r="R2058">
        <v>0.97819314082307</v>
      </c>
      <c r="S2058" t="s">
        <v>4251</v>
      </c>
      <c r="T2058" t="s">
        <v>4362</v>
      </c>
      <c r="U2058" t="s">
        <v>4362</v>
      </c>
      <c r="V2058" t="s">
        <v>4362</v>
      </c>
      <c r="W2058" t="s">
        <v>6413</v>
      </c>
      <c r="X2058">
        <v>5</v>
      </c>
      <c r="Y2058" t="s">
        <v>8579</v>
      </c>
      <c r="Z2058" t="s">
        <v>10746</v>
      </c>
      <c r="AA2058">
        <v>0.4475253707698451</v>
      </c>
      <c r="AB2058">
        <f>HYPERLINK("Melting_Curves/meltCurve_P77364_glxK.pdf", "Melting_Curves/meltCurve_P77364_glxK.pdf")</f>
        <v>0</v>
      </c>
    </row>
    <row r="2059" spans="1:28">
      <c r="A2059" t="s">
        <v>2085</v>
      </c>
      <c r="B2059">
        <v>0.999739202189716</v>
      </c>
      <c r="C2059">
        <v>0.9739788078405131</v>
      </c>
      <c r="D2059">
        <v>1.60901421669635</v>
      </c>
      <c r="E2059">
        <v>1.09008103232237</v>
      </c>
      <c r="F2059">
        <v>0.695414961810532</v>
      </c>
      <c r="G2059">
        <v>0.330542963489814</v>
      </c>
      <c r="H2059">
        <v>0.233216535558273</v>
      </c>
      <c r="I2059">
        <v>0.338783980249487</v>
      </c>
      <c r="J2059">
        <v>0.325706200300432</v>
      </c>
      <c r="K2059">
        <v>0.29686190704495</v>
      </c>
      <c r="L2059">
        <v>4766.92551556162</v>
      </c>
      <c r="M2059">
        <v>94.7072227854355</v>
      </c>
      <c r="N2059">
        <v>50.837812878985</v>
      </c>
      <c r="O2059">
        <v>50.3108656677754</v>
      </c>
      <c r="P2059">
        <v>-0.327227659565315</v>
      </c>
      <c r="Q2059">
        <v>0.304673861522948</v>
      </c>
      <c r="R2059">
        <v>0.799393108183664</v>
      </c>
      <c r="S2059" t="s">
        <v>4252</v>
      </c>
      <c r="T2059" t="s">
        <v>4362</v>
      </c>
      <c r="U2059" t="s">
        <v>4362</v>
      </c>
      <c r="V2059" t="s">
        <v>4362</v>
      </c>
      <c r="W2059" t="s">
        <v>6414</v>
      </c>
      <c r="X2059">
        <v>2</v>
      </c>
      <c r="Y2059" t="s">
        <v>8580</v>
      </c>
      <c r="Z2059" t="s">
        <v>10747</v>
      </c>
      <c r="AA2059">
        <v>0.6141351052717193</v>
      </c>
      <c r="AB2059">
        <f>HYPERLINK("Melting_Curves/meltCurve_P77368_ybcL.pdf", "Melting_Curves/meltCurve_P77368_ybcL.pdf")</f>
        <v>0</v>
      </c>
    </row>
    <row r="2060" spans="1:28">
      <c r="A2060" t="s">
        <v>2086</v>
      </c>
      <c r="B2060">
        <v>0.999739202189716</v>
      </c>
      <c r="C2060">
        <v>0.847217227308851</v>
      </c>
      <c r="D2060">
        <v>0.648002264610083</v>
      </c>
      <c r="E2060">
        <v>0.652783715623389</v>
      </c>
      <c r="F2060">
        <v>0.487374174020939</v>
      </c>
      <c r="G2060">
        <v>0.283370845631769</v>
      </c>
      <c r="H2060">
        <v>0.158946823570222</v>
      </c>
      <c r="I2060">
        <v>0.107047291381899</v>
      </c>
      <c r="J2060">
        <v>0.0924148454656626</v>
      </c>
      <c r="K2060">
        <v>0.0694420832472758</v>
      </c>
      <c r="L2060">
        <v>435.380744015412</v>
      </c>
      <c r="M2060">
        <v>8.98795178089334</v>
      </c>
      <c r="N2060">
        <v>48.4404678942603</v>
      </c>
      <c r="O2060">
        <v>46.2228030071065</v>
      </c>
      <c r="P2060">
        <v>-0.0486475978659288</v>
      </c>
      <c r="Q2060">
        <v>0</v>
      </c>
      <c r="R2060">
        <v>0.974177424090634</v>
      </c>
      <c r="S2060" t="s">
        <v>4253</v>
      </c>
      <c r="T2060" t="s">
        <v>4362</v>
      </c>
      <c r="U2060" t="s">
        <v>4362</v>
      </c>
      <c r="V2060" t="s">
        <v>4362</v>
      </c>
      <c r="W2060" t="s">
        <v>6415</v>
      </c>
      <c r="X2060">
        <v>10</v>
      </c>
      <c r="Y2060" t="s">
        <v>8581</v>
      </c>
      <c r="Z2060" t="s">
        <v>10748</v>
      </c>
      <c r="AA2060">
        <v>0.4252460236041567</v>
      </c>
      <c r="AB2060">
        <f>HYPERLINK("Melting_Curves/meltCurve_P77374_ynfE.pdf", "Melting_Curves/meltCurve_P77374_ynfE.pdf")</f>
        <v>0</v>
      </c>
    </row>
    <row r="2061" spans="1:28">
      <c r="A2061" t="s">
        <v>2087</v>
      </c>
      <c r="B2061">
        <v>0.999739202189716</v>
      </c>
      <c r="C2061">
        <v>0.817683434395184</v>
      </c>
      <c r="D2061">
        <v>0.673808900864913</v>
      </c>
      <c r="E2061">
        <v>0.5770318011353061</v>
      </c>
      <c r="F2061">
        <v>0.328704137408387</v>
      </c>
      <c r="G2061">
        <v>0.179582903516587</v>
      </c>
      <c r="H2061">
        <v>0.110974365336527</v>
      </c>
      <c r="I2061">
        <v>0.108386180845292</v>
      </c>
      <c r="J2061">
        <v>0.0955108536057694</v>
      </c>
      <c r="K2061">
        <v>0.101630716001976</v>
      </c>
      <c r="L2061">
        <v>513.598082602773</v>
      </c>
      <c r="M2061">
        <v>11.0902832157198</v>
      </c>
      <c r="N2061">
        <v>46.7038734865128</v>
      </c>
      <c r="O2061">
        <v>44.8813894047584</v>
      </c>
      <c r="P2061">
        <v>-0.0590411475096283</v>
      </c>
      <c r="Q2061">
        <v>0.044575305236891</v>
      </c>
      <c r="R2061">
        <v>0.985816038926281</v>
      </c>
      <c r="S2061" t="s">
        <v>4254</v>
      </c>
      <c r="T2061" t="s">
        <v>4362</v>
      </c>
      <c r="U2061" t="s">
        <v>4362</v>
      </c>
      <c r="V2061" t="s">
        <v>4362</v>
      </c>
      <c r="W2061" t="s">
        <v>6416</v>
      </c>
      <c r="X2061">
        <v>3</v>
      </c>
      <c r="Y2061" t="s">
        <v>8582</v>
      </c>
      <c r="Z2061" t="s">
        <v>10749</v>
      </c>
      <c r="AA2061">
        <v>0.3780009732214688</v>
      </c>
      <c r="AB2061">
        <f>HYPERLINK("Melting_Curves/meltCurve_P77376_ydgJ.pdf", "Melting_Curves/meltCurve_P77376_ydgJ.pdf")</f>
        <v>0</v>
      </c>
    </row>
    <row r="2062" spans="1:28">
      <c r="A2062" t="s">
        <v>2088</v>
      </c>
      <c r="B2062">
        <v>0.999739202189716</v>
      </c>
      <c r="C2062">
        <v>0.719592520683326</v>
      </c>
      <c r="D2062">
        <v>0.630140164342864</v>
      </c>
      <c r="E2062">
        <v>0.425968590075389</v>
      </c>
      <c r="F2062">
        <v>0.273098478043911</v>
      </c>
      <c r="G2062">
        <v>0.198144315548428</v>
      </c>
      <c r="H2062">
        <v>0.161564687866648</v>
      </c>
      <c r="I2062">
        <v>0.11890683190493</v>
      </c>
      <c r="J2062">
        <v>0.0981915668397166</v>
      </c>
      <c r="K2062">
        <v>0.08721864252475681</v>
      </c>
      <c r="L2062">
        <v>493.761004951089</v>
      </c>
      <c r="M2062">
        <v>11.1267985757921</v>
      </c>
      <c r="N2062">
        <v>45.0532635289793</v>
      </c>
      <c r="O2062">
        <v>43.0148288446089</v>
      </c>
      <c r="P2062">
        <v>-0.0597063290250242</v>
      </c>
      <c r="Q2062">
        <v>0.0770289030441383</v>
      </c>
      <c r="R2062">
        <v>0.9838405190503</v>
      </c>
      <c r="S2062" t="s">
        <v>4255</v>
      </c>
      <c r="T2062" t="s">
        <v>4362</v>
      </c>
      <c r="U2062" t="s">
        <v>4362</v>
      </c>
      <c r="V2062" t="s">
        <v>4362</v>
      </c>
      <c r="W2062" t="s">
        <v>6417</v>
      </c>
      <c r="X2062">
        <v>3</v>
      </c>
      <c r="Y2062" t="s">
        <v>8583</v>
      </c>
      <c r="Z2062" t="s">
        <v>10750</v>
      </c>
      <c r="AA2062">
        <v>0.343869146448603</v>
      </c>
      <c r="AB2062">
        <f>HYPERLINK("Melting_Curves/meltCurve_P77379_rclR.pdf", "Melting_Curves/meltCurve_P77379_rclR.pdf")</f>
        <v>0</v>
      </c>
    </row>
    <row r="2063" spans="1:28">
      <c r="A2063" t="s">
        <v>2089</v>
      </c>
      <c r="B2063">
        <v>0.999739202189716</v>
      </c>
      <c r="C2063">
        <v>1.1759616433579</v>
      </c>
      <c r="D2063">
        <v>1.26813421539681</v>
      </c>
      <c r="E2063">
        <v>1.20905964951504</v>
      </c>
      <c r="F2063">
        <v>1.47932222445708</v>
      </c>
      <c r="G2063">
        <v>1.25524458037208</v>
      </c>
      <c r="H2063">
        <v>1.47504867021274</v>
      </c>
      <c r="I2063">
        <v>1.45613972281532</v>
      </c>
      <c r="J2063">
        <v>1.52181597151728</v>
      </c>
      <c r="K2063">
        <v>1.06888029450009</v>
      </c>
      <c r="L2063">
        <v>700.073904787382</v>
      </c>
      <c r="M2063">
        <v>17.0449612018373</v>
      </c>
      <c r="O2063">
        <v>40.5193431667808</v>
      </c>
      <c r="P2063">
        <v>0.0385336081615532</v>
      </c>
      <c r="Q2063">
        <v>1.36638662871683</v>
      </c>
      <c r="R2063">
        <v>0.41738905564568</v>
      </c>
      <c r="S2063" t="s">
        <v>4256</v>
      </c>
      <c r="T2063" t="s">
        <v>4362</v>
      </c>
      <c r="U2063" t="s">
        <v>4362</v>
      </c>
      <c r="V2063" t="s">
        <v>4362</v>
      </c>
      <c r="W2063" t="s">
        <v>6418</v>
      </c>
      <c r="X2063">
        <v>5</v>
      </c>
      <c r="Y2063" t="s">
        <v>8584</v>
      </c>
      <c r="Z2063" t="s">
        <v>10751</v>
      </c>
      <c r="AA2063">
        <v>1.30772194467354</v>
      </c>
      <c r="AB2063">
        <f>HYPERLINK("Melting_Curves/meltCurve_P77395_ybbN.pdf", "Melting_Curves/meltCurve_P77395_ybbN.pdf")</f>
        <v>0</v>
      </c>
    </row>
    <row r="2064" spans="1:28">
      <c r="A2064" t="s">
        <v>2090</v>
      </c>
      <c r="B2064">
        <v>0.999739202189716</v>
      </c>
      <c r="C2064">
        <v>0.907403917122211</v>
      </c>
      <c r="D2064">
        <v>0.696398038028968</v>
      </c>
      <c r="E2064">
        <v>0.717701697514964</v>
      </c>
      <c r="F2064">
        <v>0.5538230531699661</v>
      </c>
      <c r="G2064">
        <v>0.403290325124217</v>
      </c>
      <c r="H2064">
        <v>0.310966785255587</v>
      </c>
      <c r="I2064">
        <v>0.245501047689406</v>
      </c>
      <c r="J2064">
        <v>0.227443147260413</v>
      </c>
      <c r="K2064">
        <v>0.19904016391552</v>
      </c>
      <c r="L2064">
        <v>395.485266960178</v>
      </c>
      <c r="M2064">
        <v>7.93156514587485</v>
      </c>
      <c r="N2064">
        <v>51.0655343140156</v>
      </c>
      <c r="O2064">
        <v>46.9914735023671</v>
      </c>
      <c r="P2064">
        <v>-0.0386450998760104</v>
      </c>
      <c r="Q2064">
        <v>0.08523885658479551</v>
      </c>
      <c r="R2064">
        <v>0.977310984910523</v>
      </c>
      <c r="S2064" t="s">
        <v>4257</v>
      </c>
      <c r="T2064" t="s">
        <v>4362</v>
      </c>
      <c r="U2064" t="s">
        <v>4362</v>
      </c>
      <c r="V2064" t="s">
        <v>4362</v>
      </c>
      <c r="W2064" t="s">
        <v>5552</v>
      </c>
      <c r="X2064">
        <v>4</v>
      </c>
      <c r="Y2064" t="s">
        <v>8585</v>
      </c>
      <c r="Z2064" t="s">
        <v>10752</v>
      </c>
      <c r="AA2064">
        <v>0.5156684831881801</v>
      </c>
      <c r="AB2064">
        <f>HYPERLINK("Melting_Curves/meltCurve_P77399_fadJ.pdf", "Melting_Curves/meltCurve_P77399_fadJ.pdf")</f>
        <v>0</v>
      </c>
    </row>
    <row r="2065" spans="1:28">
      <c r="A2065" t="s">
        <v>2091</v>
      </c>
      <c r="B2065">
        <v>0.999739202189716</v>
      </c>
      <c r="C2065">
        <v>0.768269567112369</v>
      </c>
      <c r="D2065">
        <v>1.0939951960583</v>
      </c>
      <c r="E2065">
        <v>0.967313804285812</v>
      </c>
      <c r="F2065">
        <v>1.0447734757908</v>
      </c>
      <c r="G2065">
        <v>0.786375960583534</v>
      </c>
      <c r="H2065">
        <v>0.643092732250838</v>
      </c>
      <c r="I2065">
        <v>0.430097792474139</v>
      </c>
      <c r="J2065">
        <v>0.344724170858909</v>
      </c>
      <c r="K2065">
        <v>0.166792001082821</v>
      </c>
      <c r="L2065">
        <v>896.502413470706</v>
      </c>
      <c r="M2065">
        <v>15.0892971411741</v>
      </c>
      <c r="N2065">
        <v>59.8944603976755</v>
      </c>
      <c r="O2065">
        <v>58.3989187683008</v>
      </c>
      <c r="P2065">
        <v>-0.0609134445214902</v>
      </c>
      <c r="Q2065">
        <v>0.0570988516078104</v>
      </c>
      <c r="R2065">
        <v>0.913780759851157</v>
      </c>
      <c r="S2065" t="s">
        <v>4258</v>
      </c>
      <c r="T2065" t="s">
        <v>4362</v>
      </c>
      <c r="U2065" t="s">
        <v>4362</v>
      </c>
      <c r="V2065" t="s">
        <v>4362</v>
      </c>
      <c r="W2065" t="s">
        <v>6419</v>
      </c>
      <c r="X2065">
        <v>4</v>
      </c>
      <c r="Y2065" t="s">
        <v>8586</v>
      </c>
      <c r="Z2065" t="s">
        <v>10753</v>
      </c>
      <c r="AA2065">
        <v>0.7587723358198912</v>
      </c>
      <c r="AB2065">
        <f>HYPERLINK("Melting_Curves/meltCurve_P77433_ykgG.pdf", "Melting_Curves/meltCurve_P77433_ykgG.pdf")</f>
        <v>0</v>
      </c>
    </row>
    <row r="2066" spans="1:28">
      <c r="A2066" t="s">
        <v>2092</v>
      </c>
      <c r="B2066">
        <v>0.999739202189716</v>
      </c>
      <c r="C2066">
        <v>0.92795545211194</v>
      </c>
      <c r="D2066">
        <v>0.730107021066501</v>
      </c>
      <c r="E2066">
        <v>0.557442340314909</v>
      </c>
      <c r="F2066">
        <v>0.419378970878614</v>
      </c>
      <c r="G2066">
        <v>0.287757081946866</v>
      </c>
      <c r="H2066">
        <v>0.222615577824818</v>
      </c>
      <c r="I2066">
        <v>0.199944103556522</v>
      </c>
      <c r="J2066">
        <v>0.161369302729691</v>
      </c>
      <c r="K2066">
        <v>0.09770375225291709</v>
      </c>
      <c r="L2066">
        <v>521.991724857565</v>
      </c>
      <c r="M2066">
        <v>11.1077256732058</v>
      </c>
      <c r="N2066">
        <v>48.0613214480942</v>
      </c>
      <c r="O2066">
        <v>45.5475545796862</v>
      </c>
      <c r="P2066">
        <v>-0.0543190917271987</v>
      </c>
      <c r="Q2066">
        <v>0.109341034025893</v>
      </c>
      <c r="R2066">
        <v>0.992111873783768</v>
      </c>
      <c r="S2066" t="s">
        <v>4259</v>
      </c>
      <c r="T2066" t="s">
        <v>4362</v>
      </c>
      <c r="U2066" t="s">
        <v>4362</v>
      </c>
      <c r="V2066" t="s">
        <v>4362</v>
      </c>
      <c r="W2066" t="s">
        <v>6420</v>
      </c>
      <c r="X2066">
        <v>8</v>
      </c>
      <c r="Y2066" t="s">
        <v>8587</v>
      </c>
      <c r="Z2066" t="s">
        <v>10754</v>
      </c>
      <c r="AA2066">
        <v>0.4390397592443159</v>
      </c>
      <c r="AB2066">
        <f>HYPERLINK("Melting_Curves/meltCurve_P77434_alaC.pdf", "Melting_Curves/meltCurve_P77434_alaC.pdf")</f>
        <v>0</v>
      </c>
    </row>
    <row r="2067" spans="1:28">
      <c r="A2067" t="s">
        <v>2093</v>
      </c>
      <c r="B2067">
        <v>0.999739202189716</v>
      </c>
      <c r="C2067">
        <v>0.879949615421648</v>
      </c>
      <c r="D2067">
        <v>0.698180661628212</v>
      </c>
      <c r="E2067">
        <v>0.470459111325295</v>
      </c>
      <c r="F2067">
        <v>0.270984836077492</v>
      </c>
      <c r="G2067">
        <v>0.159888945651749</v>
      </c>
      <c r="H2067">
        <v>0.112568696381153</v>
      </c>
      <c r="I2067">
        <v>0.0962003524146187</v>
      </c>
      <c r="J2067">
        <v>0.07494914348128121</v>
      </c>
      <c r="K2067">
        <v>0.0599205112884795</v>
      </c>
      <c r="L2067">
        <v>622.009439481967</v>
      </c>
      <c r="M2067">
        <v>13.6323360799611</v>
      </c>
      <c r="N2067">
        <v>46.0393003462682</v>
      </c>
      <c r="O2067">
        <v>44.6792456462592</v>
      </c>
      <c r="P2067">
        <v>-0.07191127698812599</v>
      </c>
      <c r="Q2067">
        <v>0.0573967894945395</v>
      </c>
      <c r="R2067">
        <v>0.998316681732713</v>
      </c>
      <c r="S2067" t="s">
        <v>4260</v>
      </c>
      <c r="T2067" t="s">
        <v>4362</v>
      </c>
      <c r="U2067" t="s">
        <v>4362</v>
      </c>
      <c r="V2067" t="s">
        <v>4362</v>
      </c>
      <c r="W2067" t="s">
        <v>6421</v>
      </c>
      <c r="X2067">
        <v>6</v>
      </c>
      <c r="Y2067" t="s">
        <v>8588</v>
      </c>
      <c r="Z2067" t="s">
        <v>10755</v>
      </c>
      <c r="AA2067">
        <v>0.354809010106208</v>
      </c>
      <c r="AB2067">
        <f>HYPERLINK("Melting_Curves/meltCurve_P77444_sufS.pdf", "Melting_Curves/meltCurve_P77444_sufS.pdf")</f>
        <v>0</v>
      </c>
    </row>
    <row r="2068" spans="1:28">
      <c r="A2068" t="s">
        <v>2094</v>
      </c>
      <c r="B2068">
        <v>0.999739202189716</v>
      </c>
      <c r="C2068">
        <v>0.880844110933622</v>
      </c>
      <c r="D2068">
        <v>0.8165985833109199</v>
      </c>
      <c r="E2068">
        <v>0.617656301035897</v>
      </c>
      <c r="F2068">
        <v>0.313193294322477</v>
      </c>
      <c r="G2068">
        <v>0.14662590574705</v>
      </c>
      <c r="H2068">
        <v>0.0728559436424065</v>
      </c>
      <c r="I2068">
        <v>0.0468824301147239</v>
      </c>
      <c r="J2068">
        <v>0.0406181229978026</v>
      </c>
      <c r="K2068">
        <v>0.0341982102656478</v>
      </c>
      <c r="L2068">
        <v>681.861191968428</v>
      </c>
      <c r="M2068">
        <v>14.328744953072</v>
      </c>
      <c r="N2068">
        <v>47.6267462917205</v>
      </c>
      <c r="O2068">
        <v>46.6888553250236</v>
      </c>
      <c r="P2068">
        <v>-0.0762771981646107</v>
      </c>
      <c r="Q2068">
        <v>0.00595209959587929</v>
      </c>
      <c r="R2068">
        <v>0.99534454663203</v>
      </c>
      <c r="S2068" t="s">
        <v>4261</v>
      </c>
      <c r="T2068" t="s">
        <v>4362</v>
      </c>
      <c r="U2068" t="s">
        <v>4362</v>
      </c>
      <c r="V2068" t="s">
        <v>4362</v>
      </c>
      <c r="W2068" t="s">
        <v>6422</v>
      </c>
      <c r="X2068">
        <v>4</v>
      </c>
      <c r="Y2068" t="s">
        <v>8589</v>
      </c>
      <c r="Z2068" t="s">
        <v>10756</v>
      </c>
      <c r="AA2068">
        <v>0.380639489763936</v>
      </c>
      <c r="AB2068">
        <f>HYPERLINK("Melting_Curves/meltCurve_P77454_glsA1.pdf", "Melting_Curves/meltCurve_P77454_glsA1.pdf")</f>
        <v>0</v>
      </c>
    </row>
    <row r="2069" spans="1:28">
      <c r="A2069" t="s">
        <v>2095</v>
      </c>
      <c r="B2069">
        <v>0.999739202189716</v>
      </c>
      <c r="C2069">
        <v>1.00554078069227</v>
      </c>
      <c r="D2069">
        <v>0.603512249313752</v>
      </c>
      <c r="E2069">
        <v>0.362704768289553</v>
      </c>
      <c r="F2069">
        <v>0.19824982198984</v>
      </c>
      <c r="G2069">
        <v>0.14212668924921</v>
      </c>
      <c r="H2069">
        <v>0.0746654369071087</v>
      </c>
      <c r="I2069">
        <v>0.0480684185945546</v>
      </c>
      <c r="J2069">
        <v>0.040422166261298</v>
      </c>
      <c r="K2069">
        <v>0.0410668753340068</v>
      </c>
      <c r="L2069">
        <v>808.111044648532</v>
      </c>
      <c r="M2069">
        <v>18.1284640890969</v>
      </c>
      <c r="N2069">
        <v>44.8870392799918</v>
      </c>
      <c r="O2069">
        <v>44.0451362982129</v>
      </c>
      <c r="P2069">
        <v>-0.0968451364021385</v>
      </c>
      <c r="Q2069">
        <v>0.0588611936281058</v>
      </c>
      <c r="R2069">
        <v>0.983829769744608</v>
      </c>
      <c r="S2069" t="s">
        <v>4262</v>
      </c>
      <c r="T2069" t="s">
        <v>4362</v>
      </c>
      <c r="U2069" t="s">
        <v>4362</v>
      </c>
      <c r="V2069" t="s">
        <v>4362</v>
      </c>
      <c r="W2069" t="s">
        <v>6423</v>
      </c>
      <c r="X2069">
        <v>1</v>
      </c>
      <c r="Y2069" t="s">
        <v>8590</v>
      </c>
      <c r="Z2069" t="s">
        <v>10757</v>
      </c>
      <c r="AA2069">
        <v>0.3118968710804337</v>
      </c>
      <c r="AB2069">
        <f>HYPERLINK("Melting_Curves/meltCurve_P77473_ylaB.pdf", "Melting_Curves/meltCurve_P77473_ylaB.pdf")</f>
        <v>0</v>
      </c>
    </row>
    <row r="2070" spans="1:28">
      <c r="A2070" t="s">
        <v>2096</v>
      </c>
      <c r="B2070">
        <v>0.999739202189716</v>
      </c>
      <c r="C2070">
        <v>1.23538341298095</v>
      </c>
      <c r="D2070">
        <v>0.660424833569959</v>
      </c>
      <c r="E2070">
        <v>0.837017344525708</v>
      </c>
      <c r="F2070">
        <v>0.633281522583014</v>
      </c>
      <c r="G2070">
        <v>0.481925670704967</v>
      </c>
      <c r="H2070">
        <v>0.435883454259481</v>
      </c>
      <c r="I2070">
        <v>0.401436589364854</v>
      </c>
      <c r="J2070">
        <v>0.322339969293865</v>
      </c>
      <c r="K2070">
        <v>0.375311274178327</v>
      </c>
      <c r="L2070">
        <v>601.523679569591</v>
      </c>
      <c r="M2070">
        <v>12.2518756278082</v>
      </c>
      <c r="N2070">
        <v>53.8080934053617</v>
      </c>
      <c r="O2070">
        <v>47.8434490555101</v>
      </c>
      <c r="P2070">
        <v>-0.0429687796710529</v>
      </c>
      <c r="Q2070">
        <v>0.328978665572794</v>
      </c>
      <c r="R2070">
        <v>0.829509653155131</v>
      </c>
      <c r="S2070" t="s">
        <v>4263</v>
      </c>
      <c r="T2070" t="s">
        <v>4362</v>
      </c>
      <c r="U2070" t="s">
        <v>4362</v>
      </c>
      <c r="V2070" t="s">
        <v>4362</v>
      </c>
      <c r="W2070" t="s">
        <v>6424</v>
      </c>
      <c r="X2070">
        <v>2</v>
      </c>
      <c r="Y2070" t="s">
        <v>8591</v>
      </c>
      <c r="Z2070" t="s">
        <v>10758</v>
      </c>
      <c r="AA2070">
        <v>0.6188433155760034</v>
      </c>
      <c r="AB2070">
        <f>HYPERLINK("Melting_Curves/meltCurve_P77475_yqaB.pdf", "Melting_Curves/meltCurve_P77475_yqaB.pdf")</f>
        <v>0</v>
      </c>
    </row>
    <row r="2071" spans="1:28">
      <c r="A2071" t="s">
        <v>2097</v>
      </c>
      <c r="B2071">
        <v>0.999739202189716</v>
      </c>
      <c r="C2071">
        <v>1.06612540037621</v>
      </c>
      <c r="D2071">
        <v>0.746503823452127</v>
      </c>
      <c r="E2071">
        <v>0.573373350414164</v>
      </c>
      <c r="F2071">
        <v>0.551695242065924</v>
      </c>
      <c r="G2071">
        <v>0.376639341969163</v>
      </c>
      <c r="H2071">
        <v>0.323698897387735</v>
      </c>
      <c r="I2071">
        <v>0.259049554924489</v>
      </c>
      <c r="J2071">
        <v>0.300592866835645</v>
      </c>
      <c r="K2071">
        <v>0.20606637146091</v>
      </c>
      <c r="L2071">
        <v>581.858432855879</v>
      </c>
      <c r="M2071">
        <v>12.3621460379626</v>
      </c>
      <c r="N2071">
        <v>49.6410162644481</v>
      </c>
      <c r="O2071">
        <v>45.8869741015886</v>
      </c>
      <c r="P2071">
        <v>-0.0514288308028079</v>
      </c>
      <c r="Q2071">
        <v>0.236570548789209</v>
      </c>
      <c r="R2071">
        <v>0.952813046569471</v>
      </c>
      <c r="S2071" t="s">
        <v>4264</v>
      </c>
      <c r="T2071" t="s">
        <v>4362</v>
      </c>
      <c r="U2071" t="s">
        <v>4362</v>
      </c>
      <c r="V2071" t="s">
        <v>4362</v>
      </c>
      <c r="W2071" t="s">
        <v>6425</v>
      </c>
      <c r="X2071">
        <v>4</v>
      </c>
      <c r="Y2071" t="s">
        <v>8592</v>
      </c>
      <c r="Z2071" t="s">
        <v>10759</v>
      </c>
      <c r="AA2071">
        <v>0.5166165821116444</v>
      </c>
      <c r="AB2071">
        <f>HYPERLINK("Melting_Curves/meltCurve_P77485_cusS.pdf", "Melting_Curves/meltCurve_P77485_cusS.pdf")</f>
        <v>0</v>
      </c>
    </row>
    <row r="2072" spans="1:28">
      <c r="A2072" t="s">
        <v>2098</v>
      </c>
      <c r="B2072">
        <v>0.999739202189716</v>
      </c>
      <c r="C2072">
        <v>0.978954153214752</v>
      </c>
      <c r="D2072">
        <v>0.612744543266051</v>
      </c>
      <c r="E2072">
        <v>0.314912832145866</v>
      </c>
      <c r="F2072">
        <v>0.140906932286495</v>
      </c>
      <c r="G2072">
        <v>0.0810637415830171</v>
      </c>
      <c r="H2072">
        <v>0.06326887113596739</v>
      </c>
      <c r="I2072">
        <v>0.0456364007410195</v>
      </c>
      <c r="J2072">
        <v>0.0485878756483157</v>
      </c>
      <c r="K2072">
        <v>0.0486172538039696</v>
      </c>
      <c r="L2072">
        <v>931.529331927831</v>
      </c>
      <c r="M2072">
        <v>21.0779719545412</v>
      </c>
      <c r="N2072">
        <v>44.4387796443941</v>
      </c>
      <c r="O2072">
        <v>43.8024206468886</v>
      </c>
      <c r="P2072">
        <v>-0.113721923497096</v>
      </c>
      <c r="Q2072">
        <v>0.0547166861747459</v>
      </c>
      <c r="R2072">
        <v>0.993945835244691</v>
      </c>
      <c r="S2072" t="s">
        <v>4265</v>
      </c>
      <c r="T2072" t="s">
        <v>4362</v>
      </c>
      <c r="U2072" t="s">
        <v>4362</v>
      </c>
      <c r="V2072" t="s">
        <v>4362</v>
      </c>
      <c r="W2072" t="s">
        <v>6426</v>
      </c>
      <c r="X2072">
        <v>14</v>
      </c>
      <c r="Y2072" t="s">
        <v>8593</v>
      </c>
      <c r="Z2072" t="s">
        <v>10760</v>
      </c>
      <c r="AA2072">
        <v>0.2926378258199934</v>
      </c>
      <c r="AB2072">
        <f>HYPERLINK("Melting_Curves/meltCurve_P77488_dxs.pdf", "Melting_Curves/meltCurve_P77488_dxs.pdf")</f>
        <v>0</v>
      </c>
    </row>
    <row r="2073" spans="1:28">
      <c r="A2073" t="s">
        <v>2099</v>
      </c>
      <c r="B2073">
        <v>0.999739202189716</v>
      </c>
      <c r="C2073">
        <v>0.789381159398336</v>
      </c>
      <c r="D2073">
        <v>0.780965061311668</v>
      </c>
      <c r="E2073">
        <v>0.692464777936623</v>
      </c>
      <c r="F2073">
        <v>0.5624550869061899</v>
      </c>
      <c r="G2073">
        <v>0.373366879316477</v>
      </c>
      <c r="H2073">
        <v>0.249625331503871</v>
      </c>
      <c r="I2073">
        <v>0.125379688919126</v>
      </c>
      <c r="J2073">
        <v>0.11935705291531</v>
      </c>
      <c r="K2073">
        <v>0.109079667807193</v>
      </c>
      <c r="L2073">
        <v>426.752570898671</v>
      </c>
      <c r="M2073">
        <v>8.4912185230448</v>
      </c>
      <c r="N2073">
        <v>50.2581061044148</v>
      </c>
      <c r="O2073">
        <v>47.7030379241339</v>
      </c>
      <c r="P2073">
        <v>-0.0445406626520437</v>
      </c>
      <c r="Q2073">
        <v>0</v>
      </c>
      <c r="R2073">
        <v>0.975599766205727</v>
      </c>
      <c r="S2073" t="s">
        <v>4266</v>
      </c>
      <c r="T2073" t="s">
        <v>4362</v>
      </c>
      <c r="U2073" t="s">
        <v>4362</v>
      </c>
      <c r="V2073" t="s">
        <v>4362</v>
      </c>
      <c r="W2073" t="s">
        <v>6427</v>
      </c>
      <c r="X2073">
        <v>1</v>
      </c>
      <c r="Y2073" t="s">
        <v>8594</v>
      </c>
      <c r="Z2073" t="s">
        <v>10761</v>
      </c>
      <c r="AA2073">
        <v>0.4796334314173946</v>
      </c>
      <c r="AB2073">
        <f>HYPERLINK("Melting_Curves/meltCurve_P77493_ydjH.pdf", "Melting_Curves/meltCurve_P77493_ydjH.pdf")</f>
        <v>0</v>
      </c>
    </row>
    <row r="2074" spans="1:28">
      <c r="A2074" t="s">
        <v>2100</v>
      </c>
      <c r="B2074">
        <v>0.999739202189716</v>
      </c>
      <c r="C2074">
        <v>0.832802250912461</v>
      </c>
      <c r="D2074">
        <v>0.858966647149857</v>
      </c>
      <c r="E2074">
        <v>0.674277456167058</v>
      </c>
      <c r="F2074">
        <v>0.450485436967324</v>
      </c>
      <c r="G2074">
        <v>0.215480509414161</v>
      </c>
      <c r="H2074">
        <v>0.152933641330613</v>
      </c>
      <c r="I2074">
        <v>0.115871867110474</v>
      </c>
      <c r="J2074">
        <v>0.109815274101948</v>
      </c>
      <c r="K2074">
        <v>0.103851223360175</v>
      </c>
      <c r="L2074">
        <v>612.595372331802</v>
      </c>
      <c r="M2074">
        <v>12.6403247173446</v>
      </c>
      <c r="N2074">
        <v>48.9098732566025</v>
      </c>
      <c r="O2074">
        <v>47.298589280013</v>
      </c>
      <c r="P2074">
        <v>-0.0631846051788022</v>
      </c>
      <c r="Q2074">
        <v>0.0544687608077369</v>
      </c>
      <c r="R2074">
        <v>0.985071194769026</v>
      </c>
      <c r="S2074" t="s">
        <v>4267</v>
      </c>
      <c r="T2074" t="s">
        <v>4362</v>
      </c>
      <c r="U2074" t="s">
        <v>4362</v>
      </c>
      <c r="V2074" t="s">
        <v>4362</v>
      </c>
      <c r="W2074" t="s">
        <v>6428</v>
      </c>
      <c r="X2074">
        <v>8</v>
      </c>
      <c r="Y2074" t="s">
        <v>8595</v>
      </c>
      <c r="Z2074" t="s">
        <v>10762</v>
      </c>
      <c r="AA2074">
        <v>0.4426214990581354</v>
      </c>
      <c r="AB2074">
        <f>HYPERLINK("Melting_Curves/meltCurve_P77499_sufC.pdf", "Melting_Curves/meltCurve_P77499_sufC.pdf")</f>
        <v>0</v>
      </c>
    </row>
    <row r="2075" spans="1:28">
      <c r="A2075" t="s">
        <v>2101</v>
      </c>
      <c r="B2075">
        <v>0.999739202189716</v>
      </c>
      <c r="C2075">
        <v>1.22524022244805</v>
      </c>
      <c r="D2075">
        <v>0.757196603756115</v>
      </c>
      <c r="E2075">
        <v>0.446266333553349</v>
      </c>
      <c r="F2075">
        <v>0.235810143993602</v>
      </c>
      <c r="G2075">
        <v>0.149045958076794</v>
      </c>
      <c r="H2075">
        <v>0.109814386055622</v>
      </c>
      <c r="I2075">
        <v>0.08796988033566799</v>
      </c>
      <c r="J2075">
        <v>0.106965341309786</v>
      </c>
      <c r="K2075">
        <v>0.0711369725857362</v>
      </c>
      <c r="L2075">
        <v>1086.50276569062</v>
      </c>
      <c r="M2075">
        <v>23.7908474469814</v>
      </c>
      <c r="N2075">
        <v>46.1186193917765</v>
      </c>
      <c r="O2075">
        <v>45.3499317778224</v>
      </c>
      <c r="P2075">
        <v>-0.117577077312529</v>
      </c>
      <c r="Q2075">
        <v>0.103516332028636</v>
      </c>
      <c r="R2075">
        <v>0.955147464973366</v>
      </c>
      <c r="S2075" t="s">
        <v>4268</v>
      </c>
      <c r="T2075" t="s">
        <v>4362</v>
      </c>
      <c r="U2075" t="s">
        <v>4362</v>
      </c>
      <c r="V2075" t="s">
        <v>4362</v>
      </c>
      <c r="W2075" t="s">
        <v>6429</v>
      </c>
      <c r="X2075">
        <v>2</v>
      </c>
      <c r="Y2075" t="s">
        <v>8596</v>
      </c>
      <c r="Z2075" t="s">
        <v>10763</v>
      </c>
      <c r="AA2075">
        <v>0.3707669589592664</v>
      </c>
      <c r="AB2075">
        <f>HYPERLINK("Melting_Curves/meltCurve_P77504_ybbP.pdf", "Melting_Curves/meltCurve_P77504_ybbP.pdf")</f>
        <v>0</v>
      </c>
    </row>
    <row r="2076" spans="1:28">
      <c r="A2076" t="s">
        <v>2102</v>
      </c>
      <c r="B2076">
        <v>0.999739202189716</v>
      </c>
      <c r="C2076">
        <v>0.953312280257424</v>
      </c>
      <c r="D2076">
        <v>0.6900594944734439</v>
      </c>
      <c r="E2076">
        <v>0.473885773444927</v>
      </c>
      <c r="F2076">
        <v>0.294956527101744</v>
      </c>
      <c r="G2076">
        <v>0.189419339502604</v>
      </c>
      <c r="H2076">
        <v>0.165874113970637</v>
      </c>
      <c r="I2076">
        <v>0.142735726060966</v>
      </c>
      <c r="J2076">
        <v>0.170917056265671</v>
      </c>
      <c r="K2076">
        <v>0.110187105139712</v>
      </c>
      <c r="L2076">
        <v>727.52274325036</v>
      </c>
      <c r="M2076">
        <v>16.1081880048497</v>
      </c>
      <c r="N2076">
        <v>46.0713785643794</v>
      </c>
      <c r="O2076">
        <v>44.4859167318454</v>
      </c>
      <c r="P2076">
        <v>-0.0782346828736671</v>
      </c>
      <c r="Q2076">
        <v>0.135824684153946</v>
      </c>
      <c r="R2076">
        <v>0.993689620946941</v>
      </c>
      <c r="S2076" t="s">
        <v>4269</v>
      </c>
      <c r="T2076" t="s">
        <v>4362</v>
      </c>
      <c r="U2076" t="s">
        <v>4362</v>
      </c>
      <c r="V2076" t="s">
        <v>4362</v>
      </c>
      <c r="W2076" t="s">
        <v>6430</v>
      </c>
      <c r="X2076">
        <v>5</v>
      </c>
      <c r="Y2076" t="s">
        <v>8597</v>
      </c>
      <c r="Z2076" t="s">
        <v>10764</v>
      </c>
      <c r="AA2076">
        <v>0.3887404301533449</v>
      </c>
      <c r="AB2076">
        <f>HYPERLINK("Melting_Curves/meltCurve_P77522_sufB.pdf", "Melting_Curves/meltCurve_P77522_sufB.pdf")</f>
        <v>0</v>
      </c>
    </row>
    <row r="2077" spans="1:28">
      <c r="A2077" t="s">
        <v>2103</v>
      </c>
      <c r="B2077">
        <v>0.999739202189716</v>
      </c>
      <c r="C2077">
        <v>0.835494616986069</v>
      </c>
      <c r="D2077">
        <v>1.299419498165</v>
      </c>
      <c r="E2077">
        <v>0.943095447587306</v>
      </c>
      <c r="F2077">
        <v>1.11655542095948</v>
      </c>
      <c r="G2077">
        <v>0.918135222097074</v>
      </c>
      <c r="H2077">
        <v>0.78475922524122</v>
      </c>
      <c r="I2077">
        <v>0.629394939267499</v>
      </c>
      <c r="J2077">
        <v>0.440109701056783</v>
      </c>
      <c r="K2077">
        <v>0.193359142675189</v>
      </c>
      <c r="L2077">
        <v>1100.27850689696</v>
      </c>
      <c r="M2077">
        <v>17.5822153182727</v>
      </c>
      <c r="N2077">
        <v>62.579035314559</v>
      </c>
      <c r="O2077">
        <v>61.7863692428866</v>
      </c>
      <c r="P2077">
        <v>-0.0711450109730041</v>
      </c>
      <c r="Q2077">
        <v>0</v>
      </c>
      <c r="R2077">
        <v>0.848678392973667</v>
      </c>
      <c r="S2077" t="s">
        <v>4270</v>
      </c>
      <c r="T2077" t="s">
        <v>4362</v>
      </c>
      <c r="U2077" t="s">
        <v>4362</v>
      </c>
      <c r="V2077" t="s">
        <v>4362</v>
      </c>
      <c r="W2077" t="s">
        <v>6431</v>
      </c>
      <c r="X2077">
        <v>3</v>
      </c>
      <c r="Y2077" t="s">
        <v>8598</v>
      </c>
      <c r="Z2077" t="s">
        <v>10765</v>
      </c>
      <c r="AA2077">
        <v>0.832782322015697</v>
      </c>
      <c r="AB2077">
        <f>HYPERLINK("Melting_Curves/meltCurve_P77526_yfcG.pdf", "Melting_Curves/meltCurve_P77526_yfcG.pdf")</f>
        <v>0</v>
      </c>
    </row>
    <row r="2078" spans="1:28">
      <c r="A2078" t="s">
        <v>2104</v>
      </c>
      <c r="B2078">
        <v>0.999739202189716</v>
      </c>
      <c r="C2078">
        <v>0.997285569052673</v>
      </c>
      <c r="D2078">
        <v>0.769397583254907</v>
      </c>
      <c r="E2078">
        <v>0.664831173209397</v>
      </c>
      <c r="F2078">
        <v>0.590931335704929</v>
      </c>
      <c r="G2078">
        <v>0.311429647526829</v>
      </c>
      <c r="H2078">
        <v>0.339375043257882</v>
      </c>
      <c r="I2078">
        <v>0.27185099396061</v>
      </c>
      <c r="J2078">
        <v>0.272770750384246</v>
      </c>
      <c r="K2078">
        <v>0.177109932110089</v>
      </c>
      <c r="L2078">
        <v>526.529482382938</v>
      </c>
      <c r="M2078">
        <v>10.8544472663513</v>
      </c>
      <c r="N2078">
        <v>50.6087843698698</v>
      </c>
      <c r="O2078">
        <v>46.9488165538136</v>
      </c>
      <c r="P2078">
        <v>-0.0473340097221123</v>
      </c>
      <c r="Q2078">
        <v>0.18135424821702</v>
      </c>
      <c r="R2078">
        <v>0.969365289566585</v>
      </c>
      <c r="S2078" t="s">
        <v>4271</v>
      </c>
      <c r="T2078" t="s">
        <v>4362</v>
      </c>
      <c r="U2078" t="s">
        <v>4362</v>
      </c>
      <c r="V2078" t="s">
        <v>4362</v>
      </c>
      <c r="W2078" t="s">
        <v>6432</v>
      </c>
      <c r="X2078">
        <v>4</v>
      </c>
      <c r="Y2078" t="s">
        <v>8599</v>
      </c>
      <c r="Z2078" t="s">
        <v>10766</v>
      </c>
      <c r="AA2078">
        <v>0.5239627695375236</v>
      </c>
      <c r="AB2078">
        <f>HYPERLINK("Melting_Curves/meltCurve_P77529_ydjN.pdf", "Melting_Curves/meltCurve_P77529_ydjN.pdf")</f>
        <v>0</v>
      </c>
    </row>
    <row r="2079" spans="1:28">
      <c r="A2079" t="s">
        <v>2105</v>
      </c>
      <c r="B2079">
        <v>0.999739202189716</v>
      </c>
      <c r="C2079">
        <v>0.659858034387545</v>
      </c>
      <c r="D2079">
        <v>0.498964276457589</v>
      </c>
      <c r="E2079">
        <v>0.283989675448888</v>
      </c>
      <c r="F2079">
        <v>0.229118250098042</v>
      </c>
      <c r="G2079">
        <v>0.124590102030574</v>
      </c>
      <c r="H2079">
        <v>0.12189247314218</v>
      </c>
      <c r="I2079">
        <v>0.104620468176058</v>
      </c>
      <c r="J2079">
        <v>0.09145736573895261</v>
      </c>
      <c r="K2079">
        <v>0.0966645412805696</v>
      </c>
      <c r="L2079">
        <v>619.698807388308</v>
      </c>
      <c r="M2079">
        <v>14.6730131728395</v>
      </c>
      <c r="N2079">
        <v>42.8923073291886</v>
      </c>
      <c r="O2079">
        <v>41.4727160316205</v>
      </c>
      <c r="P2079">
        <v>-0.0795398448769159</v>
      </c>
      <c r="Q2079">
        <v>0.100833594237902</v>
      </c>
      <c r="R2079">
        <v>0.978508364607126</v>
      </c>
      <c r="S2079" t="s">
        <v>4272</v>
      </c>
      <c r="T2079" t="s">
        <v>4362</v>
      </c>
      <c r="U2079" t="s">
        <v>4362</v>
      </c>
      <c r="V2079" t="s">
        <v>4362</v>
      </c>
      <c r="W2079" t="s">
        <v>6433</v>
      </c>
      <c r="X2079">
        <v>3</v>
      </c>
      <c r="Y2079" t="s">
        <v>8600</v>
      </c>
      <c r="Z2079" t="s">
        <v>10767</v>
      </c>
      <c r="AA2079">
        <v>0.2842620931668077</v>
      </c>
      <c r="AB2079">
        <f>HYPERLINK("Melting_Curves/meltCurve_P77536_ykgF.pdf", "Melting_Curves/meltCurve_P77536_ykgF.pdf")</f>
        <v>0</v>
      </c>
    </row>
    <row r="2080" spans="1:28">
      <c r="A2080" t="s">
        <v>2106</v>
      </c>
      <c r="B2080">
        <v>0.999739202189716</v>
      </c>
      <c r="C2080">
        <v>0.916381983729639</v>
      </c>
      <c r="D2080">
        <v>0.62933531484203</v>
      </c>
      <c r="E2080">
        <v>0.472813860074698</v>
      </c>
      <c r="F2080">
        <v>0.252589513986431</v>
      </c>
      <c r="G2080">
        <v>0.0974840571204425</v>
      </c>
      <c r="H2080">
        <v>0.06595621462597109</v>
      </c>
      <c r="I2080">
        <v>0.049073462048283</v>
      </c>
      <c r="J2080">
        <v>0.0388388308109639</v>
      </c>
      <c r="K2080">
        <v>0.0140503632204088</v>
      </c>
      <c r="L2080">
        <v>614.9570813593569</v>
      </c>
      <c r="M2080">
        <v>13.4666017558962</v>
      </c>
      <c r="N2080">
        <v>45.72893908055</v>
      </c>
      <c r="O2080">
        <v>44.6936306162067</v>
      </c>
      <c r="P2080">
        <v>-0.0746398665607083</v>
      </c>
      <c r="Q2080">
        <v>0.009278235494669289</v>
      </c>
      <c r="R2080">
        <v>0.991741482329808</v>
      </c>
      <c r="S2080" t="s">
        <v>4273</v>
      </c>
      <c r="T2080" t="s">
        <v>4362</v>
      </c>
      <c r="U2080" t="s">
        <v>4362</v>
      </c>
      <c r="V2080" t="s">
        <v>4362</v>
      </c>
      <c r="W2080" t="s">
        <v>6434</v>
      </c>
      <c r="X2080">
        <v>1</v>
      </c>
      <c r="Y2080" t="s">
        <v>8601</v>
      </c>
      <c r="Z2080" t="s">
        <v>10768</v>
      </c>
      <c r="AA2080">
        <v>0.3237147460615842</v>
      </c>
      <c r="AB2080">
        <f>HYPERLINK("Melting_Curves/meltCurve_P77539_ydjL.pdf", "Melting_Curves/meltCurve_P77539_ydjL.pdf")</f>
        <v>0</v>
      </c>
    </row>
    <row r="2081" spans="1:28">
      <c r="A2081" t="s">
        <v>2107</v>
      </c>
      <c r="B2081">
        <v>0.999739202189716</v>
      </c>
      <c r="C2081">
        <v>0.426976425794885</v>
      </c>
      <c r="D2081">
        <v>0.381423346917348</v>
      </c>
      <c r="E2081">
        <v>0.160516566876429</v>
      </c>
      <c r="F2081">
        <v>0.143939720578463</v>
      </c>
      <c r="G2081">
        <v>0.100602821639227</v>
      </c>
      <c r="H2081">
        <v>0.07408143107201449</v>
      </c>
      <c r="I2081">
        <v>0.0605329549022297</v>
      </c>
      <c r="J2081">
        <v>0.0601755049758565</v>
      </c>
      <c r="K2081">
        <v>0.0551855135849335</v>
      </c>
      <c r="L2081">
        <v>782.773000114041</v>
      </c>
      <c r="M2081">
        <v>19.4707719498919</v>
      </c>
      <c r="N2081">
        <v>40.5886608065337</v>
      </c>
      <c r="O2081">
        <v>39.7856072138034</v>
      </c>
      <c r="P2081">
        <v>-0.112006833505269</v>
      </c>
      <c r="Q2081">
        <v>0.08455655238791381</v>
      </c>
      <c r="R2081">
        <v>0.929206325726526</v>
      </c>
      <c r="S2081" t="s">
        <v>4274</v>
      </c>
      <c r="T2081" t="s">
        <v>4362</v>
      </c>
      <c r="U2081" t="s">
        <v>4362</v>
      </c>
      <c r="V2081" t="s">
        <v>4362</v>
      </c>
      <c r="W2081" t="s">
        <v>6435</v>
      </c>
      <c r="X2081">
        <v>5</v>
      </c>
      <c r="Y2081" t="s">
        <v>8602</v>
      </c>
      <c r="Z2081" t="s">
        <v>10769</v>
      </c>
      <c r="AA2081">
        <v>0.2015519520124691</v>
      </c>
      <c r="AB2081">
        <f>HYPERLINK("Melting_Curves/meltCurve_P77541_prpB.pdf", "Melting_Curves/meltCurve_P77541_prpB.pdf")</f>
        <v>0</v>
      </c>
    </row>
    <row r="2082" spans="1:28">
      <c r="A2082" t="s">
        <v>2108</v>
      </c>
      <c r="B2082">
        <v>0.999739202189716</v>
      </c>
      <c r="C2082">
        <v>0.848974853423242</v>
      </c>
      <c r="D2082">
        <v>0.340246322975672</v>
      </c>
      <c r="E2082">
        <v>0.282950644232078</v>
      </c>
      <c r="F2082">
        <v>0.220418482737604</v>
      </c>
      <c r="G2082">
        <v>0.123986790031079</v>
      </c>
      <c r="H2082">
        <v>0.103097992087101</v>
      </c>
      <c r="I2082">
        <v>0.06912277637952929</v>
      </c>
      <c r="J2082">
        <v>0.0708410808743308</v>
      </c>
      <c r="K2082">
        <v>0.0636358604226841</v>
      </c>
      <c r="L2082">
        <v>1097.30347373822</v>
      </c>
      <c r="M2082">
        <v>26.2178572359792</v>
      </c>
      <c r="N2082">
        <v>42.2819230051195</v>
      </c>
      <c r="O2082">
        <v>41.6120680119325</v>
      </c>
      <c r="P2082">
        <v>-0.139133513706564</v>
      </c>
      <c r="Q2082">
        <v>0.116698404225425</v>
      </c>
      <c r="R2082">
        <v>0.965836747259705</v>
      </c>
      <c r="S2082" t="s">
        <v>4275</v>
      </c>
      <c r="T2082" t="s">
        <v>4362</v>
      </c>
      <c r="U2082" t="s">
        <v>4362</v>
      </c>
      <c r="V2082" t="s">
        <v>4362</v>
      </c>
      <c r="W2082" t="s">
        <v>6436</v>
      </c>
      <c r="X2082">
        <v>4</v>
      </c>
      <c r="Y2082" t="s">
        <v>8603</v>
      </c>
      <c r="Z2082" t="s">
        <v>10770</v>
      </c>
      <c r="AA2082">
        <v>0.2666993078320701</v>
      </c>
      <c r="AB2082">
        <f>HYPERLINK("Melting_Curves/meltCurve_P77544_yfcF.pdf", "Melting_Curves/meltCurve_P77544_yfcF.pdf")</f>
        <v>0</v>
      </c>
    </row>
    <row r="2083" spans="1:28">
      <c r="A2083" t="s">
        <v>2109</v>
      </c>
      <c r="B2083">
        <v>0.999739202189716</v>
      </c>
      <c r="C2083">
        <v>1.23015084250615</v>
      </c>
      <c r="D2083">
        <v>1.07414906666053</v>
      </c>
      <c r="E2083">
        <v>1.14083343929649</v>
      </c>
      <c r="F2083">
        <v>1.0546262408219</v>
      </c>
      <c r="G2083">
        <v>0.967347678359982</v>
      </c>
      <c r="H2083">
        <v>0.986399791011602</v>
      </c>
      <c r="I2083">
        <v>0.90629142166386</v>
      </c>
      <c r="J2083">
        <v>0.792254948971902</v>
      </c>
      <c r="K2083">
        <v>0.470789314605066</v>
      </c>
      <c r="L2083">
        <v>1894.06688672926</v>
      </c>
      <c r="M2083">
        <v>28.3489079959617</v>
      </c>
      <c r="N2083">
        <v>66.8126913993633</v>
      </c>
      <c r="O2083">
        <v>66.48289394276711</v>
      </c>
      <c r="P2083">
        <v>-0.106603150244991</v>
      </c>
      <c r="Q2083">
        <v>0</v>
      </c>
      <c r="R2083">
        <v>0.79036642654961</v>
      </c>
      <c r="S2083" t="s">
        <v>4276</v>
      </c>
      <c r="T2083" t="s">
        <v>4362</v>
      </c>
      <c r="U2083" t="s">
        <v>4362</v>
      </c>
      <c r="V2083" t="s">
        <v>4362</v>
      </c>
      <c r="W2083" t="s">
        <v>6437</v>
      </c>
      <c r="X2083">
        <v>9</v>
      </c>
      <c r="Y2083" t="s">
        <v>8604</v>
      </c>
      <c r="Z2083" t="s">
        <v>10771</v>
      </c>
      <c r="AA2083">
        <v>0.9464589686135422</v>
      </c>
      <c r="AB2083">
        <f>HYPERLINK("Melting_Curves/meltCurve_P77552_ydhQ.pdf", "Melting_Curves/meltCurve_P77552_ydhQ.pdf")</f>
        <v>0</v>
      </c>
    </row>
    <row r="2084" spans="1:28">
      <c r="A2084" t="s">
        <v>2110</v>
      </c>
      <c r="B2084">
        <v>0.999739202189716</v>
      </c>
      <c r="C2084">
        <v>0.9346760360904171</v>
      </c>
      <c r="D2084">
        <v>1.00245201574748</v>
      </c>
      <c r="E2084">
        <v>0.84777432693685</v>
      </c>
      <c r="F2084">
        <v>0.738272153792502</v>
      </c>
      <c r="G2084">
        <v>0.521182328126906</v>
      </c>
      <c r="H2084">
        <v>0.260549616464227</v>
      </c>
      <c r="I2084">
        <v>0.121396000864643</v>
      </c>
      <c r="J2084">
        <v>0.09484956763390159</v>
      </c>
      <c r="K2084">
        <v>0.0817229201103961</v>
      </c>
      <c r="L2084">
        <v>768.180146179719</v>
      </c>
      <c r="M2084">
        <v>14.3355064585505</v>
      </c>
      <c r="N2084">
        <v>53.6195505131455</v>
      </c>
      <c r="O2084">
        <v>52.5754597322172</v>
      </c>
      <c r="P2084">
        <v>-0.06786891656848219</v>
      </c>
      <c r="Q2084">
        <v>0.00448328743341036</v>
      </c>
      <c r="R2084">
        <v>0.9927700776459349</v>
      </c>
      <c r="S2084" t="s">
        <v>4277</v>
      </c>
      <c r="T2084" t="s">
        <v>4362</v>
      </c>
      <c r="U2084" t="s">
        <v>4362</v>
      </c>
      <c r="V2084" t="s">
        <v>4362</v>
      </c>
      <c r="W2084" t="s">
        <v>6438</v>
      </c>
      <c r="X2084">
        <v>10</v>
      </c>
      <c r="Y2084" t="s">
        <v>8605</v>
      </c>
      <c r="Z2084" t="s">
        <v>10772</v>
      </c>
      <c r="AA2084">
        <v>0.5723263791549962</v>
      </c>
      <c r="AB2084">
        <f>HYPERLINK("Melting_Curves/meltCurve_P77554_yahJ.pdf", "Melting_Curves/meltCurve_P77554_yahJ.pdf")</f>
        <v>0</v>
      </c>
    </row>
    <row r="2085" spans="1:28">
      <c r="A2085" t="s">
        <v>2111</v>
      </c>
      <c r="B2085">
        <v>0.999739202189716</v>
      </c>
      <c r="C2085">
        <v>0.9454312836232101</v>
      </c>
      <c r="D2085">
        <v>0.993989400484139</v>
      </c>
      <c r="E2085">
        <v>0.438378841980432</v>
      </c>
      <c r="F2085">
        <v>0.232066114303291</v>
      </c>
      <c r="G2085">
        <v>0.165560841053536</v>
      </c>
      <c r="H2085">
        <v>0.12040831138773</v>
      </c>
      <c r="I2085">
        <v>0.0948393134510383</v>
      </c>
      <c r="J2085">
        <v>0.09832388692105121</v>
      </c>
      <c r="K2085">
        <v>0.0801342128258318</v>
      </c>
      <c r="L2085">
        <v>1738.12442056244</v>
      </c>
      <c r="M2085">
        <v>37.7508841849248</v>
      </c>
      <c r="N2085">
        <v>46.3870393701242</v>
      </c>
      <c r="O2085">
        <v>45.9133250781395</v>
      </c>
      <c r="P2085">
        <v>-0.180391488284903</v>
      </c>
      <c r="Q2085">
        <v>0.122420402860097</v>
      </c>
      <c r="R2085">
        <v>0.989077877603686</v>
      </c>
      <c r="S2085" t="s">
        <v>4278</v>
      </c>
      <c r="T2085" t="s">
        <v>4362</v>
      </c>
      <c r="U2085" t="s">
        <v>4362</v>
      </c>
      <c r="V2085" t="s">
        <v>4362</v>
      </c>
      <c r="W2085" t="s">
        <v>6439</v>
      </c>
      <c r="X2085">
        <v>3</v>
      </c>
      <c r="Y2085" t="s">
        <v>8606</v>
      </c>
      <c r="Z2085" t="s">
        <v>10773</v>
      </c>
      <c r="AA2085">
        <v>0.3900630688910849</v>
      </c>
      <c r="AB2085">
        <f>HYPERLINK("Melting_Curves/meltCurve_P77555_allD.pdf", "Melting_Curves/meltCurve_P77555_allD.pdf")</f>
        <v>0</v>
      </c>
    </row>
    <row r="2086" spans="1:28">
      <c r="A2086" t="s">
        <v>2112</v>
      </c>
      <c r="B2086">
        <v>0.999739202189716</v>
      </c>
      <c r="C2086">
        <v>0.8721684801590051</v>
      </c>
      <c r="D2086">
        <v>0.854086200759573</v>
      </c>
      <c r="E2086">
        <v>0.396613757727152</v>
      </c>
      <c r="F2086">
        <v>0.235486051088032</v>
      </c>
      <c r="G2086">
        <v>0.155308693762571</v>
      </c>
      <c r="H2086">
        <v>0.138988982524621</v>
      </c>
      <c r="I2086">
        <v>0.105503675604524</v>
      </c>
      <c r="J2086">
        <v>0.0979766680846783</v>
      </c>
      <c r="K2086">
        <v>0.07550524902795849</v>
      </c>
      <c r="L2086">
        <v>944.89391104346</v>
      </c>
      <c r="M2086">
        <v>20.7827216097327</v>
      </c>
      <c r="N2086">
        <v>45.9808851564809</v>
      </c>
      <c r="O2086">
        <v>45.0507081678256</v>
      </c>
      <c r="P2086">
        <v>-0.103346635084775</v>
      </c>
      <c r="Q2086">
        <v>0.103927306741318</v>
      </c>
      <c r="R2086">
        <v>0.9879706570964339</v>
      </c>
      <c r="S2086" t="s">
        <v>4279</v>
      </c>
      <c r="T2086" t="s">
        <v>4362</v>
      </c>
      <c r="U2086" t="s">
        <v>4362</v>
      </c>
      <c r="V2086" t="s">
        <v>4362</v>
      </c>
      <c r="W2086" t="s">
        <v>6440</v>
      </c>
      <c r="X2086">
        <v>6</v>
      </c>
      <c r="Y2086" t="s">
        <v>8607</v>
      </c>
      <c r="Z2086" t="s">
        <v>10774</v>
      </c>
      <c r="AA2086">
        <v>0.3676160494319957</v>
      </c>
      <c r="AB2086">
        <f>HYPERLINK("Melting_Curves/meltCurve_P77562_yaiW.pdf", "Melting_Curves/meltCurve_P77562_yaiW.pdf")</f>
        <v>0</v>
      </c>
    </row>
    <row r="2087" spans="1:28">
      <c r="A2087" t="s">
        <v>2113</v>
      </c>
      <c r="B2087">
        <v>0.999739202189716</v>
      </c>
      <c r="C2087">
        <v>0.883631137272927</v>
      </c>
      <c r="D2087">
        <v>1.05685466718137</v>
      </c>
      <c r="E2087">
        <v>0.591256882945683</v>
      </c>
      <c r="F2087">
        <v>0.252344775340066</v>
      </c>
      <c r="G2087">
        <v>0.115947300057466</v>
      </c>
      <c r="H2087">
        <v>0.112598199820641</v>
      </c>
      <c r="I2087">
        <v>0.0895633402646287</v>
      </c>
      <c r="J2087">
        <v>0.0875090263474699</v>
      </c>
      <c r="K2087">
        <v>0.0528231775721934</v>
      </c>
      <c r="L2087">
        <v>1429.81738642701</v>
      </c>
      <c r="M2087">
        <v>30.3136266047563</v>
      </c>
      <c r="N2087">
        <v>47.4802075613693</v>
      </c>
      <c r="O2087">
        <v>46.963638351848</v>
      </c>
      <c r="P2087">
        <v>-0.146764389525193</v>
      </c>
      <c r="Q2087">
        <v>0.09050185179860359</v>
      </c>
      <c r="R2087">
        <v>0.982185600042991</v>
      </c>
      <c r="S2087" t="s">
        <v>4280</v>
      </c>
      <c r="T2087" t="s">
        <v>4362</v>
      </c>
      <c r="U2087" t="s">
        <v>4362</v>
      </c>
      <c r="V2087" t="s">
        <v>4362</v>
      </c>
      <c r="W2087" t="s">
        <v>6441</v>
      </c>
      <c r="X2087">
        <v>1</v>
      </c>
      <c r="Y2087" t="s">
        <v>8608</v>
      </c>
      <c r="Z2087" t="s">
        <v>10775</v>
      </c>
      <c r="AA2087">
        <v>0.4039378588612782</v>
      </c>
      <c r="AB2087">
        <f>HYPERLINK("Melting_Curves/meltCurve_P77569_mhpR.pdf", "Melting_Curves/meltCurve_P77569_mhpR.pdf")</f>
        <v>0</v>
      </c>
    </row>
    <row r="2088" spans="1:28">
      <c r="A2088" t="s">
        <v>2114</v>
      </c>
      <c r="B2088">
        <v>0.999739202189716</v>
      </c>
      <c r="C2088">
        <v>0.80583768160243</v>
      </c>
      <c r="D2088">
        <v>0.71378486448278</v>
      </c>
      <c r="E2088">
        <v>0.578139003931172</v>
      </c>
      <c r="F2088">
        <v>0.416831577102976</v>
      </c>
      <c r="G2088">
        <v>0.301377345212799</v>
      </c>
      <c r="H2088">
        <v>0.224262419219822</v>
      </c>
      <c r="I2088">
        <v>0.212674698963702</v>
      </c>
      <c r="J2088">
        <v>0.159321053839628</v>
      </c>
      <c r="K2088">
        <v>0.174527496939457</v>
      </c>
      <c r="L2088">
        <v>452.411873951533</v>
      </c>
      <c r="M2088">
        <v>9.719223192610951</v>
      </c>
      <c r="N2088">
        <v>47.8836536862112</v>
      </c>
      <c r="O2088">
        <v>44.7057923499661</v>
      </c>
      <c r="P2088">
        <v>-0.0479244385420385</v>
      </c>
      <c r="Q2088">
        <v>0.118720177906482</v>
      </c>
      <c r="R2088">
        <v>0.9896919694091461</v>
      </c>
      <c r="S2088" t="s">
        <v>4281</v>
      </c>
      <c r="T2088" t="s">
        <v>4362</v>
      </c>
      <c r="U2088" t="s">
        <v>4362</v>
      </c>
      <c r="V2088" t="s">
        <v>4362</v>
      </c>
      <c r="W2088" t="s">
        <v>6442</v>
      </c>
      <c r="X2088">
        <v>13</v>
      </c>
      <c r="Y2088" t="s">
        <v>8609</v>
      </c>
      <c r="Z2088" t="s">
        <v>10776</v>
      </c>
      <c r="AA2088">
        <v>0.4400853316107153</v>
      </c>
      <c r="AB2088">
        <f>HYPERLINK("Melting_Curves/meltCurve_P77581_astC.pdf", "Melting_Curves/meltCurve_P77581_astC.pdf")</f>
        <v>0</v>
      </c>
    </row>
    <row r="2089" spans="1:28">
      <c r="A2089" t="s">
        <v>2115</v>
      </c>
      <c r="B2089">
        <v>0.999739202189716</v>
      </c>
      <c r="C2089">
        <v>1.14196063827398</v>
      </c>
      <c r="D2089">
        <v>0.456340653611988</v>
      </c>
      <c r="E2089">
        <v>0.501531250448005</v>
      </c>
      <c r="F2089">
        <v>0.322330464297983</v>
      </c>
      <c r="G2089">
        <v>0.223753389063999</v>
      </c>
      <c r="H2089">
        <v>0.141462851901333</v>
      </c>
      <c r="I2089">
        <v>0.111694519279481</v>
      </c>
      <c r="J2089">
        <v>0.107888371712969</v>
      </c>
      <c r="K2089">
        <v>0.09874615050324841</v>
      </c>
      <c r="L2089">
        <v>680.561144682737</v>
      </c>
      <c r="M2089">
        <v>15.1666609866474</v>
      </c>
      <c r="N2089">
        <v>45.6887621170517</v>
      </c>
      <c r="O2089">
        <v>44.1137522448673</v>
      </c>
      <c r="P2089">
        <v>-0.0757551702073586</v>
      </c>
      <c r="Q2089">
        <v>0.118718842932537</v>
      </c>
      <c r="R2089">
        <v>0.893353159243478</v>
      </c>
      <c r="S2089" t="s">
        <v>4282</v>
      </c>
      <c r="T2089" t="s">
        <v>4362</v>
      </c>
      <c r="U2089" t="s">
        <v>4362</v>
      </c>
      <c r="V2089" t="s">
        <v>4362</v>
      </c>
      <c r="W2089" t="s">
        <v>6443</v>
      </c>
      <c r="X2089">
        <v>1</v>
      </c>
      <c r="Y2089" t="s">
        <v>8610</v>
      </c>
      <c r="Z2089" t="s">
        <v>10777</v>
      </c>
      <c r="AA2089">
        <v>0.3705720412540098</v>
      </c>
      <c r="AB2089">
        <f>HYPERLINK("Melting_Curves/meltCurve_P77596_yagF.pdf", "Melting_Curves/meltCurve_P77596_yagF.pdf")</f>
        <v>0</v>
      </c>
    </row>
    <row r="2090" spans="1:28">
      <c r="A2090" t="s">
        <v>2116</v>
      </c>
      <c r="B2090">
        <v>0.999739202189716</v>
      </c>
      <c r="C2090">
        <v>1.5233466551664</v>
      </c>
      <c r="D2090">
        <v>0.316895271810674</v>
      </c>
      <c r="E2090">
        <v>0.602178799501511</v>
      </c>
      <c r="F2090">
        <v>0.978270652856743</v>
      </c>
      <c r="G2090">
        <v>0.376444162992525</v>
      </c>
      <c r="H2090">
        <v>0.673988021448363</v>
      </c>
      <c r="I2090">
        <v>0.5696566281364061</v>
      </c>
      <c r="J2090">
        <v>1.15531124393406</v>
      </c>
      <c r="K2090">
        <v>0.829777264753646</v>
      </c>
      <c r="L2090">
        <v>10356.6780887229</v>
      </c>
      <c r="M2090">
        <v>250</v>
      </c>
      <c r="O2090">
        <v>41.4240612353928</v>
      </c>
      <c r="P2090">
        <v>-0.4710223568766</v>
      </c>
      <c r="Q2090">
        <v>0.687813456455755</v>
      </c>
      <c r="R2090">
        <v>0.313641723541468</v>
      </c>
      <c r="S2090" t="s">
        <v>4283</v>
      </c>
      <c r="T2090" t="s">
        <v>4362</v>
      </c>
      <c r="U2090" t="s">
        <v>4362</v>
      </c>
      <c r="V2090" t="s">
        <v>4362</v>
      </c>
      <c r="W2090" t="s">
        <v>6444</v>
      </c>
      <c r="X2090">
        <v>1</v>
      </c>
      <c r="Y2090" t="s">
        <v>8611</v>
      </c>
      <c r="Z2090" t="s">
        <v>10778</v>
      </c>
      <c r="AA2090">
        <v>0.7339014877388056</v>
      </c>
      <c r="AB2090">
        <f>HYPERLINK("Melting_Curves/meltCurve_P77611_rsxC.pdf", "Melting_Curves/meltCurve_P77611_rsxC.pdf")</f>
        <v>0</v>
      </c>
    </row>
    <row r="2091" spans="1:28">
      <c r="A2091" t="s">
        <v>2117</v>
      </c>
      <c r="B2091">
        <v>0.999739202189716</v>
      </c>
      <c r="C2091">
        <v>1.00364169631867</v>
      </c>
      <c r="D2091">
        <v>1.01532630724214</v>
      </c>
      <c r="E2091">
        <v>0.829269472003789</v>
      </c>
      <c r="F2091">
        <v>0.516129930891862</v>
      </c>
      <c r="G2091">
        <v>0.38308631378158</v>
      </c>
      <c r="H2091">
        <v>0.301672855866713</v>
      </c>
      <c r="I2091">
        <v>0.320622099334606</v>
      </c>
      <c r="J2091">
        <v>0.30160549782971</v>
      </c>
      <c r="K2091">
        <v>0.206861011287437</v>
      </c>
      <c r="L2091">
        <v>1158.21911993528</v>
      </c>
      <c r="M2091">
        <v>23.6690314591148</v>
      </c>
      <c r="N2091">
        <v>50.6761174062329</v>
      </c>
      <c r="O2091">
        <v>48.5886590503345</v>
      </c>
      <c r="P2091">
        <v>-0.08788056245371539</v>
      </c>
      <c r="Q2091">
        <v>0.278394241194365</v>
      </c>
      <c r="R2091">
        <v>0.990148946142495</v>
      </c>
      <c r="S2091" t="s">
        <v>4284</v>
      </c>
      <c r="T2091" t="s">
        <v>4362</v>
      </c>
      <c r="U2091" t="s">
        <v>4362</v>
      </c>
      <c r="V2091" t="s">
        <v>4362</v>
      </c>
      <c r="W2091" t="s">
        <v>6445</v>
      </c>
      <c r="X2091">
        <v>1</v>
      </c>
      <c r="Y2091" t="s">
        <v>8612</v>
      </c>
      <c r="Z2091" t="s">
        <v>10779</v>
      </c>
      <c r="AA2091">
        <v>0.5723738326056774</v>
      </c>
      <c r="AB2091">
        <f>HYPERLINK("Melting_Curves/meltCurve_P77615_ycjW.pdf", "Melting_Curves/meltCurve_P77615_ycjW.pdf")</f>
        <v>0</v>
      </c>
    </row>
    <row r="2092" spans="1:28">
      <c r="A2092" t="s">
        <v>2118</v>
      </c>
      <c r="B2092">
        <v>0.999739202189716</v>
      </c>
      <c r="C2092">
        <v>1.10731014592158</v>
      </c>
      <c r="D2092">
        <v>0.694057939128312</v>
      </c>
      <c r="E2092">
        <v>0.469629203167766</v>
      </c>
      <c r="F2092">
        <v>0.272802445903755</v>
      </c>
      <c r="G2092">
        <v>0.178272106057061</v>
      </c>
      <c r="H2092">
        <v>0.0970044599340929</v>
      </c>
      <c r="I2092">
        <v>0.0829321603903211</v>
      </c>
      <c r="J2092">
        <v>0.07262963351595809</v>
      </c>
      <c r="K2092">
        <v>0.0732628154315516</v>
      </c>
      <c r="L2092">
        <v>813.508565407</v>
      </c>
      <c r="M2092">
        <v>17.7544179852945</v>
      </c>
      <c r="N2092">
        <v>46.2861200599319</v>
      </c>
      <c r="O2092">
        <v>45.2506334769096</v>
      </c>
      <c r="P2092">
        <v>-0.0900653455600552</v>
      </c>
      <c r="Q2092">
        <v>0.0818507232054529</v>
      </c>
      <c r="R2092">
        <v>0.972577280658474</v>
      </c>
      <c r="S2092" t="s">
        <v>4285</v>
      </c>
      <c r="T2092" t="s">
        <v>4362</v>
      </c>
      <c r="U2092" t="s">
        <v>4362</v>
      </c>
      <c r="V2092" t="s">
        <v>4362</v>
      </c>
      <c r="W2092" t="s">
        <v>6446</v>
      </c>
      <c r="X2092">
        <v>4</v>
      </c>
      <c r="Y2092" t="s">
        <v>8613</v>
      </c>
      <c r="Z2092" t="s">
        <v>10780</v>
      </c>
      <c r="AA2092">
        <v>0.36707094747446</v>
      </c>
      <c r="AB2092">
        <f>HYPERLINK("Melting_Curves/meltCurve_P77619_yfeW.pdf", "Melting_Curves/meltCurve_P77619_yfeW.pdf")</f>
        <v>0</v>
      </c>
    </row>
    <row r="2093" spans="1:28">
      <c r="A2093" t="s">
        <v>2119</v>
      </c>
      <c r="B2093">
        <v>0.999739202189716</v>
      </c>
      <c r="C2093">
        <v>0.852436671173876</v>
      </c>
      <c r="D2093">
        <v>0.739854831161165</v>
      </c>
      <c r="E2093">
        <v>0.701074008999986</v>
      </c>
      <c r="F2093">
        <v>0.670632300952502</v>
      </c>
      <c r="G2093">
        <v>0.5467592748133659</v>
      </c>
      <c r="H2093">
        <v>0.476477182600241</v>
      </c>
      <c r="I2093">
        <v>0.285763267357226</v>
      </c>
      <c r="J2093">
        <v>0.188923994551265</v>
      </c>
      <c r="K2093">
        <v>0.0640988921708194</v>
      </c>
      <c r="L2093">
        <v>372.284662094998</v>
      </c>
      <c r="M2093">
        <v>6.97974267332471</v>
      </c>
      <c r="N2093">
        <v>53.3378778410528</v>
      </c>
      <c r="O2093">
        <v>49.4768553781923</v>
      </c>
      <c r="P2093">
        <v>-0.03533381155763</v>
      </c>
      <c r="Q2093">
        <v>0</v>
      </c>
      <c r="R2093">
        <v>0.933592262830217</v>
      </c>
      <c r="S2093" t="s">
        <v>4286</v>
      </c>
      <c r="T2093" t="s">
        <v>4362</v>
      </c>
      <c r="U2093" t="s">
        <v>4362</v>
      </c>
      <c r="V2093" t="s">
        <v>4362</v>
      </c>
      <c r="W2093" t="s">
        <v>6447</v>
      </c>
      <c r="X2093">
        <v>1</v>
      </c>
      <c r="Y2093" t="s">
        <v>8614</v>
      </c>
      <c r="Z2093" t="s">
        <v>10781</v>
      </c>
      <c r="AA2093">
        <v>0.5619376059541479</v>
      </c>
      <c r="AB2093">
        <f>HYPERLINK("Melting_Curves/meltCurve_P77625_yfbT.pdf", "Melting_Curves/meltCurve_P77625_yfbT.pdf")</f>
        <v>0</v>
      </c>
    </row>
    <row r="2094" spans="1:28">
      <c r="A2094" t="s">
        <v>2120</v>
      </c>
      <c r="B2094">
        <v>0.999739202189716</v>
      </c>
      <c r="C2094">
        <v>0.787351869616806</v>
      </c>
      <c r="D2094">
        <v>0.618538059358359</v>
      </c>
      <c r="E2094">
        <v>0.515346102052875</v>
      </c>
      <c r="F2094">
        <v>0.402054637980278</v>
      </c>
      <c r="G2094">
        <v>0.408804154038774</v>
      </c>
      <c r="H2094">
        <v>0.268092177684539</v>
      </c>
      <c r="I2094">
        <v>0.261446597602268</v>
      </c>
      <c r="J2094">
        <v>0.219127801306718</v>
      </c>
      <c r="K2094">
        <v>0.263678714865359</v>
      </c>
      <c r="L2094">
        <v>471.977546899467</v>
      </c>
      <c r="M2094">
        <v>10.7069716754838</v>
      </c>
      <c r="N2094">
        <v>46.8315745439315</v>
      </c>
      <c r="O2094">
        <v>42.627087600295</v>
      </c>
      <c r="P2094">
        <v>-0.0481574854749162</v>
      </c>
      <c r="Q2094">
        <v>0.233379683488707</v>
      </c>
      <c r="R2094">
        <v>0.967966106608252</v>
      </c>
      <c r="S2094" t="s">
        <v>4287</v>
      </c>
      <c r="T2094" t="s">
        <v>4362</v>
      </c>
      <c r="U2094" t="s">
        <v>4362</v>
      </c>
      <c r="V2094" t="s">
        <v>4362</v>
      </c>
      <c r="W2094" t="s">
        <v>6448</v>
      </c>
      <c r="X2094">
        <v>3</v>
      </c>
      <c r="Y2094" t="s">
        <v>8615</v>
      </c>
      <c r="Z2094" t="s">
        <v>10782</v>
      </c>
      <c r="AA2094">
        <v>0.4505351034174096</v>
      </c>
      <c r="AB2094">
        <f>HYPERLINK("Melting_Curves/meltCurve_P77649_ydiU.pdf", "Melting_Curves/meltCurve_P77649_ydiU.pdf")</f>
        <v>0</v>
      </c>
    </row>
    <row r="2095" spans="1:28">
      <c r="A2095" t="s">
        <v>2121</v>
      </c>
      <c r="B2095">
        <v>0.999739202189716</v>
      </c>
      <c r="C2095">
        <v>1.04459427768455</v>
      </c>
      <c r="D2095">
        <v>0.715284150020786</v>
      </c>
      <c r="E2095">
        <v>0.96637355681797</v>
      </c>
      <c r="F2095">
        <v>0.841805407529442</v>
      </c>
      <c r="G2095">
        <v>0.611408484084732</v>
      </c>
      <c r="H2095">
        <v>0.60409962507073</v>
      </c>
      <c r="I2095">
        <v>0.59360759581662</v>
      </c>
      <c r="J2095">
        <v>0.439796383690061</v>
      </c>
      <c r="K2095">
        <v>0.505207805711993</v>
      </c>
      <c r="L2095">
        <v>410.490346158097</v>
      </c>
      <c r="M2095">
        <v>7.50585655509227</v>
      </c>
      <c r="N2095">
        <v>64.2963967986007</v>
      </c>
      <c r="O2095">
        <v>51.2111687211205</v>
      </c>
      <c r="P2095">
        <v>-0.0243243643386247</v>
      </c>
      <c r="Q2095">
        <v>0.337106573534102</v>
      </c>
      <c r="R2095">
        <v>0.810657280553724</v>
      </c>
      <c r="S2095" t="s">
        <v>4288</v>
      </c>
      <c r="T2095" t="s">
        <v>4362</v>
      </c>
      <c r="U2095" t="s">
        <v>4362</v>
      </c>
      <c r="V2095" t="s">
        <v>4362</v>
      </c>
      <c r="W2095" t="s">
        <v>6449</v>
      </c>
      <c r="X2095">
        <v>3</v>
      </c>
      <c r="Y2095" t="s">
        <v>8616</v>
      </c>
      <c r="Z2095" t="s">
        <v>10783</v>
      </c>
      <c r="AA2095">
        <v>0.7328689766624475</v>
      </c>
      <c r="AB2095">
        <f>HYPERLINK("Melting_Curves/meltCurve_P77667_sufA.pdf", "Melting_Curves/meltCurve_P77667_sufA.pdf")</f>
        <v>0</v>
      </c>
    </row>
    <row r="2096" spans="1:28">
      <c r="A2096" t="s">
        <v>2122</v>
      </c>
      <c r="B2096">
        <v>0.999739202189716</v>
      </c>
      <c r="C2096">
        <v>0.958909065111718</v>
      </c>
      <c r="D2096">
        <v>0.794389053944713</v>
      </c>
      <c r="E2096">
        <v>0.634759965869846</v>
      </c>
      <c r="F2096">
        <v>0.561827635115691</v>
      </c>
      <c r="G2096">
        <v>0.489101134337127</v>
      </c>
      <c r="H2096">
        <v>0.450068426139268</v>
      </c>
      <c r="I2096">
        <v>0.406424866383798</v>
      </c>
      <c r="J2096">
        <v>0.34725257026722</v>
      </c>
      <c r="K2096">
        <v>0.287369144680401</v>
      </c>
      <c r="L2096">
        <v>472.002366747147</v>
      </c>
      <c r="M2096">
        <v>9.95081433893232</v>
      </c>
      <c r="N2096">
        <v>52.4242459229969</v>
      </c>
      <c r="O2096">
        <v>45.6371652336994</v>
      </c>
      <c r="P2096">
        <v>-0.0378431862713061</v>
      </c>
      <c r="Q2096">
        <v>0.306106990996509</v>
      </c>
      <c r="R2096">
        <v>0.976807918872015</v>
      </c>
      <c r="S2096" t="s">
        <v>4289</v>
      </c>
      <c r="T2096" t="s">
        <v>4362</v>
      </c>
      <c r="U2096" t="s">
        <v>4362</v>
      </c>
      <c r="V2096" t="s">
        <v>4362</v>
      </c>
      <c r="W2096" t="s">
        <v>6450</v>
      </c>
      <c r="X2096">
        <v>6</v>
      </c>
      <c r="Y2096" t="s">
        <v>8617</v>
      </c>
      <c r="Z2096" t="s">
        <v>10784</v>
      </c>
      <c r="AA2096">
        <v>0.5766674873180473</v>
      </c>
      <c r="AB2096">
        <f>HYPERLINK("Melting_Curves/meltCurve_P77671_allB.pdf", "Melting_Curves/meltCurve_P77671_allB.pdf")</f>
        <v>0</v>
      </c>
    </row>
    <row r="2097" spans="1:28">
      <c r="A2097" t="s">
        <v>2123</v>
      </c>
      <c r="B2097">
        <v>0.999739202189716</v>
      </c>
      <c r="C2097">
        <v>1.2406348233244</v>
      </c>
      <c r="D2097">
        <v>1.15705781116941</v>
      </c>
      <c r="E2097">
        <v>1.24322449820795</v>
      </c>
      <c r="F2097">
        <v>0.918280734927432</v>
      </c>
      <c r="G2097">
        <v>1.01165756149328</v>
      </c>
      <c r="H2097">
        <v>0.645928503727902</v>
      </c>
      <c r="I2097">
        <v>0.586561901495379</v>
      </c>
      <c r="J2097">
        <v>0.502300142443062</v>
      </c>
      <c r="K2097">
        <v>0.311493016238992</v>
      </c>
      <c r="L2097">
        <v>1161.61523021076</v>
      </c>
      <c r="M2097">
        <v>19.6760526684348</v>
      </c>
      <c r="N2097">
        <v>62.1287717297892</v>
      </c>
      <c r="O2097">
        <v>58.437335338515</v>
      </c>
      <c r="P2097">
        <v>-0.0578993640713666</v>
      </c>
      <c r="Q2097">
        <v>0.312185805580586</v>
      </c>
      <c r="R2097">
        <v>0.817334430418977</v>
      </c>
      <c r="S2097" t="s">
        <v>4290</v>
      </c>
      <c r="T2097" t="s">
        <v>4362</v>
      </c>
      <c r="U2097" t="s">
        <v>4362</v>
      </c>
      <c r="V2097" t="s">
        <v>4362</v>
      </c>
      <c r="W2097" t="s">
        <v>6451</v>
      </c>
      <c r="X2097">
        <v>12</v>
      </c>
      <c r="Y2097" t="s">
        <v>8618</v>
      </c>
      <c r="Z2097" t="s">
        <v>10785</v>
      </c>
      <c r="AA2097">
        <v>0.820034557409867</v>
      </c>
      <c r="AB2097">
        <f>HYPERLINK("Melting_Curves/meltCurve_P77674_prr.pdf", "Melting_Curves/meltCurve_P77674_prr.pdf")</f>
        <v>0</v>
      </c>
    </row>
    <row r="2098" spans="1:28">
      <c r="A2098" t="s">
        <v>2124</v>
      </c>
      <c r="B2098">
        <v>0.999739202189716</v>
      </c>
      <c r="C2098">
        <v>1.02918792798356</v>
      </c>
      <c r="D2098">
        <v>0.602303299219979</v>
      </c>
      <c r="E2098">
        <v>0.500703525744575</v>
      </c>
      <c r="F2098">
        <v>0.23755671412431</v>
      </c>
      <c r="G2098">
        <v>0.166028962171804</v>
      </c>
      <c r="H2098">
        <v>0.137119198781865</v>
      </c>
      <c r="I2098">
        <v>0.0944051203513657</v>
      </c>
      <c r="J2098">
        <v>0.0956103398233434</v>
      </c>
      <c r="K2098">
        <v>0.0773400172634101</v>
      </c>
      <c r="L2098">
        <v>718.6570961855909</v>
      </c>
      <c r="M2098">
        <v>15.8770478738561</v>
      </c>
      <c r="N2098">
        <v>45.8321739092231</v>
      </c>
      <c r="O2098">
        <v>44.5640892240987</v>
      </c>
      <c r="P2098">
        <v>-0.0811171627207979</v>
      </c>
      <c r="Q2098">
        <v>0.08934701713604661</v>
      </c>
      <c r="R2098">
        <v>0.971461515525196</v>
      </c>
      <c r="S2098" t="s">
        <v>4291</v>
      </c>
      <c r="T2098" t="s">
        <v>4362</v>
      </c>
      <c r="U2098" t="s">
        <v>4362</v>
      </c>
      <c r="V2098" t="s">
        <v>4362</v>
      </c>
      <c r="W2098" t="s">
        <v>6452</v>
      </c>
      <c r="X2098">
        <v>5</v>
      </c>
      <c r="Y2098" t="s">
        <v>8619</v>
      </c>
      <c r="Z2098" t="s">
        <v>10786</v>
      </c>
      <c r="AA2098">
        <v>0.3593726361192211</v>
      </c>
      <c r="AB2098">
        <f>HYPERLINK("Melting_Curves/meltCurve_P77689_sufD.pdf", "Melting_Curves/meltCurve_P77689_sufD.pdf")</f>
        <v>0</v>
      </c>
    </row>
    <row r="2099" spans="1:28">
      <c r="A2099" t="s">
        <v>2125</v>
      </c>
      <c r="B2099">
        <v>0.999739202189716</v>
      </c>
      <c r="C2099">
        <v>1.02230260030922</v>
      </c>
      <c r="D2099">
        <v>1.18960083624657</v>
      </c>
      <c r="E2099">
        <v>1.08342483237146</v>
      </c>
      <c r="F2099">
        <v>1.06140012248703</v>
      </c>
      <c r="G2099">
        <v>0.960379275985648</v>
      </c>
      <c r="H2099">
        <v>0.818646853839911</v>
      </c>
      <c r="I2099">
        <v>0.836006256385407</v>
      </c>
      <c r="J2099">
        <v>0.729490847627442</v>
      </c>
      <c r="K2099">
        <v>0.716995393695972</v>
      </c>
      <c r="L2099">
        <v>1502.99966533184</v>
      </c>
      <c r="M2099">
        <v>26.3057223745085</v>
      </c>
      <c r="O2099">
        <v>56.80874204247</v>
      </c>
      <c r="P2099">
        <v>-0.0311310968843296</v>
      </c>
      <c r="Q2099">
        <v>0.73108536868931</v>
      </c>
      <c r="R2099">
        <v>0.762010645559433</v>
      </c>
      <c r="S2099" t="s">
        <v>4292</v>
      </c>
      <c r="T2099" t="s">
        <v>4362</v>
      </c>
      <c r="U2099" t="s">
        <v>4362</v>
      </c>
      <c r="V2099" t="s">
        <v>4362</v>
      </c>
      <c r="W2099" t="s">
        <v>6453</v>
      </c>
      <c r="X2099">
        <v>7</v>
      </c>
      <c r="Y2099" t="s">
        <v>8620</v>
      </c>
      <c r="Z2099" t="s">
        <v>10787</v>
      </c>
      <c r="AA2099">
        <v>0.9134567339551418</v>
      </c>
      <c r="AB2099">
        <f>HYPERLINK("Melting_Curves/meltCurve_P77695_gnsB.pdf", "Melting_Curves/meltCurve_P77695_gnsB.pdf")</f>
        <v>0</v>
      </c>
    </row>
    <row r="2100" spans="1:28">
      <c r="A2100" t="s">
        <v>2126</v>
      </c>
      <c r="B2100">
        <v>0.999739202189716</v>
      </c>
      <c r="C2100">
        <v>0.903657822178242</v>
      </c>
      <c r="D2100">
        <v>0.821044104733654</v>
      </c>
      <c r="E2100">
        <v>0.69541714333548</v>
      </c>
      <c r="F2100">
        <v>0.603730207602428</v>
      </c>
      <c r="G2100">
        <v>0.468078604764579</v>
      </c>
      <c r="H2100">
        <v>0.472323312084401</v>
      </c>
      <c r="I2100">
        <v>0.416965021939728</v>
      </c>
      <c r="J2100">
        <v>0.457409805421963</v>
      </c>
      <c r="K2100">
        <v>0.337369522816446</v>
      </c>
      <c r="L2100">
        <v>486.164634756431</v>
      </c>
      <c r="M2100">
        <v>10.3151773425738</v>
      </c>
      <c r="N2100">
        <v>53.9037062273497</v>
      </c>
      <c r="O2100">
        <v>45.4627806910085</v>
      </c>
      <c r="P2100">
        <v>-0.0361372376007705</v>
      </c>
      <c r="Q2100">
        <v>0.363194679222895</v>
      </c>
      <c r="R2100">
        <v>0.979559995783061</v>
      </c>
      <c r="S2100" t="s">
        <v>4293</v>
      </c>
      <c r="T2100" t="s">
        <v>4362</v>
      </c>
      <c r="U2100" t="s">
        <v>4362</v>
      </c>
      <c r="V2100" t="s">
        <v>4362</v>
      </c>
      <c r="W2100" t="s">
        <v>6454</v>
      </c>
      <c r="X2100">
        <v>2</v>
      </c>
      <c r="Y2100" t="s">
        <v>8621</v>
      </c>
      <c r="Z2100" t="s">
        <v>10788</v>
      </c>
      <c r="AA2100">
        <v>0.6043177517572806</v>
      </c>
      <c r="AB2100">
        <f>HYPERLINK("Melting_Curves/meltCurve_P77712_fadM.pdf", "Melting_Curves/meltCurve_P77712_fadM.pdf")</f>
        <v>0</v>
      </c>
    </row>
    <row r="2101" spans="1:28">
      <c r="A2101" t="s">
        <v>2127</v>
      </c>
      <c r="B2101">
        <v>0.999739202189716</v>
      </c>
      <c r="C2101">
        <v>1.32447411917244</v>
      </c>
      <c r="D2101">
        <v>0.941825898590391</v>
      </c>
      <c r="E2101">
        <v>0.446007958903735</v>
      </c>
      <c r="F2101">
        <v>0.233798307638833</v>
      </c>
      <c r="G2101">
        <v>0.167991925694614</v>
      </c>
      <c r="H2101">
        <v>0.140639257629506</v>
      </c>
      <c r="I2101">
        <v>0.12069875327802</v>
      </c>
      <c r="J2101">
        <v>0.119074975181237</v>
      </c>
      <c r="K2101">
        <v>0.112243160909584</v>
      </c>
      <c r="L2101">
        <v>1750.63367593704</v>
      </c>
      <c r="M2101">
        <v>38.0936173532855</v>
      </c>
      <c r="N2101">
        <v>46.360027582974</v>
      </c>
      <c r="O2101">
        <v>45.829990921907</v>
      </c>
      <c r="P2101">
        <v>-0.178451568047804</v>
      </c>
      <c r="Q2101">
        <v>0.141230083330472</v>
      </c>
      <c r="R2101">
        <v>0.939269736138006</v>
      </c>
      <c r="S2101" t="s">
        <v>4294</v>
      </c>
      <c r="T2101" t="s">
        <v>4362</v>
      </c>
      <c r="U2101" t="s">
        <v>4362</v>
      </c>
      <c r="V2101" t="s">
        <v>4362</v>
      </c>
      <c r="W2101" t="s">
        <v>6455</v>
      </c>
      <c r="X2101">
        <v>3</v>
      </c>
      <c r="Y2101" t="s">
        <v>8622</v>
      </c>
      <c r="Z2101" t="s">
        <v>10789</v>
      </c>
      <c r="AA2101">
        <v>0.400617182535699</v>
      </c>
      <c r="AB2101">
        <f>HYPERLINK("Melting_Curves/meltCurve_P77713_yagH.pdf", "Melting_Curves/meltCurve_P77713_yagH.pdf")</f>
        <v>0</v>
      </c>
    </row>
    <row r="2102" spans="1:28">
      <c r="A2102" t="s">
        <v>2128</v>
      </c>
      <c r="B2102">
        <v>0.999739202189716</v>
      </c>
      <c r="C2102">
        <v>1.12801177316775</v>
      </c>
      <c r="D2102">
        <v>1.05365270244313</v>
      </c>
      <c r="E2102">
        <v>0.802753632702969</v>
      </c>
      <c r="F2102">
        <v>1.17319293903264</v>
      </c>
      <c r="G2102">
        <v>0.946967482337892</v>
      </c>
      <c r="H2102">
        <v>0.842142410707639</v>
      </c>
      <c r="I2102">
        <v>0.774389959867557</v>
      </c>
      <c r="J2102">
        <v>0.91108242586383</v>
      </c>
      <c r="K2102">
        <v>0.447288349810951</v>
      </c>
      <c r="L2102">
        <v>1059.7511436153</v>
      </c>
      <c r="M2102">
        <v>15.6201995521129</v>
      </c>
      <c r="O2102">
        <v>66.7621279894728</v>
      </c>
      <c r="P2102">
        <v>-0.0584970340584784</v>
      </c>
      <c r="Q2102">
        <v>0</v>
      </c>
      <c r="R2102">
        <v>0.603817837506043</v>
      </c>
      <c r="S2102" t="s">
        <v>4295</v>
      </c>
      <c r="T2102" t="s">
        <v>4362</v>
      </c>
      <c r="U2102" t="s">
        <v>4362</v>
      </c>
      <c r="V2102" t="s">
        <v>4362</v>
      </c>
      <c r="W2102" t="s">
        <v>6456</v>
      </c>
      <c r="X2102">
        <v>1</v>
      </c>
      <c r="Y2102" t="s">
        <v>8623</v>
      </c>
      <c r="Z2102" t="s">
        <v>10790</v>
      </c>
      <c r="AA2102">
        <v>0.9257321136283082</v>
      </c>
      <c r="AB2102">
        <f>HYPERLINK("Melting_Curves/meltCurve_P77717_ybaY.pdf", "Melting_Curves/meltCurve_P77717_ybaY.pdf")</f>
        <v>0</v>
      </c>
    </row>
    <row r="2103" spans="1:28">
      <c r="A2103" t="s">
        <v>2129</v>
      </c>
      <c r="B2103">
        <v>0.999739202189716</v>
      </c>
      <c r="C2103">
        <v>1.02238670147705</v>
      </c>
      <c r="D2103">
        <v>0.55479977736056</v>
      </c>
      <c r="E2103">
        <v>0.460121095137011</v>
      </c>
      <c r="F2103">
        <v>0.265951258447859</v>
      </c>
      <c r="G2103">
        <v>0.175138712206262</v>
      </c>
      <c r="H2103">
        <v>0.137792741853984</v>
      </c>
      <c r="I2103">
        <v>0.1045962623835</v>
      </c>
      <c r="J2103">
        <v>0.09402049162830881</v>
      </c>
      <c r="K2103">
        <v>0.0724093735647999</v>
      </c>
      <c r="L2103">
        <v>694.669137398165</v>
      </c>
      <c r="M2103">
        <v>15.4992224173761</v>
      </c>
      <c r="N2103">
        <v>45.4485802999968</v>
      </c>
      <c r="O2103">
        <v>44.0934036921441</v>
      </c>
      <c r="P2103">
        <v>-0.0794018356072015</v>
      </c>
      <c r="Q2103">
        <v>0.096526249110311</v>
      </c>
      <c r="R2103">
        <v>0.964327131202681</v>
      </c>
      <c r="S2103" t="s">
        <v>4296</v>
      </c>
      <c r="T2103" t="s">
        <v>4362</v>
      </c>
      <c r="U2103" t="s">
        <v>4362</v>
      </c>
      <c r="V2103" t="s">
        <v>4362</v>
      </c>
      <c r="W2103" t="s">
        <v>6457</v>
      </c>
      <c r="X2103">
        <v>10</v>
      </c>
      <c r="Y2103" t="s">
        <v>8624</v>
      </c>
      <c r="Z2103" t="s">
        <v>10791</v>
      </c>
      <c r="AA2103">
        <v>0.3522711784938263</v>
      </c>
      <c r="AB2103">
        <f>HYPERLINK("Melting_Curves/meltCurve_P77718_thiI.pdf", "Melting_Curves/meltCurve_P77718_thiI.pdf")</f>
        <v>0</v>
      </c>
    </row>
    <row r="2104" spans="1:28">
      <c r="A2104" t="s">
        <v>2130</v>
      </c>
      <c r="B2104">
        <v>0.999739202189716</v>
      </c>
      <c r="C2104">
        <v>0.87759207549975</v>
      </c>
      <c r="D2104">
        <v>0.7880012281389051</v>
      </c>
      <c r="E2104">
        <v>0.752430222800758</v>
      </c>
      <c r="F2104">
        <v>0.8161321382664271</v>
      </c>
      <c r="G2104">
        <v>0.605246124483103</v>
      </c>
      <c r="H2104">
        <v>0.647797225361479</v>
      </c>
      <c r="I2104">
        <v>0.541989347583466</v>
      </c>
      <c r="J2104">
        <v>0.511634176313551</v>
      </c>
      <c r="K2104">
        <v>0.245131939928801</v>
      </c>
      <c r="L2104">
        <v>276.457404752637</v>
      </c>
      <c r="M2104">
        <v>4.53417124026099</v>
      </c>
      <c r="N2104">
        <v>60.9719818147482</v>
      </c>
      <c r="O2104">
        <v>51.9253255080602</v>
      </c>
      <c r="P2104">
        <v>-0.0220164387256135</v>
      </c>
      <c r="Q2104">
        <v>0</v>
      </c>
      <c r="R2104">
        <v>0.859295519322744</v>
      </c>
      <c r="S2104" t="s">
        <v>4297</v>
      </c>
      <c r="T2104" t="s">
        <v>4362</v>
      </c>
      <c r="U2104" t="s">
        <v>4362</v>
      </c>
      <c r="V2104" t="s">
        <v>4362</v>
      </c>
      <c r="W2104" t="s">
        <v>6458</v>
      </c>
      <c r="X2104">
        <v>4</v>
      </c>
      <c r="Y2104" t="s">
        <v>8625</v>
      </c>
      <c r="Z2104" t="s">
        <v>10792</v>
      </c>
      <c r="AA2104">
        <v>0.6836598323876788</v>
      </c>
      <c r="AB2104">
        <f>HYPERLINK("Melting_Curves/meltCurve_P77721_ydjF.pdf", "Melting_Curves/meltCurve_P77721_ydjF.pdf")</f>
        <v>0</v>
      </c>
    </row>
    <row r="2105" spans="1:28">
      <c r="A2105" t="s">
        <v>2131</v>
      </c>
      <c r="B2105">
        <v>0.999739202189716</v>
      </c>
      <c r="C2105">
        <v>1.19610397496705</v>
      </c>
      <c r="D2105">
        <v>1.18207256329385</v>
      </c>
      <c r="E2105">
        <v>0.9467739970914461</v>
      </c>
      <c r="F2105">
        <v>0.844242187874057</v>
      </c>
      <c r="G2105">
        <v>0.778720233693629</v>
      </c>
      <c r="H2105">
        <v>0.6347571424052461</v>
      </c>
      <c r="I2105">
        <v>0.445498848793404</v>
      </c>
      <c r="J2105">
        <v>0.247180635218729</v>
      </c>
      <c r="K2105">
        <v>0.156907492888652</v>
      </c>
      <c r="L2105">
        <v>777.879827648262</v>
      </c>
      <c r="M2105">
        <v>13.1184485213071</v>
      </c>
      <c r="N2105">
        <v>59.2966330320193</v>
      </c>
      <c r="O2105">
        <v>57.9695261964518</v>
      </c>
      <c r="P2105">
        <v>-0.0565844265773832</v>
      </c>
      <c r="Q2105">
        <v>0</v>
      </c>
      <c r="R2105">
        <v>0.930368431042722</v>
      </c>
      <c r="S2105" t="s">
        <v>4298</v>
      </c>
      <c r="T2105" t="s">
        <v>4362</v>
      </c>
      <c r="U2105" t="s">
        <v>4362</v>
      </c>
      <c r="V2105" t="s">
        <v>4362</v>
      </c>
      <c r="W2105" t="s">
        <v>6459</v>
      </c>
      <c r="X2105">
        <v>3</v>
      </c>
      <c r="Y2105" t="s">
        <v>8626</v>
      </c>
      <c r="Z2105" t="s">
        <v>10793</v>
      </c>
      <c r="AA2105">
        <v>0.7363584964751149</v>
      </c>
      <c r="AB2105">
        <f>HYPERLINK("Melting_Curves/meltCurve_P77730_ydcR.pdf", "Melting_Curves/meltCurve_P77730_ydcR.pdf")</f>
        <v>0</v>
      </c>
    </row>
    <row r="2106" spans="1:28">
      <c r="A2106" t="s">
        <v>2132</v>
      </c>
      <c r="B2106">
        <v>0.999739202189716</v>
      </c>
      <c r="C2106">
        <v>0.724089706351991</v>
      </c>
      <c r="D2106">
        <v>0.395518626135757</v>
      </c>
      <c r="E2106">
        <v>0.128058858273248</v>
      </c>
      <c r="F2106">
        <v>0.0856466712620966</v>
      </c>
      <c r="G2106">
        <v>0.0568253241929032</v>
      </c>
      <c r="H2106">
        <v>0.0454780651518484</v>
      </c>
      <c r="I2106">
        <v>0.0360043732555577</v>
      </c>
      <c r="J2106">
        <v>0.0324091166782609</v>
      </c>
      <c r="K2106">
        <v>0.0284051698029778</v>
      </c>
      <c r="L2106">
        <v>906.473406931741</v>
      </c>
      <c r="M2106">
        <v>21.6647602473366</v>
      </c>
      <c r="N2106">
        <v>42.0048663403036</v>
      </c>
      <c r="O2106">
        <v>41.4893241364801</v>
      </c>
      <c r="P2106">
        <v>-0.125254357524773</v>
      </c>
      <c r="Q2106">
        <v>0.0405441802307009</v>
      </c>
      <c r="R2106">
        <v>0.995801485654267</v>
      </c>
      <c r="S2106" t="s">
        <v>4299</v>
      </c>
      <c r="T2106" t="s">
        <v>4362</v>
      </c>
      <c r="U2106" t="s">
        <v>4362</v>
      </c>
      <c r="V2106" t="s">
        <v>4362</v>
      </c>
      <c r="W2106" t="s">
        <v>6460</v>
      </c>
      <c r="X2106">
        <v>12</v>
      </c>
      <c r="Y2106" t="s">
        <v>8627</v>
      </c>
      <c r="Z2106" t="s">
        <v>10794</v>
      </c>
      <c r="AA2106">
        <v>0.2075401124040665</v>
      </c>
      <c r="AB2106">
        <f>HYPERLINK("Melting_Curves/meltCurve_P77735_yajO.pdf", "Melting_Curves/meltCurve_P77735_yajO.pdf")</f>
        <v>0</v>
      </c>
    </row>
    <row r="2107" spans="1:28">
      <c r="A2107" t="s">
        <v>2133</v>
      </c>
      <c r="B2107">
        <v>0.999739202189716</v>
      </c>
      <c r="C2107">
        <v>0.777189352640101</v>
      </c>
      <c r="D2107">
        <v>0.465281366326192</v>
      </c>
      <c r="E2107">
        <v>0.370703122536685</v>
      </c>
      <c r="F2107">
        <v>0.214146704711955</v>
      </c>
      <c r="G2107">
        <v>0.171084654183528</v>
      </c>
      <c r="H2107">
        <v>0.12232539283464</v>
      </c>
      <c r="I2107">
        <v>0.100349911145205</v>
      </c>
      <c r="J2107">
        <v>0.08460755018237449</v>
      </c>
      <c r="K2107">
        <v>0.0711628482163531</v>
      </c>
      <c r="L2107">
        <v>612.0236512440709</v>
      </c>
      <c r="M2107">
        <v>14.2409673612463</v>
      </c>
      <c r="N2107">
        <v>43.6139990548383</v>
      </c>
      <c r="O2107">
        <v>42.1554863608431</v>
      </c>
      <c r="P2107">
        <v>-0.0765264566641899</v>
      </c>
      <c r="Q2107">
        <v>0.0939912143676582</v>
      </c>
      <c r="R2107">
        <v>0.980532665685767</v>
      </c>
      <c r="S2107" t="s">
        <v>4300</v>
      </c>
      <c r="T2107" t="s">
        <v>4362</v>
      </c>
      <c r="U2107" t="s">
        <v>4362</v>
      </c>
      <c r="V2107" t="s">
        <v>4362</v>
      </c>
      <c r="W2107" t="s">
        <v>6461</v>
      </c>
      <c r="X2107">
        <v>8</v>
      </c>
      <c r="Y2107" t="s">
        <v>8628</v>
      </c>
      <c r="Z2107" t="s">
        <v>10795</v>
      </c>
      <c r="AA2107">
        <v>0.3012408292524446</v>
      </c>
      <c r="AB2107">
        <f>HYPERLINK("Melting_Curves/meltCurve_P77737_oppF.pdf", "Melting_Curves/meltCurve_P77737_oppF.pdf")</f>
        <v>0</v>
      </c>
    </row>
    <row r="2108" spans="1:28">
      <c r="A2108" t="s">
        <v>2134</v>
      </c>
      <c r="B2108">
        <v>0.999739202189716</v>
      </c>
      <c r="C2108">
        <v>0.777823923326724</v>
      </c>
      <c r="D2108">
        <v>0.603921979010515</v>
      </c>
      <c r="E2108">
        <v>0.6136405269838739</v>
      </c>
      <c r="F2108">
        <v>0.427694625041043</v>
      </c>
      <c r="G2108">
        <v>0.344031806543828</v>
      </c>
      <c r="H2108">
        <v>0.334731336739689</v>
      </c>
      <c r="I2108">
        <v>0.308971674062384</v>
      </c>
      <c r="J2108">
        <v>0.263409555817265</v>
      </c>
      <c r="K2108">
        <v>0.333122885053471</v>
      </c>
      <c r="L2108">
        <v>471.670137537006</v>
      </c>
      <c r="M2108">
        <v>10.7538347552188</v>
      </c>
      <c r="N2108">
        <v>47.4717417210972</v>
      </c>
      <c r="O2108">
        <v>42.4255987479907</v>
      </c>
      <c r="P2108">
        <v>-0.0456835545201959</v>
      </c>
      <c r="Q2108">
        <v>0.27934953577889</v>
      </c>
      <c r="R2108">
        <v>0.9528875677555509</v>
      </c>
      <c r="S2108" t="s">
        <v>4301</v>
      </c>
      <c r="T2108" t="s">
        <v>4362</v>
      </c>
      <c r="U2108" t="s">
        <v>4362</v>
      </c>
      <c r="V2108" t="s">
        <v>4362</v>
      </c>
      <c r="W2108" t="s">
        <v>6462</v>
      </c>
      <c r="X2108">
        <v>1</v>
      </c>
      <c r="Y2108" t="s">
        <v>8629</v>
      </c>
      <c r="Z2108" t="s">
        <v>10796</v>
      </c>
      <c r="AA2108">
        <v>0.478469052906304</v>
      </c>
      <c r="AB2108">
        <f>HYPERLINK("Melting_Curves/meltCurve_P77739_yniA.pdf", "Melting_Curves/meltCurve_P77739_yniA.pdf")</f>
        <v>0</v>
      </c>
    </row>
    <row r="2109" spans="1:28">
      <c r="A2109" t="s">
        <v>2135</v>
      </c>
      <c r="B2109">
        <v>0.999739202189716</v>
      </c>
      <c r="C2109">
        <v>1.30858577510887</v>
      </c>
      <c r="D2109">
        <v>0.859392403910181</v>
      </c>
      <c r="E2109">
        <v>1.04445812055766</v>
      </c>
      <c r="F2109">
        <v>0.693786572380086</v>
      </c>
      <c r="G2109">
        <v>0.587387466667847</v>
      </c>
      <c r="H2109">
        <v>0.448276048079158</v>
      </c>
      <c r="I2109">
        <v>0.238711759900384</v>
      </c>
      <c r="J2109">
        <v>0.150382358144723</v>
      </c>
      <c r="K2109">
        <v>0.10942330585421</v>
      </c>
      <c r="L2109">
        <v>712.34935815237</v>
      </c>
      <c r="M2109">
        <v>12.8826946652766</v>
      </c>
      <c r="N2109">
        <v>55.4621963332973</v>
      </c>
      <c r="O2109">
        <v>54.0135303735097</v>
      </c>
      <c r="P2109">
        <v>-0.0585026105405224</v>
      </c>
      <c r="Q2109">
        <v>0.0190392857501324</v>
      </c>
      <c r="R2109">
        <v>0.906555857674519</v>
      </c>
      <c r="S2109" t="s">
        <v>4302</v>
      </c>
      <c r="T2109" t="s">
        <v>4362</v>
      </c>
      <c r="U2109" t="s">
        <v>4362</v>
      </c>
      <c r="V2109" t="s">
        <v>4362</v>
      </c>
      <c r="W2109" t="s">
        <v>6463</v>
      </c>
      <c r="X2109">
        <v>23</v>
      </c>
      <c r="Y2109" t="s">
        <v>8630</v>
      </c>
      <c r="Z2109" t="s">
        <v>10797</v>
      </c>
      <c r="AA2109">
        <v>0.630390711705022</v>
      </c>
      <c r="AB2109">
        <f>HYPERLINK("Melting_Curves/meltCurve_P77748_ydiJ.pdf", "Melting_Curves/meltCurve_P77748_ydiJ.pdf")</f>
        <v>0</v>
      </c>
    </row>
    <row r="2110" spans="1:28">
      <c r="A2110" t="s">
        <v>2136</v>
      </c>
      <c r="B2110">
        <v>0.999739202189716</v>
      </c>
      <c r="C2110">
        <v>1.06187390244971</v>
      </c>
      <c r="D2110">
        <v>0.865846105482363</v>
      </c>
      <c r="E2110">
        <v>0.923417575367394</v>
      </c>
      <c r="F2110">
        <v>0.876299870264344</v>
      </c>
      <c r="G2110">
        <v>0.709487460055466</v>
      </c>
      <c r="H2110">
        <v>0.7371318569434679</v>
      </c>
      <c r="I2110">
        <v>0.794337414878288</v>
      </c>
      <c r="J2110">
        <v>0.888973334588733</v>
      </c>
      <c r="K2110">
        <v>0.6550150664798901</v>
      </c>
      <c r="L2110">
        <v>699.245126401948</v>
      </c>
      <c r="M2110">
        <v>14.7696160351157</v>
      </c>
      <c r="O2110">
        <v>46.5009938032759</v>
      </c>
      <c r="P2110">
        <v>-0.0196480350942596</v>
      </c>
      <c r="Q2110">
        <v>0.752585283148781</v>
      </c>
      <c r="R2110">
        <v>0.64342416683061</v>
      </c>
      <c r="S2110" t="s">
        <v>4303</v>
      </c>
      <c r="T2110" t="s">
        <v>4362</v>
      </c>
      <c r="U2110" t="s">
        <v>4362</v>
      </c>
      <c r="V2110" t="s">
        <v>4362</v>
      </c>
      <c r="W2110" t="s">
        <v>6464</v>
      </c>
      <c r="X2110">
        <v>7</v>
      </c>
      <c r="Y2110" t="s">
        <v>8631</v>
      </c>
      <c r="Z2110" t="s">
        <v>10798</v>
      </c>
      <c r="AA2110">
        <v>0.8435691375190884</v>
      </c>
      <c r="AB2110">
        <f>HYPERLINK("Melting_Curves/meltCurve_P77754_spy.pdf", "Melting_Curves/meltCurve_P77754_spy.pdf")</f>
        <v>0</v>
      </c>
    </row>
    <row r="2111" spans="1:28">
      <c r="A2111" t="s">
        <v>2137</v>
      </c>
      <c r="B2111">
        <v>0.999739202189716</v>
      </c>
      <c r="C2111">
        <v>0.735919616910526</v>
      </c>
      <c r="D2111">
        <v>0.603361102983038</v>
      </c>
      <c r="E2111">
        <v>0.323985519255756</v>
      </c>
      <c r="F2111">
        <v>0.166670571144647</v>
      </c>
      <c r="G2111">
        <v>0.102989115712736</v>
      </c>
      <c r="H2111">
        <v>0.0820438166695425</v>
      </c>
      <c r="I2111">
        <v>0.0515969631555509</v>
      </c>
      <c r="J2111">
        <v>0.0531008737941473</v>
      </c>
      <c r="K2111">
        <v>0.0369408083988132</v>
      </c>
      <c r="L2111">
        <v>611.441297152905</v>
      </c>
      <c r="M2111">
        <v>13.9790196206586</v>
      </c>
      <c r="N2111">
        <v>43.9852844533572</v>
      </c>
      <c r="O2111">
        <v>42.8740096030821</v>
      </c>
      <c r="P2111">
        <v>-0.0784653814765733</v>
      </c>
      <c r="Q2111">
        <v>0.0375073263490211</v>
      </c>
      <c r="R2111">
        <v>0.990508834223954</v>
      </c>
      <c r="S2111" t="s">
        <v>4304</v>
      </c>
      <c r="T2111" t="s">
        <v>4362</v>
      </c>
      <c r="U2111" t="s">
        <v>4362</v>
      </c>
      <c r="V2111" t="s">
        <v>4362</v>
      </c>
      <c r="W2111" t="s">
        <v>6465</v>
      </c>
      <c r="X2111">
        <v>1</v>
      </c>
      <c r="Y2111" t="s">
        <v>8632</v>
      </c>
      <c r="Z2111" t="s">
        <v>10799</v>
      </c>
      <c r="AA2111">
        <v>0.2817933405817843</v>
      </c>
      <c r="AB2111">
        <f>HYPERLINK("Melting_Curves/meltCurve_P77756_queC.pdf", "Melting_Curves/meltCurve_P77756_queC.pdf")</f>
        <v>0</v>
      </c>
    </row>
    <row r="2112" spans="1:28">
      <c r="A2112" t="s">
        <v>2138</v>
      </c>
      <c r="B2112">
        <v>0.999739202189716</v>
      </c>
      <c r="C2112">
        <v>1.00010268321104</v>
      </c>
      <c r="D2112">
        <v>0.8711354171714319</v>
      </c>
      <c r="E2112">
        <v>0.784355559042226</v>
      </c>
      <c r="F2112">
        <v>0.542548545032612</v>
      </c>
      <c r="G2112">
        <v>0.182577816120163</v>
      </c>
      <c r="H2112">
        <v>0.115088494831114</v>
      </c>
      <c r="I2112">
        <v>0.0778961796248839</v>
      </c>
      <c r="J2112">
        <v>0.0646338303019061</v>
      </c>
      <c r="K2112">
        <v>0.0554297681954452</v>
      </c>
      <c r="L2112">
        <v>884.364685969206</v>
      </c>
      <c r="M2112">
        <v>17.7386514680516</v>
      </c>
      <c r="N2112">
        <v>50.0617377135897</v>
      </c>
      <c r="O2112">
        <v>49.2345792630746</v>
      </c>
      <c r="P2112">
        <v>-0.0868990864988291</v>
      </c>
      <c r="Q2112">
        <v>0.0352781156218796</v>
      </c>
      <c r="R2112">
        <v>0.991802865358586</v>
      </c>
      <c r="S2112" t="s">
        <v>4305</v>
      </c>
      <c r="T2112" t="s">
        <v>4362</v>
      </c>
      <c r="U2112" t="s">
        <v>4362</v>
      </c>
      <c r="V2112" t="s">
        <v>4362</v>
      </c>
      <c r="W2112" t="s">
        <v>6466</v>
      </c>
      <c r="X2112">
        <v>6</v>
      </c>
      <c r="Y2112" t="s">
        <v>8633</v>
      </c>
      <c r="Z2112" t="s">
        <v>10800</v>
      </c>
      <c r="AA2112">
        <v>0.4642665402853648</v>
      </c>
      <c r="AB2112">
        <f>HYPERLINK("Melting_Curves/meltCurve_P77774_bamB.pdf", "Melting_Curves/meltCurve_P77774_bamB.pdf")</f>
        <v>0</v>
      </c>
    </row>
    <row r="2113" spans="1:28">
      <c r="A2113" t="s">
        <v>2139</v>
      </c>
      <c r="B2113">
        <v>0.999739202189716</v>
      </c>
      <c r="C2113">
        <v>0.7528837870777561</v>
      </c>
      <c r="D2113">
        <v>0.446955171958012</v>
      </c>
      <c r="E2113">
        <v>0.191042733675304</v>
      </c>
      <c r="F2113">
        <v>0.155282236658316</v>
      </c>
      <c r="G2113">
        <v>0.107010605907276</v>
      </c>
      <c r="H2113">
        <v>0.0925135490486011</v>
      </c>
      <c r="I2113">
        <v>0.07432724448233791</v>
      </c>
      <c r="J2113">
        <v>0.07114245765686419</v>
      </c>
      <c r="K2113">
        <v>0.0589779915529798</v>
      </c>
      <c r="L2113">
        <v>851.224913851036</v>
      </c>
      <c r="M2113">
        <v>20.2176842332893</v>
      </c>
      <c r="N2113">
        <v>42.4847340089014</v>
      </c>
      <c r="O2113">
        <v>41.697571753742</v>
      </c>
      <c r="P2113">
        <v>-0.111151874457166</v>
      </c>
      <c r="Q2113">
        <v>0.0830564654644181</v>
      </c>
      <c r="R2113">
        <v>0.994133010475606</v>
      </c>
      <c r="S2113" t="s">
        <v>4306</v>
      </c>
      <c r="T2113" t="s">
        <v>4362</v>
      </c>
      <c r="U2113" t="s">
        <v>4362</v>
      </c>
      <c r="V2113" t="s">
        <v>4362</v>
      </c>
      <c r="W2113" t="s">
        <v>6467</v>
      </c>
      <c r="X2113">
        <v>6</v>
      </c>
      <c r="Y2113" t="s">
        <v>8634</v>
      </c>
      <c r="Z2113" t="s">
        <v>10801</v>
      </c>
      <c r="AA2113">
        <v>0.2523653079036567</v>
      </c>
      <c r="AB2113">
        <f>HYPERLINK("Melting_Curves/meltCurve_P77775_yfcH.pdf", "Melting_Curves/meltCurve_P77775_yfcH.pdf")</f>
        <v>0</v>
      </c>
    </row>
    <row r="2114" spans="1:28">
      <c r="A2114" t="s">
        <v>2140</v>
      </c>
      <c r="B2114">
        <v>0.999739202189716</v>
      </c>
      <c r="C2114">
        <v>0.988982852417116</v>
      </c>
      <c r="D2114">
        <v>0.891070791167635</v>
      </c>
      <c r="E2114">
        <v>0.7728640389727111</v>
      </c>
      <c r="F2114">
        <v>0.577151556236377</v>
      </c>
      <c r="G2114">
        <v>0.435491870089145</v>
      </c>
      <c r="H2114">
        <v>0.256425371293503</v>
      </c>
      <c r="I2114">
        <v>0.227685826662014</v>
      </c>
      <c r="J2114">
        <v>0.197688834473303</v>
      </c>
      <c r="K2114">
        <v>0.169821196718429</v>
      </c>
      <c r="L2114">
        <v>623.494958117466</v>
      </c>
      <c r="M2114">
        <v>12.345081819934</v>
      </c>
      <c r="N2114">
        <v>51.7682836553013</v>
      </c>
      <c r="O2114">
        <v>49.2351632579426</v>
      </c>
      <c r="P2114">
        <v>-0.0545466429949941</v>
      </c>
      <c r="Q2114">
        <v>0.130007407629171</v>
      </c>
      <c r="R2114">
        <v>0.99718204491045</v>
      </c>
      <c r="S2114" t="s">
        <v>4307</v>
      </c>
      <c r="T2114" t="s">
        <v>4362</v>
      </c>
      <c r="U2114" t="s">
        <v>4362</v>
      </c>
      <c r="V2114" t="s">
        <v>4362</v>
      </c>
      <c r="W2114" t="s">
        <v>6468</v>
      </c>
      <c r="X2114">
        <v>1</v>
      </c>
      <c r="Y2114" t="s">
        <v>8635</v>
      </c>
      <c r="Z2114" t="s">
        <v>10802</v>
      </c>
      <c r="AA2114">
        <v>0.5444622659538048</v>
      </c>
      <c r="AB2114">
        <f>HYPERLINK("Melting_Curves/meltCurve_P77781_menI.pdf", "Melting_Curves/meltCurve_P77781_menI.pdf")</f>
        <v>0</v>
      </c>
    </row>
    <row r="2115" spans="1:28">
      <c r="A2115" t="s">
        <v>2141</v>
      </c>
      <c r="B2115">
        <v>0.999739202189716</v>
      </c>
      <c r="C2115">
        <v>0.97321491859704</v>
      </c>
      <c r="D2115">
        <v>0.587951486751883</v>
      </c>
      <c r="E2115">
        <v>0.622611107413151</v>
      </c>
      <c r="F2115">
        <v>0.3984829813797</v>
      </c>
      <c r="G2115">
        <v>0.348849456027819</v>
      </c>
      <c r="H2115">
        <v>0.284330802949318</v>
      </c>
      <c r="I2115">
        <v>0.19809135921503</v>
      </c>
      <c r="J2115">
        <v>0.146145219893721</v>
      </c>
      <c r="K2115">
        <v>0.141934906690992</v>
      </c>
      <c r="L2115">
        <v>455.892157663067</v>
      </c>
      <c r="M2115">
        <v>9.69738415536049</v>
      </c>
      <c r="N2115">
        <v>48.2789151797654</v>
      </c>
      <c r="O2115">
        <v>45.1433119179894</v>
      </c>
      <c r="P2115">
        <v>-0.0476959227010993</v>
      </c>
      <c r="Q2115">
        <v>0.112348305007862</v>
      </c>
      <c r="R2115">
        <v>0.949160903597713</v>
      </c>
      <c r="S2115" t="s">
        <v>4308</v>
      </c>
      <c r="T2115" t="s">
        <v>4362</v>
      </c>
      <c r="U2115" t="s">
        <v>4362</v>
      </c>
      <c r="V2115" t="s">
        <v>4362</v>
      </c>
      <c r="W2115" t="s">
        <v>6469</v>
      </c>
      <c r="X2115">
        <v>6</v>
      </c>
      <c r="Y2115" t="s">
        <v>8636</v>
      </c>
      <c r="Z2115" t="s">
        <v>10803</v>
      </c>
      <c r="AA2115">
        <v>0.4485154416499371</v>
      </c>
      <c r="AB2115">
        <f>HYPERLINK("Melting_Curves/meltCurve_P77783_ynfF.pdf", "Melting_Curves/meltCurve_P77783_ynfF.pdf")</f>
        <v>0</v>
      </c>
    </row>
    <row r="2116" spans="1:28">
      <c r="A2116" t="s">
        <v>2142</v>
      </c>
      <c r="B2116">
        <v>0.999739202189716</v>
      </c>
      <c r="C2116">
        <v>0.961864544155255</v>
      </c>
      <c r="D2116">
        <v>0.776527342179463</v>
      </c>
      <c r="E2116">
        <v>0.80566815533646</v>
      </c>
      <c r="F2116">
        <v>0.765235348501733</v>
      </c>
      <c r="G2116">
        <v>0.604625512267</v>
      </c>
      <c r="H2116">
        <v>0.55289912302087</v>
      </c>
      <c r="I2116">
        <v>0.550795170915662</v>
      </c>
      <c r="J2116">
        <v>0.496019821710293</v>
      </c>
      <c r="K2116">
        <v>0.544939797844929</v>
      </c>
      <c r="L2116">
        <v>409.573269172776</v>
      </c>
      <c r="M2116">
        <v>8.37733195775467</v>
      </c>
      <c r="O2116">
        <v>46.3428258508863</v>
      </c>
      <c r="P2116">
        <v>-0.0244585383803769</v>
      </c>
      <c r="Q2116">
        <v>0.459302752816314</v>
      </c>
      <c r="R2116">
        <v>0.935876762203611</v>
      </c>
      <c r="S2116" t="s">
        <v>4309</v>
      </c>
      <c r="T2116" t="s">
        <v>4362</v>
      </c>
      <c r="U2116" t="s">
        <v>4362</v>
      </c>
      <c r="V2116" t="s">
        <v>4362</v>
      </c>
      <c r="W2116" t="s">
        <v>6470</v>
      </c>
      <c r="X2116">
        <v>4</v>
      </c>
      <c r="Y2116" t="s">
        <v>8637</v>
      </c>
      <c r="Z2116" t="s">
        <v>10804</v>
      </c>
      <c r="AA2116">
        <v>0.6979679165731886</v>
      </c>
      <c r="AB2116">
        <f>HYPERLINK("Melting_Curves/meltCurve_P77791_maa.pdf", "Melting_Curves/meltCurve_P77791_maa.pdf")</f>
        <v>0</v>
      </c>
    </row>
    <row r="2117" spans="1:28">
      <c r="A2117" t="s">
        <v>2143</v>
      </c>
      <c r="B2117">
        <v>0.999739202189716</v>
      </c>
      <c r="C2117">
        <v>1.58856498216876</v>
      </c>
      <c r="D2117">
        <v>1.26731599663236</v>
      </c>
      <c r="E2117">
        <v>1.43011984188186</v>
      </c>
      <c r="F2117">
        <v>0.9328898935100221</v>
      </c>
      <c r="G2117">
        <v>0.70629334781103</v>
      </c>
      <c r="H2117">
        <v>0.477824516157174</v>
      </c>
      <c r="I2117">
        <v>0.351117343973826</v>
      </c>
      <c r="J2117">
        <v>0.288301225257906</v>
      </c>
      <c r="K2117">
        <v>0.268507528180444</v>
      </c>
      <c r="L2117">
        <v>1535.90795738738</v>
      </c>
      <c r="M2117">
        <v>27.9880499152252</v>
      </c>
      <c r="N2117">
        <v>56.6047691869091</v>
      </c>
      <c r="O2117">
        <v>54.5994151596961</v>
      </c>
      <c r="P2117">
        <v>-0.0913501634377577</v>
      </c>
      <c r="Q2117">
        <v>0.287178277443653</v>
      </c>
      <c r="R2117">
        <v>0.71500004331615</v>
      </c>
      <c r="S2117" t="s">
        <v>4310</v>
      </c>
      <c r="T2117" t="s">
        <v>4362</v>
      </c>
      <c r="U2117" t="s">
        <v>4362</v>
      </c>
      <c r="V2117" t="s">
        <v>4362</v>
      </c>
      <c r="W2117" t="s">
        <v>6471</v>
      </c>
      <c r="X2117">
        <v>2</v>
      </c>
      <c r="Y2117" t="s">
        <v>8638</v>
      </c>
      <c r="Z2117" t="s">
        <v>10805</v>
      </c>
      <c r="AA2117">
        <v>0.7170504998209175</v>
      </c>
      <c r="AB2117">
        <f>HYPERLINK("Melting_Curves/meltCurve_P77795_ydcT.pdf", "Melting_Curves/meltCurve_P77795_ydcT.pdf")</f>
        <v>0</v>
      </c>
    </row>
    <row r="2118" spans="1:28">
      <c r="A2118" t="s">
        <v>2144</v>
      </c>
      <c r="B2118">
        <v>0.999739202189716</v>
      </c>
      <c r="C2118">
        <v>1.0982297125734</v>
      </c>
      <c r="D2118">
        <v>1.3047356249423</v>
      </c>
      <c r="E2118">
        <v>1.0622919317846</v>
      </c>
      <c r="F2118">
        <v>1.32810597617162</v>
      </c>
      <c r="G2118">
        <v>1.21691319102521</v>
      </c>
      <c r="H2118">
        <v>1.24568199493825</v>
      </c>
      <c r="I2118">
        <v>0.71678445851196</v>
      </c>
      <c r="J2118">
        <v>0.436831082802163</v>
      </c>
      <c r="K2118">
        <v>0.180738900616824</v>
      </c>
      <c r="L2118">
        <v>2662.71545716306</v>
      </c>
      <c r="M2118">
        <v>42.5258867044501</v>
      </c>
      <c r="N2118">
        <v>63.1737271961025</v>
      </c>
      <c r="O2118">
        <v>62.4760072532733</v>
      </c>
      <c r="P2118">
        <v>-0.143457057740253</v>
      </c>
      <c r="Q2118">
        <v>0.156973763030514</v>
      </c>
      <c r="R2118">
        <v>0.752599675356398</v>
      </c>
      <c r="S2118" t="s">
        <v>4311</v>
      </c>
      <c r="T2118" t="s">
        <v>4362</v>
      </c>
      <c r="U2118" t="s">
        <v>4362</v>
      </c>
      <c r="V2118" t="s">
        <v>4362</v>
      </c>
      <c r="W2118" t="s">
        <v>6472</v>
      </c>
      <c r="X2118">
        <v>23</v>
      </c>
      <c r="Y2118" t="s">
        <v>8639</v>
      </c>
      <c r="Z2118" t="s">
        <v>10806</v>
      </c>
      <c r="AA2118">
        <v>0.8769767732540248</v>
      </c>
      <c r="AB2118">
        <f>HYPERLINK("Melting_Curves/meltCurve_P77804_ydgA.pdf", "Melting_Curves/meltCurve_P77804_ydgA.pdf")</f>
        <v>0</v>
      </c>
    </row>
    <row r="2119" spans="1:28">
      <c r="A2119" t="s">
        <v>2145</v>
      </c>
      <c r="B2119">
        <v>0.999739202189716</v>
      </c>
      <c r="C2119">
        <v>0.9604557874042779</v>
      </c>
      <c r="D2119">
        <v>1.38929695641053</v>
      </c>
      <c r="E2119">
        <v>0.967668170134385</v>
      </c>
      <c r="F2119">
        <v>0.818194641326112</v>
      </c>
      <c r="G2119">
        <v>0.246743816661875</v>
      </c>
      <c r="H2119">
        <v>0.172065425611419</v>
      </c>
      <c r="I2119">
        <v>0.114479814852898</v>
      </c>
      <c r="J2119">
        <v>0.0767346657931062</v>
      </c>
      <c r="K2119">
        <v>0.0654259062563875</v>
      </c>
      <c r="L2119">
        <v>2149.44958065709</v>
      </c>
      <c r="M2119">
        <v>41.4876770443456</v>
      </c>
      <c r="N2119">
        <v>52.0899871820826</v>
      </c>
      <c r="O2119">
        <v>51.6894182957154</v>
      </c>
      <c r="P2119">
        <v>-0.180561987121969</v>
      </c>
      <c r="Q2119">
        <v>0.100154345679644</v>
      </c>
      <c r="R2119">
        <v>0.927504606195538</v>
      </c>
      <c r="S2119" t="s">
        <v>4312</v>
      </c>
      <c r="T2119" t="s">
        <v>4362</v>
      </c>
      <c r="U2119" t="s">
        <v>4362</v>
      </c>
      <c r="V2119" t="s">
        <v>4362</v>
      </c>
      <c r="W2119" t="s">
        <v>6473</v>
      </c>
      <c r="X2119">
        <v>7</v>
      </c>
      <c r="Y2119" t="s">
        <v>8640</v>
      </c>
      <c r="Z2119" t="s">
        <v>10807</v>
      </c>
      <c r="AA2119">
        <v>0.5473477068700098</v>
      </c>
      <c r="AB2119">
        <f>HYPERLINK("Melting_Curves/meltCurve_P77808_yfaY.pdf", "Melting_Curves/meltCurve_P77808_yfaY.pdf")</f>
        <v>0</v>
      </c>
    </row>
    <row r="2120" spans="1:28">
      <c r="A2120" t="s">
        <v>2146</v>
      </c>
      <c r="B2120">
        <v>0.999739202189716</v>
      </c>
      <c r="C2120">
        <v>0.985921111166798</v>
      </c>
      <c r="D2120">
        <v>0.901820409003515</v>
      </c>
      <c r="E2120">
        <v>0.8567739278426449</v>
      </c>
      <c r="F2120">
        <v>0.594228603438807</v>
      </c>
      <c r="G2120">
        <v>0.321193738977557</v>
      </c>
      <c r="H2120">
        <v>0.199739287473294</v>
      </c>
      <c r="I2120">
        <v>0.133251883957186</v>
      </c>
      <c r="J2120">
        <v>0.111918905902791</v>
      </c>
      <c r="K2120">
        <v>0.0766549347723071</v>
      </c>
      <c r="L2120">
        <v>834.59357968725</v>
      </c>
      <c r="M2120">
        <v>16.4021566402581</v>
      </c>
      <c r="N2120">
        <v>51.3572880092369</v>
      </c>
      <c r="O2120">
        <v>50.1448451981464</v>
      </c>
      <c r="P2120">
        <v>-0.07603381034071249</v>
      </c>
      <c r="Q2120">
        <v>0.07026063347647341</v>
      </c>
      <c r="R2120">
        <v>0.99680367938644</v>
      </c>
      <c r="S2120" t="s">
        <v>4313</v>
      </c>
      <c r="T2120" t="s">
        <v>4362</v>
      </c>
      <c r="U2120" t="s">
        <v>4362</v>
      </c>
      <c r="V2120" t="s">
        <v>4362</v>
      </c>
      <c r="W2120" t="s">
        <v>6474</v>
      </c>
      <c r="X2120">
        <v>3</v>
      </c>
      <c r="Y2120" t="s">
        <v>8641</v>
      </c>
      <c r="Z2120" t="s">
        <v>10808</v>
      </c>
      <c r="AA2120">
        <v>0.5171372597336555</v>
      </c>
      <c r="AB2120">
        <f>HYPERLINK("Melting_Curves/meltCurve_P78055_fsaA.pdf", "Melting_Curves/meltCurve_P78055_fsaA.pdf")</f>
        <v>0</v>
      </c>
    </row>
    <row r="2121" spans="1:28">
      <c r="A2121" t="s">
        <v>2147</v>
      </c>
      <c r="B2121">
        <v>0.999739202189716</v>
      </c>
      <c r="C2121">
        <v>1.05428166798816</v>
      </c>
      <c r="D2121">
        <v>0.976927190774406</v>
      </c>
      <c r="E2121">
        <v>0.795683676229466</v>
      </c>
      <c r="F2121">
        <v>0.709145663620897</v>
      </c>
      <c r="G2121">
        <v>0.530389103779454</v>
      </c>
      <c r="H2121">
        <v>0.255360711754104</v>
      </c>
      <c r="I2121">
        <v>0.0866466908021131</v>
      </c>
      <c r="J2121">
        <v>0.0821226782610153</v>
      </c>
      <c r="K2121">
        <v>0.0750143772752689</v>
      </c>
      <c r="L2121">
        <v>739.5127804599369</v>
      </c>
      <c r="M2121">
        <v>13.8802551943785</v>
      </c>
      <c r="N2121">
        <v>53.2780354255113</v>
      </c>
      <c r="O2121">
        <v>52.2087035724462</v>
      </c>
      <c r="P2121">
        <v>-0.0664743314365495</v>
      </c>
      <c r="Q2121">
        <v>0</v>
      </c>
      <c r="R2121">
        <v>0.986594192948645</v>
      </c>
      <c r="S2121" t="s">
        <v>4314</v>
      </c>
      <c r="T2121" t="s">
        <v>4362</v>
      </c>
      <c r="U2121" t="s">
        <v>4362</v>
      </c>
      <c r="V2121" t="s">
        <v>4362</v>
      </c>
      <c r="W2121" t="s">
        <v>6475</v>
      </c>
      <c r="X2121">
        <v>18</v>
      </c>
      <c r="Y2121" t="s">
        <v>8642</v>
      </c>
      <c r="Z2121" t="s">
        <v>10809</v>
      </c>
      <c r="AA2121">
        <v>0.5611794397038367</v>
      </c>
      <c r="AB2121">
        <f>HYPERLINK("Melting_Curves/meltCurve_P78067_ynjE.pdf", "Melting_Curves/meltCurve_P78067_ynjE.pdf")</f>
        <v>0</v>
      </c>
    </row>
    <row r="2122" spans="1:28">
      <c r="A2122" t="s">
        <v>2148</v>
      </c>
      <c r="B2122">
        <v>0.999739202189716</v>
      </c>
      <c r="C2122">
        <v>1.15007361931572</v>
      </c>
      <c r="D2122">
        <v>0.97051096488052</v>
      </c>
      <c r="E2122">
        <v>0.632335969415146</v>
      </c>
      <c r="F2122">
        <v>0.173605963759113</v>
      </c>
      <c r="G2122">
        <v>0.08428541086169131</v>
      </c>
      <c r="H2122">
        <v>0.0598454361010978</v>
      </c>
      <c r="I2122">
        <v>0.0480292199342517</v>
      </c>
      <c r="J2122">
        <v>0.0422267247292848</v>
      </c>
      <c r="K2122">
        <v>0.0379634192572922</v>
      </c>
      <c r="L2122">
        <v>1570.16994848884</v>
      </c>
      <c r="M2122">
        <v>33.2145424318597</v>
      </c>
      <c r="N2122">
        <v>47.4262233479305</v>
      </c>
      <c r="O2122">
        <v>47.1031929358106</v>
      </c>
      <c r="P2122">
        <v>-0.167350006894747</v>
      </c>
      <c r="Q2122">
        <v>0.0506946867598728</v>
      </c>
      <c r="R2122">
        <v>0.987793758936259</v>
      </c>
      <c r="S2122" t="s">
        <v>4315</v>
      </c>
      <c r="T2122" t="s">
        <v>4362</v>
      </c>
      <c r="U2122" t="s">
        <v>4362</v>
      </c>
      <c r="V2122" t="s">
        <v>4362</v>
      </c>
      <c r="W2122" t="s">
        <v>6476</v>
      </c>
      <c r="X2122">
        <v>4</v>
      </c>
      <c r="Y2122" t="s">
        <v>8643</v>
      </c>
      <c r="Z2122" t="s">
        <v>10810</v>
      </c>
      <c r="AA2122">
        <v>0.3803019062176335</v>
      </c>
      <c r="AB2122">
        <f>HYPERLINK("Melting_Curves/meltCurve_P80668_feaB.pdf", "Melting_Curves/meltCurve_P80668_feaB.pdf")</f>
        <v>0</v>
      </c>
    </row>
    <row r="2123" spans="1:28">
      <c r="A2123" t="s">
        <v>2149</v>
      </c>
      <c r="B2123">
        <v>0.999739202189716</v>
      </c>
      <c r="C2123">
        <v>0.9671080092832089</v>
      </c>
      <c r="D2123">
        <v>0.847544664655498</v>
      </c>
      <c r="E2123">
        <v>0.746812067010424</v>
      </c>
      <c r="F2123">
        <v>0.903235243508299</v>
      </c>
      <c r="G2123">
        <v>0.669165074578292</v>
      </c>
      <c r="H2123">
        <v>0.55879772146372</v>
      </c>
      <c r="I2123">
        <v>0.57179898897505</v>
      </c>
      <c r="J2123">
        <v>0.668441062925367</v>
      </c>
      <c r="K2123">
        <v>0.485149557031707</v>
      </c>
      <c r="L2123">
        <v>350.006939816144</v>
      </c>
      <c r="M2123">
        <v>6.66403413324735</v>
      </c>
      <c r="O2123">
        <v>48.397494953539</v>
      </c>
      <c r="P2123">
        <v>-0.0197247806901821</v>
      </c>
      <c r="Q2123">
        <v>0.428264235338322</v>
      </c>
      <c r="R2123">
        <v>0.819380774356103</v>
      </c>
      <c r="S2123" t="s">
        <v>4316</v>
      </c>
      <c r="T2123" t="s">
        <v>4362</v>
      </c>
      <c r="U2123" t="s">
        <v>4362</v>
      </c>
      <c r="V2123" t="s">
        <v>4362</v>
      </c>
      <c r="W2123" t="s">
        <v>6477</v>
      </c>
      <c r="X2123">
        <v>4</v>
      </c>
      <c r="Y2123" t="s">
        <v>8644</v>
      </c>
      <c r="Z2123" t="s">
        <v>10811</v>
      </c>
      <c r="AA2123">
        <v>0.7377705812568384</v>
      </c>
      <c r="AB2123">
        <f>HYPERLINK("Melting_Curves/meltCurve_Q2M7R5_yibT.pdf", "Melting_Curves/meltCurve_Q2M7R5_yibT.pdf")</f>
        <v>0</v>
      </c>
    </row>
    <row r="2124" spans="1:28">
      <c r="A2124" t="s">
        <v>2150</v>
      </c>
      <c r="B2124">
        <v>0.999739202189716</v>
      </c>
      <c r="C2124">
        <v>1.09355988618993</v>
      </c>
      <c r="D2124">
        <v>0.627869207735911</v>
      </c>
      <c r="E2124">
        <v>0.820732453814453</v>
      </c>
      <c r="F2124">
        <v>0.677992010647422</v>
      </c>
      <c r="G2124">
        <v>0.504157447292369</v>
      </c>
      <c r="H2124">
        <v>0.417033490480923</v>
      </c>
      <c r="I2124">
        <v>0.371413470129041</v>
      </c>
      <c r="J2124">
        <v>0.314107578017954</v>
      </c>
      <c r="K2124">
        <v>0.35756696714045</v>
      </c>
      <c r="L2124">
        <v>441.635566578651</v>
      </c>
      <c r="M2124">
        <v>8.76916190528326</v>
      </c>
      <c r="N2124">
        <v>54.5149124042868</v>
      </c>
      <c r="O2124">
        <v>47.949268200898</v>
      </c>
      <c r="P2124">
        <v>-0.0346099042925056</v>
      </c>
      <c r="Q2124">
        <v>0.243626200415096</v>
      </c>
      <c r="R2124">
        <v>0.865944571588729</v>
      </c>
      <c r="S2124" t="s">
        <v>4317</v>
      </c>
      <c r="T2124" t="s">
        <v>4362</v>
      </c>
      <c r="U2124" t="s">
        <v>4362</v>
      </c>
      <c r="V2124" t="s">
        <v>4362</v>
      </c>
      <c r="W2124" t="s">
        <v>6478</v>
      </c>
      <c r="X2124">
        <v>3</v>
      </c>
      <c r="Y2124" t="s">
        <v>8645</v>
      </c>
      <c r="Z2124" t="s">
        <v>10812</v>
      </c>
      <c r="AA2124">
        <v>0.6080021765649888</v>
      </c>
      <c r="AB2124">
        <f>HYPERLINK("Melting_Curves/meltCurve_Q2M7X4_yicS.pdf", "Melting_Curves/meltCurve_Q2M7X4_yicS.pdf")</f>
        <v>0</v>
      </c>
    </row>
    <row r="2125" spans="1:28">
      <c r="A2125" t="s">
        <v>2151</v>
      </c>
      <c r="B2125">
        <v>0.999739202189716</v>
      </c>
      <c r="C2125">
        <v>0.931411842992916</v>
      </c>
      <c r="D2125">
        <v>1.11238400795739</v>
      </c>
      <c r="E2125">
        <v>0.951365582605082</v>
      </c>
      <c r="F2125">
        <v>0.835585026991331</v>
      </c>
      <c r="G2125">
        <v>0.583283304135733</v>
      </c>
      <c r="H2125">
        <v>0.454458421511655</v>
      </c>
      <c r="I2125">
        <v>0.289336054452083</v>
      </c>
      <c r="J2125">
        <v>0.271428982607368</v>
      </c>
      <c r="K2125">
        <v>0.152360333113552</v>
      </c>
      <c r="L2125">
        <v>849.809603048292</v>
      </c>
      <c r="M2125">
        <v>15.5533428514479</v>
      </c>
      <c r="N2125">
        <v>55.9339652950192</v>
      </c>
      <c r="O2125">
        <v>53.7590577943218</v>
      </c>
      <c r="P2125">
        <v>-0.0613944782222926</v>
      </c>
      <c r="Q2125">
        <v>0.151251223507712</v>
      </c>
      <c r="R2125">
        <v>0.975884298103004</v>
      </c>
      <c r="S2125" t="s">
        <v>4318</v>
      </c>
      <c r="T2125" t="s">
        <v>4362</v>
      </c>
      <c r="U2125" t="s">
        <v>4362</v>
      </c>
      <c r="V2125" t="s">
        <v>4362</v>
      </c>
      <c r="W2125" t="s">
        <v>6479</v>
      </c>
      <c r="X2125">
        <v>3</v>
      </c>
      <c r="Y2125" t="s">
        <v>8646</v>
      </c>
      <c r="Z2125" t="s">
        <v>10813</v>
      </c>
      <c r="AA2125">
        <v>0.6626722570333247</v>
      </c>
      <c r="AB2125">
        <f>HYPERLINK("Melting_Curves/meltCurve_Q2MB16_yobH.pdf", "Melting_Curves/meltCurve_Q2MB16_yobH.pdf")</f>
        <v>0</v>
      </c>
    </row>
    <row r="2126" spans="1:28">
      <c r="A2126" t="s">
        <v>2152</v>
      </c>
      <c r="B2126">
        <v>0.999739202189716</v>
      </c>
      <c r="C2126">
        <v>1.00720635895236</v>
      </c>
      <c r="D2126">
        <v>0.910364555743758</v>
      </c>
      <c r="E2126">
        <v>0.777820640053813</v>
      </c>
      <c r="F2126">
        <v>0.409324654833966</v>
      </c>
      <c r="G2126">
        <v>0.159421186783933</v>
      </c>
      <c r="H2126">
        <v>0.121824024089317</v>
      </c>
      <c r="I2126">
        <v>0.090444277613747</v>
      </c>
      <c r="J2126">
        <v>0.092680438626857</v>
      </c>
      <c r="K2126">
        <v>0.0768170881155886</v>
      </c>
      <c r="L2126">
        <v>1084.02714972187</v>
      </c>
      <c r="M2126">
        <v>22.2004814954603</v>
      </c>
      <c r="N2126">
        <v>49.2088914086359</v>
      </c>
      <c r="O2126">
        <v>48.4380053436029</v>
      </c>
      <c r="P2126">
        <v>-0.105560807869979</v>
      </c>
      <c r="Q2126">
        <v>0.07875109742885569</v>
      </c>
      <c r="R2126">
        <v>0.997774487703364</v>
      </c>
      <c r="S2126" t="s">
        <v>4319</v>
      </c>
      <c r="T2126" t="s">
        <v>4362</v>
      </c>
      <c r="U2126" t="s">
        <v>4362</v>
      </c>
      <c r="V2126" t="s">
        <v>4362</v>
      </c>
      <c r="W2126" t="s">
        <v>6480</v>
      </c>
      <c r="X2126">
        <v>5</v>
      </c>
      <c r="Y2126" t="s">
        <v>8647</v>
      </c>
      <c r="Z2126" t="s">
        <v>10814</v>
      </c>
      <c r="AA2126">
        <v>0.4519830882311909</v>
      </c>
      <c r="AB2126">
        <f>HYPERLINK("Melting_Curves/meltCurve_Q46798_ygeR.pdf", "Melting_Curves/meltCurve_Q46798_ygeR.pdf")</f>
        <v>0</v>
      </c>
    </row>
    <row r="2127" spans="1:28">
      <c r="A2127" t="s">
        <v>2153</v>
      </c>
      <c r="B2127">
        <v>0.999739202189716</v>
      </c>
      <c r="C2127">
        <v>1.02179535830006</v>
      </c>
      <c r="D2127">
        <v>0.483157476837779</v>
      </c>
      <c r="E2127">
        <v>0.408186595787411</v>
      </c>
      <c r="F2127">
        <v>0.321968845841194</v>
      </c>
      <c r="G2127">
        <v>0.251887712245912</v>
      </c>
      <c r="H2127">
        <v>0.203693927398113</v>
      </c>
      <c r="I2127">
        <v>0.150920993528635</v>
      </c>
      <c r="J2127">
        <v>0.132312782205247</v>
      </c>
      <c r="K2127">
        <v>0.103724301811393</v>
      </c>
      <c r="L2127">
        <v>811.9713787857</v>
      </c>
      <c r="M2127">
        <v>18.6692582666321</v>
      </c>
      <c r="N2127">
        <v>44.5218718924554</v>
      </c>
      <c r="O2127">
        <v>43.0026332980245</v>
      </c>
      <c r="P2127">
        <v>-0.0895142280761731</v>
      </c>
      <c r="Q2127">
        <v>0.175289554656174</v>
      </c>
      <c r="R2127">
        <v>0.936012876394906</v>
      </c>
      <c r="S2127" t="s">
        <v>4320</v>
      </c>
      <c r="T2127" t="s">
        <v>4362</v>
      </c>
      <c r="U2127" t="s">
        <v>4362</v>
      </c>
      <c r="V2127" t="s">
        <v>4362</v>
      </c>
      <c r="W2127" t="s">
        <v>6481</v>
      </c>
      <c r="X2127">
        <v>5</v>
      </c>
      <c r="Y2127" t="s">
        <v>8648</v>
      </c>
      <c r="Z2127" t="s">
        <v>10815</v>
      </c>
      <c r="AA2127">
        <v>0.3668627442440192</v>
      </c>
      <c r="AB2127">
        <f>HYPERLINK("Melting_Curves/meltCurve_Q46799_xdhA.pdf", "Melting_Curves/meltCurve_Q46799_xdhA.pdf")</f>
        <v>0</v>
      </c>
    </row>
    <row r="2128" spans="1:28">
      <c r="A2128" t="s">
        <v>2154</v>
      </c>
      <c r="B2128">
        <v>0.999739202189716</v>
      </c>
      <c r="C2128">
        <v>0.98103206070732</v>
      </c>
      <c r="D2128">
        <v>0.654361656458981</v>
      </c>
      <c r="E2128">
        <v>0.569771627212216</v>
      </c>
      <c r="F2128">
        <v>0.455975091798586</v>
      </c>
      <c r="G2128">
        <v>0.260422580551639</v>
      </c>
      <c r="H2128">
        <v>0.186719239869955</v>
      </c>
      <c r="I2128">
        <v>0.139479197478858</v>
      </c>
      <c r="J2128">
        <v>0.129457465382796</v>
      </c>
      <c r="K2128">
        <v>0.09827869651378859</v>
      </c>
      <c r="L2128">
        <v>503.172640590332</v>
      </c>
      <c r="M2128">
        <v>10.6177308647425</v>
      </c>
      <c r="N2128">
        <v>48.0329109075706</v>
      </c>
      <c r="O2128">
        <v>45.8015235208962</v>
      </c>
      <c r="P2128">
        <v>-0.0541362545237332</v>
      </c>
      <c r="Q2128">
        <v>0.0662544413964514</v>
      </c>
      <c r="R2128">
        <v>0.975320445491983</v>
      </c>
      <c r="S2128" t="s">
        <v>4321</v>
      </c>
      <c r="T2128" t="s">
        <v>4362</v>
      </c>
      <c r="U2128" t="s">
        <v>4362</v>
      </c>
      <c r="V2128" t="s">
        <v>4362</v>
      </c>
      <c r="W2128" t="s">
        <v>6482</v>
      </c>
      <c r="X2128">
        <v>2</v>
      </c>
      <c r="Y2128" t="s">
        <v>8649</v>
      </c>
      <c r="Z2128" t="s">
        <v>10816</v>
      </c>
      <c r="AA2128">
        <v>0.4257244128181136</v>
      </c>
      <c r="AB2128">
        <f>HYPERLINK("Melting_Curves/meltCurve_Q46800_xdhB.pdf", "Melting_Curves/meltCurve_Q46800_xdhB.pdf")</f>
        <v>0</v>
      </c>
    </row>
    <row r="2129" spans="1:28">
      <c r="A2129" t="s">
        <v>2155</v>
      </c>
      <c r="B2129">
        <v>0.999739202189716</v>
      </c>
      <c r="C2129">
        <v>0.955592773084102</v>
      </c>
      <c r="D2129">
        <v>0.821732757498058</v>
      </c>
      <c r="E2129">
        <v>0.768822526177657</v>
      </c>
      <c r="F2129">
        <v>0.696163283968529</v>
      </c>
      <c r="G2129">
        <v>0.542496680070098</v>
      </c>
      <c r="H2129">
        <v>0.531678071970638</v>
      </c>
      <c r="I2129">
        <v>0.428977551568308</v>
      </c>
      <c r="J2129">
        <v>0.447148126519721</v>
      </c>
      <c r="K2129">
        <v>0.365311153468834</v>
      </c>
      <c r="L2129">
        <v>403.929950618628</v>
      </c>
      <c r="M2129">
        <v>7.94188054990808</v>
      </c>
      <c r="N2129">
        <v>57.5097239301654</v>
      </c>
      <c r="O2129">
        <v>47.9394099155644</v>
      </c>
      <c r="P2129">
        <v>-0.0290092571923396</v>
      </c>
      <c r="Q2129">
        <v>0.300380930743824</v>
      </c>
      <c r="R2129">
        <v>0.9808895139785609</v>
      </c>
      <c r="S2129" t="s">
        <v>4322</v>
      </c>
      <c r="T2129" t="s">
        <v>4362</v>
      </c>
      <c r="U2129" t="s">
        <v>4362</v>
      </c>
      <c r="V2129" t="s">
        <v>4362</v>
      </c>
      <c r="W2129" t="s">
        <v>6483</v>
      </c>
      <c r="X2129">
        <v>3</v>
      </c>
      <c r="Y2129" t="s">
        <v>8650</v>
      </c>
      <c r="Z2129" t="s">
        <v>10817</v>
      </c>
      <c r="AA2129">
        <v>0.6486692437248782</v>
      </c>
      <c r="AB2129">
        <f>HYPERLINK("Melting_Curves/meltCurve_Q46801_xdhC.pdf", "Melting_Curves/meltCurve_Q46801_xdhC.pdf")</f>
        <v>0</v>
      </c>
    </row>
    <row r="2130" spans="1:28">
      <c r="A2130" t="s">
        <v>2156</v>
      </c>
      <c r="B2130">
        <v>0.999739202189716</v>
      </c>
      <c r="C2130">
        <v>1.10049693804803</v>
      </c>
      <c r="D2130">
        <v>0.870342726831262</v>
      </c>
      <c r="E2130">
        <v>0.919055204590866</v>
      </c>
      <c r="F2130">
        <v>0.980113390283687</v>
      </c>
      <c r="G2130">
        <v>0.861632201727191</v>
      </c>
      <c r="H2130">
        <v>0.8404192080851151</v>
      </c>
      <c r="I2130">
        <v>0.689304055483319</v>
      </c>
      <c r="J2130">
        <v>0.5744070792845259</v>
      </c>
      <c r="K2130">
        <v>0.218017352724111</v>
      </c>
      <c r="L2130">
        <v>1011.26842337614</v>
      </c>
      <c r="M2130">
        <v>15.860495302073</v>
      </c>
      <c r="N2130">
        <v>63.7602159397733</v>
      </c>
      <c r="O2130">
        <v>62.7724208306861</v>
      </c>
      <c r="P2130">
        <v>-0.06317177986346879</v>
      </c>
      <c r="Q2130">
        <v>0</v>
      </c>
      <c r="R2130">
        <v>0.89799420503947</v>
      </c>
      <c r="S2130" t="s">
        <v>4323</v>
      </c>
      <c r="T2130" t="s">
        <v>4362</v>
      </c>
      <c r="U2130" t="s">
        <v>4362</v>
      </c>
      <c r="V2130" t="s">
        <v>4362</v>
      </c>
      <c r="W2130" t="s">
        <v>6484</v>
      </c>
      <c r="X2130">
        <v>13</v>
      </c>
      <c r="Y2130" t="s">
        <v>8651</v>
      </c>
      <c r="Z2130" t="s">
        <v>10818</v>
      </c>
      <c r="AA2130">
        <v>0.8544470926464899</v>
      </c>
      <c r="AB2130">
        <f>HYPERLINK("Melting_Curves/meltCurve_Q46803_ygeW.pdf", "Melting_Curves/meltCurve_Q46803_ygeW.pdf")</f>
        <v>0</v>
      </c>
    </row>
    <row r="2131" spans="1:28">
      <c r="A2131" t="s">
        <v>2157</v>
      </c>
      <c r="B2131">
        <v>0.999739202189716</v>
      </c>
      <c r="C2131">
        <v>1.09598433443693</v>
      </c>
      <c r="D2131">
        <v>0.928672878602097</v>
      </c>
      <c r="E2131">
        <v>0.759215873272261</v>
      </c>
      <c r="F2131">
        <v>0.776775998719259</v>
      </c>
      <c r="G2131">
        <v>0.620783924169983</v>
      </c>
      <c r="H2131">
        <v>0.587942394910558</v>
      </c>
      <c r="I2131">
        <v>0.448231013591293</v>
      </c>
      <c r="J2131">
        <v>0.320083782122135</v>
      </c>
      <c r="K2131">
        <v>0.214580752932309</v>
      </c>
      <c r="L2131">
        <v>436.936616783757</v>
      </c>
      <c r="M2131">
        <v>7.52159105836907</v>
      </c>
      <c r="N2131">
        <v>58.09098229726</v>
      </c>
      <c r="O2131">
        <v>54.4103293345368</v>
      </c>
      <c r="P2131">
        <v>-0.0346087365224699</v>
      </c>
      <c r="Q2131">
        <v>0</v>
      </c>
      <c r="R2131">
        <v>0.951605107288044</v>
      </c>
      <c r="S2131" t="s">
        <v>4324</v>
      </c>
      <c r="T2131" t="s">
        <v>4362</v>
      </c>
      <c r="U2131" t="s">
        <v>4362</v>
      </c>
      <c r="V2131" t="s">
        <v>4362</v>
      </c>
      <c r="W2131" t="s">
        <v>6485</v>
      </c>
      <c r="X2131">
        <v>3</v>
      </c>
      <c r="Y2131" t="s">
        <v>8652</v>
      </c>
      <c r="Z2131" t="s">
        <v>10819</v>
      </c>
      <c r="AA2131">
        <v>0.6770804824479426</v>
      </c>
      <c r="AB2131">
        <f>HYPERLINK("Melting_Curves/meltCurve_Q46806_hyuA.pdf", "Melting_Curves/meltCurve_Q46806_hyuA.pdf")</f>
        <v>0</v>
      </c>
    </row>
    <row r="2132" spans="1:28">
      <c r="A2132" t="s">
        <v>2158</v>
      </c>
      <c r="B2132">
        <v>0.999739202189716</v>
      </c>
      <c r="C2132">
        <v>0.943047508990424</v>
      </c>
      <c r="D2132">
        <v>0.691275947506504</v>
      </c>
      <c r="E2132">
        <v>0.470715979046181</v>
      </c>
      <c r="F2132">
        <v>0.295290870931707</v>
      </c>
      <c r="G2132">
        <v>0.169111471279885</v>
      </c>
      <c r="H2132">
        <v>0.131810650619679</v>
      </c>
      <c r="I2132">
        <v>0.09906901289430881</v>
      </c>
      <c r="J2132">
        <v>0.0991920664016831</v>
      </c>
      <c r="K2132">
        <v>0.0960048855763007</v>
      </c>
      <c r="L2132">
        <v>676.878024016378</v>
      </c>
      <c r="M2132">
        <v>14.859954753853</v>
      </c>
      <c r="N2132">
        <v>46.1557259190333</v>
      </c>
      <c r="O2132">
        <v>44.7494308746389</v>
      </c>
      <c r="P2132">
        <v>-0.07567630723415859</v>
      </c>
      <c r="Q2132">
        <v>0.08852568233073881</v>
      </c>
      <c r="R2132">
        <v>0.995688592226766</v>
      </c>
      <c r="S2132" t="s">
        <v>4325</v>
      </c>
      <c r="T2132" t="s">
        <v>4362</v>
      </c>
      <c r="U2132" t="s">
        <v>4362</v>
      </c>
      <c r="V2132" t="s">
        <v>4362</v>
      </c>
      <c r="W2132" t="s">
        <v>6486</v>
      </c>
      <c r="X2132">
        <v>6</v>
      </c>
      <c r="Y2132" t="s">
        <v>8653</v>
      </c>
      <c r="Z2132" t="s">
        <v>10820</v>
      </c>
      <c r="AA2132">
        <v>0.3699909564452517</v>
      </c>
      <c r="AB2132">
        <f>HYPERLINK("Melting_Curves/meltCurve_Q46807_yqeA.pdf", "Melting_Curves/meltCurve_Q46807_yqeA.pdf")</f>
        <v>0</v>
      </c>
    </row>
    <row r="2133" spans="1:28">
      <c r="A2133" t="s">
        <v>2159</v>
      </c>
      <c r="B2133">
        <v>0.999739202189716</v>
      </c>
      <c r="C2133">
        <v>1.27683737958916</v>
      </c>
      <c r="D2133">
        <v>0.842482020903253</v>
      </c>
      <c r="E2133">
        <v>0.843753401665972</v>
      </c>
      <c r="F2133">
        <v>0.561827501370756</v>
      </c>
      <c r="G2133">
        <v>0.365629094125498</v>
      </c>
      <c r="H2133">
        <v>0.22234996081674</v>
      </c>
      <c r="I2133">
        <v>0.130565411459944</v>
      </c>
      <c r="J2133">
        <v>0.115112754058165</v>
      </c>
      <c r="K2133">
        <v>0.0824941945233129</v>
      </c>
      <c r="L2133">
        <v>797.3849293412439</v>
      </c>
      <c r="M2133">
        <v>15.6736678525395</v>
      </c>
      <c r="N2133">
        <v>51.4024230041801</v>
      </c>
      <c r="O2133">
        <v>50.0676195230505</v>
      </c>
      <c r="P2133">
        <v>-0.07244696319835769</v>
      </c>
      <c r="Q2133">
        <v>0.0743867591880383</v>
      </c>
      <c r="R2133">
        <v>0.94043420807179</v>
      </c>
      <c r="S2133" t="s">
        <v>4326</v>
      </c>
      <c r="T2133" t="s">
        <v>4362</v>
      </c>
      <c r="U2133" t="s">
        <v>4362</v>
      </c>
      <c r="V2133" t="s">
        <v>4362</v>
      </c>
      <c r="W2133" t="s">
        <v>6487</v>
      </c>
      <c r="X2133">
        <v>14</v>
      </c>
      <c r="Y2133" t="s">
        <v>8654</v>
      </c>
      <c r="Z2133" t="s">
        <v>10821</v>
      </c>
      <c r="AA2133">
        <v>0.5201072930430615</v>
      </c>
      <c r="AB2133">
        <f>HYPERLINK("Melting_Curves/meltCurve_Q46811_ygfK.pdf", "Melting_Curves/meltCurve_Q46811_ygfK.pdf")</f>
        <v>0</v>
      </c>
    </row>
    <row r="2134" spans="1:28">
      <c r="A2134" t="s">
        <v>2160</v>
      </c>
      <c r="B2134">
        <v>0.999739202189716</v>
      </c>
      <c r="C2134">
        <v>0.969638455610134</v>
      </c>
      <c r="D2134">
        <v>0.623841345350715</v>
      </c>
      <c r="E2134">
        <v>0.668814316098166</v>
      </c>
      <c r="F2134">
        <v>0.621943472005587</v>
      </c>
      <c r="G2134">
        <v>0.416539466562747</v>
      </c>
      <c r="H2134">
        <v>0.364939726878126</v>
      </c>
      <c r="I2134">
        <v>0.361873299884072</v>
      </c>
      <c r="J2134">
        <v>0.373561140765436</v>
      </c>
      <c r="K2134">
        <v>0.26608556542551</v>
      </c>
      <c r="L2134">
        <v>418.865481142735</v>
      </c>
      <c r="M2134">
        <v>8.865853954881869</v>
      </c>
      <c r="N2134">
        <v>51.5511077949625</v>
      </c>
      <c r="O2134">
        <v>45.026451996263</v>
      </c>
      <c r="P2134">
        <v>-0.0363768781243278</v>
      </c>
      <c r="Q2134">
        <v>0.261587804653174</v>
      </c>
      <c r="R2134">
        <v>0.9159721366282489</v>
      </c>
      <c r="S2134" t="s">
        <v>4327</v>
      </c>
      <c r="T2134" t="s">
        <v>4362</v>
      </c>
      <c r="U2134" t="s">
        <v>4362</v>
      </c>
      <c r="V2134" t="s">
        <v>4362</v>
      </c>
      <c r="W2134" t="s">
        <v>6488</v>
      </c>
      <c r="X2134">
        <v>1</v>
      </c>
      <c r="Y2134" t="s">
        <v>8655</v>
      </c>
      <c r="Z2134" t="s">
        <v>10822</v>
      </c>
      <c r="AA2134">
        <v>0.5503892494306213</v>
      </c>
      <c r="AB2134">
        <f>HYPERLINK("Melting_Curves/meltCurve_Q46812_ssnA.pdf", "Melting_Curves/meltCurve_Q46812_ssnA.pdf")</f>
        <v>0</v>
      </c>
    </row>
    <row r="2135" spans="1:28">
      <c r="A2135" t="s">
        <v>2161</v>
      </c>
      <c r="B2135">
        <v>0.999739202189716</v>
      </c>
      <c r="C2135">
        <v>0.86716471903133</v>
      </c>
      <c r="D2135">
        <v>0.403468133489746</v>
      </c>
      <c r="E2135">
        <v>0.378538707261567</v>
      </c>
      <c r="F2135">
        <v>0.282560233291023</v>
      </c>
      <c r="G2135">
        <v>0.16520698663099</v>
      </c>
      <c r="H2135">
        <v>0.119893633738357</v>
      </c>
      <c r="I2135">
        <v>0.09336002969951961</v>
      </c>
      <c r="J2135">
        <v>0.0872543832525413</v>
      </c>
      <c r="K2135">
        <v>0.0711340514110302</v>
      </c>
      <c r="L2135">
        <v>647.288466929502</v>
      </c>
      <c r="M2135">
        <v>15.041127910786</v>
      </c>
      <c r="N2135">
        <v>43.7154550832057</v>
      </c>
      <c r="O2135">
        <v>42.295375815097</v>
      </c>
      <c r="P2135">
        <v>-0.0796291619409282</v>
      </c>
      <c r="Q2135">
        <v>0.104426541802379</v>
      </c>
      <c r="R2135">
        <v>0.952569136964146</v>
      </c>
      <c r="S2135" t="s">
        <v>4328</v>
      </c>
      <c r="T2135" t="s">
        <v>4362</v>
      </c>
      <c r="U2135" t="s">
        <v>4362</v>
      </c>
      <c r="V2135" t="s">
        <v>4362</v>
      </c>
      <c r="W2135" t="s">
        <v>6489</v>
      </c>
      <c r="X2135">
        <v>6</v>
      </c>
      <c r="Y2135" t="s">
        <v>8656</v>
      </c>
      <c r="Z2135" t="s">
        <v>10823</v>
      </c>
      <c r="AA2135">
        <v>0.3080414217136601</v>
      </c>
      <c r="AB2135">
        <f>HYPERLINK("Melting_Curves/meltCurve_Q46814_xdhD.pdf", "Melting_Curves/meltCurve_Q46814_xdhD.pdf")</f>
        <v>0</v>
      </c>
    </row>
    <row r="2136" spans="1:28">
      <c r="A2136" t="s">
        <v>2162</v>
      </c>
      <c r="B2136">
        <v>0.999739202189716</v>
      </c>
      <c r="C2136">
        <v>0.862266106391808</v>
      </c>
      <c r="D2136">
        <v>0.937881211112755</v>
      </c>
      <c r="E2136">
        <v>0.920502065015645</v>
      </c>
      <c r="F2136">
        <v>0.806781126900916</v>
      </c>
      <c r="G2136">
        <v>0.398387406400373</v>
      </c>
      <c r="H2136">
        <v>0.132869333178125</v>
      </c>
      <c r="I2136">
        <v>0.0883725518819209</v>
      </c>
      <c r="J2136">
        <v>0.0551444221662624</v>
      </c>
      <c r="K2136">
        <v>0.0455843112104542</v>
      </c>
      <c r="L2136">
        <v>1326.18992996148</v>
      </c>
      <c r="M2136">
        <v>25.1698150552881</v>
      </c>
      <c r="N2136">
        <v>52.8789598125436</v>
      </c>
      <c r="O2136">
        <v>52.3604822080596</v>
      </c>
      <c r="P2136">
        <v>-0.115000809022504</v>
      </c>
      <c r="Q2136">
        <v>0.0430730841818913</v>
      </c>
      <c r="R2136">
        <v>0.983712805885094</v>
      </c>
      <c r="S2136" t="s">
        <v>4329</v>
      </c>
      <c r="T2136" t="s">
        <v>4362</v>
      </c>
      <c r="U2136" t="s">
        <v>4362</v>
      </c>
      <c r="V2136" t="s">
        <v>4362</v>
      </c>
      <c r="W2136" t="s">
        <v>6490</v>
      </c>
      <c r="X2136">
        <v>3</v>
      </c>
      <c r="Y2136" t="s">
        <v>8657</v>
      </c>
      <c r="Z2136" t="s">
        <v>10824</v>
      </c>
      <c r="AA2136">
        <v>0.5519068212242667</v>
      </c>
      <c r="AB2136">
        <f>HYPERLINK("Melting_Curves/meltCurve_Q46822_idi.pdf", "Melting_Curves/meltCurve_Q46822_idi.pdf")</f>
        <v>0</v>
      </c>
    </row>
    <row r="2137" spans="1:28">
      <c r="A2137" t="s">
        <v>2163</v>
      </c>
      <c r="B2137">
        <v>0.999739202189716</v>
      </c>
      <c r="C2137">
        <v>1.17297795663431</v>
      </c>
      <c r="D2137">
        <v>1.18647389019346</v>
      </c>
      <c r="E2137">
        <v>1.02781623266893</v>
      </c>
      <c r="F2137">
        <v>1.10226842851942</v>
      </c>
      <c r="G2137">
        <v>1.00467122555575</v>
      </c>
      <c r="H2137">
        <v>0.594201118882531</v>
      </c>
      <c r="I2137">
        <v>0.12732739822812</v>
      </c>
      <c r="J2137">
        <v>0.103866610365425</v>
      </c>
      <c r="K2137">
        <v>0.0730307517288997</v>
      </c>
      <c r="L2137">
        <v>3533.75089235357</v>
      </c>
      <c r="M2137">
        <v>61.3395054843694</v>
      </c>
      <c r="N2137">
        <v>57.7984245254002</v>
      </c>
      <c r="O2137">
        <v>57.548586055999</v>
      </c>
      <c r="P2137">
        <v>-0.242286711889717</v>
      </c>
      <c r="Q2137">
        <v>0.0907492202422117</v>
      </c>
      <c r="R2137">
        <v>0.961340050175679</v>
      </c>
      <c r="S2137" t="s">
        <v>4330</v>
      </c>
      <c r="T2137" t="s">
        <v>4362</v>
      </c>
      <c r="U2137" t="s">
        <v>4362</v>
      </c>
      <c r="V2137" t="s">
        <v>4362</v>
      </c>
      <c r="W2137" t="s">
        <v>6491</v>
      </c>
      <c r="X2137">
        <v>16</v>
      </c>
      <c r="Y2137" t="s">
        <v>8658</v>
      </c>
      <c r="Z2137" t="s">
        <v>10825</v>
      </c>
      <c r="AA2137">
        <v>0.7169205693768863</v>
      </c>
      <c r="AB2137">
        <f>HYPERLINK("Melting_Curves/meltCurve_Q46829_bglA.pdf", "Melting_Curves/meltCurve_Q46829_bglA.pdf")</f>
        <v>0</v>
      </c>
    </row>
    <row r="2138" spans="1:28">
      <c r="A2138" t="s">
        <v>2164</v>
      </c>
      <c r="B2138">
        <v>0.999739202189716</v>
      </c>
      <c r="C2138">
        <v>0.881604955297443</v>
      </c>
      <c r="D2138">
        <v>0.977103205965435</v>
      </c>
      <c r="E2138">
        <v>0.678051129769107</v>
      </c>
      <c r="F2138">
        <v>0.456635139540995</v>
      </c>
      <c r="G2138">
        <v>0.230937941395318</v>
      </c>
      <c r="H2138">
        <v>0.140717466331779</v>
      </c>
      <c r="I2138">
        <v>0.10591535910572</v>
      </c>
      <c r="J2138">
        <v>0.100309385345447</v>
      </c>
      <c r="K2138">
        <v>0.07830427113433271</v>
      </c>
      <c r="L2138">
        <v>796.650258792549</v>
      </c>
      <c r="M2138">
        <v>16.3048689470705</v>
      </c>
      <c r="N2138">
        <v>49.3229691735866</v>
      </c>
      <c r="O2138">
        <v>48.1424166972277</v>
      </c>
      <c r="P2138">
        <v>-0.07866383905245421</v>
      </c>
      <c r="Q2138">
        <v>0.0710033761005284</v>
      </c>
      <c r="R2138">
        <v>0.9884961769737201</v>
      </c>
      <c r="S2138" t="s">
        <v>4331</v>
      </c>
      <c r="T2138" t="s">
        <v>4362</v>
      </c>
      <c r="U2138" t="s">
        <v>4362</v>
      </c>
      <c r="V2138" t="s">
        <v>4362</v>
      </c>
      <c r="W2138" t="s">
        <v>6492</v>
      </c>
      <c r="X2138">
        <v>7</v>
      </c>
      <c r="Y2138" t="s">
        <v>8659</v>
      </c>
      <c r="Z2138" t="s">
        <v>10826</v>
      </c>
      <c r="AA2138">
        <v>0.4557668272201206</v>
      </c>
      <c r="AB2138">
        <f>HYPERLINK("Melting_Curves/meltCurve_Q46845_yghU.pdf", "Melting_Curves/meltCurve_Q46845_yghU.pdf")</f>
        <v>0</v>
      </c>
    </row>
    <row r="2139" spans="1:28">
      <c r="A2139" t="s">
        <v>2165</v>
      </c>
      <c r="B2139">
        <v>0.999739202189716</v>
      </c>
      <c r="C2139">
        <v>1.08037973973011</v>
      </c>
      <c r="D2139">
        <v>1.22600940045892</v>
      </c>
      <c r="E2139">
        <v>1.08467532939662</v>
      </c>
      <c r="F2139">
        <v>0.905186755593348</v>
      </c>
      <c r="G2139">
        <v>0.938539937946081</v>
      </c>
      <c r="H2139">
        <v>0.548944326244437</v>
      </c>
      <c r="I2139">
        <v>0.497173398760866</v>
      </c>
      <c r="J2139">
        <v>0.415374946272894</v>
      </c>
      <c r="K2139">
        <v>0.371303977848582</v>
      </c>
      <c r="L2139">
        <v>2445.32295705106</v>
      </c>
      <c r="M2139">
        <v>43.6524069467524</v>
      </c>
      <c r="N2139">
        <v>58.4242450524631</v>
      </c>
      <c r="O2139">
        <v>55.9008749823341</v>
      </c>
      <c r="P2139">
        <v>-0.11378139439831</v>
      </c>
      <c r="Q2139">
        <v>0.417171180213886</v>
      </c>
      <c r="R2139">
        <v>0.910723896483285</v>
      </c>
      <c r="S2139" t="s">
        <v>4332</v>
      </c>
      <c r="T2139" t="s">
        <v>4362</v>
      </c>
      <c r="U2139" t="s">
        <v>4362</v>
      </c>
      <c r="V2139" t="s">
        <v>4362</v>
      </c>
      <c r="W2139" t="s">
        <v>6493</v>
      </c>
      <c r="X2139">
        <v>11</v>
      </c>
      <c r="Y2139" t="s">
        <v>8660</v>
      </c>
      <c r="Z2139" t="s">
        <v>10827</v>
      </c>
      <c r="AA2139">
        <v>0.7885101504206934</v>
      </c>
      <c r="AB2139">
        <f>HYPERLINK("Melting_Curves/meltCurve_Q46851_gpr.pdf", "Melting_Curves/meltCurve_Q46851_gpr.pdf")</f>
        <v>0</v>
      </c>
    </row>
    <row r="2140" spans="1:28">
      <c r="A2140" t="s">
        <v>2166</v>
      </c>
      <c r="B2140">
        <v>0.999739202189716</v>
      </c>
      <c r="C2140">
        <v>0.949230742088918</v>
      </c>
      <c r="D2140">
        <v>1.02053956093975</v>
      </c>
      <c r="E2140">
        <v>0.983742104509578</v>
      </c>
      <c r="F2140">
        <v>0.984724574358867</v>
      </c>
      <c r="G2140">
        <v>0.7981753165983529</v>
      </c>
      <c r="H2140">
        <v>0.467043051860826</v>
      </c>
      <c r="I2140">
        <v>0.178032879577316</v>
      </c>
      <c r="J2140">
        <v>0.106677484569297</v>
      </c>
      <c r="K2140">
        <v>0.07962201732073849</v>
      </c>
      <c r="L2140">
        <v>1457.46080153133</v>
      </c>
      <c r="M2140">
        <v>25.7072019561181</v>
      </c>
      <c r="N2140">
        <v>56.9694209005768</v>
      </c>
      <c r="O2140">
        <v>56.3549147540347</v>
      </c>
      <c r="P2140">
        <v>-0.107393059457229</v>
      </c>
      <c r="Q2140">
        <v>0.0583099837378621</v>
      </c>
      <c r="R2140">
        <v>0.997318147185087</v>
      </c>
      <c r="S2140" t="s">
        <v>4333</v>
      </c>
      <c r="T2140" t="s">
        <v>4362</v>
      </c>
      <c r="U2140" t="s">
        <v>4362</v>
      </c>
      <c r="V2140" t="s">
        <v>4362</v>
      </c>
      <c r="W2140" t="s">
        <v>6494</v>
      </c>
      <c r="X2140">
        <v>6</v>
      </c>
      <c r="Y2140" t="s">
        <v>8661</v>
      </c>
      <c r="Z2140" t="s">
        <v>10828</v>
      </c>
      <c r="AA2140">
        <v>0.683537330795884</v>
      </c>
      <c r="AB2140">
        <f>HYPERLINK("Melting_Curves/meltCurve_Q46856_yqhD.pdf", "Melting_Curves/meltCurve_Q46856_yqhD.pdf")</f>
        <v>0</v>
      </c>
    </row>
    <row r="2141" spans="1:28">
      <c r="A2141" t="s">
        <v>2167</v>
      </c>
      <c r="B2141">
        <v>0.999739202189716</v>
      </c>
      <c r="C2141">
        <v>0.846622262910191</v>
      </c>
      <c r="D2141">
        <v>1.01758936434309</v>
      </c>
      <c r="E2141">
        <v>0.937969880195005</v>
      </c>
      <c r="F2141">
        <v>0.627268389301266</v>
      </c>
      <c r="G2141">
        <v>0.181110749201474</v>
      </c>
      <c r="H2141">
        <v>0.0993512305517535</v>
      </c>
      <c r="I2141">
        <v>0.0615128048651488</v>
      </c>
      <c r="J2141">
        <v>0.0482033194208594</v>
      </c>
      <c r="K2141">
        <v>0.0358175214309054</v>
      </c>
      <c r="L2141">
        <v>1595.64072504533</v>
      </c>
      <c r="M2141">
        <v>31.3790643539273</v>
      </c>
      <c r="N2141">
        <v>51.0237263573981</v>
      </c>
      <c r="O2141">
        <v>50.6452949559919</v>
      </c>
      <c r="P2141">
        <v>-0.147069976566887</v>
      </c>
      <c r="Q2141">
        <v>0.0505309300393212</v>
      </c>
      <c r="R2141">
        <v>0.985413109574418</v>
      </c>
      <c r="S2141" t="s">
        <v>4334</v>
      </c>
      <c r="T2141" t="s">
        <v>4362</v>
      </c>
      <c r="U2141" t="s">
        <v>4362</v>
      </c>
      <c r="V2141" t="s">
        <v>4362</v>
      </c>
      <c r="W2141" t="s">
        <v>6495</v>
      </c>
      <c r="X2141">
        <v>19</v>
      </c>
      <c r="Y2141" t="s">
        <v>8662</v>
      </c>
      <c r="Z2141" t="s">
        <v>10829</v>
      </c>
      <c r="AA2141">
        <v>0.4942892785209737</v>
      </c>
      <c r="AB2141">
        <f>HYPERLINK("Melting_Curves/meltCurve_Q46857_dkgA.pdf", "Melting_Curves/meltCurve_Q46857_dkgA.pdf")</f>
        <v>0</v>
      </c>
    </row>
    <row r="2142" spans="1:28">
      <c r="A2142" t="s">
        <v>2168</v>
      </c>
      <c r="B2142">
        <v>0.999739202189716</v>
      </c>
      <c r="C2142">
        <v>0.936621437919511</v>
      </c>
      <c r="D2142">
        <v>0.788510974220002</v>
      </c>
      <c r="E2142">
        <v>0.778695630107924</v>
      </c>
      <c r="F2142">
        <v>0.798705506778902</v>
      </c>
      <c r="G2142">
        <v>0.665153967821085</v>
      </c>
      <c r="H2142">
        <v>0.584381183870247</v>
      </c>
      <c r="I2142">
        <v>0.513054895537754</v>
      </c>
      <c r="J2142">
        <v>0.427722190163201</v>
      </c>
      <c r="K2142">
        <v>0.309876493321977</v>
      </c>
      <c r="L2142">
        <v>307.504743918134</v>
      </c>
      <c r="M2142">
        <v>5.10188418213951</v>
      </c>
      <c r="N2142">
        <v>60.2727803288384</v>
      </c>
      <c r="O2142">
        <v>52.8493347680923</v>
      </c>
      <c r="P2142">
        <v>-0.0242720967324357</v>
      </c>
      <c r="Q2142">
        <v>0</v>
      </c>
      <c r="R2142">
        <v>0.949825034941577</v>
      </c>
      <c r="S2142" t="s">
        <v>4335</v>
      </c>
      <c r="T2142" t="s">
        <v>4362</v>
      </c>
      <c r="U2142" t="s">
        <v>4362</v>
      </c>
      <c r="V2142" t="s">
        <v>4362</v>
      </c>
      <c r="W2142" t="s">
        <v>6496</v>
      </c>
      <c r="X2142">
        <v>3</v>
      </c>
      <c r="Y2142" t="s">
        <v>8663</v>
      </c>
      <c r="Z2142" t="s">
        <v>10830</v>
      </c>
      <c r="AA2142">
        <v>0.685234464604881</v>
      </c>
      <c r="AB2142">
        <f>HYPERLINK("Melting_Curves/meltCurve_Q46858_yqhG.pdf", "Melting_Curves/meltCurve_Q46858_yqhG.pdf")</f>
        <v>0</v>
      </c>
    </row>
    <row r="2143" spans="1:28">
      <c r="A2143" t="s">
        <v>2169</v>
      </c>
      <c r="B2143">
        <v>0.999739202189716</v>
      </c>
      <c r="C2143">
        <v>1.06566417565064</v>
      </c>
      <c r="D2143">
        <v>1.06125020849333</v>
      </c>
      <c r="E2143">
        <v>0.870126098305832</v>
      </c>
      <c r="F2143">
        <v>0.639633392396884</v>
      </c>
      <c r="G2143">
        <v>0.167310300566734</v>
      </c>
      <c r="H2143">
        <v>0.103887027629097</v>
      </c>
      <c r="I2143">
        <v>0.0785565823663688</v>
      </c>
      <c r="J2143">
        <v>0.07147474863192629</v>
      </c>
      <c r="K2143">
        <v>0.0663155566056093</v>
      </c>
      <c r="L2143">
        <v>1540.93878191096</v>
      </c>
      <c r="M2143">
        <v>30.3832536578183</v>
      </c>
      <c r="N2143">
        <v>50.9538284721056</v>
      </c>
      <c r="O2143">
        <v>50.49853111354</v>
      </c>
      <c r="P2143">
        <v>-0.140501200718048</v>
      </c>
      <c r="Q2143">
        <v>0.0659248864471125</v>
      </c>
      <c r="R2143">
        <v>0.991202168702394</v>
      </c>
      <c r="S2143" t="s">
        <v>4336</v>
      </c>
      <c r="T2143" t="s">
        <v>4362</v>
      </c>
      <c r="U2143" t="s">
        <v>4362</v>
      </c>
      <c r="V2143" t="s">
        <v>4362</v>
      </c>
      <c r="W2143" t="s">
        <v>6497</v>
      </c>
      <c r="X2143">
        <v>8</v>
      </c>
      <c r="Y2143" t="s">
        <v>8664</v>
      </c>
      <c r="Z2143" t="s">
        <v>10831</v>
      </c>
      <c r="AA2143">
        <v>0.498659457879544</v>
      </c>
      <c r="AB2143">
        <f>HYPERLINK("Melting_Curves/meltCurve_Q46863_ygiS.pdf", "Melting_Curves/meltCurve_Q46863_ygiS.pdf")</f>
        <v>0</v>
      </c>
    </row>
    <row r="2144" spans="1:28">
      <c r="A2144" t="s">
        <v>2170</v>
      </c>
      <c r="B2144">
        <v>0.999739202189716</v>
      </c>
      <c r="C2144">
        <v>1.18550848891884</v>
      </c>
      <c r="D2144">
        <v>0.953926427422066</v>
      </c>
      <c r="E2144">
        <v>0.943755303788982</v>
      </c>
      <c r="F2144">
        <v>0.600319243206263</v>
      </c>
      <c r="G2144">
        <v>0.405515622449645</v>
      </c>
      <c r="H2144">
        <v>0.345387664696166</v>
      </c>
      <c r="I2144">
        <v>0.2013087139954</v>
      </c>
      <c r="J2144">
        <v>0.172155381708159</v>
      </c>
      <c r="K2144">
        <v>0.167748562823102</v>
      </c>
      <c r="L2144">
        <v>963.033539894367</v>
      </c>
      <c r="M2144">
        <v>18.8514637094083</v>
      </c>
      <c r="N2144">
        <v>52.2986428928606</v>
      </c>
      <c r="O2144">
        <v>50.5209066768374</v>
      </c>
      <c r="P2144">
        <v>-0.076765522017025</v>
      </c>
      <c r="Q2144">
        <v>0.177123989292756</v>
      </c>
      <c r="R2144">
        <v>0.963726802737779</v>
      </c>
      <c r="S2144" t="s">
        <v>4337</v>
      </c>
      <c r="T2144" t="s">
        <v>4362</v>
      </c>
      <c r="U2144" t="s">
        <v>4362</v>
      </c>
      <c r="V2144" t="s">
        <v>4362</v>
      </c>
      <c r="W2144" t="s">
        <v>6498</v>
      </c>
      <c r="X2144">
        <v>3</v>
      </c>
      <c r="Y2144" t="s">
        <v>8665</v>
      </c>
      <c r="Z2144" t="s">
        <v>10832</v>
      </c>
      <c r="AA2144">
        <v>0.5753247534915277</v>
      </c>
      <c r="AB2144">
        <f>HYPERLINK("Melting_Curves/meltCurve_Q46864_mqsA.pdf", "Melting_Curves/meltCurve_Q46864_mqsA.pdf")</f>
        <v>0</v>
      </c>
    </row>
    <row r="2145" spans="1:28">
      <c r="A2145" t="s">
        <v>2171</v>
      </c>
      <c r="B2145">
        <v>0.999739202189716</v>
      </c>
      <c r="C2145">
        <v>1.22612552203089</v>
      </c>
      <c r="D2145">
        <v>0.656131624529608</v>
      </c>
      <c r="E2145">
        <v>0.829889651731238</v>
      </c>
      <c r="F2145">
        <v>0.811815720117511</v>
      </c>
      <c r="G2145">
        <v>0.56334643479378</v>
      </c>
      <c r="H2145">
        <v>0.484487401502282</v>
      </c>
      <c r="I2145">
        <v>0.441350901147041</v>
      </c>
      <c r="J2145">
        <v>0.366960504958183</v>
      </c>
      <c r="K2145">
        <v>0.35360744440037</v>
      </c>
      <c r="L2145">
        <v>461.830417503946</v>
      </c>
      <c r="M2145">
        <v>8.683659462950081</v>
      </c>
      <c r="N2145">
        <v>57.4434100185641</v>
      </c>
      <c r="O2145">
        <v>50.5891355143255</v>
      </c>
      <c r="P2145">
        <v>-0.0327531022355296</v>
      </c>
      <c r="Q2145">
        <v>0.237383608354187</v>
      </c>
      <c r="R2145">
        <v>0.802562952777778</v>
      </c>
      <c r="S2145" t="s">
        <v>4338</v>
      </c>
      <c r="T2145" t="s">
        <v>4362</v>
      </c>
      <c r="U2145" t="s">
        <v>4362</v>
      </c>
      <c r="V2145" t="s">
        <v>4362</v>
      </c>
      <c r="W2145" t="s">
        <v>6499</v>
      </c>
      <c r="X2145">
        <v>6</v>
      </c>
      <c r="Y2145" t="s">
        <v>8666</v>
      </c>
      <c r="Z2145" t="s">
        <v>10833</v>
      </c>
      <c r="AA2145">
        <v>0.6649669627757131</v>
      </c>
      <c r="AB2145">
        <f>HYPERLINK("Melting_Curves/meltCurve_Q46868_yqiC.pdf", "Melting_Curves/meltCurve_Q46868_yqiC.pdf")</f>
        <v>0</v>
      </c>
    </row>
    <row r="2146" spans="1:28">
      <c r="A2146" t="s">
        <v>2172</v>
      </c>
      <c r="B2146">
        <v>0.999739202189716</v>
      </c>
      <c r="C2146">
        <v>0.8568147208770009</v>
      </c>
      <c r="D2146">
        <v>0.989434281442243</v>
      </c>
      <c r="E2146">
        <v>0.894972615192378</v>
      </c>
      <c r="F2146">
        <v>0.874040948409066</v>
      </c>
      <c r="G2146">
        <v>0.649209289365951</v>
      </c>
      <c r="H2146">
        <v>0.489914517407475</v>
      </c>
      <c r="I2146">
        <v>0.39518759745304</v>
      </c>
      <c r="J2146">
        <v>0.350173036486</v>
      </c>
      <c r="K2146">
        <v>0.232637433439316</v>
      </c>
      <c r="L2146">
        <v>594.76312188294</v>
      </c>
      <c r="M2146">
        <v>10.5338472073527</v>
      </c>
      <c r="N2146">
        <v>57.8871522727</v>
      </c>
      <c r="O2146">
        <v>54.5411396473112</v>
      </c>
      <c r="P2146">
        <v>-0.0427863767308837</v>
      </c>
      <c r="Q2146">
        <v>0.114212353321329</v>
      </c>
      <c r="R2146">
        <v>0.965556839168658</v>
      </c>
      <c r="S2146" t="s">
        <v>4339</v>
      </c>
      <c r="T2146" t="s">
        <v>4362</v>
      </c>
      <c r="U2146" t="s">
        <v>4362</v>
      </c>
      <c r="V2146" t="s">
        <v>4362</v>
      </c>
      <c r="W2146" t="s">
        <v>6500</v>
      </c>
      <c r="X2146">
        <v>6</v>
      </c>
      <c r="Y2146" t="s">
        <v>8667</v>
      </c>
      <c r="Z2146" t="s">
        <v>10834</v>
      </c>
      <c r="AA2146">
        <v>0.692852336129654</v>
      </c>
      <c r="AB2146">
        <f>HYPERLINK("Melting_Curves/meltCurve_Q46871_yqjH.pdf", "Melting_Curves/meltCurve_Q46871_yqjH.pdf")</f>
        <v>0</v>
      </c>
    </row>
    <row r="2147" spans="1:28">
      <c r="A2147" t="s">
        <v>2173</v>
      </c>
      <c r="B2147">
        <v>0.999739202189716</v>
      </c>
      <c r="C2147">
        <v>0.749403594833858</v>
      </c>
      <c r="D2147">
        <v>0.471046024834016</v>
      </c>
      <c r="E2147">
        <v>0.426358325516379</v>
      </c>
      <c r="F2147">
        <v>0.393553247007933</v>
      </c>
      <c r="G2147">
        <v>0.225134016743615</v>
      </c>
      <c r="H2147">
        <v>0.160227905592921</v>
      </c>
      <c r="I2147">
        <v>0.117380195194346</v>
      </c>
      <c r="J2147">
        <v>0.0959080105637336</v>
      </c>
      <c r="K2147">
        <v>0.080217082391557</v>
      </c>
      <c r="L2147">
        <v>419.956836252373</v>
      </c>
      <c r="M2147">
        <v>9.48131436717939</v>
      </c>
      <c r="N2147">
        <v>44.9473215064802</v>
      </c>
      <c r="O2147">
        <v>42.4569376550198</v>
      </c>
      <c r="P2147">
        <v>-0.0522617478111209</v>
      </c>
      <c r="Q2147">
        <v>0.0644535134681879</v>
      </c>
      <c r="R2147">
        <v>0.9495556458051621</v>
      </c>
      <c r="S2147" t="s">
        <v>4340</v>
      </c>
      <c r="T2147" t="s">
        <v>4362</v>
      </c>
      <c r="U2147" t="s">
        <v>4362</v>
      </c>
      <c r="V2147" t="s">
        <v>4362</v>
      </c>
      <c r="W2147" t="s">
        <v>6501</v>
      </c>
      <c r="X2147">
        <v>2</v>
      </c>
      <c r="Y2147" t="s">
        <v>8668</v>
      </c>
      <c r="Z2147" t="s">
        <v>10835</v>
      </c>
      <c r="AA2147">
        <v>0.3450835299960888</v>
      </c>
      <c r="AB2147">
        <f>HYPERLINK("Melting_Curves/meltCurve_Q46891_ygbM.pdf", "Melting_Curves/meltCurve_Q46891_ygbM.pdf")</f>
        <v>0</v>
      </c>
    </row>
    <row r="2148" spans="1:28">
      <c r="A2148" t="s">
        <v>2174</v>
      </c>
      <c r="B2148">
        <v>0.999739202189716</v>
      </c>
      <c r="C2148">
        <v>1.00027226885193</v>
      </c>
      <c r="D2148">
        <v>0.858096181993742</v>
      </c>
      <c r="E2148">
        <v>0.875945975418137</v>
      </c>
      <c r="F2148">
        <v>0.777492265109658</v>
      </c>
      <c r="G2148">
        <v>0.70118671981772</v>
      </c>
      <c r="H2148">
        <v>0.583682810304204</v>
      </c>
      <c r="I2148">
        <v>0.520876249160194</v>
      </c>
      <c r="J2148">
        <v>0.406639891379483</v>
      </c>
      <c r="K2148">
        <v>0.332648867382264</v>
      </c>
      <c r="L2148">
        <v>378.006877618952</v>
      </c>
      <c r="M2148">
        <v>6.23880388143939</v>
      </c>
      <c r="N2148">
        <v>60.5896393981723</v>
      </c>
      <c r="O2148">
        <v>55.2554753388804</v>
      </c>
      <c r="P2148">
        <v>-0.0283065710016646</v>
      </c>
      <c r="Q2148">
        <v>0</v>
      </c>
      <c r="R2148">
        <v>0.9832346294250019</v>
      </c>
      <c r="S2148" t="s">
        <v>4341</v>
      </c>
      <c r="T2148" t="s">
        <v>4362</v>
      </c>
      <c r="U2148" t="s">
        <v>4362</v>
      </c>
      <c r="V2148" t="s">
        <v>4362</v>
      </c>
      <c r="W2148" t="s">
        <v>6502</v>
      </c>
      <c r="X2148">
        <v>6</v>
      </c>
      <c r="Y2148" t="s">
        <v>8669</v>
      </c>
      <c r="Z2148" t="s">
        <v>10836</v>
      </c>
      <c r="AA2148">
        <v>0.7120118022281097</v>
      </c>
      <c r="AB2148">
        <f>HYPERLINK("Melting_Curves/meltCurve_Q46893_ispD.pdf", "Melting_Curves/meltCurve_Q46893_ispD.pdf")</f>
        <v>0</v>
      </c>
    </row>
    <row r="2149" spans="1:28">
      <c r="A2149" t="s">
        <v>2175</v>
      </c>
      <c r="B2149">
        <v>0.999739202189716</v>
      </c>
      <c r="C2149">
        <v>0.952835064329365</v>
      </c>
      <c r="D2149">
        <v>0.9543078004223881</v>
      </c>
      <c r="E2149">
        <v>0.720630631376638</v>
      </c>
      <c r="F2149">
        <v>0.481656202922708</v>
      </c>
      <c r="G2149">
        <v>0.368095850494001</v>
      </c>
      <c r="H2149">
        <v>0.30666580947614</v>
      </c>
      <c r="I2149">
        <v>0.223092840900777</v>
      </c>
      <c r="J2149">
        <v>0.227332717999904</v>
      </c>
      <c r="K2149">
        <v>0.170262724441419</v>
      </c>
      <c r="L2149">
        <v>742.010341015794</v>
      </c>
      <c r="M2149">
        <v>15.2213381895392</v>
      </c>
      <c r="N2149">
        <v>50.3819930574149</v>
      </c>
      <c r="O2149">
        <v>47.9298415849514</v>
      </c>
      <c r="P2149">
        <v>-0.063933795878025</v>
      </c>
      <c r="Q2149">
        <v>0.194802464962648</v>
      </c>
      <c r="R2149">
        <v>0.993035087948472</v>
      </c>
      <c r="S2149" t="s">
        <v>4342</v>
      </c>
      <c r="T2149" t="s">
        <v>4362</v>
      </c>
      <c r="U2149" t="s">
        <v>4362</v>
      </c>
      <c r="V2149" t="s">
        <v>4362</v>
      </c>
      <c r="W2149" t="s">
        <v>6503</v>
      </c>
      <c r="X2149">
        <v>9</v>
      </c>
      <c r="Y2149" t="s">
        <v>8670</v>
      </c>
      <c r="Z2149" t="s">
        <v>10837</v>
      </c>
      <c r="AA2149">
        <v>0.5271444492689105</v>
      </c>
      <c r="AB2149">
        <f>HYPERLINK("Melting_Curves/meltCurve_Q46920_queF.pdf", "Melting_Curves/meltCurve_Q46920_queF.pdf")</f>
        <v>0</v>
      </c>
    </row>
    <row r="2150" spans="1:28">
      <c r="A2150" t="s">
        <v>2176</v>
      </c>
      <c r="B2150">
        <v>0.999739202189716</v>
      </c>
      <c r="C2150">
        <v>0.755194373508465</v>
      </c>
      <c r="D2150">
        <v>0.432628440581256</v>
      </c>
      <c r="E2150">
        <v>0.337081103772136</v>
      </c>
      <c r="F2150">
        <v>0.246806496132103</v>
      </c>
      <c r="G2150">
        <v>0.161489953113608</v>
      </c>
      <c r="H2150">
        <v>0.136536964327093</v>
      </c>
      <c r="I2150">
        <v>0.112733609751653</v>
      </c>
      <c r="J2150">
        <v>0.109189511610543</v>
      </c>
      <c r="K2150">
        <v>0.0852072805483476</v>
      </c>
      <c r="L2150">
        <v>663.258124493827</v>
      </c>
      <c r="M2150">
        <v>15.6655047338286</v>
      </c>
      <c r="N2150">
        <v>43.097109168831</v>
      </c>
      <c r="O2150">
        <v>41.6668484651243</v>
      </c>
      <c r="P2150">
        <v>-0.0826769650633593</v>
      </c>
      <c r="Q2150">
        <v>0.120463694678788</v>
      </c>
      <c r="R2150">
        <v>0.977035722527675</v>
      </c>
      <c r="S2150" t="s">
        <v>4343</v>
      </c>
      <c r="T2150" t="s">
        <v>4362</v>
      </c>
      <c r="U2150" t="s">
        <v>4362</v>
      </c>
      <c r="V2150" t="s">
        <v>4362</v>
      </c>
      <c r="W2150" t="s">
        <v>6504</v>
      </c>
      <c r="X2150">
        <v>4</v>
      </c>
      <c r="Y2150" t="s">
        <v>8671</v>
      </c>
      <c r="Z2150" t="s">
        <v>10838</v>
      </c>
      <c r="AA2150">
        <v>0.2993221455606948</v>
      </c>
      <c r="AB2150">
        <f>HYPERLINK("Melting_Curves/meltCurve_Q46927_tcdA.pdf", "Melting_Curves/meltCurve_Q46927_tcdA.pdf")</f>
        <v>0</v>
      </c>
    </row>
    <row r="2151" spans="1:28">
      <c r="A2151" t="s">
        <v>2177</v>
      </c>
      <c r="B2151">
        <v>0.999739202189716</v>
      </c>
      <c r="C2151">
        <v>0.945212848782528</v>
      </c>
      <c r="D2151">
        <v>0.805820300483163</v>
      </c>
      <c r="E2151">
        <v>0.729040422553887</v>
      </c>
      <c r="F2151">
        <v>0.571075730136561</v>
      </c>
      <c r="G2151">
        <v>0.445065084845925</v>
      </c>
      <c r="H2151">
        <v>0.347992904478289</v>
      </c>
      <c r="I2151">
        <v>0.297586179745654</v>
      </c>
      <c r="J2151">
        <v>0.328726399745605</v>
      </c>
      <c r="K2151">
        <v>0.23707141988751</v>
      </c>
      <c r="L2151">
        <v>492.987294113676</v>
      </c>
      <c r="M2151">
        <v>10.0334024099598</v>
      </c>
      <c r="N2151">
        <v>52.0021237503382</v>
      </c>
      <c r="O2151">
        <v>47.3024556715323</v>
      </c>
      <c r="P2151">
        <v>-0.0417813082743379</v>
      </c>
      <c r="Q2151">
        <v>0.212466611167589</v>
      </c>
      <c r="R2151">
        <v>0.990937882622951</v>
      </c>
      <c r="S2151" t="s">
        <v>4344</v>
      </c>
      <c r="T2151" t="s">
        <v>4362</v>
      </c>
      <c r="U2151" t="s">
        <v>4362</v>
      </c>
      <c r="V2151" t="s">
        <v>4362</v>
      </c>
      <c r="W2151" t="s">
        <v>6505</v>
      </c>
      <c r="X2151">
        <v>4</v>
      </c>
      <c r="Y2151" t="s">
        <v>8672</v>
      </c>
      <c r="Z2151" t="s">
        <v>10839</v>
      </c>
      <c r="AA2151">
        <v>0.5598188124373992</v>
      </c>
      <c r="AB2151">
        <f>HYPERLINK("Melting_Curves/meltCurve_Q46938_kduI.pdf", "Melting_Curves/meltCurve_Q46938_kduI.pdf")</f>
        <v>0</v>
      </c>
    </row>
    <row r="2152" spans="1:28">
      <c r="A2152" t="s">
        <v>2178</v>
      </c>
      <c r="B2152">
        <v>0.999739202189716</v>
      </c>
      <c r="C2152">
        <v>0.813747006663973</v>
      </c>
      <c r="D2152">
        <v>0.96759371490837</v>
      </c>
      <c r="E2152">
        <v>0.847119173644071</v>
      </c>
      <c r="F2152">
        <v>0.753945987635646</v>
      </c>
      <c r="G2152">
        <v>0.264403810474256</v>
      </c>
      <c r="H2152">
        <v>0.144698507655066</v>
      </c>
      <c r="I2152">
        <v>0.109050630877552</v>
      </c>
      <c r="J2152">
        <v>0.112823794658408</v>
      </c>
      <c r="K2152">
        <v>0.11237784257019</v>
      </c>
      <c r="L2152">
        <v>1457.95942663349</v>
      </c>
      <c r="M2152">
        <v>28.3456628286384</v>
      </c>
      <c r="N2152">
        <v>51.8457544889679</v>
      </c>
      <c r="O2152">
        <v>51.1810515601249</v>
      </c>
      <c r="P2152">
        <v>-0.124534206200372</v>
      </c>
      <c r="Q2152">
        <v>0.100569337543615</v>
      </c>
      <c r="R2152">
        <v>0.962872181130589</v>
      </c>
      <c r="S2152" t="s">
        <v>4345</v>
      </c>
      <c r="T2152" t="s">
        <v>4362</v>
      </c>
      <c r="U2152" t="s">
        <v>4362</v>
      </c>
      <c r="V2152" t="s">
        <v>4362</v>
      </c>
      <c r="W2152" t="s">
        <v>6506</v>
      </c>
      <c r="X2152">
        <v>5</v>
      </c>
      <c r="Y2152" t="s">
        <v>8673</v>
      </c>
      <c r="Z2152" t="s">
        <v>10840</v>
      </c>
      <c r="AA2152">
        <v>0.5396322184865791</v>
      </c>
      <c r="AB2152">
        <f>HYPERLINK("Melting_Curves/meltCurve_Q46948_yajL.pdf", "Melting_Curves/meltCurve_Q46948_yajL.pdf")</f>
        <v>0</v>
      </c>
    </row>
    <row r="2153" spans="1:28">
      <c r="A2153" t="s">
        <v>2179</v>
      </c>
      <c r="B2153">
        <v>0.999739202189716</v>
      </c>
      <c r="C2153">
        <v>1.42718206039783</v>
      </c>
      <c r="D2153">
        <v>0.643513563205565</v>
      </c>
      <c r="E2153">
        <v>0.76794907385899</v>
      </c>
      <c r="F2153">
        <v>0.369010483095571</v>
      </c>
      <c r="G2153">
        <v>0.229028912747302</v>
      </c>
      <c r="H2153">
        <v>0.162966985694709</v>
      </c>
      <c r="I2153">
        <v>0.156403941085596</v>
      </c>
      <c r="J2153">
        <v>0.146962592062849</v>
      </c>
      <c r="K2153">
        <v>0.127458729834415</v>
      </c>
      <c r="L2153">
        <v>893.355606384746</v>
      </c>
      <c r="M2153">
        <v>18.6306279054072</v>
      </c>
      <c r="N2153">
        <v>48.7425152985816</v>
      </c>
      <c r="O2153">
        <v>47.4087080720923</v>
      </c>
      <c r="P2153">
        <v>-0.0854235147072942</v>
      </c>
      <c r="Q2153">
        <v>0.130540519443958</v>
      </c>
      <c r="R2153">
        <v>0.843980743405332</v>
      </c>
      <c r="S2153" t="s">
        <v>4346</v>
      </c>
      <c r="T2153" t="s">
        <v>4362</v>
      </c>
      <c r="U2153" t="s">
        <v>4362</v>
      </c>
      <c r="V2153" t="s">
        <v>4362</v>
      </c>
      <c r="W2153" t="s">
        <v>6507</v>
      </c>
      <c r="X2153">
        <v>5</v>
      </c>
      <c r="Y2153" t="s">
        <v>8674</v>
      </c>
      <c r="Z2153" t="s">
        <v>10841</v>
      </c>
      <c r="AA2153">
        <v>0.4609653302958744</v>
      </c>
      <c r="AB2153">
        <f>HYPERLINK("Melting_Curves/meltCurve_Q47146_fadE.pdf", "Melting_Curves/meltCurve_Q47146_fadE.pdf")</f>
        <v>0</v>
      </c>
    </row>
    <row r="2154" spans="1:28">
      <c r="A2154" t="s">
        <v>2180</v>
      </c>
      <c r="B2154">
        <v>0.999739202189716</v>
      </c>
      <c r="C2154">
        <v>0.865134346500259</v>
      </c>
      <c r="D2154">
        <v>0.887051128669492</v>
      </c>
      <c r="E2154">
        <v>0.708168169864937</v>
      </c>
      <c r="F2154">
        <v>0.349025661071657</v>
      </c>
      <c r="G2154">
        <v>0.154591044851208</v>
      </c>
      <c r="H2154">
        <v>0.104656473760774</v>
      </c>
      <c r="I2154">
        <v>0.0739175456662616</v>
      </c>
      <c r="J2154">
        <v>0.0639394378050613</v>
      </c>
      <c r="K2154">
        <v>0.0561480247928687</v>
      </c>
      <c r="L2154">
        <v>844.132549124506</v>
      </c>
      <c r="M2154">
        <v>17.4991049326491</v>
      </c>
      <c r="N2154">
        <v>48.4983463216421</v>
      </c>
      <c r="O2154">
        <v>47.6218762578084</v>
      </c>
      <c r="P2154">
        <v>-0.0877606361203384</v>
      </c>
      <c r="Q2154">
        <v>0.0447292660616819</v>
      </c>
      <c r="R2154">
        <v>0.988985728741261</v>
      </c>
      <c r="S2154" t="s">
        <v>4347</v>
      </c>
      <c r="T2154" t="s">
        <v>4362</v>
      </c>
      <c r="U2154" t="s">
        <v>4362</v>
      </c>
      <c r="V2154" t="s">
        <v>4362</v>
      </c>
      <c r="W2154" t="s">
        <v>6508</v>
      </c>
      <c r="X2154">
        <v>7</v>
      </c>
      <c r="Y2154" t="s">
        <v>8675</v>
      </c>
      <c r="Z2154" t="s">
        <v>10842</v>
      </c>
      <c r="AA2154">
        <v>0.4186393296089387</v>
      </c>
      <c r="AB2154">
        <f>HYPERLINK("Melting_Curves/meltCurve_Q47147_yafJ.pdf", "Melting_Curves/meltCurve_Q47147_yafJ.pdf")</f>
        <v>0</v>
      </c>
    </row>
    <row r="2155" spans="1:28">
      <c r="A2155" t="s">
        <v>2181</v>
      </c>
      <c r="B2155">
        <v>0.999739202189716</v>
      </c>
      <c r="C2155">
        <v>1.23610819213505</v>
      </c>
      <c r="D2155">
        <v>0.752697041239145</v>
      </c>
      <c r="E2155">
        <v>1.01056789834536</v>
      </c>
      <c r="F2155">
        <v>0.892885694455042</v>
      </c>
      <c r="G2155">
        <v>0.655635436575596</v>
      </c>
      <c r="H2155">
        <v>0.664803217662022</v>
      </c>
      <c r="I2155">
        <v>0.557190274552488</v>
      </c>
      <c r="J2155">
        <v>0.516981920241867</v>
      </c>
      <c r="K2155">
        <v>0.5084492431272361</v>
      </c>
      <c r="L2155">
        <v>815.798344697222</v>
      </c>
      <c r="M2155">
        <v>15.3272980127502</v>
      </c>
      <c r="O2155">
        <v>52.3438393983111</v>
      </c>
      <c r="P2155">
        <v>-0.0372214831929312</v>
      </c>
      <c r="Q2155">
        <v>0.491590798686949</v>
      </c>
      <c r="R2155">
        <v>0.771101329390719</v>
      </c>
      <c r="S2155" t="s">
        <v>4348</v>
      </c>
      <c r="T2155" t="s">
        <v>4362</v>
      </c>
      <c r="U2155" t="s">
        <v>4362</v>
      </c>
      <c r="V2155" t="s">
        <v>4362</v>
      </c>
      <c r="W2155" t="s">
        <v>6509</v>
      </c>
      <c r="X2155">
        <v>3</v>
      </c>
      <c r="Y2155" t="s">
        <v>8676</v>
      </c>
      <c r="Z2155" t="s">
        <v>10843</v>
      </c>
      <c r="AA2155">
        <v>0.775283896506058</v>
      </c>
      <c r="AB2155">
        <f>HYPERLINK("Melting_Curves/meltCurve_Q47150_dinJ.pdf", "Melting_Curves/meltCurve_Q47150_dinJ.pdf")</f>
        <v>0</v>
      </c>
    </row>
    <row r="2156" spans="1:28">
      <c r="A2156" t="s">
        <v>2182</v>
      </c>
      <c r="B2156">
        <v>0.999739202189716</v>
      </c>
      <c r="C2156">
        <v>1.16857005576062</v>
      </c>
      <c r="D2156">
        <v>0.698806595354943</v>
      </c>
      <c r="E2156">
        <v>0.807900443441079</v>
      </c>
      <c r="F2156">
        <v>0.701640979791735</v>
      </c>
      <c r="G2156">
        <v>0.516161706028277</v>
      </c>
      <c r="H2156">
        <v>0.493470136426018</v>
      </c>
      <c r="I2156">
        <v>0.38087034680486</v>
      </c>
      <c r="J2156">
        <v>0.398713670737634</v>
      </c>
      <c r="K2156">
        <v>0.390745049426633</v>
      </c>
      <c r="L2156">
        <v>529.952521731867</v>
      </c>
      <c r="M2156">
        <v>10.6520055870063</v>
      </c>
      <c r="N2156">
        <v>55.6598447862459</v>
      </c>
      <c r="O2156">
        <v>48.0940838985532</v>
      </c>
      <c r="P2156">
        <v>-0.0366360395800547</v>
      </c>
      <c r="Q2156">
        <v>0.338601813214267</v>
      </c>
      <c r="R2156">
        <v>0.864389861720094</v>
      </c>
      <c r="S2156" t="s">
        <v>4349</v>
      </c>
      <c r="T2156" t="s">
        <v>4362</v>
      </c>
      <c r="U2156" t="s">
        <v>4362</v>
      </c>
      <c r="V2156" t="s">
        <v>4362</v>
      </c>
      <c r="W2156" t="s">
        <v>6510</v>
      </c>
      <c r="X2156">
        <v>2</v>
      </c>
      <c r="Y2156" t="s">
        <v>8677</v>
      </c>
      <c r="Z2156" t="s">
        <v>10844</v>
      </c>
      <c r="AA2156">
        <v>0.6412666959961807</v>
      </c>
      <c r="AB2156">
        <f>HYPERLINK("Melting_Curves/meltCurve_Q47156_yafN.pdf", "Melting_Curves/meltCurve_Q47156_yafN.pdf")</f>
        <v>0</v>
      </c>
    </row>
    <row r="2157" spans="1:28">
      <c r="A2157" t="s">
        <v>2183</v>
      </c>
      <c r="B2157">
        <v>0.999739202189716</v>
      </c>
      <c r="C2157">
        <v>0.952907858457641</v>
      </c>
      <c r="D2157">
        <v>0.904849643273811</v>
      </c>
      <c r="E2157">
        <v>0.8094660711135671</v>
      </c>
      <c r="F2157">
        <v>0.919737352886238</v>
      </c>
      <c r="G2157">
        <v>0.657744491673749</v>
      </c>
      <c r="H2157">
        <v>0.760997062890966</v>
      </c>
      <c r="I2157">
        <v>0.662809073604539</v>
      </c>
      <c r="J2157">
        <v>0.664776820201969</v>
      </c>
      <c r="K2157">
        <v>0.357143384572759</v>
      </c>
      <c r="L2157">
        <v>316.037143733604</v>
      </c>
      <c r="M2157">
        <v>4.70373906907652</v>
      </c>
      <c r="O2157">
        <v>57.7720612777021</v>
      </c>
      <c r="P2157">
        <v>-0.0205082258100053</v>
      </c>
      <c r="Q2157">
        <v>0</v>
      </c>
      <c r="R2157">
        <v>0.79994686233646</v>
      </c>
      <c r="S2157" t="s">
        <v>4350</v>
      </c>
      <c r="T2157" t="s">
        <v>4362</v>
      </c>
      <c r="U2157" t="s">
        <v>4362</v>
      </c>
      <c r="V2157" t="s">
        <v>4362</v>
      </c>
      <c r="W2157" t="s">
        <v>6511</v>
      </c>
      <c r="X2157">
        <v>2</v>
      </c>
      <c r="Y2157" t="s">
        <v>8678</v>
      </c>
      <c r="Z2157" t="s">
        <v>10845</v>
      </c>
      <c r="AA2157">
        <v>0.7778325222141088</v>
      </c>
      <c r="AB2157">
        <f>HYPERLINK("Melting_Curves/meltCurve_Q47537_tauA.pdf", "Melting_Curves/meltCurve_Q47537_tauA.pdf")</f>
        <v>0</v>
      </c>
    </row>
    <row r="2158" spans="1:28">
      <c r="A2158" t="s">
        <v>2184</v>
      </c>
      <c r="B2158">
        <v>0.999739202189716</v>
      </c>
      <c r="C2158">
        <v>0.977459389015043</v>
      </c>
      <c r="D2158">
        <v>0.83441534624281</v>
      </c>
      <c r="E2158">
        <v>0.8034513771546991</v>
      </c>
      <c r="F2158">
        <v>0.575616106391003</v>
      </c>
      <c r="G2158">
        <v>0.167132450788905</v>
      </c>
      <c r="H2158">
        <v>0.109830799258745</v>
      </c>
      <c r="I2158">
        <v>0.0740638439914869</v>
      </c>
      <c r="J2158">
        <v>0.0694802476386502</v>
      </c>
      <c r="K2158">
        <v>0.056931361259342</v>
      </c>
      <c r="L2158">
        <v>897.8290941568609</v>
      </c>
      <c r="M2158">
        <v>17.9438868482043</v>
      </c>
      <c r="N2158">
        <v>50.2210076353589</v>
      </c>
      <c r="O2158">
        <v>49.4263532465498</v>
      </c>
      <c r="P2158">
        <v>-0.0878528393806117</v>
      </c>
      <c r="Q2158">
        <v>0.0320873607095419</v>
      </c>
      <c r="R2158">
        <v>0.982475662289469</v>
      </c>
      <c r="S2158" t="s">
        <v>4351</v>
      </c>
      <c r="T2158" t="s">
        <v>4362</v>
      </c>
      <c r="U2158" t="s">
        <v>4362</v>
      </c>
      <c r="V2158" t="s">
        <v>4362</v>
      </c>
      <c r="W2158" t="s">
        <v>6512</v>
      </c>
      <c r="X2158">
        <v>11</v>
      </c>
      <c r="Y2158" t="s">
        <v>8679</v>
      </c>
      <c r="Z2158" t="s">
        <v>10846</v>
      </c>
      <c r="AA2158">
        <v>0.4679785035829241</v>
      </c>
      <c r="AB2158">
        <f>HYPERLINK("Melting_Curves/meltCurve_Q47622_sapA.pdf", "Melting_Curves/meltCurve_Q47622_sapA.pdf")</f>
        <v>0</v>
      </c>
    </row>
    <row r="2159" spans="1:28">
      <c r="A2159" t="s">
        <v>2185</v>
      </c>
      <c r="B2159">
        <v>0.999739202189716</v>
      </c>
      <c r="C2159">
        <v>0.713440664814879</v>
      </c>
      <c r="D2159">
        <v>0.556017022850515</v>
      </c>
      <c r="E2159">
        <v>0.279627109277737</v>
      </c>
      <c r="F2159">
        <v>0.163950256904</v>
      </c>
      <c r="G2159">
        <v>0.0965033108168525</v>
      </c>
      <c r="H2159">
        <v>0.0605499717854849</v>
      </c>
      <c r="I2159">
        <v>0.0396000611695684</v>
      </c>
      <c r="J2159">
        <v>0.0298587560744816</v>
      </c>
      <c r="K2159">
        <v>0.0255849592049694</v>
      </c>
      <c r="L2159">
        <v>609.837883173941</v>
      </c>
      <c r="M2159">
        <v>14.0845640930468</v>
      </c>
      <c r="N2159">
        <v>43.4725153606089</v>
      </c>
      <c r="O2159">
        <v>42.4535040433396</v>
      </c>
      <c r="P2159">
        <v>-0.0806758100920842</v>
      </c>
      <c r="Q2159">
        <v>0.0274379385529259</v>
      </c>
      <c r="R2159">
        <v>0.989433046279852</v>
      </c>
      <c r="S2159" t="s">
        <v>4352</v>
      </c>
      <c r="T2159" t="s">
        <v>4362</v>
      </c>
      <c r="U2159" t="s">
        <v>4362</v>
      </c>
      <c r="V2159" t="s">
        <v>4362</v>
      </c>
      <c r="W2159" t="s">
        <v>6513</v>
      </c>
      <c r="X2159">
        <v>2</v>
      </c>
      <c r="Y2159" t="s">
        <v>8680</v>
      </c>
      <c r="Z2159" t="s">
        <v>10847</v>
      </c>
      <c r="AA2159">
        <v>0.2603413965667332</v>
      </c>
      <c r="AB2159">
        <f>HYPERLINK("Melting_Curves/meltCurve_Q47679_yafV.pdf", "Melting_Curves/meltCurve_Q47679_yafV.pdf")</f>
        <v>0</v>
      </c>
    </row>
    <row r="2160" spans="1:28">
      <c r="A2160" t="s">
        <v>2186</v>
      </c>
      <c r="B2160">
        <v>0.999739202189716</v>
      </c>
      <c r="C2160">
        <v>0.901777738407619</v>
      </c>
      <c r="D2160">
        <v>0.686974392665644</v>
      </c>
      <c r="E2160">
        <v>0.3525682691463</v>
      </c>
      <c r="F2160">
        <v>0.187144434599242</v>
      </c>
      <c r="G2160">
        <v>0.118347215028867</v>
      </c>
      <c r="H2160">
        <v>0.09211837091062131</v>
      </c>
      <c r="I2160">
        <v>0.0765308056068065</v>
      </c>
      <c r="J2160">
        <v>0.07008949858477501</v>
      </c>
      <c r="K2160">
        <v>0.0614558853922114</v>
      </c>
      <c r="L2160">
        <v>814.344727291148</v>
      </c>
      <c r="M2160">
        <v>18.2635889743185</v>
      </c>
      <c r="N2160">
        <v>44.9646296293447</v>
      </c>
      <c r="O2160">
        <v>44.0641975554546</v>
      </c>
      <c r="P2160">
        <v>-0.096282203020316</v>
      </c>
      <c r="Q2160">
        <v>0.0708511428940268</v>
      </c>
      <c r="R2160">
        <v>0.999287448482853</v>
      </c>
      <c r="S2160" t="s">
        <v>4353</v>
      </c>
      <c r="T2160" t="s">
        <v>4362</v>
      </c>
      <c r="U2160" t="s">
        <v>4362</v>
      </c>
      <c r="V2160" t="s">
        <v>4362</v>
      </c>
      <c r="W2160" t="s">
        <v>6514</v>
      </c>
      <c r="X2160">
        <v>5</v>
      </c>
      <c r="Y2160" t="s">
        <v>8681</v>
      </c>
      <c r="Z2160" t="s">
        <v>10848</v>
      </c>
      <c r="AA2160">
        <v>0.3207785427331181</v>
      </c>
      <c r="AB2160">
        <f>HYPERLINK("Melting_Curves/meltCurve_Q47690_mmuM.pdf", "Melting_Curves/meltCurve_Q47690_mmuM.pdf")</f>
        <v>0</v>
      </c>
    </row>
    <row r="2161" spans="1:28">
      <c r="A2161" t="s">
        <v>2187</v>
      </c>
      <c r="B2161">
        <v>0.999739202189716</v>
      </c>
      <c r="C2161">
        <v>0.492283079175647</v>
      </c>
      <c r="D2161">
        <v>0.243853913910472</v>
      </c>
      <c r="E2161">
        <v>0.148385833225011</v>
      </c>
      <c r="F2161">
        <v>0.0973523500265229</v>
      </c>
      <c r="G2161">
        <v>0.06605835623942689</v>
      </c>
      <c r="H2161">
        <v>0.0577961904129945</v>
      </c>
      <c r="I2161">
        <v>0.0342106075575169</v>
      </c>
      <c r="J2161">
        <v>0.0397349583569598</v>
      </c>
      <c r="K2161">
        <v>0.0374182694936706</v>
      </c>
      <c r="L2161">
        <v>1088.55562418727</v>
      </c>
      <c r="M2161">
        <v>27.1983861759839</v>
      </c>
      <c r="N2161">
        <v>40.2409598363896</v>
      </c>
      <c r="O2161">
        <v>39.8083346674522</v>
      </c>
      <c r="P2161">
        <v>-0.159101493672268</v>
      </c>
      <c r="Q2161">
        <v>0.0685473395882594</v>
      </c>
      <c r="R2161">
        <v>0.9740510479929591</v>
      </c>
      <c r="S2161" t="s">
        <v>4354</v>
      </c>
      <c r="T2161" t="s">
        <v>4362</v>
      </c>
      <c r="U2161" t="s">
        <v>4362</v>
      </c>
      <c r="V2161" t="s">
        <v>4362</v>
      </c>
      <c r="W2161" t="s">
        <v>6515</v>
      </c>
      <c r="X2161">
        <v>2</v>
      </c>
      <c r="Y2161" t="s">
        <v>8682</v>
      </c>
      <c r="Z2161" t="s">
        <v>10849</v>
      </c>
      <c r="AA2161">
        <v>0.1717958387462511</v>
      </c>
      <c r="AB2161">
        <f>HYPERLINK("Melting_Curves/meltCurve_Q47710_yqjK.pdf", "Melting_Curves/meltCurve_Q47710_yqjK.pdf")</f>
        <v>0</v>
      </c>
    </row>
    <row r="2162" spans="1:28">
      <c r="A2162" t="s">
        <v>2188</v>
      </c>
      <c r="B2162">
        <v>0.999739202189716</v>
      </c>
      <c r="C2162">
        <v>0.944127563145322</v>
      </c>
      <c r="D2162">
        <v>0.97005987588127</v>
      </c>
      <c r="E2162">
        <v>0.812329183732512</v>
      </c>
      <c r="F2162">
        <v>0.420944998290035</v>
      </c>
      <c r="G2162">
        <v>0.130038786356378</v>
      </c>
      <c r="H2162">
        <v>0.0896656055567156</v>
      </c>
      <c r="I2162">
        <v>0.0596192219492834</v>
      </c>
      <c r="J2162">
        <v>0.0549624182385499</v>
      </c>
      <c r="K2162">
        <v>0.0499204410405529</v>
      </c>
      <c r="L2162">
        <v>1236.74913864895</v>
      </c>
      <c r="M2162">
        <v>25.1257102699256</v>
      </c>
      <c r="N2162">
        <v>49.4332101382047</v>
      </c>
      <c r="O2162">
        <v>48.9138293919516</v>
      </c>
      <c r="P2162">
        <v>-0.121897234978111</v>
      </c>
      <c r="Q2162">
        <v>0.050791892933909</v>
      </c>
      <c r="R2162">
        <v>0.99783598492143</v>
      </c>
      <c r="S2162" t="s">
        <v>4355</v>
      </c>
      <c r="T2162" t="s">
        <v>4362</v>
      </c>
      <c r="U2162" t="s">
        <v>4362</v>
      </c>
      <c r="V2162" t="s">
        <v>4362</v>
      </c>
      <c r="W2162" t="s">
        <v>6516</v>
      </c>
      <c r="X2162">
        <v>12</v>
      </c>
      <c r="Y2162" t="s">
        <v>8683</v>
      </c>
      <c r="Z2162" t="s">
        <v>10850</v>
      </c>
      <c r="AA2162">
        <v>0.4456600669511707</v>
      </c>
      <c r="AB2162">
        <f>HYPERLINK("Melting_Curves/meltCurve_Q57261_truD.pdf", "Melting_Curves/meltCurve_Q57261_truD.pdf")</f>
        <v>0</v>
      </c>
    </row>
    <row r="2163" spans="1:28">
      <c r="A2163" t="s">
        <v>2189</v>
      </c>
      <c r="B2163">
        <v>0.999739202189716</v>
      </c>
      <c r="C2163">
        <v>1.08566174643482</v>
      </c>
      <c r="D2163">
        <v>0.770435363095704</v>
      </c>
      <c r="E2163">
        <v>0.773478257886837</v>
      </c>
      <c r="F2163">
        <v>0.619026128363405</v>
      </c>
      <c r="G2163">
        <v>0.449222566229621</v>
      </c>
      <c r="H2163">
        <v>0.383835604956233</v>
      </c>
      <c r="I2163">
        <v>0.305392692352002</v>
      </c>
      <c r="J2163">
        <v>0.250634394010205</v>
      </c>
      <c r="K2163">
        <v>0.192318085890415</v>
      </c>
      <c r="L2163">
        <v>493.464863962497</v>
      </c>
      <c r="M2163">
        <v>9.63242096471375</v>
      </c>
      <c r="N2163">
        <v>52.9782637622343</v>
      </c>
      <c r="O2163">
        <v>49.1676336774083</v>
      </c>
      <c r="P2163">
        <v>-0.0423315037068934</v>
      </c>
      <c r="Q2163">
        <v>0.136178682834001</v>
      </c>
      <c r="R2163">
        <v>0.9620013133798589</v>
      </c>
      <c r="S2163" t="s">
        <v>4356</v>
      </c>
      <c r="T2163" t="s">
        <v>4362</v>
      </c>
      <c r="U2163" t="s">
        <v>4362</v>
      </c>
      <c r="V2163" t="s">
        <v>4362</v>
      </c>
      <c r="W2163" t="s">
        <v>6517</v>
      </c>
      <c r="X2163">
        <v>18</v>
      </c>
      <c r="Y2163" t="s">
        <v>8684</v>
      </c>
      <c r="Z2163" t="s">
        <v>10851</v>
      </c>
      <c r="AA2163">
        <v>0.5721483331838233</v>
      </c>
      <c r="AB2163">
        <f>HYPERLINK("Melting_Curves/meltCurve_Q59385_copA.pdf", "Melting_Curves/meltCurve_Q59385_copA.pdf")</f>
        <v>0</v>
      </c>
    </row>
    <row r="2164" spans="1:28">
      <c r="A2164" t="s">
        <v>2190</v>
      </c>
      <c r="B2164">
        <v>0.999739202189716</v>
      </c>
      <c r="C2164">
        <v>1.02340743622398</v>
      </c>
      <c r="D2164">
        <v>0.838171488087459</v>
      </c>
      <c r="E2164">
        <v>1.02918953828391</v>
      </c>
      <c r="F2164">
        <v>0.917846816733888</v>
      </c>
      <c r="G2164">
        <v>0.580927406598034</v>
      </c>
      <c r="H2164">
        <v>0.305170234952918</v>
      </c>
      <c r="I2164">
        <v>0.428978651413872</v>
      </c>
      <c r="J2164">
        <v>0.275945273101287</v>
      </c>
      <c r="K2164">
        <v>0.214982681934268</v>
      </c>
      <c r="L2164">
        <v>1874.65610588062</v>
      </c>
      <c r="M2164">
        <v>35.2516205007465</v>
      </c>
      <c r="N2164">
        <v>54.5405283542324</v>
      </c>
      <c r="O2164">
        <v>53.0090250718913</v>
      </c>
      <c r="P2164">
        <v>-0.117612506917783</v>
      </c>
      <c r="Q2164">
        <v>0.292571195516145</v>
      </c>
      <c r="R2164">
        <v>0.948418422724029</v>
      </c>
      <c r="S2164" t="s">
        <v>4357</v>
      </c>
      <c r="T2164" t="s">
        <v>4362</v>
      </c>
      <c r="U2164" t="s">
        <v>4362</v>
      </c>
      <c r="V2164" t="s">
        <v>4362</v>
      </c>
      <c r="W2164" t="s">
        <v>6518</v>
      </c>
      <c r="X2164">
        <v>1</v>
      </c>
      <c r="Y2164" t="s">
        <v>8685</v>
      </c>
      <c r="Z2164" t="s">
        <v>10852</v>
      </c>
      <c r="AA2164">
        <v>0.6774097591541699</v>
      </c>
      <c r="AB2164">
        <f>HYPERLINK("Melting_Curves/meltCurve_Q6BF16_dgoA.pdf", "Melting_Curves/meltCurve_Q6BF16_dgoA.pdf")</f>
        <v>0</v>
      </c>
    </row>
    <row r="2165" spans="1:28">
      <c r="A2165" t="s">
        <v>2191</v>
      </c>
      <c r="B2165">
        <v>0.999739202189716</v>
      </c>
      <c r="C2165">
        <v>0.929111966109754</v>
      </c>
      <c r="D2165">
        <v>0.849969242195545</v>
      </c>
      <c r="E2165">
        <v>0.950010989505492</v>
      </c>
      <c r="F2165">
        <v>0.928738313140142</v>
      </c>
      <c r="G2165">
        <v>0.735470767892016</v>
      </c>
      <c r="H2165">
        <v>0.610142422352508</v>
      </c>
      <c r="I2165">
        <v>0.227253090306049</v>
      </c>
      <c r="J2165">
        <v>0.123132411880365</v>
      </c>
      <c r="K2165">
        <v>0.0970371785213683</v>
      </c>
      <c r="L2165">
        <v>1008.74349190439</v>
      </c>
      <c r="M2165">
        <v>17.4801860421681</v>
      </c>
      <c r="N2165">
        <v>57.7078245702042</v>
      </c>
      <c r="O2165">
        <v>56.9684580439186</v>
      </c>
      <c r="P2165">
        <v>-0.0767141798142634</v>
      </c>
      <c r="Q2165">
        <v>0</v>
      </c>
      <c r="R2165">
        <v>0.965025778147647</v>
      </c>
      <c r="S2165" t="s">
        <v>4358</v>
      </c>
      <c r="T2165" t="s">
        <v>4362</v>
      </c>
      <c r="U2165" t="s">
        <v>4362</v>
      </c>
      <c r="V2165" t="s">
        <v>4362</v>
      </c>
      <c r="W2165" t="s">
        <v>6519</v>
      </c>
      <c r="X2165">
        <v>5</v>
      </c>
      <c r="Y2165" t="s">
        <v>8686</v>
      </c>
      <c r="Z2165" t="s">
        <v>10853</v>
      </c>
      <c r="AA2165">
        <v>0.697249209623034</v>
      </c>
      <c r="AB2165">
        <f>HYPERLINK("Melting_Curves/meltCurve_Q93K97_nudF.pdf", "Melting_Curves/meltCurve_Q93K97_nudF.pdf")</f>
        <v>0</v>
      </c>
    </row>
    <row r="2166" spans="1:28">
      <c r="A2166" t="s">
        <v>2192</v>
      </c>
      <c r="B2166">
        <v>0.999739202189716</v>
      </c>
      <c r="C2166">
        <v>1.20643605212972</v>
      </c>
      <c r="D2166">
        <v>0.609527937299721</v>
      </c>
      <c r="E2166">
        <v>0.457417826790243</v>
      </c>
      <c r="F2166">
        <v>0.265036797246465</v>
      </c>
      <c r="G2166">
        <v>0.189993530067171</v>
      </c>
      <c r="H2166">
        <v>0.136423984394961</v>
      </c>
      <c r="I2166">
        <v>0.0996295445408432</v>
      </c>
      <c r="J2166">
        <v>0.0906730452080783</v>
      </c>
      <c r="K2166">
        <v>0.0537629423887679</v>
      </c>
      <c r="L2166">
        <v>860.933796943899</v>
      </c>
      <c r="M2166">
        <v>19.0105119156705</v>
      </c>
      <c r="N2166">
        <v>45.8564064432555</v>
      </c>
      <c r="O2166">
        <v>44.795060351178</v>
      </c>
      <c r="P2166">
        <v>-0.0949510478250619</v>
      </c>
      <c r="Q2166">
        <v>0.105091162135584</v>
      </c>
      <c r="R2166">
        <v>0.930629202605093</v>
      </c>
      <c r="S2166" t="s">
        <v>4359</v>
      </c>
      <c r="T2166" t="s">
        <v>4362</v>
      </c>
      <c r="U2166" t="s">
        <v>4362</v>
      </c>
      <c r="V2166" t="s">
        <v>4362</v>
      </c>
      <c r="W2166" t="s">
        <v>6520</v>
      </c>
      <c r="X2166">
        <v>1</v>
      </c>
      <c r="Y2166" t="s">
        <v>8687</v>
      </c>
      <c r="Z2166" t="s">
        <v>10854</v>
      </c>
      <c r="AA2166">
        <v>0.3653374844969236</v>
      </c>
      <c r="AB2166">
        <f>HYPERLINK("Melting_Curves/meltCurve_Q9LBU0_kgtP.pdf", "Melting_Curves/meltCurve_Q9LBU0_kgtP.pdf")</f>
        <v>0</v>
      </c>
    </row>
    <row r="2167" spans="1:28">
      <c r="A2167" t="s">
        <v>2193</v>
      </c>
      <c r="B2167">
        <v>0.999739202189716</v>
      </c>
      <c r="C2167">
        <v>1.00772525583007</v>
      </c>
      <c r="D2167">
        <v>1.0100294805942</v>
      </c>
      <c r="E2167">
        <v>1.05527156836093</v>
      </c>
      <c r="F2167">
        <v>0.9093411671114811</v>
      </c>
      <c r="G2167">
        <v>0.820897205358279</v>
      </c>
      <c r="H2167">
        <v>0.72330568279395</v>
      </c>
      <c r="I2167">
        <v>0.679748412216945</v>
      </c>
      <c r="J2167">
        <v>0.631366930755898</v>
      </c>
      <c r="K2167">
        <v>0.596143520697566</v>
      </c>
      <c r="L2167">
        <v>980.57840835758</v>
      </c>
      <c r="M2167">
        <v>17.9286381566202</v>
      </c>
      <c r="O2167">
        <v>54.026587319444</v>
      </c>
      <c r="P2167">
        <v>-0.0330205354482233</v>
      </c>
      <c r="Q2167">
        <v>0.602000464197772</v>
      </c>
      <c r="R2167">
        <v>0.974285734263986</v>
      </c>
      <c r="S2167" t="s">
        <v>4360</v>
      </c>
      <c r="T2167" t="s">
        <v>4362</v>
      </c>
      <c r="U2167" t="s">
        <v>4362</v>
      </c>
      <c r="V2167" t="s">
        <v>4362</v>
      </c>
      <c r="W2167" t="s">
        <v>6521</v>
      </c>
      <c r="X2167">
        <v>5</v>
      </c>
      <c r="Y2167" t="s">
        <v>8688</v>
      </c>
      <c r="Z2167" t="s">
        <v>10855</v>
      </c>
      <c r="AA2167">
        <v>0.8419095815189745</v>
      </c>
      <c r="AB2167">
        <f>HYPERLINK("Melting_Curves/meltCurve_Q9LBU5_yrdA.pdf", "Melting_Curves/meltCurve_Q9LBU5_yrdA.pdf")</f>
        <v>0</v>
      </c>
    </row>
    <row r="2168" spans="1:28">
      <c r="A2168" t="s">
        <v>2194</v>
      </c>
      <c r="B2168">
        <v>0.999739202189716</v>
      </c>
      <c r="C2168">
        <v>0.817676180451585</v>
      </c>
      <c r="D2168">
        <v>1.00663613827104</v>
      </c>
      <c r="E2168">
        <v>1.04550910810424</v>
      </c>
      <c r="F2168">
        <v>0.934978834385108</v>
      </c>
      <c r="G2168">
        <v>0.862640847721148</v>
      </c>
      <c r="H2168">
        <v>0.761826664003226</v>
      </c>
      <c r="I2168">
        <v>0.590491234889482</v>
      </c>
      <c r="J2168">
        <v>0.374796265957952</v>
      </c>
      <c r="K2168">
        <v>0.260071118585418</v>
      </c>
      <c r="L2168">
        <v>850.261273675124</v>
      </c>
      <c r="M2168">
        <v>13.6978241607331</v>
      </c>
      <c r="N2168">
        <v>62.0727251995671</v>
      </c>
      <c r="O2168">
        <v>60.7946015582854</v>
      </c>
      <c r="P2168">
        <v>-0.0563364087591377</v>
      </c>
      <c r="Q2168">
        <v>0</v>
      </c>
      <c r="R2168">
        <v>0.941485443156023</v>
      </c>
      <c r="S2168" t="s">
        <v>4361</v>
      </c>
      <c r="T2168" t="s">
        <v>4362</v>
      </c>
      <c r="U2168" t="s">
        <v>4362</v>
      </c>
      <c r="V2168" t="s">
        <v>4362</v>
      </c>
      <c r="W2168" t="s">
        <v>6522</v>
      </c>
      <c r="X2168">
        <v>2</v>
      </c>
      <c r="Y2168" t="s">
        <v>8689</v>
      </c>
      <c r="Z2168" t="s">
        <v>10856</v>
      </c>
      <c r="AA2168">
        <v>0.8075999668332784</v>
      </c>
      <c r="AB2168">
        <f>HYPERLINK("Melting_Curves/meltCurve_Q9LBV1_mobB.pdf", "Melting_Curves/meltCurve_Q9LBV1_mobB.pdf")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2019-09-16T15:35:38Z</dcterms:created>
  <dcterms:modified xsi:type="dcterms:W3CDTF">2019-09-16T15:35:38Z</dcterms:modified>
</cp:coreProperties>
</file>